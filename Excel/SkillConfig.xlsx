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0C1CA5B7-37AF-4261-A8EE-74B5D2204D8B}"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SkillProto!$BA$1:$BA$2352</definedName>
  </definedNames>
  <calcPr calcId="191029"/>
</workbook>
</file>

<file path=xl/calcChain.xml><?xml version="1.0" encoding="utf-8"?>
<calcChain xmlns="http://schemas.openxmlformats.org/spreadsheetml/2006/main">
  <c r="BE2352" i="1" l="1"/>
  <c r="BE2351" i="1"/>
  <c r="BE2209" i="1"/>
  <c r="BE2206" i="1"/>
  <c r="BE2200" i="1"/>
  <c r="BE2199" i="1"/>
  <c r="BE2198" i="1"/>
  <c r="H2198" i="1"/>
  <c r="J2181" i="1"/>
  <c r="BE2159" i="1"/>
  <c r="H1795" i="1"/>
  <c r="H1794" i="1"/>
  <c r="H1793" i="1"/>
  <c r="H1792" i="1"/>
  <c r="H1791" i="1"/>
  <c r="H1790" i="1"/>
  <c r="H1789" i="1"/>
  <c r="H1788" i="1"/>
  <c r="H1787" i="1"/>
  <c r="H1786" i="1"/>
  <c r="H1784" i="1"/>
  <c r="H1783" i="1"/>
  <c r="H1782" i="1"/>
  <c r="H1781" i="1"/>
  <c r="H1780" i="1"/>
  <c r="H1779" i="1"/>
  <c r="H1778" i="1"/>
  <c r="H1777" i="1"/>
  <c r="H1776" i="1"/>
  <c r="H1775" i="1"/>
  <c r="H1773" i="1"/>
  <c r="H1772" i="1"/>
  <c r="H1771" i="1"/>
  <c r="H1770" i="1"/>
  <c r="H1769" i="1"/>
  <c r="H1768" i="1"/>
  <c r="H1767" i="1"/>
  <c r="H1766" i="1"/>
  <c r="H1765" i="1"/>
  <c r="H1764" i="1"/>
  <c r="H1762" i="1"/>
  <c r="H1761" i="1"/>
  <c r="H1760" i="1"/>
  <c r="H1759" i="1"/>
  <c r="H1758" i="1"/>
  <c r="H1757" i="1"/>
  <c r="H1756" i="1"/>
  <c r="H1755" i="1"/>
  <c r="H1754" i="1"/>
  <c r="H1753" i="1"/>
  <c r="BE1741" i="1"/>
  <c r="BE1740" i="1"/>
  <c r="BE1739" i="1"/>
  <c r="BE1738" i="1"/>
  <c r="BE1737" i="1"/>
  <c r="BE1736" i="1"/>
  <c r="BE1735" i="1"/>
  <c r="BE1734" i="1"/>
  <c r="BE1733" i="1"/>
  <c r="BE1732" i="1"/>
  <c r="BE1731" i="1"/>
  <c r="BE1730" i="1"/>
  <c r="AL1507" i="1"/>
  <c r="BE1422" i="1"/>
  <c r="BE1421" i="1"/>
  <c r="BE1330" i="1"/>
  <c r="BE1329" i="1"/>
  <c r="BE1324" i="1"/>
  <c r="BE1319" i="1"/>
  <c r="BE1304" i="1"/>
  <c r="BE1302" i="1"/>
  <c r="BE1295" i="1"/>
  <c r="BE1294" i="1"/>
  <c r="BE1278" i="1"/>
  <c r="BE1262" i="1"/>
  <c r="BE1255" i="1"/>
  <c r="BE1254" i="1"/>
  <c r="BE1252" i="1"/>
  <c r="BE1246" i="1"/>
  <c r="BE1237" i="1"/>
  <c r="BE1236" i="1"/>
  <c r="BE1235" i="1"/>
  <c r="BE1234" i="1"/>
  <c r="BE1233" i="1"/>
  <c r="BE1232" i="1"/>
  <c r="BE1231" i="1"/>
  <c r="BE1230" i="1"/>
  <c r="BE1229" i="1"/>
  <c r="BE1228" i="1"/>
  <c r="BE1227" i="1"/>
  <c r="BE1226" i="1"/>
  <c r="BE1219" i="1"/>
  <c r="BE1218" i="1"/>
  <c r="BE1217" i="1"/>
  <c r="AZ1210" i="1"/>
  <c r="AZ1209" i="1"/>
  <c r="AZ1208" i="1"/>
  <c r="AZ1207" i="1"/>
  <c r="AZ1206" i="1"/>
  <c r="AZ1205" i="1"/>
  <c r="BE1204" i="1"/>
  <c r="BE1203" i="1"/>
  <c r="BE1202" i="1"/>
  <c r="BE1201" i="1"/>
  <c r="BE1200" i="1"/>
  <c r="BE1199"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14" i="1"/>
  <c r="BE1113" i="1"/>
  <c r="BE1112" i="1"/>
  <c r="BE1111" i="1"/>
  <c r="BE1110" i="1"/>
  <c r="BE1109" i="1"/>
  <c r="BE1102" i="1"/>
  <c r="BE1101" i="1"/>
  <c r="BE1100" i="1"/>
  <c r="BE1099" i="1"/>
  <c r="Z1099" i="1"/>
  <c r="BE1098" i="1"/>
  <c r="Z1098" i="1"/>
  <c r="BE1097" i="1"/>
  <c r="Z1097"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47" i="1"/>
  <c r="BE1046" i="1"/>
  <c r="BE1045" i="1"/>
  <c r="BE1044" i="1"/>
  <c r="BE1043" i="1"/>
  <c r="BE1042" i="1"/>
  <c r="BE1035" i="1"/>
  <c r="BE1034" i="1"/>
  <c r="BE1033" i="1"/>
  <c r="BE1032" i="1"/>
  <c r="BE1031" i="1"/>
  <c r="BE1030" i="1"/>
  <c r="BE1029" i="1"/>
  <c r="BE1028" i="1"/>
  <c r="BE1027" i="1"/>
  <c r="BE1026" i="1"/>
  <c r="BE1025" i="1"/>
  <c r="BE1024" i="1"/>
  <c r="BE1023" i="1"/>
  <c r="BE1022" i="1"/>
  <c r="BE1021" i="1"/>
  <c r="BE1020" i="1"/>
  <c r="BE1019" i="1"/>
  <c r="BE1018" i="1"/>
  <c r="BE1011" i="1"/>
  <c r="BE1010" i="1"/>
  <c r="BE1009" i="1"/>
  <c r="BE1008" i="1"/>
  <c r="BE1007" i="1"/>
  <c r="BE1006" i="1"/>
  <c r="BE1005" i="1"/>
  <c r="BE1004" i="1"/>
  <c r="BE1003" i="1"/>
  <c r="BE1002" i="1"/>
  <c r="BE1001" i="1"/>
  <c r="BE1000" i="1"/>
  <c r="BE999" i="1"/>
  <c r="BE998" i="1"/>
  <c r="BE997" i="1"/>
  <c r="BE996" i="1"/>
  <c r="BE995" i="1"/>
  <c r="BE994" i="1"/>
  <c r="BE993" i="1"/>
  <c r="BE979" i="1"/>
  <c r="BE978" i="1"/>
  <c r="BE977" i="1"/>
  <c r="BE976" i="1"/>
  <c r="BE975" i="1"/>
  <c r="BE974" i="1"/>
  <c r="BE973" i="1"/>
  <c r="BE972" i="1"/>
  <c r="BE971" i="1"/>
  <c r="BE970" i="1"/>
  <c r="BE969" i="1"/>
  <c r="BE968" i="1"/>
  <c r="H957" i="1"/>
  <c r="H956" i="1"/>
  <c r="H955" i="1"/>
  <c r="BE954" i="1"/>
  <c r="BE953" i="1"/>
  <c r="BE952" i="1"/>
  <c r="BE951" i="1"/>
  <c r="H951" i="1"/>
  <c r="BE950" i="1"/>
  <c r="H950" i="1"/>
  <c r="BE949" i="1"/>
  <c r="H949" i="1"/>
  <c r="BE948" i="1"/>
  <c r="BE947" i="1"/>
  <c r="BE946" i="1"/>
  <c r="BE945" i="1"/>
  <c r="H945" i="1"/>
  <c r="BE944" i="1"/>
  <c r="H944" i="1"/>
  <c r="BE943" i="1"/>
  <c r="H943" i="1"/>
  <c r="H939" i="1"/>
  <c r="H938" i="1"/>
  <c r="H937" i="1"/>
  <c r="BE936" i="1"/>
  <c r="BE935" i="1"/>
  <c r="BE934" i="1"/>
  <c r="BE933" i="1"/>
  <c r="H933" i="1"/>
  <c r="BE932" i="1"/>
  <c r="H932" i="1"/>
  <c r="BE931"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H906" i="1"/>
  <c r="H905" i="1"/>
  <c r="H904" i="1"/>
  <c r="BE903" i="1"/>
  <c r="BE902" i="1"/>
  <c r="BE901" i="1"/>
  <c r="BE900" i="1"/>
  <c r="H900" i="1"/>
  <c r="BE899" i="1"/>
  <c r="H899" i="1"/>
  <c r="BE898" i="1"/>
  <c r="H898" i="1"/>
  <c r="BE897" i="1"/>
  <c r="BE896" i="1"/>
  <c r="BE895" i="1"/>
  <c r="BE894" i="1"/>
  <c r="BE893" i="1"/>
  <c r="H889" i="1"/>
  <c r="H888" i="1"/>
  <c r="H887" i="1"/>
  <c r="BE886" i="1"/>
  <c r="BE885" i="1"/>
  <c r="BE884" i="1"/>
  <c r="BE883" i="1"/>
  <c r="BE882" i="1"/>
  <c r="H878" i="1"/>
  <c r="H877" i="1"/>
  <c r="H876" i="1"/>
  <c r="BE875" i="1"/>
  <c r="BE874" i="1"/>
  <c r="BE873" i="1"/>
  <c r="BE872" i="1"/>
  <c r="H872" i="1"/>
  <c r="BE871" i="1"/>
  <c r="H871" i="1"/>
  <c r="BE870" i="1"/>
  <c r="H870" i="1"/>
  <c r="BE869" i="1"/>
  <c r="BE868" i="1"/>
  <c r="BE867" i="1"/>
  <c r="BE866" i="1"/>
  <c r="H866" i="1"/>
  <c r="BE865" i="1"/>
  <c r="H865" i="1"/>
  <c r="BE864" i="1"/>
  <c r="H864" i="1"/>
  <c r="BE863" i="1"/>
  <c r="BE862" i="1"/>
  <c r="BE861" i="1"/>
  <c r="BE860" i="1"/>
  <c r="H860" i="1"/>
  <c r="BE859" i="1"/>
  <c r="H859" i="1"/>
  <c r="BE858" i="1"/>
  <c r="H858" i="1"/>
  <c r="H854" i="1"/>
  <c r="H853" i="1"/>
  <c r="H852" i="1"/>
  <c r="H841" i="1"/>
  <c r="H840" i="1"/>
  <c r="H839" i="1"/>
  <c r="BE838" i="1"/>
  <c r="BE837" i="1"/>
  <c r="BE836" i="1"/>
  <c r="BE835" i="1"/>
  <c r="H835" i="1"/>
  <c r="BE834" i="1"/>
  <c r="H834" i="1"/>
  <c r="BE833" i="1"/>
  <c r="H833" i="1"/>
  <c r="BE832" i="1"/>
  <c r="BE831" i="1"/>
  <c r="BE830" i="1"/>
  <c r="BE829" i="1"/>
  <c r="H829" i="1"/>
  <c r="BE828" i="1"/>
  <c r="H828" i="1"/>
  <c r="BE827" i="1"/>
  <c r="H827" i="1"/>
  <c r="H823" i="1"/>
  <c r="H822" i="1"/>
  <c r="H821" i="1"/>
  <c r="BE820" i="1"/>
  <c r="BE819" i="1"/>
  <c r="BE818" i="1"/>
  <c r="BE817" i="1"/>
  <c r="BE816" i="1"/>
  <c r="BE815" i="1"/>
  <c r="BE814" i="1"/>
  <c r="BE813" i="1"/>
  <c r="BE812" i="1"/>
  <c r="BE811" i="1"/>
  <c r="BE810" i="1"/>
  <c r="BE809" i="1"/>
  <c r="H805" i="1"/>
  <c r="H804" i="1"/>
  <c r="H803" i="1"/>
  <c r="BE796" i="1"/>
  <c r="BE795" i="1"/>
  <c r="BE794" i="1"/>
  <c r="BE793" i="1"/>
  <c r="H793" i="1"/>
  <c r="BE792" i="1"/>
  <c r="H792" i="1"/>
  <c r="BE791" i="1"/>
  <c r="H791" i="1"/>
  <c r="H788" i="1"/>
  <c r="H787" i="1"/>
  <c r="H786" i="1"/>
  <c r="BE785" i="1"/>
  <c r="BE784" i="1"/>
  <c r="BE783" i="1"/>
  <c r="BE782" i="1"/>
  <c r="BE781" i="1"/>
  <c r="BE780" i="1"/>
  <c r="BE779" i="1"/>
  <c r="BE778" i="1"/>
  <c r="BE777" i="1"/>
  <c r="BE776" i="1"/>
  <c r="H776" i="1"/>
  <c r="BE775" i="1"/>
  <c r="H775" i="1"/>
  <c r="BE774" i="1"/>
  <c r="H774" i="1"/>
  <c r="BE773" i="1"/>
  <c r="BE772" i="1"/>
  <c r="BE771" i="1"/>
  <c r="BE770" i="1"/>
  <c r="BE769" i="1"/>
  <c r="BE768" i="1"/>
  <c r="BE765" i="1"/>
  <c r="BE764" i="1"/>
  <c r="BE756" i="1"/>
  <c r="BE755" i="1"/>
  <c r="BE754" i="1"/>
  <c r="BE753" i="1"/>
  <c r="H753" i="1"/>
  <c r="BE752" i="1"/>
  <c r="H752" i="1"/>
  <c r="BE751" i="1"/>
  <c r="H751" i="1"/>
  <c r="BE750" i="1"/>
  <c r="BE749" i="1"/>
  <c r="BE748" i="1"/>
  <c r="BE747" i="1"/>
  <c r="BE746" i="1"/>
  <c r="BE745" i="1"/>
  <c r="BE744" i="1"/>
  <c r="BE743" i="1"/>
  <c r="BE742" i="1"/>
  <c r="BE741" i="1"/>
  <c r="BE740" i="1"/>
  <c r="BE739" i="1"/>
  <c r="BE732" i="1"/>
  <c r="BE731" i="1"/>
  <c r="BE730" i="1"/>
  <c r="BE729" i="1"/>
  <c r="BE728" i="1"/>
  <c r="BE727" i="1"/>
  <c r="BE726" i="1"/>
  <c r="BE725" i="1"/>
  <c r="BE724" i="1"/>
  <c r="BE723" i="1"/>
  <c r="H723" i="1"/>
  <c r="BE722" i="1"/>
  <c r="H722" i="1"/>
  <c r="BE721" i="1"/>
  <c r="H721" i="1"/>
  <c r="BE720" i="1"/>
  <c r="BE719" i="1"/>
  <c r="BE718" i="1"/>
  <c r="BE717" i="1"/>
  <c r="H717" i="1"/>
  <c r="BE716" i="1"/>
  <c r="H716" i="1"/>
  <c r="BE715" i="1"/>
  <c r="H715" i="1"/>
  <c r="BE714" i="1"/>
  <c r="BE713" i="1"/>
  <c r="BE712" i="1"/>
  <c r="BE711" i="1"/>
  <c r="H711" i="1"/>
  <c r="BE710" i="1"/>
  <c r="H710" i="1"/>
  <c r="BE709" i="1"/>
  <c r="H709" i="1"/>
  <c r="BE708" i="1"/>
  <c r="BE707" i="1"/>
  <c r="BE706" i="1"/>
  <c r="BE705" i="1"/>
  <c r="H705" i="1"/>
  <c r="BE704" i="1"/>
  <c r="H704" i="1"/>
  <c r="BE703" i="1"/>
  <c r="H703" i="1"/>
  <c r="BE702" i="1"/>
  <c r="BE701" i="1"/>
  <c r="BE700" i="1"/>
  <c r="BE699" i="1"/>
  <c r="H699" i="1"/>
  <c r="BE698" i="1"/>
  <c r="H698" i="1"/>
  <c r="BE697" i="1"/>
  <c r="H697" i="1"/>
  <c r="BE696" i="1"/>
  <c r="BE695" i="1"/>
  <c r="BE694" i="1"/>
  <c r="BE693" i="1"/>
  <c r="H693" i="1"/>
  <c r="BE692" i="1"/>
  <c r="H692" i="1"/>
  <c r="BE691" i="1"/>
  <c r="H691" i="1"/>
  <c r="BE689" i="1"/>
  <c r="BE688" i="1"/>
  <c r="BE687" i="1"/>
  <c r="BE686" i="1"/>
  <c r="H686" i="1"/>
  <c r="BE685" i="1"/>
  <c r="H685" i="1"/>
  <c r="BE684" i="1"/>
  <c r="H684" i="1"/>
  <c r="BE682" i="1"/>
  <c r="BE681" i="1"/>
  <c r="BE680" i="1"/>
  <c r="BE679" i="1"/>
  <c r="H679" i="1"/>
  <c r="BE678" i="1"/>
  <c r="H678" i="1"/>
  <c r="BE677" i="1"/>
  <c r="H677" i="1"/>
  <c r="H673" i="1"/>
  <c r="H672" i="1"/>
  <c r="H671" i="1"/>
  <c r="BE670" i="1"/>
  <c r="BE669" i="1"/>
  <c r="BE668" i="1"/>
  <c r="BE667" i="1"/>
  <c r="H667" i="1"/>
  <c r="BE666" i="1"/>
  <c r="H666" i="1"/>
  <c r="BE665" i="1"/>
  <c r="H665" i="1"/>
  <c r="BE664" i="1"/>
  <c r="BE663" i="1"/>
  <c r="BE662" i="1"/>
  <c r="BE661" i="1"/>
  <c r="BE660" i="1"/>
  <c r="BE659" i="1"/>
  <c r="BE658" i="1"/>
  <c r="BE657" i="1"/>
  <c r="BE656" i="1"/>
  <c r="BE655" i="1"/>
  <c r="H655" i="1"/>
  <c r="BE654" i="1"/>
  <c r="H654" i="1"/>
  <c r="BE653" i="1"/>
  <c r="H653" i="1"/>
  <c r="BE652" i="1"/>
  <c r="BE651" i="1"/>
  <c r="BE650" i="1"/>
  <c r="BE649" i="1"/>
  <c r="H649" i="1"/>
  <c r="BE648" i="1"/>
  <c r="H648" i="1"/>
  <c r="BE647" i="1"/>
  <c r="H647" i="1"/>
  <c r="H642" i="1"/>
  <c r="H641" i="1"/>
  <c r="H640" i="1"/>
  <c r="BE639" i="1"/>
  <c r="BE638" i="1"/>
  <c r="BE637" i="1"/>
  <c r="BE636" i="1"/>
  <c r="H636" i="1"/>
  <c r="BE635" i="1"/>
  <c r="H635" i="1"/>
  <c r="BE634" i="1"/>
  <c r="H634" i="1"/>
  <c r="BE633" i="1"/>
  <c r="BE632" i="1"/>
  <c r="BE631" i="1"/>
  <c r="BE630" i="1"/>
  <c r="BE629" i="1"/>
  <c r="BE628" i="1"/>
  <c r="BE627" i="1"/>
  <c r="BE626" i="1"/>
  <c r="BE625" i="1"/>
  <c r="BE624" i="1"/>
  <c r="H624" i="1"/>
  <c r="BE623" i="1"/>
  <c r="H623" i="1"/>
  <c r="BE622" i="1"/>
  <c r="H622" i="1"/>
  <c r="BE621" i="1"/>
  <c r="BE620" i="1"/>
  <c r="BE619" i="1"/>
  <c r="BE618" i="1"/>
  <c r="H618" i="1"/>
  <c r="BE617" i="1"/>
  <c r="H617" i="1"/>
  <c r="BE616" i="1"/>
  <c r="H616" i="1"/>
  <c r="BE615" i="1"/>
  <c r="BE614" i="1"/>
  <c r="BE613" i="1"/>
  <c r="BE612" i="1"/>
  <c r="BE611" i="1"/>
  <c r="BE610" i="1"/>
  <c r="BE609" i="1"/>
  <c r="BE608" i="1"/>
  <c r="BE607" i="1"/>
  <c r="BE606" i="1"/>
  <c r="BE605" i="1"/>
  <c r="BE604"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<sst xmlns="http://schemas.openxmlformats.org/spreadsheetml/2006/main" count="18357" uniqueCount="5613">
  <si>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</si>
  <si>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</si>
  <si>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</si>
  <si>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</si>
  <si>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</si>
  <si>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</si>
  <si>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</si>
  <si>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</si>
  <si>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</si>
  <si>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</si>
  <si>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</si>
  <si>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</si>
  <si>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</si>
  <si>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</si>
  <si>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</si>
  <si>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</si>
  <si>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</si>
  <si>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</si>
  <si>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</si>
  <si>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</si>
  <si>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</si>
  <si>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</si>
  <si>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</si>
  <si>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</si>
  <si>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</si>
  <si>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</si>
  <si>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</si>
  <si>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</si>
  <si>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</si>
  <si>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</si>
  <si>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</si>
  <si>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</si>
  <si>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</si>
  <si>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</si>
  <si>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</si>
  <si>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</si>
  <si>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</si>
  <si>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</si>
  <si>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</si>
  <si>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</si>
  <si>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</si>
  <si>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</si>
  <si>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</si>
  <si>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</si>
  <si>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</si>
  <si>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</si>
  <si>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</si>
  <si>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</si>
  <si>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</si>
  <si>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</si>
  <si>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</si>
  <si>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</si>
  <si>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</si>
  <si>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</si>
  <si>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</si>
  <si>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</si>
  <si>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</si>
  <si>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</si>
  <si>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</si>
  <si>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</si>
  <si>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</si>
  <si>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</si>
  <si>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</si>
  <si>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</si>
  <si>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</si>
  <si>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</si>
  <si>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</si>
  <si>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</si>
  <si>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</si>
  <si>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</si>
  <si>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</si>
  <si>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</si>
  <si>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</si>
  <si>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</si>
  <si>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</si>
  <si>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</si>
  <si>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</si>
  <si>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</si>
  <si>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</si>
  <si>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</si>
  <si>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</si>
  <si>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</si>
  <si>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</si>
  <si>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</si>
  <si>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</si>
  <si>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</si>
  <si>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</si>
  <si>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</si>
  <si>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</si>
  <si>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</si>
  <si>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</si>
  <si>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</si>
  <si>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</si>
  <si>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</si>
  <si>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</si>
  <si>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</si>
  <si>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</si>
  <si>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</si>
  <si>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</si>
  <si>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</si>
  <si>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</si>
  <si>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</si>
  <si>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</si>
  <si>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</si>
  <si>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</si>
  <si>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</si>
  <si>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</si>
  <si>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</si>
  <si>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</si>
  <si>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</si>
  <si>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</si>
  <si>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</si>
  <si>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</si>
  <si>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</si>
  <si>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</si>
  <si>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</si>
  <si>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</si>
  <si>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</si>
  <si>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</si>
  <si>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</si>
  <si>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</si>
  <si>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</si>
  <si>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</si>
  <si>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</si>
  <si>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</si>
  <si>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</si>
  <si>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</si>
  <si>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</si>
  <si>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</si>
  <si>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</si>
  <si>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</si>
  <si>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</si>
  <si>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</si>
  <si>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</si>
  <si>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</si>
  <si>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</si>
  <si>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</si>
  <si>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</si>
  <si>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</si>
  <si>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</si>
  <si>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</si>
  <si>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</si>
  <si>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</si>
  <si>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</si>
  <si>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</si>
  <si>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</si>
  <si>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</si>
  <si>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</si>
  <si>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</si>
  <si>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</si>
  <si>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</si>
  <si>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</si>
  <si>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</si>
  <si>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</si>
  <si>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</si>
  <si>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</si>
  <si>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</si>
  <si>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</si>
  <si>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</si>
  <si>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</si>
  <si>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</si>
  <si>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</si>
  <si>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</si>
  <si>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</si>
  <si>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</si>
  <si>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</si>
  <si>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</si>
  <si>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</si>
  <si>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</si>
  <si>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</si>
  <si>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</si>
  <si>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</si>
  <si>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</si>
  <si>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</si>
  <si>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</si>
  <si>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</si>
  <si>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</si>
  <si>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</si>
  <si>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</si>
  <si>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</si>
  <si>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</si>
  <si>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</si>
  <si>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</si>
  <si>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</si>
  <si>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</si>
  <si>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</si>
  <si>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</si>
  <si>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</si>
  <si>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</si>
  <si>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</si>
  <si>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</si>
  <si>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</si>
  <si>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</si>
  <si>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</si>
  <si>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</si>
  <si>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</si>
  <si>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</si>
  <si>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</si>
  <si>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</si>
  <si>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</si>
  <si>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</si>
  <si>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</si>
  <si>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</si>
  <si>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</si>
  <si>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</si>
  <si>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</si>
  <si>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</si>
  <si>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</si>
  <si>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</si>
  <si>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</si>
  <si>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</si>
  <si>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</si>
  <si>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</si>
  <si>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</si>
  <si>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</si>
  <si>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</si>
  <si>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</si>
  <si>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</si>
  <si>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</si>
  <si>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</si>
  <si>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</si>
  <si>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</si>
  <si>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</si>
  <si>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</si>
  <si>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</si>
  <si>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</si>
  <si>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</si>
  <si>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</si>
  <si>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</si>
  <si>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</si>
  <si>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</si>
  <si>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</si>
  <si>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</si>
  <si>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</si>
  <si>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</si>
  <si>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</si>
  <si>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</si>
  <si>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</si>
  <si>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</si>
  <si>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</si>
  <si>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</si>
  <si>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</si>
  <si>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</si>
  <si>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</si>
  <si>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</si>
  <si>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</si>
  <si>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</si>
  <si>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</si>
  <si>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</si>
  <si>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</si>
  <si>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</si>
  <si>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</si>
  <si>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</si>
  <si>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</si>
  <si>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</si>
  <si>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</si>
  <si>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</si>
  <si>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</si>
  <si>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</si>
  <si>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</si>
  <si>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</si>
  <si>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</si>
  <si>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</si>
  <si>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</si>
  <si>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</si>
  <si>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</si>
  <si>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</si>
  <si>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</si>
  <si>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</si>
  <si>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</si>
  <si>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</si>
  <si>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</si>
  <si>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</si>
  <si>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</si>
  <si>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</si>
  <si>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</si>
  <si>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</si>
  <si>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</si>
  <si>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</si>
  <si>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</si>
  <si>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</si>
  <si>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</si>
  <si>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</si>
  <si>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</si>
  <si>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</si>
  <si>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</si>
  <si>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</si>
  <si>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</si>
  <si>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</si>
  <si>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</si>
  <si>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</si>
  <si>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</si>
  <si>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</si>
  <si>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</si>
  <si>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</si>
  <si>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</si>
  <si>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</si>
  <si>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</si>
  <si>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</si>
  <si>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</si>
  <si>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</si>
  <si>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</si>
  <si>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</si>
  <si>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</si>
  <si>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</si>
  <si>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</si>
  <si>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</si>
  <si>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</si>
  <si>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</si>
  <si>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</si>
  <si>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</si>
  <si>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</si>
  <si>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</si>
  <si>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</si>
  <si>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</si>
  <si>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</si>
  <si>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</si>
  <si>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</si>
  <si>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</si>
  <si>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</si>
  <si>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</si>
  <si>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</si>
  <si>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</si>
  <si>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</si>
  <si>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</si>
  <si>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</si>
  <si>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</si>
  <si>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</si>
  <si>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</si>
  <si>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</si>
  <si>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</si>
  <si>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</si>
  <si>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</si>
  <si>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</si>
  <si>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</si>
  <si>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</si>
  <si>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</si>
  <si>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</si>
  <si>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</si>
  <si>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</si>
  <si>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</si>
  <si>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</si>
  <si>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</si>
  <si>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</si>
  <si>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</si>
  <si>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</si>
  <si>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</si>
  <si>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</si>
  <si>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</si>
  <si>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</si>
  <si>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</si>
  <si>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</si>
  <si>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</si>
  <si>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</si>
  <si>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</si>
  <si>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</si>
  <si>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</si>
  <si>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</si>
  <si>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</si>
  <si>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</si>
  <si>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</si>
  <si>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</si>
  <si>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</si>
  <si>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</si>
  <si>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</si>
  <si>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</si>
  <si>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</si>
  <si>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</si>
  <si>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</si>
  <si>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</si>
  <si>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</si>
  <si>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</si>
  <si>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</si>
  <si>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</si>
  <si>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</si>
  <si>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</si>
  <si>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</si>
  <si>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</si>
  <si>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</si>
  <si>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</si>
  <si>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</si>
  <si>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</si>
  <si>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</si>
  <si>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</si>
  <si>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</si>
  <si>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</si>
  <si>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</si>
  <si>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</si>
  <si>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</si>
  <si>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</si>
  <si>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</si>
  <si>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</si>
  <si>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</si>
  <si>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</si>
  <si>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</si>
  <si>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</si>
  <si>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</si>
  <si>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</si>
  <si>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</si>
  <si>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</si>
  <si>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</si>
  <si>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</si>
  <si>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</si>
  <si>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</si>
  <si>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</si>
  <si>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</si>
  <si>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</si>
  <si>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</si>
  <si>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</si>
  <si>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</si>
  <si>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</si>
  <si>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</si>
  <si>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</si>
  <si>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</si>
  <si>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</si>
  <si>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</si>
  <si>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</si>
  <si>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</si>
  <si>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</si>
  <si>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</si>
  <si>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</si>
  <si>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</si>
  <si>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</si>
  <si>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</si>
  <si>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</si>
  <si>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</si>
  <si>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</si>
  <si>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</si>
  <si>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</si>
  <si>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</si>
  <si>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</si>
  <si>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</si>
  <si>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</si>
  <si>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</si>
  <si>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</si>
  <si>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</si>
  <si>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</si>
  <si>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</si>
  <si>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</si>
  <si>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</si>
  <si>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</si>
  <si>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</si>
  <si>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</si>
  <si>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</si>
  <si>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</si>
  <si>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</si>
  <si>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</si>
  <si>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</si>
  <si>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</si>
  <si>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</si>
  <si>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</si>
  <si>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</si>
  <si>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</si>
  <si>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</si>
  <si>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</si>
  <si>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</si>
  <si>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</si>
  <si>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</si>
  <si>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</si>
  <si>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</si>
  <si>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</si>
  <si>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</si>
  <si>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</si>
  <si>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</si>
  <si>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</si>
  <si>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</si>
  <si>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</si>
  <si>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</si>
  <si>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</si>
  <si>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</si>
  <si>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</si>
  <si>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</si>
  <si>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</si>
  <si>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</si>
  <si>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</si>
  <si>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</si>
  <si>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</si>
  <si>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</si>
  <si>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</si>
  <si>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</si>
  <si>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</si>
  <si>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</si>
  <si>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</si>
  <si>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</si>
  <si>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</si>
  <si>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</si>
  <si>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</si>
  <si>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</si>
  <si>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</si>
  <si>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</si>
  <si>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</si>
  <si>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</si>
  <si>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</si>
  <si>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</si>
  <si>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</si>
  <si>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</si>
  <si>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</si>
  <si>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</si>
  <si>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</si>
  <si>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</si>
  <si>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</si>
  <si>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</si>
  <si>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</si>
  <si>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</si>
  <si>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</si>
  <si>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</si>
  <si>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</si>
  <si>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</si>
  <si>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</si>
  <si>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</si>
  <si>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</si>
  <si>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</si>
  <si>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</si>
  <si>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</si>
  <si>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</si>
  <si>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</si>
  <si>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</si>
  <si>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</si>
  <si>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</si>
  <si>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</si>
  <si>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</si>
  <si>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</si>
  <si>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</si>
  <si>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</si>
  <si>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</si>
  <si>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</si>
  <si>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</si>
  <si>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</si>
  <si>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</si>
  <si>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</si>
  <si>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</si>
  <si>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</si>
  <si>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</si>
  <si>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</si>
  <si>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</si>
  <si>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</si>
  <si>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</si>
  <si>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</si>
  <si>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</si>
  <si>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</si>
  <si>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</si>
  <si>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</si>
  <si>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</si>
  <si>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</si>
  <si>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</si>
  <si>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</si>
  <si>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</si>
  <si>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</si>
  <si>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</si>
  <si>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</si>
  <si>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</si>
  <si>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</si>
  <si>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</si>
  <si>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</si>
  <si>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</si>
  <si>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</si>
  <si>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</si>
  <si>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</si>
  <si>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</si>
  <si>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</si>
  <si>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</si>
  <si>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</si>
  <si>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</si>
  <si>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</si>
  <si>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</si>
  <si>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</si>
  <si>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</si>
  <si>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</si>
  <si>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</si>
  <si>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</si>
  <si>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</si>
  <si>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</si>
  <si>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</si>
  <si>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</si>
  <si>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</si>
  <si>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</si>
  <si>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</si>
  <si>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</si>
  <si>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</si>
  <si>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</si>
  <si>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</si>
  <si>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</si>
  <si>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</si>
  <si>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</si>
  <si>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</si>
  <si>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</si>
  <si>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</si>
  <si>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</si>
  <si>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</si>
  <si>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</si>
  <si>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</si>
  <si>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</si>
  <si>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</si>
  <si>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</si>
  <si>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</si>
  <si>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</si>
  <si>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</si>
  <si>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</si>
  <si>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</si>
  <si>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</si>
  <si>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</si>
  <si>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</si>
  <si>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</si>
  <si>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</si>
  <si>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</si>
  <si>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</si>
  <si>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</si>
  <si>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</si>
  <si>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</si>
  <si>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</si>
  <si>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</si>
  <si>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</si>
  <si>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</si>
  <si>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</si>
  <si>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</si>
  <si>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</si>
  <si>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</si>
  <si>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</si>
  <si>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</si>
  <si>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</si>
  <si>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</si>
  <si>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</si>
  <si>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</si>
  <si>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</si>
  <si>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</si>
  <si>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</si>
  <si>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</si>
  <si>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</si>
  <si>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</si>
  <si>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</si>
  <si>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</si>
  <si>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</si>
  <si>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</si>
  <si>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</si>
  <si>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</si>
  <si>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</si>
  <si>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</si>
  <si>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</si>
  <si>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</si>
  <si>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</si>
  <si>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</si>
  <si>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</si>
  <si>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</si>
  <si>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</si>
  <si>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</si>
  <si>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</si>
  <si>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</si>
  <si>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</si>
  <si>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</si>
  <si>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</si>
  <si>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</si>
  <si>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</si>
  <si>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</si>
  <si>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</si>
  <si>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</si>
  <si>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</si>
  <si>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</si>
  <si>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</si>
  <si>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</si>
  <si>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</si>
  <si>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</si>
  <si>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</si>
  <si>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</si>
  <si>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</si>
  <si>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</si>
  <si>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</si>
  <si>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</si>
  <si>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</si>
  <si>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</si>
  <si>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</si>
  <si>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</si>
  <si>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</si>
  <si>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</si>
  <si>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</si>
  <si>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</si>
  <si>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</si>
  <si>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</si>
  <si>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</si>
  <si>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</si>
  <si>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</si>
  <si>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</si>
  <si>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</si>
  <si>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</si>
  <si>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</si>
  <si>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</si>
  <si>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</si>
  <si>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</si>
  <si>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</si>
  <si>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</si>
  <si>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</si>
  <si>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</si>
  <si>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</si>
  <si>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</si>
  <si>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</si>
  <si>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</si>
  <si>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</si>
  <si>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</si>
  <si>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</si>
  <si>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</si>
  <si>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</si>
  <si>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</si>
  <si>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</si>
  <si>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</si>
  <si>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</si>
  <si>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</si>
  <si>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</si>
  <si>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</si>
  <si>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</si>
  <si>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</si>
  <si>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</si>
  <si>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</si>
  <si>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</si>
  <si>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</si>
  <si>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</si>
  <si>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</si>
  <si>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</si>
  <si>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</si>
  <si>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</si>
  <si>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</si>
  <si>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</si>
  <si>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</si>
  <si>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</si>
  <si>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</si>
  <si>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</si>
  <si>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</si>
  <si>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</si>
  <si>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</si>
  <si>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</si>
  <si>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</si>
  <si>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</si>
  <si>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</si>
  <si>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</si>
  <si>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</si>
  <si>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</si>
  <si>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</si>
  <si>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</si>
  <si>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</si>
  <si>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</si>
  <si>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</si>
  <si>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</si>
  <si>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</si>
  <si>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</si>
  <si>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</si>
  <si>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</si>
  <si>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</si>
  <si>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</si>
  <si>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</si>
  <si>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</si>
  <si>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</si>
  <si>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</si>
  <si>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</si>
  <si>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</si>
  <si>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</si>
  <si>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</si>
  <si>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</si>
  <si>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</si>
  <si>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</si>
  <si>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</si>
  <si>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</si>
  <si>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</si>
  <si>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</si>
  <si>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</si>
  <si>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</si>
  <si>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</si>
  <si>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</si>
  <si>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</si>
  <si>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</si>
  <si>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</si>
  <si>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</si>
  <si>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</si>
  <si>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</si>
  <si>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</si>
  <si>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</si>
  <si>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</si>
  <si>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</si>
  <si>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</si>
  <si>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</si>
  <si>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</si>
  <si>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</si>
  <si>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</si>
  <si>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</si>
  <si>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</si>
  <si>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</si>
  <si>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</si>
  <si>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</si>
  <si>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</si>
  <si>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</si>
  <si>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</si>
  <si>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</si>
  <si>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</si>
  <si>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</si>
  <si>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</si>
  <si>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</si>
  <si>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</si>
  <si>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</si>
  <si>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</si>
  <si>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</si>
  <si>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</si>
  <si>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</si>
  <si>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</si>
  <si>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</si>
  <si>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</si>
  <si>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</si>
  <si>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</si>
  <si>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</si>
  <si>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</si>
  <si>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</si>
  <si>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</si>
  <si>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</si>
  <si>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</si>
  <si>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</si>
  <si>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</si>
  <si>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</si>
  <si>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</si>
  <si>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</si>
  <si>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</si>
  <si>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</si>
  <si>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</si>
  <si>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</si>
  <si>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</si>
  <si>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</si>
  <si>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</si>
  <si>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</si>
  <si>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</si>
  <si>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</si>
  <si>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</si>
  <si>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</si>
  <si>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</si>
  <si>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</si>
  <si>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</si>
  <si>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</si>
  <si>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</si>
  <si>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</si>
  <si>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</si>
  <si>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</si>
  <si>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</si>
  <si>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</si>
  <si>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</si>
  <si>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</si>
  <si>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</si>
  <si>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</si>
  <si>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</si>
  <si>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</si>
  <si>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</si>
  <si>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</si>
  <si>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</si>
  <si>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</si>
  <si>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</si>
  <si>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</si>
  <si>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</si>
  <si>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</si>
  <si>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</si>
  <si>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</si>
  <si>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</si>
  <si>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</si>
  <si>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</si>
  <si>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</si>
  <si>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</si>
  <si>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</si>
  <si>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</si>
  <si>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</si>
  <si>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</si>
  <si>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</si>
  <si>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</si>
  <si>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</si>
  <si>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</si>
  <si>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</si>
  <si>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</si>
  <si>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</si>
  <si>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</si>
  <si>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</si>
  <si>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</si>
  <si>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</si>
  <si>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</si>
  <si>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</si>
  <si>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</si>
  <si>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</si>
  <si>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</si>
  <si>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</si>
  <si>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</si>
  <si>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</si>
  <si>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</si>
  <si>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</si>
  <si>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</si>
  <si>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</si>
  <si>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</si>
  <si>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</si>
  <si>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</si>
  <si>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</si>
  <si>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</si>
  <si>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</si>
  <si>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</si>
  <si>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</si>
  <si>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</si>
  <si>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</si>
  <si>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</si>
  <si>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</si>
  <si>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</si>
  <si>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</si>
  <si>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</si>
  <si>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</si>
  <si>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</si>
  <si>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</si>
  <si>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</si>
  <si>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</si>
  <si>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</si>
  <si>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</si>
  <si>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</si>
  <si>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</si>
  <si>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</si>
  <si>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</si>
  <si>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</si>
  <si>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</si>
  <si>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</si>
  <si>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</si>
  <si>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</si>
  <si>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</si>
  <si>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</si>
  <si>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</si>
  <si>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</si>
  <si>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</si>
  <si>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</si>
  <si>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</si>
  <si>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</si>
  <si>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</si>
  <si>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</si>
  <si>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</si>
  <si>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</si>
  <si>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</si>
  <si>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</si>
  <si>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</si>
  <si>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</si>
  <si>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</si>
  <si>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</si>
  <si>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</si>
  <si>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</si>
  <si>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</si>
  <si>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</si>
  <si>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</si>
  <si>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</si>
  <si>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</si>
  <si>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</si>
  <si>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</si>
  <si>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</si>
  <si>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</si>
  <si>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</si>
  <si>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</si>
  <si>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</si>
  <si>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</si>
  <si>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</si>
  <si>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</si>
  <si>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</si>
  <si>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</si>
  <si>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</si>
  <si>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</si>
  <si>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</si>
  <si>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</si>
  <si>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</si>
  <si>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</si>
  <si>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</si>
  <si>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</si>
  <si>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</si>
  <si>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</si>
  <si>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</si>
  <si>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</si>
  <si>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</si>
  <si>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</si>
  <si>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</si>
  <si>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</si>
  <si>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</si>
  <si>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</si>
  <si>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</si>
  <si>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</si>
  <si>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</si>
  <si>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</si>
  <si>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</si>
  <si>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</si>
  <si>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</si>
  <si>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</si>
  <si>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</si>
  <si>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</si>
  <si>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</si>
  <si>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</si>
  <si>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</si>
  <si>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</si>
  <si>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</si>
  <si>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</si>
  <si>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</si>
  <si>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</si>
  <si>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</si>
  <si>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</si>
  <si>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</si>
  <si>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</si>
  <si>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</si>
  <si>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</si>
  <si>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</si>
  <si>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</si>
  <si>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</si>
  <si>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</si>
  <si>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</si>
  <si>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</si>
  <si>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</si>
  <si>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</si>
  <si>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</si>
  <si>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</si>
  <si>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</si>
  <si>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</si>
  <si>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</si>
  <si>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</si>
  <si>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</si>
  <si>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</si>
  <si>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</si>
  <si>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</si>
  <si>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</si>
  <si>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</si>
  <si>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</si>
  <si>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</si>
  <si>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</si>
  <si>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</si>
  <si>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</si>
  <si>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</si>
  <si>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</si>
  <si>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</si>
  <si>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</si>
  <si>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</si>
  <si>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</si>
  <si>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</si>
  <si>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</si>
  <si>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</si>
  <si>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</si>
  <si>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</si>
  <si>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</si>
  <si>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</si>
  <si>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</si>
  <si>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</si>
  <si>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</si>
  <si>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</si>
  <si>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</si>
  <si>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</si>
  <si>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</si>
  <si>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</si>
  <si>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</si>
  <si>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</si>
  <si>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</si>
  <si>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</si>
  <si>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</si>
  <si>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</si>
  <si>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</si>
  <si>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</si>
  <si>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</si>
  <si>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</si>
  <si>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</si>
  <si>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</si>
  <si>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</si>
  <si>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</si>
  <si>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</si>
  <si>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</si>
  <si>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</si>
  <si>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</si>
  <si>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</si>
  <si>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</si>
  <si>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</si>
  <si>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</si>
  <si>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</si>
  <si>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</si>
  <si>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</si>
  <si>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</si>
  <si>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</si>
  <si>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</si>
  <si>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</si>
  <si>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</si>
  <si>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</si>
  <si>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</si>
  <si>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</si>
  <si>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</si>
  <si>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</si>
  <si>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</si>
  <si>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</si>
  <si>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</si>
  <si>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</si>
  <si>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</si>
  <si>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</si>
  <si>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</si>
  <si>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</si>
  <si>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</si>
  <si>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</si>
  <si>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</si>
  <si>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</si>
  <si>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</si>
  <si>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</si>
  <si>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</si>
  <si>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</si>
  <si>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</si>
  <si>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</si>
  <si>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</si>
  <si>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</si>
  <si>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</si>
  <si>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</si>
  <si>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</si>
  <si>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</si>
  <si>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</si>
  <si>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</si>
  <si>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</si>
  <si>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</si>
  <si>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</si>
  <si>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</si>
  <si>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</si>
  <si>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</si>
  <si>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</si>
  <si>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</si>
  <si>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</si>
  <si>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</si>
  <si>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</si>
  <si>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</si>
  <si>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</si>
  <si>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</si>
  <si>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</si>
  <si>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</si>
  <si>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</si>
  <si>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</si>
  <si>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</si>
  <si>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</si>
  <si>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</si>
  <si>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</si>
  <si>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</si>
  <si>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</si>
  <si>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</si>
  <si>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</si>
  <si>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</si>
  <si>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</si>
  <si>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</si>
  <si>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</si>
  <si>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</si>
  <si>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</si>
  <si>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</si>
  <si>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</si>
  <si>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</si>
  <si>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</si>
  <si>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</si>
  <si>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</si>
  <si>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</si>
  <si>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</si>
  <si>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</si>
  <si>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</si>
  <si>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</si>
  <si>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</si>
  <si>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</si>
  <si>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</si>
  <si>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</si>
  <si>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</si>
  <si>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</si>
  <si>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</si>
  <si>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</si>
  <si>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</si>
  <si>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</si>
  <si>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</si>
  <si>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</si>
  <si>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</si>
  <si>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</si>
  <si>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</si>
  <si>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</si>
  <si>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</si>
  <si>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</si>
  <si>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</si>
  <si>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</si>
  <si>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</si>
  <si>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</si>
  <si>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</si>
  <si>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</si>
  <si>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</si>
  <si>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</si>
  <si>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</si>
  <si>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</si>
  <si>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</si>
  <si>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</si>
  <si>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</si>
  <si>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</si>
  <si>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</si>
  <si>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</si>
  <si>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</si>
  <si>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</si>
  <si>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</si>
  <si>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</si>
  <si>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</si>
  <si>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</si>
  <si>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</si>
  <si>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</si>
  <si>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</si>
  <si>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</si>
  <si>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</si>
  <si>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</si>
  <si>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</si>
  <si>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</si>
  <si>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</si>
  <si>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</si>
  <si>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</si>
  <si>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</si>
  <si>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</si>
  <si>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</si>
  <si>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</si>
  <si>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</si>
  <si>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</si>
  <si>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</si>
  <si>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</si>
  <si>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</si>
  <si>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</si>
  <si>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</si>
  <si>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</si>
  <si>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</si>
  <si>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</si>
  <si>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</si>
  <si>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</si>
  <si>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</si>
  <si>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</si>
  <si>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</si>
  <si>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</si>
  <si>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</si>
  <si>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</si>
  <si>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</si>
  <si>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</si>
  <si>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</si>
  <si>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</si>
  <si>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</si>
  <si>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</si>
  <si>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</si>
  <si>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</si>
  <si>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</si>
  <si>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</si>
  <si>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</si>
  <si>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</si>
  <si>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</si>
  <si>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</si>
  <si>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</si>
  <si>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</si>
  <si>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</si>
  <si>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</si>
  <si>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</si>
  <si>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</si>
  <si>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</si>
  <si>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</si>
  <si>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</si>
  <si>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</si>
  <si>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</si>
  <si>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</si>
  <si>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</si>
  <si>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</si>
  <si>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</si>
  <si>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</si>
  <si>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</si>
  <si>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</si>
  <si>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</si>
  <si>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</si>
  <si>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</si>
  <si>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</si>
  <si>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</si>
  <si>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</si>
  <si>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</si>
  <si>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</si>
  <si>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</si>
  <si>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</si>
  <si>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</si>
  <si>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</si>
  <si>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</si>
  <si>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</si>
  <si>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</si>
  <si>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</si>
  <si>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</si>
  <si>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</si>
  <si>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</si>
  <si>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</si>
  <si>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</si>
  <si>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</si>
  <si>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</si>
  <si>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</si>
  <si>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</si>
  <si>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</si>
  <si>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</si>
  <si>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</si>
  <si>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</si>
  <si>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</si>
  <si>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</si>
  <si>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</si>
  <si>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</si>
  <si>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</si>
  <si>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</si>
  <si>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</si>
  <si>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</si>
  <si>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</si>
  <si>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</si>
  <si>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</si>
  <si>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</si>
  <si>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</si>
  <si>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</si>
  <si>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</si>
  <si>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</si>
  <si>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</si>
  <si>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</si>
  <si>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</si>
  <si>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</si>
  <si>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</si>
  <si>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</si>
  <si>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</si>
  <si>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</si>
  <si>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</si>
  <si>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</si>
  <si>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</si>
  <si>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</si>
  <si>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</si>
  <si>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</si>
  <si>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</si>
  <si>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</si>
  <si>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</si>
  <si>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</si>
  <si>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</si>
  <si>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</si>
  <si>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</si>
  <si>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</si>
  <si>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</si>
  <si>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</si>
  <si>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</si>
  <si>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</si>
  <si>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</si>
  <si>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</si>
  <si>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</si>
  <si>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</si>
  <si>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</si>
  <si>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</si>
  <si>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</si>
  <si>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</si>
  <si>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</si>
  <si>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</si>
  <si>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</si>
  <si>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</si>
  <si>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</si>
  <si>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</si>
  <si>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</si>
  <si>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</si>
  <si>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</si>
  <si>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</si>
  <si>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</si>
  <si>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</si>
  <si>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</si>
  <si>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</si>
  <si>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</si>
  <si>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</si>
  <si>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</si>
  <si>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</si>
  <si>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</si>
  <si>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</si>
  <si>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</si>
  <si>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</si>
  <si>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</si>
  <si>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</si>
  <si>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</si>
  <si>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</si>
  <si>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</si>
  <si>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</si>
  <si>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</si>
  <si>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</si>
  <si>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</si>
  <si>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</si>
  <si>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</si>
  <si>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</si>
  <si>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</si>
  <si>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</si>
  <si>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</si>
  <si>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</si>
  <si>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</si>
  <si>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</si>
  <si>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</si>
  <si>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</si>
  <si>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</si>
  <si>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</si>
  <si>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</si>
  <si>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</si>
  <si>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</si>
  <si>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</si>
  <si>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</si>
  <si>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</si>
  <si>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</si>
  <si>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</si>
  <si>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</si>
  <si>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</si>
  <si>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</si>
  <si>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</si>
  <si>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</si>
  <si>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</si>
  <si>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</si>
  <si>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</si>
  <si>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</si>
  <si>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</si>
  <si>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</si>
  <si>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</si>
  <si>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</si>
  <si>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</si>
  <si>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</si>
  <si>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</si>
  <si>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</si>
  <si>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</si>
  <si>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</si>
  <si>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</si>
  <si>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</si>
  <si>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</si>
  <si>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</si>
  <si>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</si>
  <si>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</si>
  <si>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</si>
  <si>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</si>
  <si>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</si>
  <si>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</si>
  <si>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</si>
  <si>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</si>
  <si>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</si>
  <si>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</si>
  <si>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</si>
  <si>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</si>
  <si>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</si>
  <si>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</si>
  <si>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</si>
  <si>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</si>
  <si>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</si>
  <si>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</si>
  <si>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</si>
  <si>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</si>
  <si>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</si>
  <si>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</si>
  <si>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</si>
  <si>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</si>
  <si>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</si>
  <si>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</si>
  <si>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</si>
  <si>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</si>
  <si>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</si>
  <si>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</si>
  <si>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</si>
  <si>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</si>
  <si>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</si>
  <si>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</si>
  <si>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</si>
  <si>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</si>
  <si>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</si>
  <si>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</si>
  <si>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</si>
  <si>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</si>
  <si>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</si>
  <si>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</si>
  <si>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</si>
  <si>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</si>
  <si>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</si>
  <si>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</si>
  <si>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</si>
  <si>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</si>
  <si>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</si>
  <si>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</si>
  <si>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</si>
  <si>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</si>
  <si>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</si>
  <si>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</si>
  <si>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</si>
  <si>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</si>
  <si>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</si>
  <si>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</si>
  <si>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</si>
  <si>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</si>
  <si>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</si>
  <si>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</si>
  <si>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</si>
  <si>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</si>
  <si>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</si>
  <si>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</si>
  <si>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</si>
  <si>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</si>
  <si>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</si>
  <si>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</si>
  <si>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</si>
  <si>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</si>
  <si>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</si>
  <si>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</si>
  <si>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</si>
  <si>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</si>
  <si>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</si>
  <si>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</si>
  <si>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</si>
  <si>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</si>
  <si>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</si>
  <si>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</si>
  <si>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</si>
  <si>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</si>
  <si>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</si>
  <si>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</si>
  <si>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</si>
  <si>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</si>
  <si>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</si>
  <si>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</si>
  <si>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</si>
  <si>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</si>
  <si>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</si>
  <si>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</si>
  <si>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</si>
  <si>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</si>
  <si>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</si>
  <si>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</si>
  <si>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</si>
  <si>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</si>
  <si>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</si>
  <si>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</si>
  <si>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</si>
  <si>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</si>
  <si>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</si>
  <si>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</si>
  <si>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</si>
  <si>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</si>
  <si>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</si>
  <si>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</si>
  <si>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</si>
  <si>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</si>
  <si>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</si>
  <si>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</si>
  <si>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</si>
  <si>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</si>
  <si>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</si>
  <si>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</si>
  <si>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</si>
  <si>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</si>
  <si>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</si>
  <si>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</si>
  <si>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</si>
  <si>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</si>
  <si>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</si>
  <si>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</si>
  <si>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</si>
  <si>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</si>
  <si>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</si>
  <si>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</si>
  <si>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</si>
  <si>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</si>
  <si>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</si>
  <si>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</si>
  <si>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</si>
  <si>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</si>
  <si>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</si>
  <si>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</si>
  <si>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</si>
  <si>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</si>
  <si>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</si>
  <si>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</si>
  <si>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</si>
  <si>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</si>
  <si>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</si>
  <si>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</si>
  <si>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</si>
  <si>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</si>
  <si>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</si>
  <si>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</si>
  <si>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</si>
  <si>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</si>
  <si>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</si>
  <si>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</si>
  <si>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</si>
  <si>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</si>
  <si>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</si>
  <si>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</si>
  <si>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</si>
  <si>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</si>
  <si>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</si>
  <si>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</si>
  <si>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</si>
  <si>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</si>
  <si>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</si>
  <si>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</si>
  <si>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</si>
  <si>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</si>
  <si>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</si>
  <si>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</si>
  <si>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</si>
  <si>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</si>
  <si>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</si>
  <si>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</si>
  <si>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</si>
  <si>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</si>
  <si>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</si>
  <si>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</si>
  <si>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</si>
  <si>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</si>
  <si>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</si>
  <si>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</si>
  <si>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</si>
  <si>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</si>
  <si>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</si>
  <si>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</si>
  <si>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</si>
  <si>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</si>
  <si>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</si>
  <si>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</si>
  <si>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</si>
  <si>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</si>
  <si>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</si>
  <si>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</si>
  <si>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</si>
  <si>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</si>
  <si>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</si>
  <si>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</si>
  <si>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</si>
  <si>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</si>
  <si>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</si>
  <si>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</si>
  <si>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</si>
  <si>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</si>
  <si>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</si>
  <si>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</si>
  <si>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</si>
  <si>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</si>
  <si>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</si>
  <si>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</si>
  <si>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</si>
  <si>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</si>
  <si>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</si>
  <si>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</si>
  <si>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</si>
  <si>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</si>
  <si>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</si>
  <si>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</si>
  <si>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</si>
  <si>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</si>
  <si>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</si>
  <si>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</si>
  <si>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</si>
  <si>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</si>
  <si>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</si>
  <si>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</si>
  <si>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</si>
  <si>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</si>
  <si>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</si>
  <si>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</si>
  <si>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</si>
  <si>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</si>
  <si>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</si>
  <si>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</si>
  <si>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</si>
  <si>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</si>
  <si>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</si>
  <si>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</si>
  <si>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</si>
  <si>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</si>
  <si>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</si>
  <si>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</si>
  <si>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</si>
  <si>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</si>
  <si>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</si>
  <si>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</si>
  <si>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</si>
  <si>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</si>
  <si>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</si>
  <si>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</si>
  <si>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</si>
  <si>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</si>
  <si>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</si>
  <si>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</si>
  <si>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</si>
  <si>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</si>
  <si>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</si>
  <si>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</si>
  <si>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</si>
  <si>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</si>
  <si>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</si>
  <si>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</si>
  <si>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</si>
  <si>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</si>
  <si>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</si>
  <si>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</si>
  <si>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</si>
  <si>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</si>
  <si>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</si>
  <si>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</si>
  <si>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</si>
  <si>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</si>
  <si>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</si>
  <si>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</si>
  <si>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</si>
  <si>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</si>
  <si>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</si>
  <si>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</si>
  <si>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</si>
  <si>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</si>
  <si>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</si>
  <si>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</si>
  <si>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</si>
  <si>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</si>
  <si>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</si>
  <si>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</si>
  <si>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</si>
  <si>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</si>
  <si>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</si>
  <si>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</si>
  <si>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</si>
  <si>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</si>
  <si>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</si>
  <si>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</si>
  <si>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</si>
  <si>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</si>
  <si>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</si>
  <si>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</si>
  <si>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</si>
  <si>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</si>
  <si>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</si>
  <si>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</si>
  <si>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</si>
  <si>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</si>
  <si>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</si>
  <si>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</si>
  <si>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</si>
  <si>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</si>
  <si>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</si>
  <si>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</si>
  <si>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</si>
  <si>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</si>
  <si>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</si>
  <si>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</si>
  <si>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</si>
  <si>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</si>
  <si>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</si>
  <si>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</si>
  <si>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</si>
  <si>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</si>
  <si>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</si>
  <si>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</si>
  <si>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</si>
  <si>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</si>
  <si>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</si>
  <si>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</si>
  <si>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</si>
  <si>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</si>
  <si>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</si>
  <si>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</si>
  <si>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</si>
  <si>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</si>
  <si>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</si>
  <si>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</si>
  <si>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</si>
  <si>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</si>
  <si>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</si>
  <si>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</si>
  <si>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</si>
  <si>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</si>
  <si>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</si>
  <si>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</si>
  <si>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</si>
  <si>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</si>
  <si>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</si>
  <si>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</si>
  <si>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</si>
  <si>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</si>
  <si>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</si>
  <si>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</si>
  <si>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</si>
  <si>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</si>
  <si>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</si>
  <si>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</si>
  <si>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</si>
  <si>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</si>
  <si>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</si>
  <si>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</si>
  <si>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</si>
  <si>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</si>
  <si>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</si>
  <si>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</si>
  <si>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</si>
  <si>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</si>
  <si>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</si>
  <si>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</si>
  <si>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</si>
  <si>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</si>
  <si>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</si>
  <si>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</si>
  <si>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</si>
  <si>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</si>
  <si>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</si>
  <si>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</si>
  <si>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</si>
  <si>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</si>
  <si>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</si>
  <si>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</si>
  <si>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</si>
  <si>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</si>
  <si>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</si>
  <si>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</si>
  <si>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</si>
  <si>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</si>
  <si>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</si>
  <si>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</si>
  <si>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</si>
  <si>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</si>
  <si>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</si>
  <si>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</si>
  <si>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</si>
  <si>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</si>
  <si>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</si>
  <si>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</si>
  <si>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</si>
  <si>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</si>
  <si>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</si>
  <si>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</si>
  <si>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</si>
  <si>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</si>
  <si>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</si>
  <si>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</si>
  <si>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</si>
  <si>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</si>
  <si>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</si>
  <si>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</si>
  <si>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</si>
  <si>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</si>
  <si>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</si>
  <si>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</si>
  <si>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</si>
  <si>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</si>
  <si>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</si>
  <si>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</si>
  <si>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</si>
  <si>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</si>
  <si>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</si>
  <si>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</si>
  <si>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</si>
  <si>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</si>
  <si>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</si>
  <si>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</si>
  <si>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</si>
  <si>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</si>
  <si>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</si>
  <si>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</si>
  <si>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</si>
  <si>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</si>
  <si>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</si>
  <si>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</si>
  <si>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</si>
  <si>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</si>
  <si>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</si>
  <si>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</si>
  <si>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</si>
  <si>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</si>
  <si>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</si>
  <si>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</si>
  <si>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</si>
  <si>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</si>
  <si>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</si>
  <si>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</si>
  <si>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</si>
  <si>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</si>
  <si>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</si>
  <si>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</si>
  <si>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</si>
  <si>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</si>
  <si>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</si>
  <si>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</si>
  <si>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</si>
  <si>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</si>
  <si>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</si>
  <si>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</si>
  <si>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</si>
  <si>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</si>
  <si>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</si>
  <si>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</si>
  <si>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</si>
  <si>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</si>
  <si>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</si>
  <si>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</si>
  <si>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</si>
  <si>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</si>
  <si>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</si>
  <si>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</si>
  <si>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</si>
  <si>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</si>
  <si>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</si>
  <si>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</si>
  <si>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</si>
  <si>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</si>
  <si>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</si>
  <si>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</si>
  <si>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</si>
  <si>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</si>
  <si>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</si>
  <si>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</si>
  <si>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</si>
  <si>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</si>
  <si>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</si>
  <si>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</si>
  <si>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</si>
  <si>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</si>
  <si>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</si>
  <si>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</si>
  <si>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</si>
  <si>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</si>
  <si>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</si>
  <si>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</si>
  <si>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</si>
  <si>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</si>
  <si>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</si>
  <si>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</si>
  <si>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</si>
  <si>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</si>
  <si>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</si>
  <si>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</si>
  <si>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</si>
  <si>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</si>
  <si>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</si>
  <si>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</si>
  <si>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</si>
  <si>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</si>
  <si>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</si>
  <si>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</si>
  <si>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</si>
  <si>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</si>
  <si>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</si>
  <si>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</si>
  <si>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</si>
  <si>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</si>
  <si>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</si>
  <si>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</si>
  <si>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</si>
  <si>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</si>
  <si>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</si>
  <si>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</si>
  <si>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</si>
  <si>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</si>
  <si>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</si>
  <si>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</si>
  <si>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</si>
  <si>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</si>
  <si>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</si>
  <si>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</si>
  <si>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</si>
  <si>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</si>
  <si>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</si>
  <si>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</si>
  <si>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</si>
  <si>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</si>
  <si>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</si>
  <si>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</si>
  <si>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</si>
  <si>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</si>
  <si>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</si>
  <si>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</si>
  <si>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</si>
  <si>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</si>
  <si>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</si>
  <si>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</si>
  <si>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</si>
  <si>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</si>
  <si>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</si>
  <si>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</si>
  <si>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</si>
  <si>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</si>
  <si>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</si>
  <si>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</si>
  <si>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</si>
  <si>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</si>
  <si>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</si>
  <si>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</si>
  <si>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</si>
  <si>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</si>
  <si>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</si>
  <si>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</si>
  <si>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</si>
  <si>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</si>
  <si>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</si>
  <si>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</si>
  <si>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</si>
  <si>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</si>
  <si>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</si>
  <si>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</si>
  <si>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</si>
  <si>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</si>
  <si>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</si>
  <si>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</si>
  <si>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</si>
  <si>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</si>
  <si>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</si>
  <si>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</si>
  <si>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</si>
  <si>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</si>
  <si>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</si>
  <si>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</si>
  <si>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</si>
  <si>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</si>
  <si>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</si>
  <si>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</si>
  <si>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</si>
  <si>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</si>
  <si>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</si>
  <si>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</si>
  <si>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</si>
  <si>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</si>
  <si>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</si>
  <si>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</si>
  <si>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</si>
  <si>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</si>
  <si>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</si>
  <si>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</si>
  <si>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</si>
  <si>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</si>
  <si>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</si>
  <si>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</si>
  <si>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</si>
  <si>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</si>
  <si>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</si>
  <si>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</si>
  <si>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</si>
  <si>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</si>
  <si>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</si>
  <si>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</si>
  <si>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</si>
  <si>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</si>
  <si>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</si>
  <si>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</si>
  <si>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</si>
  <si>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</si>
  <si>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</si>
  <si>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</si>
  <si>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</si>
  <si>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</si>
  <si>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</si>
  <si>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</si>
  <si>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</si>
  <si>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</si>
  <si>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</si>
  <si>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</si>
  <si>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</si>
  <si>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</si>
  <si>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</si>
  <si>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</si>
  <si>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</si>
  <si>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</si>
  <si>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</si>
  <si>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</si>
  <si>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</si>
  <si>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</si>
  <si>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</si>
  <si>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</si>
  <si>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</si>
  <si>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</si>
  <si>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</si>
  <si>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</si>
  <si>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</si>
  <si>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</si>
  <si>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</si>
  <si>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</si>
  <si>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</si>
  <si>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</si>
  <si>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</si>
  <si>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</si>
  <si>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</si>
  <si>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</si>
  <si>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</si>
  <si>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</si>
  <si>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</si>
  <si>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</si>
  <si>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</si>
  <si>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</si>
  <si>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</si>
  <si>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</si>
  <si>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</si>
  <si>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</si>
  <si>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</si>
  <si>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</si>
  <si>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</si>
  <si>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</si>
  <si>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</si>
  <si>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</si>
  <si>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</si>
  <si>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</si>
  <si>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</si>
  <si>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</si>
  <si>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</si>
  <si>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</si>
  <si>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</si>
  <si>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</si>
  <si>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</si>
  <si>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</si>
  <si>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</si>
  <si>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</si>
  <si>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</si>
  <si>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</si>
  <si>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</si>
  <si>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</si>
  <si>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</si>
  <si>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</si>
  <si>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</si>
  <si>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</si>
  <si>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</si>
  <si>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</si>
  <si>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</si>
  <si>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</si>
  <si>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</si>
  <si>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</si>
  <si>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</si>
  <si>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</si>
  <si>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</si>
  <si>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</si>
  <si>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</si>
  <si>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</si>
  <si>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</si>
  <si>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</si>
  <si>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</si>
  <si>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</si>
  <si>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</si>
  <si>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</si>
  <si>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</si>
  <si>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</si>
  <si>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</si>
  <si>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</si>
  <si>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</si>
  <si>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</si>
  <si>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</si>
  <si>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</si>
  <si>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</si>
  <si>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</si>
  <si>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</si>
  <si>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</si>
  <si>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</si>
  <si>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</si>
  <si>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</si>
  <si>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</si>
  <si>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</si>
  <si>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</si>
  <si>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</si>
  <si>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</si>
  <si>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</si>
  <si>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</si>
  <si>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</si>
  <si>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</si>
  <si>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</si>
  <si>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</si>
  <si>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</si>
  <si>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</si>
  <si>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</si>
  <si>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</si>
  <si>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</si>
  <si>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</si>
  <si>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</si>
  <si>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</si>
  <si>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</si>
  <si>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</si>
  <si>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</si>
  <si>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</si>
  <si>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</si>
  <si>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</si>
  <si>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</si>
  <si>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</si>
  <si>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</si>
  <si>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</si>
  <si>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</si>
  <si>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</si>
  <si>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</si>
  <si>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</si>
  <si>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</si>
  <si>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</si>
  <si>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</si>
  <si>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</si>
  <si>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</si>
  <si>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</si>
  <si>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</si>
  <si>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</si>
  <si>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</si>
  <si>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</si>
  <si>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</si>
  <si>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</si>
  <si>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</si>
  <si>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</si>
  <si>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</si>
  <si>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</si>
  <si>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</si>
  <si>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</si>
  <si>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</si>
  <si>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</si>
  <si>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</si>
  <si>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</si>
  <si>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</si>
  <si>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</si>
  <si>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</si>
  <si>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</si>
  <si>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</si>
  <si>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</si>
  <si>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</si>
  <si>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</si>
  <si>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</si>
  <si>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</si>
  <si>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</si>
  <si>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</si>
  <si>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</si>
  <si>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</si>
  <si>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</si>
  <si>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</si>
  <si>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</si>
  <si>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</si>
  <si>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</si>
  <si>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</si>
  <si>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</si>
  <si>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</si>
  <si>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</si>
  <si>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</si>
  <si>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</si>
  <si>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</si>
  <si>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</si>
  <si>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</si>
  <si>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</si>
  <si>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</si>
  <si>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</si>
  <si>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</si>
  <si>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</si>
  <si>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</si>
  <si>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</si>
  <si>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</si>
  <si>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</si>
  <si>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</si>
  <si>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</si>
  <si>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</si>
  <si>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</si>
  <si>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</si>
  <si>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</si>
  <si>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</si>
  <si>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</si>
  <si>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</si>
  <si>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</si>
  <si>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</si>
  <si>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</si>
  <si>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</si>
  <si>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</si>
  <si>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</si>
  <si>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</si>
  <si>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</si>
  <si>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</si>
  <si>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</si>
  <si>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</si>
  <si>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</si>
  <si>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</si>
  <si>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</si>
  <si>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</si>
  <si>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</si>
  <si>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</si>
  <si>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</si>
  <si>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</si>
  <si>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</si>
  <si>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</si>
  <si>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</si>
  <si>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</si>
  <si>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</si>
  <si>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</si>
  <si>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</si>
  <si>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</si>
  <si>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</si>
  <si>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</si>
  <si>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</si>
  <si>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</si>
  <si>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</si>
  <si>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</si>
  <si>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</si>
  <si>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</si>
  <si>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</si>
  <si>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</si>
  <si>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</si>
  <si>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</si>
  <si>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</si>
  <si>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</si>
  <si>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</si>
  <si>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</si>
  <si>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</si>
  <si>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</si>
  <si>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</si>
  <si>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</si>
  <si>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</si>
  <si>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</si>
  <si>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</si>
  <si>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</si>
  <si>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</si>
  <si>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</si>
  <si>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</si>
  <si>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</si>
  <si>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</si>
  <si>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</si>
  <si>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</si>
  <si>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</si>
  <si>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</si>
  <si>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</si>
  <si>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</si>
  <si>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</si>
  <si>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</si>
  <si>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</si>
  <si>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</si>
  <si>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</si>
  <si>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</si>
  <si>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</si>
  <si>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</si>
  <si>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</si>
  <si>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</si>
  <si>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</si>
  <si>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</si>
  <si>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</si>
  <si>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</si>
  <si>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</si>
  <si>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</si>
  <si>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</si>
  <si>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</si>
  <si>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</si>
  <si>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</si>
  <si>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</si>
  <si>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</si>
  <si>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</si>
  <si>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</si>
  <si>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</si>
  <si>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</si>
  <si>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</si>
  <si>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</si>
  <si>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</si>
  <si>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</si>
  <si>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</si>
  <si>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</si>
  <si>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</si>
  <si>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</si>
  <si>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</si>
  <si>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</si>
  <si>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</si>
  <si>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</si>
  <si>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</si>
  <si>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</si>
  <si>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</si>
  <si>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</si>
  <si>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</si>
  <si>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</si>
  <si>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</si>
  <si>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</si>
  <si>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</si>
  <si>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</si>
  <si>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</si>
  <si>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</si>
  <si>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</si>
  <si>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</si>
  <si>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</si>
  <si>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</si>
  <si>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</si>
  <si>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</si>
  <si>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</si>
  <si>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</si>
  <si>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</si>
  <si>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</si>
  <si>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</si>
  <si>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</si>
  <si>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</si>
  <si>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</si>
  <si>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</si>
  <si>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</si>
  <si>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</si>
  <si>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</si>
  <si>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</si>
  <si>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</si>
  <si>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</si>
  <si>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</si>
  <si>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</si>
  <si>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</si>
  <si>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</si>
  <si>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</si>
  <si>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</si>
  <si>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</si>
  <si>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</si>
  <si>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</si>
  <si>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</si>
  <si>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</si>
  <si>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</si>
  <si>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</si>
  <si>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</si>
  <si>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</si>
  <si>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</si>
  <si>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</si>
  <si>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</si>
  <si>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</si>
  <si>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</si>
  <si>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</si>
  <si>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</si>
  <si>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</si>
  <si>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</si>
  <si>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</si>
  <si>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</si>
  <si>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</si>
  <si>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</si>
  <si>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</si>
  <si>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</si>
  <si>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</si>
  <si>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</si>
  <si>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</si>
  <si>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</si>
  <si>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</si>
  <si>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</si>
  <si>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</si>
  <si>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</si>
  <si>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</si>
  <si>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</si>
  <si>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</si>
  <si>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</si>
  <si>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</si>
  <si>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</si>
  <si>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</si>
  <si>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</si>
  <si>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</si>
  <si>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</si>
  <si>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</si>
  <si>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</si>
  <si>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</si>
  <si>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</si>
  <si>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</si>
  <si>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</si>
  <si>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</si>
  <si>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</si>
  <si>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</si>
  <si>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</si>
  <si>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</si>
  <si>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</si>
  <si>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</si>
  <si>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</si>
  <si>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</si>
  <si>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</si>
  <si>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</si>
  <si>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</si>
  <si>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</si>
  <si>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</si>
  <si>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</si>
  <si>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</si>
  <si>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</si>
  <si>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</si>
  <si>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</si>
  <si>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</si>
  <si>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</si>
  <si>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</si>
  <si>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</si>
  <si>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</si>
  <si>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</si>
  <si>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</si>
  <si>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</si>
  <si>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</si>
  <si>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</si>
  <si>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</si>
  <si>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</si>
  <si>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</si>
  <si>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</si>
  <si>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</si>
  <si>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</si>
  <si>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</si>
  <si>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</si>
  <si>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</si>
  <si>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</si>
  <si>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</si>
  <si>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</si>
  <si>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</si>
  <si>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</si>
  <si>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</si>
  <si>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</si>
  <si>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</si>
  <si>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</si>
  <si>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</si>
  <si>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</si>
  <si>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</si>
  <si>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</si>
  <si>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</si>
  <si>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</si>
  <si>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</si>
  <si>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</si>
  <si>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</si>
  <si>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</si>
  <si>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</si>
  <si>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</si>
  <si>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</si>
  <si>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</si>
  <si>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</si>
  <si>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</si>
  <si>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</si>
  <si>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</si>
  <si>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</si>
  <si>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</si>
  <si>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Renders itself invisible for 6 seconds. If you take any damage while cloaking, you appear. The first attack deals 300% damage and stuns for 2 seconds.</t>
  </si>
  <si>
    <t>Cloaks itself for 6 seconds. If you take any damage while cloaking, you will appear. The first attack deals 325% damage and stuns for 2 seconds.</t>
  </si>
  <si>
    <t>Cloaks itself for 6 seconds. If you take any damage while cloaking, you appear. The first attack deals 350% damage and stuns for 2 seconds.</t>
  </si>
  <si>
    <t>Becomes invisible for 6 seconds. If you take any damage while cloaking, you will appear. The first attack deals 375% damage and stuns for 2 seconds.</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</si>
  <si>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</si>
  <si>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</si>
  <si>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</si>
  <si>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</si>
  <si>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</si>
  <si>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</si>
  <si>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</si>
  <si>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</si>
  <si>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</si>
  <si>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</si>
  <si>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</si>
  <si>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</si>
  <si>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</si>
  <si>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</si>
  <si>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</si>
  <si>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</si>
  <si>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</si>
  <si>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</si>
  <si>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</si>
  <si>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</si>
  <si>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</si>
  <si>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</si>
  <si>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</si>
  <si>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</si>
  <si>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</si>
  <si>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</si>
  <si>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</si>
  <si>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</si>
  <si>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</si>
  <si>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</si>
  <si>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</si>
  <si>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</si>
  <si>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</si>
  <si>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</si>
  <si>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</si>
  <si>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</si>
  <si>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</si>
  <si>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</si>
  <si>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</si>
  <si>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</si>
  <si>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</si>
  <si>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</si>
  <si>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</si>
  <si>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</si>
  <si>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</si>
  <si>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</si>
  <si>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</si>
  <si>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</si>
  <si>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</si>
  <si>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</si>
  <si>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</si>
  <si>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</si>
  <si>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</si>
  <si>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</si>
  <si>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</si>
  <si>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</si>
  <si>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</si>
  <si>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</si>
  <si>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</si>
  <si>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</si>
  <si>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</si>
  <si>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</si>
  <si>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</si>
  <si>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</si>
  <si>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</si>
  <si>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</si>
  <si>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</si>
  <si>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</si>
  <si>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</si>
  <si>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</si>
  <si>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</si>
  <si>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</si>
  <si>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</si>
  <si>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</si>
  <si>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</si>
  <si>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</si>
  <si>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</si>
  <si>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</si>
  <si>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</si>
  <si>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</si>
  <si>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</si>
  <si>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</si>
  <si>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</si>
  <si>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</si>
  <si>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</si>
  <si>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</si>
  <si>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</si>
  <si>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</si>
  <si>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</si>
  <si>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</si>
  <si>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</si>
  <si>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</si>
  <si>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</si>
  <si>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</si>
  <si>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</si>
  <si>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</si>
  <si>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</si>
  <si>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</si>
  <si>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</si>
  <si>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</si>
  <si>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</si>
  <si>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</si>
  <si>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</si>
  <si>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</si>
  <si>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</si>
  <si>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</si>
  <si>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</si>
  <si>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</si>
  <si>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</si>
  <si>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</si>
  <si>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</si>
  <si>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</si>
  <si>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</si>
  <si>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</si>
  <si>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</si>
  <si>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</si>
  <si>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</si>
  <si>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</si>
  <si>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</si>
  <si>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</si>
  <si>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</si>
  <si>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</si>
  <si>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</si>
  <si>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</si>
  <si>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</si>
  <si>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</si>
  <si>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</si>
  <si>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</si>
  <si>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</si>
  <si>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</si>
  <si>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</si>
  <si>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</si>
  <si>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</si>
  <si>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</si>
  <si>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</si>
  <si>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</si>
  <si>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</si>
  <si>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</si>
  <si>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</si>
  <si>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</si>
  <si>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</si>
  <si>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</si>
  <si>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</si>
  <si>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</si>
  <si>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</si>
  <si>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</si>
  <si>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</si>
  <si>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</si>
  <si>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</si>
  <si>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</si>
  <si>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</si>
  <si>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</si>
  <si>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</si>
  <si>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</si>
  <si>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</si>
  <si>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</si>
  <si>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</si>
  <si>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</si>
  <si>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</si>
  <si>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</si>
  <si>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</si>
  <si>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</si>
  <si>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</si>
  <si>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</si>
  <si>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</si>
  <si>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</si>
  <si>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</si>
  <si>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</si>
  <si>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</si>
  <si>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</si>
  <si>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</si>
  <si>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</si>
  <si>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</si>
  <si>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</si>
  <si>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</si>
  <si>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</si>
  <si>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</si>
  <si>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</si>
  <si>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</si>
  <si>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</si>
  <si>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</si>
  <si>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</si>
  <si>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</si>
  <si>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</si>
  <si>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</si>
  <si>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</si>
  <si>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</si>
  <si>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</si>
  <si>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</si>
  <si>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</si>
  <si>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</si>
  <si>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</si>
  <si>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</si>
  <si>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</si>
  <si>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</si>
  <si>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</si>
  <si>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</si>
  <si>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</si>
  <si>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</si>
  <si>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</si>
  <si>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</si>
  <si>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</si>
  <si>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</si>
  <si>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</si>
  <si>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</si>
  <si>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</si>
  <si>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</si>
  <si>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</si>
  <si>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</si>
  <si>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</si>
  <si>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</si>
  <si>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</si>
  <si>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</si>
  <si>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</si>
  <si>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</si>
  <si>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</si>
  <si>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</si>
  <si>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</si>
  <si>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</si>
  <si>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</si>
  <si>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</si>
  <si>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</si>
  <si>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</si>
  <si>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</si>
  <si>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</si>
  <si>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</si>
  <si>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</si>
  <si>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</si>
  <si>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</si>
  <si>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</si>
  <si>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</si>
  <si>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</si>
  <si>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</si>
  <si>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</si>
  <si>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</si>
  <si>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</si>
  <si>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</si>
  <si>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</si>
  <si>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</si>
  <si>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</si>
  <si>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</si>
  <si>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</si>
  <si>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</si>
  <si>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</si>
  <si>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</si>
  <si>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</si>
  <si>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</si>
  <si>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</si>
  <si>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</si>
  <si>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</si>
  <si>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</si>
  <si>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</si>
  <si>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</si>
  <si>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</si>
  <si>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</si>
  <si>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</si>
  <si>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</si>
  <si>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</si>
  <si>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</si>
  <si>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</si>
  <si>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</si>
  <si>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</si>
  <si>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</si>
  <si>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</si>
  <si>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</si>
  <si>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</si>
  <si>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</si>
  <si>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</si>
  <si>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</si>
  <si>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</si>
  <si>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</si>
  <si>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</si>
  <si>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</si>
  <si>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</si>
  <si>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</si>
  <si>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</si>
  <si>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</si>
  <si>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</si>
  <si>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</si>
  <si>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</si>
  <si>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</si>
  <si>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</si>
  <si>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</si>
  <si>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</si>
  <si>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</si>
  <si>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</si>
  <si>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</si>
  <si>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</si>
  <si>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</si>
  <si>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</si>
  <si>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</si>
  <si>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</si>
  <si>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</si>
  <si>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</si>
  <si>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</si>
  <si>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</si>
  <si>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</si>
  <si>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</si>
  <si>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</si>
  <si>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</si>
  <si>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</si>
  <si>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</si>
  <si>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</si>
  <si>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</si>
  <si>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</si>
  <si>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</si>
  <si>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</si>
  <si>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</si>
  <si>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</si>
  <si>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</si>
  <si>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</si>
  <si>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</si>
  <si>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</si>
  <si>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</si>
  <si>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</si>
  <si>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</si>
  <si>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</si>
  <si>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</si>
  <si>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</si>
  <si>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</si>
  <si>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</si>
  <si>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</si>
  <si>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</si>
  <si>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</si>
  <si>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</si>
  <si>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</si>
  <si>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</si>
  <si>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</si>
  <si>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</si>
  <si>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</si>
  <si>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</si>
  <si>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</si>
  <si>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</si>
  <si>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</si>
  <si>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</si>
  <si>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</si>
  <si>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</si>
  <si>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</si>
  <si>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</si>
  <si>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</si>
  <si>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</si>
  <si>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</si>
  <si>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</si>
  <si>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</si>
  <si>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</si>
  <si>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</si>
  <si>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</si>
  <si>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</si>
  <si>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</si>
  <si>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</si>
  <si>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</si>
  <si>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</si>
  <si>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</si>
  <si>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</si>
  <si>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</si>
  <si>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</si>
  <si>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</si>
  <si>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</si>
  <si>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</si>
  <si>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</si>
  <si>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</si>
  <si>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</si>
  <si>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</si>
  <si>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</si>
  <si>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</si>
  <si>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</si>
  <si>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</si>
  <si>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</si>
  <si>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</si>
  <si>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</si>
  <si>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</si>
  <si>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</si>
  <si>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</si>
  <si>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</si>
  <si>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</si>
  <si>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</si>
  <si>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</si>
  <si>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</si>
  <si>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</si>
  <si>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</si>
  <si>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</si>
  <si>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</si>
  <si>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</si>
  <si>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</si>
  <si>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</si>
  <si>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</si>
  <si>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</si>
  <si>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</si>
  <si>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</si>
  <si>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</si>
  <si>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</si>
  <si>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</si>
  <si>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</si>
  <si>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</si>
  <si>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</si>
  <si>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</si>
  <si>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</si>
  <si>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</si>
  <si>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</si>
  <si>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</si>
  <si>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</si>
  <si>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</si>
  <si>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</si>
  <si>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</si>
  <si>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</si>
  <si>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</si>
  <si>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</si>
  <si>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</si>
  <si>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</si>
  <si>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</si>
  <si>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</si>
  <si>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</si>
  <si>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</si>
  <si>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</si>
  <si>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</si>
  <si>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</si>
  <si>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</si>
  <si>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</si>
  <si>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</si>
  <si>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</si>
  <si>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</si>
  <si>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</si>
  <si>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</si>
  <si>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</si>
  <si>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</si>
  <si>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</si>
  <si>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</si>
  <si>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</si>
  <si>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</si>
  <si>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</si>
  <si>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</si>
  <si>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</si>
  <si>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</si>
  <si>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</si>
  <si>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</si>
  <si>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</si>
  <si>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</si>
  <si>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</si>
  <si>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</si>
  <si>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</si>
  <si>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</si>
  <si>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</si>
  <si>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</si>
  <si>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</si>
  <si>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</si>
  <si>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</si>
  <si>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</si>
  <si>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</si>
  <si>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</si>
  <si>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</si>
  <si>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</si>
  <si>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</si>
  <si>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</si>
  <si>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</si>
  <si>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</si>
  <si>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</si>
  <si>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</si>
  <si>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</si>
  <si>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</si>
  <si>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</si>
  <si>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</si>
  <si>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</si>
  <si>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</si>
  <si>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</si>
  <si>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</si>
  <si>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</si>
  <si>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</si>
  <si>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</si>
  <si>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</si>
  <si>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</si>
  <si>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</si>
  <si>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</si>
  <si>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</si>
  <si>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</si>
  <si>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</si>
  <si>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</si>
  <si>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</si>
  <si>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</si>
  <si>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</si>
  <si>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</si>
  <si>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</si>
  <si>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</si>
  <si>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</si>
  <si>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</si>
  <si>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</si>
  <si>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</si>
  <si>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</si>
  <si>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</si>
  <si>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</si>
  <si>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</si>
  <si>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</si>
  <si>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</si>
  <si>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</si>
  <si>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</si>
  <si>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</si>
  <si>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</si>
  <si>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</si>
  <si>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</si>
  <si>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</si>
  <si>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</si>
  <si>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</si>
  <si>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</si>
  <si>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</si>
  <si>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</si>
  <si>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</si>
  <si>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</si>
  <si>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</si>
  <si>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</si>
  <si>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</si>
  <si>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</si>
  <si>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</si>
  <si>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</si>
  <si>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</si>
  <si>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</si>
  <si>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</si>
  <si>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</si>
  <si>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</si>
  <si>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</si>
  <si>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</si>
  <si>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</si>
  <si>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</si>
  <si>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</si>
  <si>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</si>
  <si>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</si>
  <si>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</si>
  <si>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</si>
  <si>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</si>
  <si>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</si>
  <si>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</si>
  <si>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</si>
  <si>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</si>
  <si>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</si>
  <si>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</si>
  <si>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</si>
  <si>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</si>
  <si>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</si>
  <si>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</si>
  <si>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</si>
  <si>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</si>
  <si>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</si>
  <si>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</si>
  <si>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</si>
  <si>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</si>
  <si>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</si>
  <si>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</si>
  <si>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</si>
  <si>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</si>
  <si>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</si>
  <si>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</si>
  <si>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</si>
  <si>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</si>
  <si>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</si>
  <si>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</si>
  <si>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</si>
  <si>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</si>
  <si>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</si>
  <si>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</si>
  <si>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</si>
  <si>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</si>
  <si>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</si>
  <si>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</si>
  <si>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</si>
  <si>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</si>
  <si>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</si>
  <si>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</si>
  <si>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</si>
  <si>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</si>
  <si>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</si>
  <si>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</si>
  <si>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</si>
  <si>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</si>
  <si>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</si>
  <si>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</si>
  <si>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</si>
  <si>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</si>
  <si>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</si>
  <si>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</si>
  <si>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</si>
  <si>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</si>
  <si>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</si>
  <si>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</si>
  <si>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</si>
  <si>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</si>
  <si>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</si>
  <si>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</si>
  <si>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</si>
  <si>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</si>
  <si>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</si>
  <si>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</si>
  <si>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</si>
  <si>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</si>
  <si>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</si>
  <si>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</si>
  <si>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</si>
  <si>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</si>
  <si>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</si>
  <si>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</si>
  <si>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</si>
  <si>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</si>
  <si>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</si>
  <si>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</si>
  <si>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</si>
  <si>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</si>
  <si>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</si>
  <si>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</si>
  <si>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</si>
  <si>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</si>
  <si>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</si>
  <si>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</si>
  <si>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</si>
  <si>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</si>
  <si>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</si>
  <si>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</si>
  <si>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</si>
  <si>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</si>
  <si>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</si>
  <si>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</si>
  <si>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</si>
  <si>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</si>
  <si>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</si>
  <si>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</si>
  <si>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</si>
  <si>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</si>
  <si>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</si>
  <si>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</si>
  <si>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</si>
  <si>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</si>
  <si>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</si>
  <si>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</si>
  <si>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</si>
  <si>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</si>
  <si>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</si>
  <si>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</si>
  <si>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</si>
  <si>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</si>
  <si>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</si>
  <si>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</si>
  <si>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</si>
  <si>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</si>
  <si>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</si>
  <si>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</si>
  <si>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</si>
  <si>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</si>
  <si>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</si>
  <si>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</si>
  <si>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</si>
  <si>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</si>
  <si>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</si>
  <si>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</si>
  <si>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</si>
  <si>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</si>
  <si>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</si>
  <si>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</si>
  <si>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</si>
  <si>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</si>
  <si>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</si>
  <si>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</si>
  <si>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</si>
  <si>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</si>
  <si>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</si>
  <si>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</si>
  <si>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</si>
  <si>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</si>
  <si>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</si>
  <si>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</si>
  <si>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</si>
  <si>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</si>
  <si>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</si>
  <si>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</si>
  <si>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</si>
  <si>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</si>
  <si>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</si>
  <si>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</si>
  <si>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</si>
  <si>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</si>
  <si>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</si>
  <si>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</si>
  <si>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</si>
  <si>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</si>
  <si>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</si>
  <si>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</si>
  <si>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</si>
  <si>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</si>
  <si>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</si>
  <si>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</si>
  <si>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</si>
  <si>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</si>
  <si>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</si>
  <si>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</si>
  <si>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</si>
  <si>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</si>
  <si>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</si>
  <si>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</si>
  <si>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</si>
  <si>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</si>
  <si>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</si>
  <si>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</si>
  <si>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</si>
  <si>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</si>
  <si>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</si>
  <si>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</si>
  <si>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</si>
  <si>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</si>
  <si>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</si>
  <si>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</si>
  <si>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</si>
  <si>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</si>
  <si>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</si>
  <si>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</si>
  <si>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</si>
  <si>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</si>
  <si>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</si>
  <si>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</si>
  <si>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</si>
  <si>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</si>
  <si>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</si>
  <si>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</si>
  <si>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</si>
  <si>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</si>
  <si>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</si>
  <si>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</si>
  <si>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</si>
  <si>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</si>
  <si>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</si>
  <si>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</si>
  <si>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</si>
  <si>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</si>
  <si>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</si>
  <si>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</si>
  <si>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</si>
  <si>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</si>
  <si>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</si>
  <si>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</si>
  <si>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</si>
  <si>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</si>
  <si>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</si>
  <si>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</si>
  <si>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</si>
  <si>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</si>
  <si>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</si>
  <si>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</si>
  <si>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</si>
  <si>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</si>
  <si>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</si>
  <si>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</si>
  <si>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</si>
  <si>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</si>
  <si>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</si>
  <si>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</si>
  <si>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</si>
  <si>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</si>
  <si>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</si>
  <si>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</si>
  <si>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</si>
  <si>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</si>
  <si>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</si>
  <si>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</si>
  <si>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</si>
  <si>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</si>
  <si>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</si>
  <si>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</si>
  <si>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</si>
  <si>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</si>
  <si>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</si>
  <si>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</si>
  <si>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</si>
  <si>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</si>
  <si>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</si>
  <si>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</si>
  <si>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</si>
  <si>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</si>
  <si>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</si>
  <si>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</si>
  <si>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</si>
  <si>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</si>
  <si>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</si>
  <si>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</si>
  <si>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</si>
  <si>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</si>
  <si>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</si>
  <si>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</si>
  <si>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</si>
  <si>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</si>
  <si>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</si>
  <si>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</si>
  <si>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</si>
  <si>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</si>
  <si>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</si>
  <si>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</si>
  <si>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</si>
  <si>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</si>
  <si>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</si>
  <si>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</si>
  <si>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</si>
  <si>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</si>
  <si>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</si>
  <si>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</si>
  <si>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</si>
  <si>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</si>
  <si>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</si>
  <si>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</si>
  <si>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</si>
  <si>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</si>
  <si>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</si>
  <si>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</si>
  <si>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</si>
  <si>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</si>
  <si>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</si>
  <si>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</si>
  <si>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</si>
  <si>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</si>
  <si>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</si>
  <si>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</si>
  <si>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</si>
  <si>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</si>
  <si>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</si>
  <si>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</si>
  <si>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</si>
  <si>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</si>
  <si>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</si>
  <si>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</si>
  <si>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</si>
  <si>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</si>
  <si>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</si>
  <si>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</si>
  <si>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</si>
  <si>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</si>
  <si>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</si>
  <si>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</si>
  <si>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</si>
  <si>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</si>
  <si>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</si>
  <si>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</si>
  <si>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</si>
  <si>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</si>
  <si>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</si>
  <si>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</si>
  <si>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</si>
  <si>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</si>
  <si>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</si>
  <si>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</si>
  <si>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</si>
  <si>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</si>
  <si>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</si>
  <si>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</si>
  <si>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</si>
  <si>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</si>
  <si>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</si>
  <si>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</si>
  <si>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</si>
  <si>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</si>
  <si>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</si>
  <si>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</si>
  <si>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</si>
  <si>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</si>
  <si>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</si>
  <si>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</si>
  <si>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</si>
  <si>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</si>
  <si>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</si>
  <si>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</si>
  <si>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</si>
  <si>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</si>
  <si>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</si>
  <si>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</si>
  <si>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</si>
  <si>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</si>
  <si>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</si>
  <si>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</si>
  <si>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</si>
  <si>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</si>
  <si>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</si>
  <si>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</si>
  <si>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</si>
  <si>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</si>
  <si>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</si>
  <si>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</si>
  <si>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</si>
  <si>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</si>
  <si>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</si>
  <si>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</si>
  <si>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</si>
  <si>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</si>
  <si>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</si>
  <si>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</si>
  <si>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</si>
  <si>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</si>
  <si>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</si>
  <si>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</si>
  <si>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</si>
  <si>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</si>
  <si>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</si>
  <si>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</si>
  <si>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</si>
  <si>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</si>
  <si>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</si>
  <si>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</si>
  <si>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</si>
  <si>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</si>
  <si>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</si>
  <si>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</si>
  <si>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</si>
  <si>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</si>
  <si>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</si>
  <si>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</si>
  <si>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</si>
  <si>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</si>
  <si>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</si>
  <si>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</si>
  <si>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</si>
  <si>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</si>
  <si>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</si>
  <si>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</si>
  <si>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</si>
  <si>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</si>
  <si>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</si>
  <si>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</si>
  <si>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</si>
  <si>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</si>
  <si>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</si>
  <si>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</si>
  <si>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</si>
  <si>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</si>
  <si>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</si>
  <si>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</si>
  <si>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</si>
  <si>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</si>
  <si>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</si>
  <si>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</si>
  <si>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</si>
  <si>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</si>
  <si>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</si>
  <si>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</si>
  <si>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</si>
  <si>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</si>
  <si>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</si>
  <si>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</si>
  <si>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</si>
  <si>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</si>
  <si>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</si>
  <si>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</si>
  <si>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</si>
  <si>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</si>
  <si>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</si>
  <si>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</si>
  <si>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</si>
  <si>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</si>
  <si>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</si>
  <si>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</si>
  <si>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</si>
  <si>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</si>
  <si>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</si>
  <si>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</si>
  <si>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</si>
  <si>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</si>
  <si>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</si>
  <si>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</si>
  <si>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</si>
  <si>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</si>
  <si>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</si>
  <si>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</si>
  <si>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</si>
  <si>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</si>
  <si>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</si>
  <si>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</si>
  <si>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</si>
  <si>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</si>
  <si>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</si>
  <si>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</si>
  <si>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</si>
  <si>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</si>
  <si>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</si>
  <si>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</si>
  <si>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</si>
  <si>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</si>
  <si>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</si>
  <si>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</si>
  <si>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</si>
  <si>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</si>
  <si>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</si>
  <si>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</si>
  <si>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</si>
  <si>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</si>
  <si>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</si>
  <si>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</si>
  <si>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</si>
  <si>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</si>
  <si>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</si>
  <si>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</si>
  <si>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</si>
  <si>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</si>
  <si>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</si>
  <si>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</si>
  <si>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</si>
  <si>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</si>
  <si>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</si>
  <si>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</si>
  <si>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</si>
  <si>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</si>
  <si>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</si>
  <si>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</si>
  <si>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</si>
  <si>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</si>
  <si>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</si>
  <si>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</si>
  <si>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</si>
  <si>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</si>
  <si>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</si>
  <si>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</si>
  <si>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</si>
  <si>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</si>
  <si>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</si>
  <si>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</si>
  <si>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</si>
  <si>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</si>
  <si>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</si>
  <si>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</si>
  <si>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</si>
  <si>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</si>
  <si>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</si>
  <si>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</si>
  <si>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</si>
  <si>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</si>
  <si>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</si>
  <si>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</si>
  <si>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</si>
  <si>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</si>
  <si>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</si>
  <si>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</si>
  <si>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</si>
  <si>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</si>
  <si>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</si>
  <si>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</si>
  <si>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</si>
  <si>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</si>
  <si>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</si>
  <si>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</si>
  <si>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</si>
  <si>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</si>
  <si>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</si>
  <si>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</si>
  <si>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</si>
  <si>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</si>
  <si>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</si>
  <si>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</si>
  <si>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</si>
  <si>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</si>
  <si>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</si>
  <si>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</si>
  <si>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</si>
  <si>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</si>
  <si>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</si>
  <si>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</si>
  <si>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</si>
  <si>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</si>
  <si>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</si>
  <si>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</si>
  <si>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</si>
  <si>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</si>
  <si>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</si>
  <si>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</si>
  <si>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</si>
  <si>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</si>
  <si>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</si>
  <si>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</si>
  <si>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</si>
  <si>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</si>
  <si>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</si>
  <si>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</si>
  <si>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</si>
  <si>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</si>
  <si>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</si>
  <si>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</si>
  <si>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</si>
  <si>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</si>
  <si>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</si>
  <si>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</si>
  <si>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</si>
  <si>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</si>
  <si>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</si>
  <si>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</si>
  <si>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</si>
  <si>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</si>
  <si>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</si>
  <si>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</si>
  <si>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</si>
  <si>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</si>
  <si>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</si>
  <si>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</si>
  <si>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</si>
  <si>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</si>
  <si>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</si>
  <si>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</si>
  <si>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</si>
  <si>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</si>
  <si>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</si>
  <si>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</si>
  <si>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</si>
  <si>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</si>
  <si>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</si>
  <si>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</si>
  <si>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</si>
  <si>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</si>
  <si>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</si>
  <si>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</si>
  <si>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</si>
  <si>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</si>
  <si>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</si>
  <si>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</si>
  <si>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</si>
  <si>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</si>
  <si>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</si>
  <si>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</si>
  <si>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</si>
  <si>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</si>
  <si>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</si>
  <si>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</si>
  <si>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</si>
  <si>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</si>
  <si>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</si>
  <si>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</si>
  <si>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</si>
  <si>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</si>
  <si>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</si>
  <si>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</si>
  <si>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</si>
  <si>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</si>
  <si>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</si>
  <si>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</si>
  <si>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</si>
  <si>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</si>
  <si>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</si>
  <si>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</si>
  <si>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</si>
  <si>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</si>
  <si>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</si>
  <si>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</si>
  <si>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</si>
  <si>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</si>
  <si>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</si>
  <si>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</si>
  <si>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</si>
  <si>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</si>
  <si>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</si>
  <si>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</si>
  <si>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</si>
  <si>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</si>
  <si>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</si>
  <si>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</si>
  <si>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</si>
  <si>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</si>
  <si>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</si>
  <si>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</si>
  <si>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</si>
  <si>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</si>
  <si>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</si>
  <si>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</si>
  <si>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</si>
  <si>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</si>
  <si>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</si>
  <si>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</si>
  <si>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</si>
  <si>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</si>
  <si>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</si>
  <si>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</si>
  <si>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</si>
  <si>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</si>
  <si>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</si>
  <si>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</si>
  <si>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</si>
  <si>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</si>
  <si>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</si>
  <si>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</si>
  <si>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</si>
  <si>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</si>
  <si>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</si>
  <si>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</si>
  <si>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</si>
  <si>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</si>
  <si>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</si>
  <si>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</si>
  <si>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</si>
  <si>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</si>
  <si>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</si>
  <si>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</si>
  <si>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</si>
  <si>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</si>
  <si>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</si>
  <si>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</si>
  <si>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</si>
  <si>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</si>
  <si>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</si>
  <si>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</si>
  <si>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</si>
  <si>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</si>
  <si>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</si>
  <si>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</si>
  <si>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</si>
  <si>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</si>
  <si>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</si>
  <si>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</si>
  <si>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</si>
  <si>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</si>
  <si>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</si>
  <si>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</si>
  <si>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</si>
  <si>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</si>
  <si>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</si>
  <si>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</si>
  <si>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</si>
  <si>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</si>
  <si>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</si>
  <si>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</si>
  <si>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</si>
  <si>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</si>
  <si>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</si>
  <si>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</si>
  <si>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</si>
  <si>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</si>
  <si>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</si>
  <si>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</si>
  <si>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</si>
  <si>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</si>
  <si>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</si>
  <si>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</si>
  <si>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</si>
  <si>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</si>
  <si>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</si>
  <si>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</si>
  <si>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</si>
  <si>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</si>
  <si>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</si>
  <si>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</si>
  <si>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</si>
  <si>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</si>
  <si>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</si>
  <si>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</si>
  <si>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</si>
  <si>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</si>
  <si>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</si>
  <si>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</si>
  <si>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</si>
  <si>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</si>
  <si>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</si>
  <si>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</si>
  <si>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</si>
  <si>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</si>
  <si>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</si>
  <si>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</si>
  <si>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</si>
  <si>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</si>
  <si>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</si>
  <si>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</si>
  <si>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</si>
  <si>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</si>
  <si>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</si>
  <si>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</si>
  <si>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</si>
  <si>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</si>
  <si>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</si>
  <si>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</si>
  <si>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</si>
  <si>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</si>
  <si>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</si>
  <si>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</si>
  <si>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</si>
  <si>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</si>
  <si>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</si>
  <si>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</si>
  <si>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</si>
  <si>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</si>
  <si>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</si>
  <si>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</si>
  <si>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</si>
  <si>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</si>
  <si>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</si>
  <si>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</si>
  <si>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</si>
  <si>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</si>
  <si>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</si>
  <si>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</si>
  <si>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</si>
  <si>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</si>
  <si>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</si>
  <si>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</si>
  <si>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</si>
  <si>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</si>
  <si>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</si>
  <si>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</si>
  <si>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</si>
  <si>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</si>
  <si>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</si>
  <si>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</si>
  <si>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</si>
  <si>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</si>
  <si>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</si>
  <si>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</si>
  <si>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</si>
  <si>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</si>
  <si>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</si>
  <si>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</si>
  <si>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</si>
  <si>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</si>
  <si>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</si>
  <si>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</si>
  <si>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</si>
  <si>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</si>
  <si>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</si>
  <si>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</si>
  <si>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</si>
  <si>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</si>
  <si>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</si>
  <si>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</si>
  <si>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</si>
  <si>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</si>
  <si>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</si>
  <si>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</si>
  <si>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</si>
  <si>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</si>
  <si>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</si>
  <si>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</si>
  <si>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</si>
  <si>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</si>
  <si>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</si>
  <si>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</si>
  <si>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</si>
  <si>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</si>
  <si>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</si>
  <si>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</si>
  <si>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</si>
  <si>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</si>
  <si>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</si>
  <si>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</si>
  <si>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</si>
  <si>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</si>
  <si>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</si>
  <si>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</si>
  <si>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</si>
  <si>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</si>
  <si>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</si>
  <si>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</si>
  <si>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</si>
  <si>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</si>
  <si>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</si>
  <si>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</si>
  <si>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</si>
  <si>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</si>
  <si>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</si>
  <si>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</si>
  <si>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</si>
  <si>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</si>
  <si>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</si>
  <si>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</si>
  <si>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</si>
  <si>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</si>
  <si>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</si>
  <si>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</si>
  <si>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</si>
  <si>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</si>
  <si>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</si>
  <si>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</si>
  <si>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</si>
  <si>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</si>
  <si>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</si>
  <si>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</si>
  <si>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</si>
  <si>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</si>
  <si>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</si>
  <si>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</si>
  <si>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</si>
  <si>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</si>
  <si>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</si>
  <si>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</si>
  <si>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</si>
  <si>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</si>
  <si>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</si>
  <si>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</si>
  <si>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</si>
  <si>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</si>
  <si>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</si>
  <si>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</si>
  <si>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</si>
  <si>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</si>
  <si>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</si>
  <si>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</si>
  <si>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</si>
  <si>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</si>
  <si>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</si>
  <si>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</si>
  <si>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</si>
  <si>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</si>
  <si>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</si>
  <si>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</si>
  <si>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</si>
  <si>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</si>
  <si>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</si>
  <si>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</si>
  <si>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</si>
  <si>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</si>
  <si>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</si>
  <si>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</si>
  <si>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</si>
  <si>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</si>
  <si>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</si>
  <si>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</si>
  <si>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</si>
  <si>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</si>
  <si>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</si>
  <si>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</si>
  <si>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</si>
  <si>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</si>
  <si>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</si>
  <si>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</si>
  <si>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</si>
  <si>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</si>
  <si>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</si>
  <si>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</si>
  <si>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</si>
  <si>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</si>
  <si>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</si>
  <si>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</si>
  <si>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</si>
  <si>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</si>
  <si>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</si>
  <si>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</si>
  <si>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</si>
  <si>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</si>
  <si>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</si>
  <si>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</si>
  <si>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</si>
  <si>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</si>
  <si>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</si>
  <si>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</si>
  <si>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</si>
  <si>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</si>
  <si>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</si>
  <si>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</si>
  <si>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</si>
  <si>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</si>
  <si>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</si>
  <si>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</si>
  <si>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</si>
  <si>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</si>
  <si>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</si>
  <si>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</si>
  <si>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</si>
  <si>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</si>
  <si>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</si>
  <si>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</si>
  <si>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</si>
  <si>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</si>
  <si>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</si>
  <si>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</si>
  <si>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</si>
  <si>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</si>
  <si>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</si>
  <si>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</si>
  <si>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</si>
  <si>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</si>
  <si>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</si>
  <si>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</si>
  <si>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</si>
  <si>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</si>
  <si>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</si>
  <si>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</si>
  <si>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</si>
  <si>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</si>
  <si>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</si>
  <si>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</si>
  <si>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</si>
  <si>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</si>
  <si>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</si>
  <si>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</si>
  <si>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</si>
  <si>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</si>
  <si>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</si>
  <si>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</si>
  <si>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</si>
  <si>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</si>
  <si>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</si>
  <si>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</si>
  <si>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</si>
  <si>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</si>
  <si>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</si>
  <si>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</si>
  <si>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</si>
  <si>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</si>
  <si>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</si>
  <si>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</si>
  <si>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</si>
  <si>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</si>
  <si>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</si>
  <si>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</si>
  <si>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</si>
  <si>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</si>
  <si>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</si>
  <si>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</si>
  <si>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</si>
  <si>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</si>
  <si>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</si>
  <si>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</si>
  <si>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</si>
  <si>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</si>
  <si>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</si>
  <si>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</si>
  <si>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</si>
  <si>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</si>
  <si>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</si>
  <si>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</si>
  <si>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</si>
  <si>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</si>
  <si>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</si>
  <si>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</si>
  <si>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</si>
  <si>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</si>
  <si>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</si>
  <si>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</si>
  <si>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</si>
  <si>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</si>
  <si>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</si>
  <si>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</si>
  <si>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</si>
  <si>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</si>
  <si>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</si>
  <si>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</si>
  <si>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</si>
  <si>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</si>
  <si>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</si>
  <si>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</si>
  <si>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</si>
  <si>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</si>
  <si>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</si>
  <si>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</si>
  <si>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</si>
  <si>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</si>
  <si>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</si>
  <si>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</si>
  <si>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</si>
  <si>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</si>
  <si>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</si>
  <si>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</si>
  <si>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</si>
  <si>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</si>
  <si>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</si>
  <si>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</si>
  <si>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</si>
  <si>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</si>
  <si>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</si>
  <si>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</si>
  <si>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</si>
  <si>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</si>
  <si>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</si>
  <si>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</si>
  <si>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</si>
  <si>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</si>
  <si>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</si>
  <si>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</si>
  <si>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</si>
  <si>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</si>
  <si>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</si>
  <si>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</si>
  <si>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</si>
  <si>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</si>
  <si>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</si>
  <si>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</si>
  <si>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</si>
  <si>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</si>
  <si>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</si>
  <si>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</si>
  <si>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</si>
  <si>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</si>
  <si>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</si>
  <si>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</si>
  <si>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</si>
  <si>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</si>
  <si>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</si>
  <si>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</si>
  <si>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</si>
  <si>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</si>
  <si>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</si>
  <si>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</si>
  <si>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</si>
  <si>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</si>
  <si>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</si>
  <si>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</si>
  <si>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</si>
  <si>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</si>
  <si>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</si>
  <si>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</si>
  <si>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</si>
  <si>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</si>
  <si>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</si>
  <si>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</si>
  <si>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</si>
  <si>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</si>
  <si>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</si>
  <si>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</si>
  <si>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</si>
  <si>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</si>
  <si>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</si>
  <si>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</si>
  <si>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</si>
  <si>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</si>
  <si>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</si>
  <si>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</si>
  <si>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</si>
  <si>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</si>
  <si>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</si>
  <si>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</si>
  <si>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</si>
  <si>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</si>
  <si>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</si>
  <si>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</si>
  <si>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</si>
  <si>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</si>
  <si>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</si>
  <si>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</si>
  <si>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</si>
  <si>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</si>
  <si>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</si>
  <si>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</si>
  <si>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</si>
  <si>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</si>
  <si>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</si>
  <si>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</si>
  <si>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</si>
  <si>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</si>
  <si>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</si>
  <si>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</si>
  <si>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</si>
  <si>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</si>
  <si>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</si>
  <si>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</si>
  <si>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</si>
  <si>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</si>
  <si>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</si>
  <si>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</si>
  <si>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</si>
  <si>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</si>
  <si>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</si>
  <si>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</si>
  <si>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</si>
  <si>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</si>
  <si>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</si>
  <si>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</si>
  <si>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</si>
  <si>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</si>
  <si>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</si>
  <si>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</si>
  <si>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</si>
  <si>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</si>
  <si>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</si>
  <si>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</si>
  <si>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</si>
  <si>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</si>
  <si>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</si>
  <si>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</si>
  <si>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</si>
  <si>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</si>
  <si>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</si>
  <si>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</si>
  <si>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</si>
  <si>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</si>
  <si>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</si>
  <si>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</si>
  <si>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</si>
  <si>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</si>
  <si>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</si>
  <si>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</si>
  <si>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</si>
  <si>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</si>
  <si>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</si>
  <si>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</si>
  <si>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</si>
  <si>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</si>
  <si>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</si>
  <si>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</si>
  <si>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</si>
  <si>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</si>
  <si>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</si>
  <si>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</si>
  <si>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</si>
  <si>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</si>
  <si>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</si>
  <si>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</si>
  <si>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</si>
  <si>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</si>
  <si>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</si>
  <si>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</si>
  <si>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</si>
  <si>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</si>
  <si>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</si>
  <si>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</si>
  <si>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</si>
  <si>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</si>
  <si>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</si>
  <si>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</si>
  <si>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</si>
  <si>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</si>
  <si>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</si>
  <si>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</si>
  <si>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</si>
  <si>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</si>
  <si>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</si>
  <si>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</si>
  <si>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</si>
  <si>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</si>
  <si>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</si>
  <si>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</si>
  <si>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</si>
  <si>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</si>
  <si>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</si>
  <si>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</si>
  <si>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</si>
  <si>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</si>
  <si>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</si>
  <si>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</si>
  <si>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</si>
  <si>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</si>
  <si>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</si>
  <si>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</si>
  <si>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</si>
  <si>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</si>
  <si>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</si>
  <si>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</si>
  <si>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</si>
  <si>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</si>
  <si>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</si>
  <si>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</si>
  <si>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</si>
  <si>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</si>
  <si>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</si>
  <si>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</si>
  <si>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</si>
  <si>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</si>
  <si>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</si>
  <si>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</si>
  <si>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</si>
  <si>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</si>
  <si>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</si>
  <si>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</si>
  <si>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</si>
  <si>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</si>
  <si>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</si>
  <si>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</si>
  <si>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</si>
  <si>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</si>
  <si>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</si>
  <si>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</si>
  <si>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</si>
  <si>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</si>
  <si>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</si>
  <si>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</si>
  <si>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</si>
  <si>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</si>
  <si>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</si>
  <si>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</si>
  <si>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</si>
  <si>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</si>
  <si>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</si>
  <si>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</si>
  <si>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</si>
  <si>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</si>
  <si>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</si>
  <si>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</si>
  <si>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</si>
  <si>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</si>
  <si>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</si>
  <si>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</si>
  <si>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</si>
  <si>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</si>
  <si>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</si>
  <si>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</si>
  <si>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</si>
  <si>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</si>
  <si>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</si>
  <si>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</si>
  <si>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</si>
  <si>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</si>
  <si>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</si>
  <si>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</si>
  <si>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</si>
  <si>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</si>
  <si>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</si>
  <si>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</si>
  <si>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</si>
  <si>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</si>
  <si>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</si>
  <si>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</si>
  <si>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</si>
  <si>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</si>
  <si>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</si>
  <si>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</si>
  <si>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</si>
  <si>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</si>
  <si>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</si>
  <si>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</si>
  <si>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</si>
  <si>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</si>
  <si>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</si>
  <si>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</si>
  <si>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</si>
  <si>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</si>
  <si>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</si>
  <si>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</si>
  <si>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</si>
  <si>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</si>
  <si>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</si>
  <si>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</si>
  <si>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</si>
  <si>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</si>
  <si>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</si>
  <si>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</si>
  <si>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</si>
  <si>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</si>
  <si>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</si>
  <si>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</si>
  <si>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</si>
  <si>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</si>
  <si>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</si>
  <si>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</si>
  <si>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</si>
  <si>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</si>
  <si>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</si>
  <si>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</si>
  <si>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</si>
  <si>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</si>
  <si>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</si>
  <si>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</si>
  <si>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</si>
  <si>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</si>
  <si>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</si>
  <si>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</si>
  <si>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</si>
  <si>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</si>
  <si>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</si>
  <si>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</si>
  <si>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</si>
  <si>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</si>
  <si>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</si>
  <si>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</si>
  <si>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</si>
  <si>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</si>
  <si>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</si>
  <si>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</si>
  <si>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</si>
  <si>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</si>
  <si>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</si>
  <si>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</si>
  <si>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</si>
  <si>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</si>
  <si>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</si>
  <si>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</si>
  <si>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</si>
  <si>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</si>
  <si>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</si>
  <si>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</si>
  <si>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</si>
  <si>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</si>
  <si>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</si>
  <si>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</si>
  <si>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</si>
  <si>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</si>
  <si>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</si>
  <si>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</si>
  <si>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</si>
  <si>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</si>
  <si>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</si>
  <si>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</si>
  <si>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</si>
  <si>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</si>
  <si>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</si>
  <si>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</si>
  <si>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</si>
  <si>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</si>
  <si>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</si>
  <si>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</si>
  <si>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</si>
  <si>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</si>
  <si>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</si>
  <si>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</si>
  <si>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</si>
  <si>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</si>
  <si>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</si>
  <si>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</si>
  <si>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</si>
  <si>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</si>
  <si>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</si>
  <si>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</si>
  <si>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</si>
  <si>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</si>
  <si>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</si>
  <si>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</si>
  <si>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</si>
  <si>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</si>
  <si>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</si>
  <si>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</si>
  <si>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</si>
  <si>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</si>
  <si>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</si>
  <si>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</si>
  <si>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</si>
  <si>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</si>
  <si>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</si>
  <si>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</si>
  <si>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</si>
  <si>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</si>
  <si>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</si>
  <si>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</si>
  <si>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</si>
  <si>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</si>
  <si>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</si>
  <si>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</si>
  <si>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</si>
  <si>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</si>
  <si>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</si>
  <si>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</si>
  <si>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</si>
  <si>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</si>
  <si>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</si>
  <si>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</si>
  <si>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</si>
  <si>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</si>
  <si>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</si>
  <si>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</si>
  <si>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</si>
  <si>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</si>
  <si>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</si>
  <si>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</si>
  <si>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</si>
  <si>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</si>
  <si>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</si>
  <si>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</si>
  <si>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</si>
  <si>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</si>
  <si>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</si>
  <si>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</si>
  <si>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</si>
  <si>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</si>
  <si>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</si>
  <si>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</si>
  <si>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</si>
  <si>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</si>
  <si>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</si>
  <si>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</si>
  <si>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</si>
  <si>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</si>
  <si>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</si>
  <si>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</si>
  <si>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</si>
  <si>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</si>
  <si>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</si>
  <si>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</si>
  <si>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</si>
  <si>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</si>
  <si>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</si>
  <si>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</si>
  <si>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</si>
  <si>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</si>
  <si>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</si>
  <si>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</si>
  <si>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</si>
  <si>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</si>
  <si>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</si>
  <si>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</si>
  <si>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</si>
  <si>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</si>
  <si>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</si>
  <si>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</si>
  <si>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</si>
  <si>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</si>
  <si>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</si>
  <si>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</si>
  <si>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</si>
  <si>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</si>
  <si>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</si>
  <si>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</si>
  <si>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</si>
  <si>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</si>
  <si>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</si>
  <si>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</si>
  <si>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</si>
  <si>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</si>
  <si>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</si>
  <si>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</si>
  <si>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</si>
  <si>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</si>
  <si>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</si>
  <si>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</si>
  <si>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</si>
  <si>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</si>
  <si>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</si>
  <si>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</si>
  <si>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</si>
  <si>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</si>
  <si>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</si>
  <si>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</si>
  <si>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</si>
  <si>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</si>
  <si>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</si>
  <si>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</si>
  <si>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</si>
  <si>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</si>
  <si>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</si>
  <si>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</si>
  <si>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</si>
  <si>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</si>
  <si>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</si>
  <si>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</si>
  <si>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</si>
  <si>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</si>
  <si>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</si>
  <si>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</si>
  <si>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</si>
  <si>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</si>
  <si>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</si>
  <si>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</si>
  <si>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</si>
  <si>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</si>
  <si>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</si>
  <si>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</si>
  <si>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</si>
  <si>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</si>
  <si>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</si>
  <si>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</si>
  <si>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</si>
  <si>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</si>
  <si>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</si>
  <si>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</si>
  <si>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</si>
  <si>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</si>
  <si>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</si>
  <si>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</si>
  <si>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</si>
  <si>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</si>
  <si>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</si>
  <si>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</si>
  <si>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</si>
  <si>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</si>
  <si>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</si>
  <si>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</si>
  <si>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</si>
  <si>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</si>
  <si>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</si>
  <si>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</si>
  <si>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</si>
  <si>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</si>
  <si>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</si>
  <si>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</si>
  <si>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</si>
  <si>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</si>
  <si>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</si>
  <si>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</si>
  <si>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</si>
  <si>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</si>
  <si>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</si>
  <si>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</si>
  <si>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</si>
  <si>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</si>
  <si>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</si>
  <si>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</si>
  <si>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</si>
  <si>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</si>
  <si>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</si>
  <si>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</si>
  <si>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</si>
  <si>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</si>
  <si>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</si>
  <si>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</si>
  <si>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</si>
  <si>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</si>
  <si>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</si>
  <si>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</si>
  <si>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</si>
  <si>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</si>
  <si>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</si>
  <si>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</si>
  <si>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</si>
  <si>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</si>
  <si>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</si>
  <si>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</si>
  <si>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</si>
  <si>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</si>
  <si>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</si>
  <si>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</si>
  <si>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</si>
  <si>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</si>
  <si>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</si>
  <si>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</si>
  <si>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</si>
  <si>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</si>
  <si>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</si>
  <si>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</si>
  <si>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</si>
  <si>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</si>
  <si>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</si>
  <si>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</si>
  <si>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</si>
  <si>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</si>
  <si>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</si>
  <si>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</si>
  <si>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</si>
  <si>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</si>
  <si>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</si>
  <si>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</si>
  <si>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</si>
  <si>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</si>
  <si>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</si>
  <si>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</si>
  <si>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</si>
  <si>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</si>
  <si>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</si>
  <si>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</si>
  <si>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</si>
  <si>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</si>
  <si>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</si>
  <si>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</si>
  <si>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</si>
  <si>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</si>
  <si>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</si>
  <si>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</si>
  <si>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</si>
  <si>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</si>
  <si>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</si>
  <si>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</si>
  <si>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</si>
  <si>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</si>
  <si>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</si>
  <si>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</si>
  <si>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</si>
  <si>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</si>
  <si>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</si>
  <si>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</si>
  <si>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</si>
  <si>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</si>
  <si>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</si>
  <si>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</si>
  <si>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</si>
  <si>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</si>
  <si>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</si>
  <si>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</si>
  <si>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</si>
  <si>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</si>
  <si>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</si>
  <si>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</si>
  <si>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</si>
  <si>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</si>
  <si>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</si>
  <si>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</si>
  <si>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</si>
  <si>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</si>
  <si>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</si>
  <si>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</si>
  <si>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</si>
  <si>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</si>
  <si>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</si>
  <si>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</si>
  <si>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</si>
  <si>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</si>
  <si>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</si>
  <si>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</si>
  <si>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</si>
  <si>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</si>
  <si>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</si>
  <si>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</si>
  <si>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</si>
  <si>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</si>
  <si>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</si>
  <si>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</si>
  <si>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</si>
  <si>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</si>
  <si>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</si>
  <si>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</si>
  <si>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</si>
  <si>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</si>
  <si>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</si>
  <si>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</si>
  <si>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</si>
  <si>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</si>
  <si>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</si>
  <si>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</si>
  <si>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</si>
  <si>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</si>
  <si>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</si>
  <si>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</si>
  <si>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</si>
  <si>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</si>
  <si>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</si>
  <si>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</si>
  <si>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</si>
  <si>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</si>
  <si>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</si>
  <si>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</si>
  <si>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</si>
  <si>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</si>
  <si>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</si>
  <si>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</si>
  <si>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</si>
  <si>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</si>
  <si>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</si>
  <si>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</si>
  <si>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</si>
  <si>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</si>
  <si>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</si>
  <si>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</si>
  <si>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</si>
  <si>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</si>
  <si>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</si>
  <si>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</si>
  <si>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</si>
  <si>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</si>
  <si>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</si>
  <si>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</si>
  <si>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</si>
  <si>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</si>
  <si>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</si>
  <si>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</si>
  <si>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</si>
  <si>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</si>
  <si>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</si>
  <si>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</si>
  <si>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</si>
  <si>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</si>
  <si>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</si>
  <si>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</si>
  <si>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</si>
  <si>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</si>
  <si>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</si>
  <si>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</si>
  <si>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</si>
  <si>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</si>
  <si>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</si>
  <si>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</si>
  <si>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</si>
  <si>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</si>
  <si>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</si>
  <si>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</si>
  <si>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</si>
  <si>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</si>
  <si>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</si>
  <si>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</si>
  <si>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</si>
  <si>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</si>
  <si>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</si>
  <si>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</si>
  <si>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</si>
  <si>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</si>
  <si>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</si>
  <si>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</si>
  <si>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</si>
  <si>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</si>
  <si>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</si>
  <si>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</si>
  <si>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</si>
  <si>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</si>
  <si>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</si>
  <si>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</si>
  <si>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</si>
  <si>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</si>
  <si>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</si>
  <si>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</si>
  <si>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</si>
  <si>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</si>
  <si>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</si>
  <si>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</si>
  <si>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</si>
  <si>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</si>
  <si>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</si>
  <si>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</si>
  <si>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</si>
  <si>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</si>
  <si>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</si>
  <si>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</si>
  <si>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</si>
  <si>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</si>
  <si>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</si>
  <si>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</si>
  <si>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</si>
  <si>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</si>
  <si>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</si>
  <si>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</si>
  <si>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</si>
  <si>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</si>
  <si>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</si>
  <si>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</si>
  <si>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</si>
  <si>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</si>
  <si>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</si>
  <si>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</si>
  <si>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</si>
  <si>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</si>
  <si>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</si>
  <si>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</si>
  <si>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</si>
  <si>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</si>
  <si>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</si>
  <si>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</si>
  <si>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</si>
  <si>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</si>
  <si>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</si>
  <si>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</si>
  <si>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</si>
  <si>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</si>
  <si>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</si>
  <si>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</si>
  <si>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</si>
  <si>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</si>
  <si>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</si>
  <si>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</si>
  <si>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</si>
  <si>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</si>
  <si>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</si>
  <si>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</si>
  <si>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</si>
  <si>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</si>
  <si>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</si>
  <si>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</si>
  <si>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</si>
  <si>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</si>
  <si>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</si>
  <si>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</si>
  <si>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</si>
  <si>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</si>
  <si>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</si>
  <si>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</si>
  <si>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</si>
  <si>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</si>
  <si>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</si>
  <si>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</si>
  <si>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</si>
  <si>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</si>
  <si>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</si>
  <si>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</si>
  <si>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</si>
  <si>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</si>
  <si>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</si>
  <si>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</si>
  <si>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</si>
  <si>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</si>
  <si>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</si>
  <si>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</si>
  <si>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</si>
  <si>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</si>
  <si>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</si>
  <si>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</si>
  <si>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</si>
  <si>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</si>
  <si>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</si>
  <si>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</si>
  <si>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</si>
  <si>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</si>
  <si>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</si>
  <si>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</si>
  <si>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</si>
  <si>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</si>
  <si>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</si>
  <si>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</si>
  <si>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</si>
  <si>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</si>
  <si>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</si>
  <si>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</si>
  <si>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</si>
  <si>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</si>
  <si>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</si>
  <si>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</si>
  <si>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</si>
  <si>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</si>
  <si>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</si>
  <si>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</si>
  <si>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</si>
  <si>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</si>
  <si>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</si>
  <si>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</si>
  <si>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</si>
  <si>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</si>
  <si>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</si>
  <si>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</si>
  <si>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</si>
  <si>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</si>
  <si>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</si>
  <si>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</si>
  <si>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</si>
  <si>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</si>
  <si>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</si>
  <si>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</si>
  <si>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</si>
  <si>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</si>
  <si>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</si>
  <si>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</si>
  <si>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</si>
  <si>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</si>
  <si>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</si>
  <si>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</si>
  <si>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</si>
  <si>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</si>
  <si>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</si>
  <si>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</si>
  <si>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</si>
  <si>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</si>
  <si>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</si>
  <si>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</si>
  <si>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</si>
  <si>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</si>
  <si>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</si>
  <si>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</si>
  <si>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</si>
  <si>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</si>
  <si>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</si>
  <si>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</si>
  <si>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</si>
  <si>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</si>
  <si>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</si>
  <si>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</si>
  <si>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</si>
  <si>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</si>
  <si>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</si>
  <si>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</si>
  <si>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</si>
  <si>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</si>
  <si>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</si>
  <si>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</si>
  <si>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</si>
  <si>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</si>
  <si>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</si>
  <si>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</si>
  <si>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</si>
  <si>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</si>
  <si>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</si>
  <si>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</si>
  <si>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</si>
  <si>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</si>
  <si>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</si>
  <si>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</si>
  <si>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</si>
  <si>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</si>
  <si>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</si>
  <si>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</si>
  <si>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</si>
  <si>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</si>
  <si>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</si>
  <si>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</si>
  <si>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</si>
  <si>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</si>
  <si>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</si>
  <si>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</si>
  <si>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</si>
  <si>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</si>
  <si>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</si>
  <si>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</si>
  <si>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</si>
  <si>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</si>
  <si>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</si>
  <si>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</si>
  <si>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</si>
  <si>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</si>
  <si>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</si>
  <si>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</si>
  <si>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</si>
  <si>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</si>
  <si>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</si>
  <si>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</si>
  <si>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</si>
  <si>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</si>
  <si>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</si>
  <si>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</si>
  <si>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</si>
  <si>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</si>
  <si>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</si>
  <si>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</si>
  <si>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</si>
  <si>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</si>
  <si>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</si>
  <si>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</si>
  <si>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</si>
  <si>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</si>
  <si>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</si>
  <si>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</si>
  <si>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</si>
  <si>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</si>
  <si>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</si>
  <si>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</si>
  <si>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</si>
  <si>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</si>
  <si>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</si>
  <si>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</si>
  <si>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</si>
  <si>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</si>
  <si>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</si>
  <si>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</si>
  <si>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</si>
  <si>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</si>
  <si>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</si>
  <si>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</si>
  <si>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</si>
  <si>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</si>
  <si>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</si>
  <si>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</si>
  <si>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</si>
  <si>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</si>
  <si>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</si>
  <si>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</si>
  <si>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</si>
  <si>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</si>
  <si>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</si>
  <si>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</si>
  <si>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</si>
  <si>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</si>
  <si>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</si>
  <si>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</si>
  <si>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</si>
  <si>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</si>
  <si>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</si>
  <si>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</si>
  <si>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</si>
  <si>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</si>
  <si>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</si>
  <si>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</si>
  <si>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</si>
  <si>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</si>
  <si>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</si>
  <si>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</si>
  <si>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</si>
  <si>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</si>
  <si>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</si>
  <si>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</si>
  <si>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</si>
  <si>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</si>
  <si>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</si>
  <si>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</si>
  <si>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</si>
  <si>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</si>
  <si>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</si>
  <si>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</si>
  <si>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</si>
  <si>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</si>
  <si>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</si>
  <si>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</si>
  <si>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</si>
  <si>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</si>
  <si>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</si>
  <si>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</si>
  <si>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</si>
  <si>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</si>
  <si>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</si>
  <si>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</si>
  <si>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</si>
  <si>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</si>
  <si>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</si>
  <si>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</si>
  <si>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</si>
  <si>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</si>
  <si>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</si>
  <si>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</si>
  <si>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</si>
  <si>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</si>
  <si>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</si>
  <si>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</si>
  <si>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</si>
  <si>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</si>
  <si>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</si>
  <si>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</si>
  <si>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</si>
  <si>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</si>
  <si>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</si>
  <si>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</si>
  <si>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</si>
  <si>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</si>
  <si>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</si>
  <si>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</si>
  <si>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</si>
  <si>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</si>
  <si>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</si>
  <si>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</si>
  <si>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</si>
  <si>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</si>
  <si>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</si>
  <si>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</si>
  <si>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</si>
  <si>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</si>
  <si>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</si>
  <si>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</si>
  <si>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</si>
  <si>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</si>
  <si>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</si>
  <si>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</si>
  <si>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</si>
  <si>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</si>
  <si>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</si>
  <si>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</si>
  <si>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</si>
  <si>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</si>
  <si>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</si>
  <si>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</si>
  <si>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</si>
  <si>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</si>
  <si>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</si>
  <si>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</si>
  <si>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</si>
  <si>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</si>
  <si>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</si>
  <si>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</si>
  <si>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</si>
  <si>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</si>
  <si>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</si>
  <si>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</si>
  <si>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</si>
  <si>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</si>
  <si>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</si>
  <si>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</si>
  <si>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</si>
  <si>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</si>
  <si>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</si>
  <si>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</si>
  <si>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</si>
  <si>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</si>
  <si>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</si>
  <si>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</si>
  <si>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</si>
  <si>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</si>
  <si>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</si>
  <si>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</si>
  <si>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</si>
  <si>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</si>
  <si>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</si>
  <si>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</si>
  <si>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</si>
  <si>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</si>
  <si>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</si>
  <si>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</si>
  <si>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</si>
  <si>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</si>
  <si>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</si>
  <si>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</si>
  <si>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</si>
  <si>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</si>
  <si>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</si>
  <si>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</si>
  <si>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</si>
  <si>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</si>
  <si>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</si>
  <si>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</si>
  <si>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</si>
  <si>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</si>
  <si>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</si>
  <si>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</si>
  <si>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</si>
  <si>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</si>
  <si>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</si>
  <si>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</si>
  <si>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</si>
  <si>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</si>
  <si>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</si>
  <si>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</si>
  <si>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</si>
  <si>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</si>
  <si>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</si>
  <si>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</si>
  <si>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</si>
  <si>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</si>
  <si>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</si>
  <si>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</si>
  <si>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</si>
  <si>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</si>
  <si>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</si>
  <si>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</si>
  <si>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</si>
  <si>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</si>
  <si>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</si>
  <si>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</si>
  <si>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</si>
  <si>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</si>
  <si>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</si>
  <si>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</si>
  <si>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</si>
  <si>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</si>
  <si>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</si>
  <si>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</si>
  <si>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</si>
  <si>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</si>
  <si>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</si>
  <si>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</si>
  <si>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</si>
  <si>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</si>
  <si>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</si>
  <si>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</si>
  <si>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</si>
  <si>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</si>
  <si>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</si>
  <si>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</si>
  <si>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</si>
  <si>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</si>
  <si>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</si>
  <si>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</si>
  <si>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</si>
  <si>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</si>
  <si>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</si>
  <si>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</si>
  <si>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</si>
  <si>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</si>
  <si>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</si>
  <si>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</si>
  <si>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</si>
  <si>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</si>
  <si>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</si>
  <si>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</si>
  <si>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</si>
  <si>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</si>
  <si>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</si>
  <si>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</si>
  <si>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</si>
  <si>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</si>
  <si>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</si>
  <si>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</si>
  <si>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</si>
  <si>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</si>
  <si>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</si>
  <si>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</si>
  <si>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</si>
  <si>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</si>
  <si>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</si>
  <si>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</si>
  <si>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</si>
  <si>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</si>
  <si>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</si>
  <si>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</si>
  <si>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</si>
  <si>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</si>
  <si>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</si>
  <si>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</si>
  <si>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</si>
  <si>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</si>
  <si>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</si>
  <si>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</si>
  <si>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</si>
  <si>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</si>
  <si>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</si>
  <si>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</si>
  <si>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</si>
  <si>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</si>
  <si>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</si>
  <si>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</si>
  <si>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</si>
  <si>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</si>
  <si>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</si>
  <si>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</si>
  <si>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</si>
  <si>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</si>
  <si>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</si>
  <si>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</si>
  <si>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</si>
  <si>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</si>
  <si>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</si>
  <si>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</si>
  <si>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</si>
  <si>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</si>
  <si>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</si>
  <si>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</si>
  <si>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</si>
  <si>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</si>
  <si>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</si>
  <si>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</si>
  <si>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</si>
  <si>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</si>
  <si>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</si>
  <si>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</si>
  <si>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</si>
  <si>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</si>
  <si>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</si>
  <si>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</si>
  <si>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</si>
  <si>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</si>
  <si>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</si>
  <si>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</si>
  <si>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</si>
  <si>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</si>
  <si>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</si>
  <si>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</si>
  <si>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</si>
  <si>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</si>
  <si>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</si>
  <si>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</si>
  <si>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</si>
  <si>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</si>
  <si>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</si>
  <si>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</si>
  <si>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</si>
  <si>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</si>
  <si>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</si>
  <si>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</si>
  <si>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</si>
  <si>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</si>
  <si>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</si>
  <si>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</si>
  <si>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</si>
  <si>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</si>
  <si>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</si>
  <si>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</si>
  <si>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</si>
  <si>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</si>
  <si>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</si>
  <si>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</si>
  <si>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</si>
  <si>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</si>
  <si>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</si>
  <si>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</si>
  <si>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</si>
  <si>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</si>
  <si>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</si>
  <si>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</si>
  <si>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</si>
  <si>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</si>
  <si>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</si>
  <si>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</si>
  <si>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</si>
  <si>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</si>
  <si>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</si>
  <si>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</si>
  <si>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</si>
  <si>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</si>
  <si>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</si>
  <si>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</si>
  <si>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</si>
  <si>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</si>
  <si>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</si>
  <si>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</si>
  <si>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</si>
  <si>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</si>
  <si>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</si>
  <si>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</si>
  <si>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</si>
  <si>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</si>
  <si>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</si>
  <si>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</si>
  <si>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</si>
  <si>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</si>
  <si>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</si>
  <si>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</si>
  <si>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</si>
  <si>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</si>
  <si>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</si>
  <si>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</si>
  <si>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</si>
  <si>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</si>
  <si>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</si>
  <si>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</si>
  <si>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</si>
  <si>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</si>
  <si>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</si>
  <si>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</si>
  <si>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</si>
  <si>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</si>
  <si>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</si>
  <si>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</si>
  <si>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</si>
  <si>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</si>
  <si>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</si>
  <si>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</si>
  <si>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</si>
  <si>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</si>
  <si>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</si>
  <si>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</si>
  <si>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</si>
  <si>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</si>
  <si>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</si>
  <si>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</si>
  <si>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</si>
  <si>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</si>
  <si>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</si>
  <si>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</si>
  <si>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</si>
  <si>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</si>
  <si>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</si>
  <si>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</si>
  <si>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</si>
  <si>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</si>
  <si>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</si>
  <si>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</si>
  <si>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</si>
  <si>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</si>
  <si>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</si>
  <si>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</si>
  <si>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</si>
  <si>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</si>
  <si>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</si>
  <si>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</si>
  <si>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</si>
  <si>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</si>
  <si>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</si>
  <si>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</si>
  <si>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</si>
  <si>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</si>
  <si>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</si>
  <si>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</si>
  <si>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</si>
  <si>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</si>
  <si>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</si>
  <si>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</si>
  <si>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</si>
  <si>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</si>
  <si>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</si>
  <si>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</si>
  <si>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</si>
  <si>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</si>
  <si>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</si>
  <si>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</si>
  <si>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</si>
  <si>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</si>
  <si>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</si>
  <si>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</si>
  <si>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</si>
  <si>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</si>
  <si>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</si>
  <si>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</si>
  <si>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</si>
  <si>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</si>
  <si>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</si>
  <si>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</si>
  <si>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</si>
  <si>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</si>
  <si>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</si>
  <si>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</si>
  <si>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</si>
  <si>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</si>
  <si>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</si>
  <si>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</si>
  <si>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</si>
  <si>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</si>
  <si>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</si>
  <si>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</si>
  <si>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</si>
  <si>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</si>
  <si>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</si>
  <si>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</si>
  <si>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</si>
  <si>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</si>
  <si>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</si>
  <si>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</si>
  <si>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</si>
  <si>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</si>
  <si>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</si>
  <si>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</si>
  <si>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</si>
  <si>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</si>
  <si>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</si>
  <si>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</si>
  <si>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</si>
  <si>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</si>
  <si>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</si>
  <si>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</si>
  <si>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</si>
  <si>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</si>
  <si>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</si>
  <si>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</si>
  <si>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</si>
  <si>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</si>
  <si>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</si>
  <si>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</si>
  <si>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</si>
  <si>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</si>
  <si>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</si>
  <si>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</si>
  <si>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</si>
  <si>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</si>
  <si>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</si>
  <si>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</si>
  <si>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</si>
  <si>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</si>
  <si>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</si>
  <si>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</si>
  <si>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</si>
  <si>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</si>
  <si>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</si>
  <si>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</si>
  <si>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</si>
  <si>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</si>
  <si>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</si>
  <si>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</si>
  <si>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</si>
  <si>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</si>
  <si>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</si>
  <si>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</si>
  <si>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</si>
  <si>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</si>
  <si>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</si>
  <si>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</si>
  <si>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</si>
  <si>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</si>
  <si>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</si>
  <si>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</si>
  <si>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</si>
  <si>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</si>
  <si>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</si>
  <si>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</si>
  <si>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</si>
  <si>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</si>
  <si>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</si>
  <si>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</si>
  <si>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</si>
  <si>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</si>
  <si>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</si>
  <si>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</si>
  <si>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</si>
  <si>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</si>
  <si>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</si>
  <si>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</si>
  <si>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</si>
  <si>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</si>
  <si>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</si>
  <si>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</si>
  <si>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</si>
  <si>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</si>
  <si>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</si>
  <si>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</si>
  <si>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</si>
  <si>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</si>
  <si>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</si>
  <si>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</si>
  <si>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</si>
  <si>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</si>
  <si>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</si>
  <si>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</si>
  <si>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</si>
  <si>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</si>
  <si>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</si>
  <si>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</si>
  <si>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</si>
  <si>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</si>
  <si>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</si>
  <si>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</si>
  <si>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</si>
  <si>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</si>
  <si>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</si>
  <si>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</si>
  <si>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</si>
  <si>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</si>
  <si>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</si>
  <si>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</si>
  <si>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</si>
  <si>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</si>
  <si>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</si>
  <si>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</si>
  <si>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</si>
  <si>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</si>
  <si>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</si>
  <si>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</si>
  <si>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</si>
  <si>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</si>
  <si>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</si>
  <si>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</si>
  <si>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</si>
  <si>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</si>
  <si>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</si>
  <si>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</si>
  <si>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</si>
  <si>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</si>
  <si>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</si>
  <si>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</si>
  <si>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</si>
  <si>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</si>
  <si>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</si>
  <si>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</si>
  <si>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</si>
  <si>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</si>
  <si>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</si>
  <si>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</si>
  <si>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</si>
  <si>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</si>
  <si>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</si>
  <si>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</si>
  <si>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</si>
  <si>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</si>
  <si>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</si>
  <si>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</si>
  <si>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</si>
  <si>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</si>
  <si>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</si>
  <si>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</si>
  <si>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</si>
  <si>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</si>
  <si>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</si>
  <si>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</si>
  <si>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</si>
  <si>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</si>
  <si>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</si>
  <si>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</si>
  <si>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</si>
  <si>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</si>
  <si>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</si>
  <si>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</si>
  <si>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</si>
  <si>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</si>
  <si>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</si>
  <si>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</si>
  <si>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</si>
  <si>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</si>
  <si>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</si>
  <si>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</si>
  <si>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</si>
  <si>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</si>
  <si>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</si>
  <si>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</si>
  <si>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</si>
  <si>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</si>
  <si>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</si>
  <si>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</si>
  <si>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</si>
  <si>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</si>
  <si>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</si>
  <si>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</si>
  <si>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</si>
  <si>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</si>
  <si>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</si>
  <si>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</si>
  <si>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</si>
  <si>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</si>
  <si>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</si>
  <si>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</si>
  <si>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</si>
  <si>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</si>
  <si>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</si>
  <si>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</si>
  <si>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</si>
  <si>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</si>
  <si>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</si>
  <si>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</si>
  <si>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</si>
  <si>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</si>
  <si>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</si>
  <si>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使自身进入隐身状态, 持续6秒。如果隐身期间受到任何伤害会主动现身，隐身后的第一次攻击额外造成200%伤害，并眩晕2秒。</t>
    <phoneticPr fontId="47" type="noConversion"/>
  </si>
  <si>
    <t>使自身进入隐身状态, 持续6秒。如果隐身期间受到任何伤害会主动现身，隐身后的第一次攻击额外造成300%伤害，并眩晕2秒。</t>
    <phoneticPr fontId="47" type="noConversion"/>
  </si>
  <si>
    <t>使自身进入隐身状态, 持续6秒。如果隐身期间受到任何伤害会主动现身，隐身后的第一次攻击额外造成350%伤害，并眩晕2秒。</t>
    <phoneticPr fontId="47" type="noConversion"/>
  </si>
  <si>
    <t>使自身进入隐身状态, 持续6秒。如果隐身期间受到任何伤害会主动现身，隐身后的第一次攻击额外造成400%伤害，并眩晕2秒。</t>
    <phoneticPr fontId="47" type="noConversion"/>
  </si>
  <si>
    <t>使自身进入隐身状态, 持续6秒。如果隐身期间受到任何伤害会主动现身，隐身后的第一次攻击额外造成250%伤害，并眩晕2秒。</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</si>
</sst>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02240058595539"/>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Tahoma"/>
      <family val="2"/>
    </font>
    <font>
      <sz val="9"/>
      <name val="宋体"/>
      <family val="3"/>
      <charset val="134"/>
    </font>
    <font>
      <b/>
      <sz val="9"/>
      <name val="宋体"/>
      <family val="3"/>
      <charset val="134"/>
    </font>
    <font>
      <sz val="9"/>
      <name val="Tahoma"/>
      <family val="2"/>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239112521744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4528946806239"/>
        <bgColor indexed="64"/>
      </patternFill>
    </fill>
    <fill>
      <patternFill patternType="solid">
        <fgColor theme="3" tint="0.79949339274269848"/>
        <bgColor indexed="64"/>
      </patternFill>
    </fill>
    <fill>
      <patternFill patternType="solid">
        <fgColor theme="4" tint="0.79949339274269848"/>
        <bgColor indexed="64"/>
      </patternFill>
    </fill>
    <fill>
      <patternFill patternType="solid">
        <fgColor theme="8" tint="-0.249977111117893"/>
        <bgColor indexed="64"/>
      </patternFill>
    </fill>
    <fill>
      <patternFill patternType="solid">
        <fgColor theme="7" tint="0.39921262245551925"/>
        <bgColor indexed="64"/>
      </patternFill>
    </fill>
    <fill>
      <patternFill patternType="solid">
        <fgColor theme="0" tint="-0.14801477095858639"/>
        <bgColor indexed="64"/>
      </patternFill>
    </fill>
    <fill>
      <patternFill patternType="solid">
        <fgColor rgb="FFFFC000"/>
        <bgColor indexed="64"/>
      </patternFill>
    </fill>
    <fill>
      <patternFill patternType="solid">
        <fgColor theme="0" tint="-0.14807580797753839"/>
        <bgColor indexed="64"/>
      </patternFill>
    </fill>
    <fill>
      <patternFill patternType="solid">
        <fgColor theme="0" tint="-0.14841151158177435"/>
        <bgColor indexed="64"/>
      </patternFill>
    </fill>
    <fill>
      <patternFill patternType="solid">
        <fgColor theme="0" tint="-0.14853358561967833"/>
        <bgColor indexed="64"/>
      </patternFill>
    </fill>
    <fill>
      <patternFill patternType="solid">
        <fgColor theme="0" tint="-0.14835047456282235"/>
        <bgColor indexed="64"/>
      </patternFill>
    </fill>
    <fill>
      <patternFill patternType="solid">
        <fgColor theme="0" tint="-0.14874721518601031"/>
        <bgColor indexed="64"/>
      </patternFill>
    </fill>
    <fill>
      <patternFill patternType="solid">
        <fgColor theme="3" tint="0.79946287423322249"/>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9918820764794"/>
        <bgColor indexed="64"/>
      </patternFill>
    </fill>
    <fill>
      <patternFill patternType="solid">
        <fgColor theme="4" tint="0.39802240058595539"/>
        <bgColor indexed="64"/>
      </patternFill>
    </fill>
    <fill>
      <patternFill patternType="solid">
        <fgColor theme="5" tint="0.3979918820764794"/>
        <bgColor indexed="64"/>
      </patternFill>
    </fill>
    <fill>
      <patternFill patternType="solid">
        <fgColor theme="5" tint="0.39802240058595539"/>
        <bgColor indexed="64"/>
      </patternFill>
    </fill>
    <fill>
      <patternFill patternType="solid">
        <fgColor theme="6" tint="0.3979918820764794"/>
        <bgColor indexed="64"/>
      </patternFill>
    </fill>
    <fill>
      <patternFill patternType="solid">
        <fgColor theme="6" tint="0.39802240058595539"/>
        <bgColor indexed="64"/>
      </patternFill>
    </fill>
    <fill>
      <patternFill patternType="solid">
        <fgColor theme="7" tint="0.3979918820764794"/>
        <bgColor indexed="64"/>
      </patternFill>
    </fill>
    <fill>
      <patternFill patternType="solid">
        <fgColor theme="7" tint="0.39802240058595539"/>
        <bgColor indexed="64"/>
      </patternFill>
    </fill>
    <fill>
      <patternFill patternType="solid">
        <fgColor theme="8" tint="0.3979918820764794"/>
        <bgColor indexed="64"/>
      </patternFill>
    </fill>
    <fill>
      <patternFill patternType="solid">
        <fgColor theme="8" tint="0.39802240058595539"/>
        <bgColor indexed="64"/>
      </patternFill>
    </fill>
    <fill>
      <patternFill patternType="solid">
        <fgColor theme="9" tint="0.3979918820764794"/>
        <bgColor indexed="64"/>
      </patternFill>
    </fill>
    <fill>
      <patternFill patternType="solid">
        <fgColor theme="9" tint="0.398022400585955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13" fillId="9" borderId="3" xfId="0" applyNumberFormat="1" applyFont="1" applyFill="1" applyBorder="1" applyAlignment="1">
      <alignment horizontal="left"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49" fontId="3" fillId="9"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29" fillId="10" borderId="4" xfId="0"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2" borderId="4" xfId="0" applyFont="1" applyFill="1" applyBorder="1" applyAlignment="1">
      <alignment horizontal="center" vertical="center"/>
    </xf>
    <xf numFmtId="49" fontId="7" fillId="22" borderId="0" xfId="0" applyNumberFormat="1"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NumberFormat="1" applyFont="1" applyFill="1" applyBorder="1" applyAlignment="1">
      <alignment horizontal="left" vertical="center"/>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60039B44-FC43-4DBB-891B-335DC542FAA5}">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52"/>
  <sheetViews>
    <sheetView showGridLines="0" tabSelected="1" workbookViewId="0">
      <pane xSplit="4" ySplit="5" topLeftCell="BG6" activePane="bottomRight" state="frozen"/>
      <selection pane="topRight"/>
      <selection pane="bottomLeft"/>
      <selection pane="bottomRight" activeCell="BH14" sqref="BH14"/>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1"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2"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691</v>
      </c>
      <c r="AU185" s="334"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732</v>
      </c>
      <c r="AU201" s="336"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7"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8" t="s">
        <v>806</v>
      </c>
      <c r="AU225" s="339"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0"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5" t="s">
        <v>819</v>
      </c>
      <c r="AU228" s="339"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5" t="s">
        <v>822</v>
      </c>
      <c r="AU229" s="339"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920</v>
      </c>
      <c r="AU267" s="339"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1"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2"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1184</v>
      </c>
      <c r="AV385" s="100"/>
      <c r="AW385" s="99" t="s">
        <v>199</v>
      </c>
      <c r="AX385" s="100" t="s">
        <v>545</v>
      </c>
      <c r="AY385" s="100">
        <v>10001005</v>
      </c>
      <c r="AZ385" s="337"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1190</v>
      </c>
      <c r="AU386" s="340" t="s">
        <v>1191</v>
      </c>
      <c r="AV386" s="101"/>
      <c r="AW386" s="102" t="s">
        <v>198</v>
      </c>
      <c r="AX386" s="101" t="s">
        <v>534</v>
      </c>
      <c r="AY386" s="100">
        <v>0</v>
      </c>
      <c r="AZ386" s="337"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7"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7"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9"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7"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1214</v>
      </c>
      <c r="AU391" s="344"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4"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1234</v>
      </c>
      <c r="AV396" s="79"/>
      <c r="AW396" s="59" t="s">
        <v>199</v>
      </c>
      <c r="AX396" s="60" t="s">
        <v>534</v>
      </c>
      <c r="AY396" s="64">
        <v>10000007</v>
      </c>
      <c r="AZ396" s="332"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1234</v>
      </c>
      <c r="AV397" s="79"/>
      <c r="AW397" s="63" t="s">
        <v>256</v>
      </c>
      <c r="AX397" s="60" t="s">
        <v>534</v>
      </c>
      <c r="AY397" s="64">
        <v>10000007</v>
      </c>
      <c r="AZ397" s="332"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1234</v>
      </c>
      <c r="AV398" s="79"/>
      <c r="AW398" s="59" t="s">
        <v>199</v>
      </c>
      <c r="AX398" s="60" t="s">
        <v>534</v>
      </c>
      <c r="AY398" s="64">
        <v>10000007</v>
      </c>
      <c r="AZ398" s="332"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1252</v>
      </c>
      <c r="AU399" s="334"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5"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1278</v>
      </c>
      <c r="AU405" s="345"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5"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1293</v>
      </c>
      <c r="AV408" s="100"/>
      <c r="AW408" s="102" t="s">
        <v>287</v>
      </c>
      <c r="AX408" s="100" t="s">
        <v>545</v>
      </c>
      <c r="AY408" s="100">
        <v>10001005</v>
      </c>
      <c r="AZ408" s="337"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198</v>
      </c>
      <c r="AV410" s="114"/>
      <c r="AW410" s="99" t="s">
        <v>199</v>
      </c>
      <c r="AX410" s="101" t="s">
        <v>534</v>
      </c>
      <c r="AY410" s="100">
        <v>10000007</v>
      </c>
      <c r="AZ410" s="337"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1311</v>
      </c>
      <c r="AV412" s="114"/>
      <c r="AW412" s="99" t="s">
        <v>617</v>
      </c>
      <c r="AX412" s="101" t="s">
        <v>215</v>
      </c>
      <c r="AY412" s="100">
        <v>10000011</v>
      </c>
      <c r="AZ412" s="337"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198</v>
      </c>
      <c r="AV414" s="114"/>
      <c r="AW414" s="99" t="s">
        <v>199</v>
      </c>
      <c r="AX414" s="101" t="s">
        <v>534</v>
      </c>
      <c r="AY414" s="100">
        <v>10000007</v>
      </c>
      <c r="AZ414" s="337"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7"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"&lt;color=#D3FD3A&gt;裂波击(剑类武器技能):\n&lt;/color&gt;"&amp;BE580&amp;"\n\n&lt;color=#D3FD3A&gt;裂地击(刀类武器技能):\n&lt;/color&gt;"&amp;BE562</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"&lt;color=#D3FD3A&gt;裂波击(剑类武器技能):\n&lt;/color&gt;"&amp;BE581&amp;"\n\n&lt;color=#D3FD3A&gt;裂地击(刀类武器技能):\n&lt;/color&gt;"&amp;BE563</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"&lt;color=#D3FD3A&gt;旋风击(剑类武器技能):\n&lt;/color&gt;"&amp;BE586&amp;"\n\n&lt;color=#D3FD3A&gt;回旋击(刀类武器技能):\n&lt;/color&gt;"&amp;BE568</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"&lt;color=#D3FD3A&gt;旋风击(剑类武器技能):\n&lt;/color&gt;"&amp;BE587&amp;"\n\n&lt;color=#D3FD3A&gt;回旋击(刀类武器技能):\n&lt;/color&gt;"&amp;BE569</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"&lt;color=#D3FD3A&gt;冲锋击(剑类武器技能):\n&lt;/color&gt;"&amp;BE592&amp;"\n\n&lt;color=#D3FD3A&gt;跳跃击(刀类武器技能):\n&lt;/color&gt;"&amp;BE574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"&lt;color=#D3FD3A&gt;冲锋击(剑类武器技能):\n&lt;/color&gt;"&amp;BE593&amp;"\n\n&lt;color=#D3FD3A&gt;跳跃击(刀类武器技能):\n&lt;/color&gt;"&amp;BE575</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"&lt;color=#D3FD3A&gt;"&amp;D691&amp;"(法杖武器技能):\n&lt;/color&gt;"&amp;BE691&amp;"\n\n&lt;color=#D3FD3A&gt;"&amp;D697&amp;"(魔法书武器技能):\n&lt;/color&gt;"&amp;BE697</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"&lt;color=#D3FD3A&gt;"&amp;D703&amp;"(法杖武器技能):\n&lt;/color&gt;"&amp;BE703&amp;"\n\n&lt;color=#D3FD3A&gt;"&amp;D709&amp;"(魔法书类武器技能):\n&lt;/color&gt;"&amp;BE709</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"&lt;color=#D3FD3A&gt;"&amp;D715&amp;"(法杖类武器技能):\n&lt;/color&gt;"&amp;BE715&amp;"\n\n&lt;color=#D3FD3A&gt;"&amp;D721&amp;"(魔法书类武器技能):\n&lt;/color&gt;"&amp;BE721</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"&lt;color=#D3FD3A&gt;"&amp;D833&amp;"(剑类武器技能):\n&lt;/color&gt;"&amp;BE833&amp;"\n\n&lt;color=#D3FD3A&gt;"&amp;D827&amp;"(弓箭类武器技能):\n&lt;/color&gt;"&amp;BE827</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"&lt;color=#D3FD3A&gt;"&amp;D858&amp;"(剑类武器技能):\n&lt;/color&gt;"&amp;BE858&amp;"\n\n&lt;color=#D3FD3A&gt;"&amp;D839&amp;"(弓箭类武器技能):\n&lt;/color&gt;"&amp;BE839</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"&lt;color=#D3FD3A&gt;"&amp;D870&amp;"(剑类武器技能):\n&lt;/color&gt;"&amp;BE870&amp;"\n\n&lt;color=#D3FD3A&gt;"&amp;D864&amp;"(弓箭类武器技能):\n&lt;/color&gt;"&amp;BE864</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"&lt;color=#D3FD3A&gt;"&amp;D968&amp;"(法杖武器技能):\n&lt;/color&gt;"&amp;BE968&amp;"\n\n&lt;color=#D3FD3A&gt;"&amp;D994&amp;"(魔法书武器技能):\n&lt;/color&gt;"&amp;BE994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"&lt;color=#D3FD3A&gt;"&amp;D969&amp;"(法杖武器技能):\n&lt;/color&gt;"&amp;BE969&amp;"\n\n&lt;color=#D3FD3A&gt;"&amp;D995&amp;"(魔法书武器技能):\n&lt;/color&gt;"&amp;BE995</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"&lt;color=#D3FD3A&gt;"&amp;D975&amp;"(法杖武器技能):\n&lt;/color&gt;"&amp;BE975&amp;"\n\n&lt;color=#D3FD3A&gt;"&amp;D1001&amp;"(魔法书武器技能):\n&lt;/color&gt;"&amp;BE1001</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"&lt;color=#D3FD3A&gt;"&amp;D980&amp;"(法杖武器技能):\n&lt;/color&gt;"&amp;BE980&amp;"\n\n&lt;color=#D3FD3A&gt;"&amp;D727&amp;"(魔法书武器技能):\n&lt;/color&gt;"&amp;BE1006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"&lt;color=#D3FD3A&gt;"&amp;D981&amp;"(法杖武器技能):\n&lt;/color&gt;"&amp;BE981&amp;"\n\n&lt;color=#D3FD3A&gt;"&amp;D728&amp;"(魔法书武器技能):\n&lt;/color&gt;"&amp;BE1007</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"&lt;color=#D3FD3A&gt;破界巨刃(刀类武器技能):\n&lt;/color&gt;"&amp;BE1125&amp;"\n\n&lt;color=#D3FD3A&gt;裂空之击(弓箭类武器技能):\n&lt;/color&gt;"&amp;BE1143</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"&lt;color=#D3FD3A&gt;咆哮之击(刀类武器技能):\n&lt;/color&gt;"&amp;BE1131&amp;"\n\n&lt;color=#D3FD3A&gt;疾风标记(弓箭类武器技能):\n&lt;/color&gt;"&amp;BE1149</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"&lt;color=#D3FD3A&gt;跃空击(刀类武器技能):\n&lt;/color&gt;"&amp;BE1137&amp;"\n\n&lt;color=#D3FD3A&gt;急速射击(弓箭类武器技能):\n&lt;/color&gt;"&amp;BE1155</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0.4</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0.5</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0.4</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60000801</v>
      </c>
      <c r="D559" s="17" t="s">
        <v>229</v>
      </c>
      <c r="E559" s="17" t="s">
        <v>230</v>
      </c>
      <c r="F559" s="16">
        <v>1</v>
      </c>
      <c r="G559" s="16">
        <v>60010300</v>
      </c>
      <c r="H559" s="16">
        <v>60000802</v>
      </c>
      <c r="I559" s="27">
        <v>2</v>
      </c>
      <c r="J559" s="16">
        <v>1</v>
      </c>
      <c r="K559" s="16">
        <v>3</v>
      </c>
      <c r="L559" s="16">
        <v>0</v>
      </c>
      <c r="M559" s="16">
        <v>0</v>
      </c>
      <c r="N559" s="16">
        <v>0</v>
      </c>
      <c r="O559" s="16">
        <v>1</v>
      </c>
      <c r="P559" s="16">
        <v>0</v>
      </c>
      <c r="Q559" s="16">
        <v>0</v>
      </c>
      <c r="R559" s="16">
        <v>0</v>
      </c>
      <c r="S559" s="12">
        <v>0</v>
      </c>
      <c r="T559" s="16">
        <v>60000102</v>
      </c>
      <c r="U559" s="16">
        <v>0</v>
      </c>
      <c r="V559" s="16">
        <v>2</v>
      </c>
      <c r="W559" s="16">
        <v>0</v>
      </c>
      <c r="X559" s="16">
        <v>1.5</v>
      </c>
      <c r="Y559" s="12">
        <v>0</v>
      </c>
      <c r="Z559" s="18">
        <v>0</v>
      </c>
      <c r="AA559" s="16">
        <v>0</v>
      </c>
      <c r="AB559" s="16">
        <v>0</v>
      </c>
      <c r="AC559" s="16">
        <v>0</v>
      </c>
      <c r="AD559" s="16">
        <v>1</v>
      </c>
      <c r="AE559" s="16">
        <v>0</v>
      </c>
      <c r="AF559" s="16">
        <v>0</v>
      </c>
      <c r="AG559" s="16">
        <v>2</v>
      </c>
      <c r="AH559" s="16" t="s">
        <v>231</v>
      </c>
      <c r="AI559" s="12">
        <v>2</v>
      </c>
      <c r="AJ559" s="12">
        <v>0</v>
      </c>
      <c r="AK559" s="12">
        <v>1</v>
      </c>
      <c r="AL559" s="12">
        <v>3</v>
      </c>
      <c r="AM559" s="16">
        <v>0</v>
      </c>
      <c r="AN559" s="16">
        <v>0</v>
      </c>
      <c r="AO559" s="16">
        <v>0</v>
      </c>
      <c r="AP559" s="16">
        <v>0.4</v>
      </c>
      <c r="AQ559" s="16">
        <v>1500</v>
      </c>
      <c r="AR559" s="16">
        <v>0.4</v>
      </c>
      <c r="AS559" s="16">
        <v>0</v>
      </c>
      <c r="AT559" s="12">
        <v>90001082</v>
      </c>
      <c r="AU559" s="16">
        <v>0</v>
      </c>
      <c r="AV559" s="16"/>
      <c r="AW559" s="17" t="s">
        <v>232</v>
      </c>
      <c r="AX559" s="16" t="s">
        <v>233</v>
      </c>
      <c r="AY559" s="18">
        <v>10000001</v>
      </c>
      <c r="AZ559" s="18">
        <v>20100010</v>
      </c>
      <c r="BA559" s="17" t="s">
        <v>200</v>
      </c>
      <c r="BB559" s="16">
        <v>0</v>
      </c>
      <c r="BC559" s="27">
        <v>0</v>
      </c>
      <c r="BD559" s="27">
        <v>0</v>
      </c>
      <c r="BE559" s="44"/>
      <c r="BF559" s="44"/>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60000802</v>
      </c>
      <c r="D560" s="17" t="s">
        <v>234</v>
      </c>
      <c r="E560" s="17" t="s">
        <v>235</v>
      </c>
      <c r="F560" s="16">
        <v>1</v>
      </c>
      <c r="G560" s="16">
        <v>60010300</v>
      </c>
      <c r="H560" s="16">
        <v>60000803</v>
      </c>
      <c r="I560" s="27">
        <v>2</v>
      </c>
      <c r="J560" s="16">
        <v>1</v>
      </c>
      <c r="K560" s="16">
        <v>3</v>
      </c>
      <c r="L560" s="16">
        <v>0</v>
      </c>
      <c r="M560" s="16">
        <v>0</v>
      </c>
      <c r="N560" s="16">
        <v>0</v>
      </c>
      <c r="O560" s="16">
        <v>1</v>
      </c>
      <c r="P560" s="16">
        <v>0</v>
      </c>
      <c r="Q560" s="16">
        <v>0</v>
      </c>
      <c r="R560" s="16">
        <v>0</v>
      </c>
      <c r="S560" s="12">
        <v>0</v>
      </c>
      <c r="T560" s="16">
        <v>60000103</v>
      </c>
      <c r="U560" s="16">
        <v>0</v>
      </c>
      <c r="V560" s="16">
        <v>2</v>
      </c>
      <c r="W560" s="16">
        <v>0</v>
      </c>
      <c r="X560" s="16">
        <v>1.75</v>
      </c>
      <c r="Y560" s="12">
        <v>0</v>
      </c>
      <c r="Z560" s="18">
        <v>0</v>
      </c>
      <c r="AA560" s="16">
        <v>0</v>
      </c>
      <c r="AB560" s="16">
        <v>0</v>
      </c>
      <c r="AC560" s="16">
        <v>0</v>
      </c>
      <c r="AD560" s="16">
        <v>1</v>
      </c>
      <c r="AE560" s="16">
        <v>0</v>
      </c>
      <c r="AF560" s="16">
        <v>0</v>
      </c>
      <c r="AG560" s="16">
        <v>2</v>
      </c>
      <c r="AH560" s="16" t="s">
        <v>231</v>
      </c>
      <c r="AI560" s="12">
        <v>2</v>
      </c>
      <c r="AJ560" s="12">
        <v>0</v>
      </c>
      <c r="AK560" s="12">
        <v>1</v>
      </c>
      <c r="AL560" s="12">
        <v>3</v>
      </c>
      <c r="AM560" s="16">
        <v>0</v>
      </c>
      <c r="AN560" s="16">
        <v>0</v>
      </c>
      <c r="AO560" s="16">
        <v>0</v>
      </c>
      <c r="AP560" s="16">
        <v>0.7</v>
      </c>
      <c r="AQ560" s="16">
        <v>1500</v>
      </c>
      <c r="AR560" s="16">
        <v>0.7</v>
      </c>
      <c r="AS560" s="16">
        <v>0</v>
      </c>
      <c r="AT560" s="12">
        <v>90001082</v>
      </c>
      <c r="AU560" s="16">
        <v>0</v>
      </c>
      <c r="AV560" s="16"/>
      <c r="AW560" s="17" t="s">
        <v>236</v>
      </c>
      <c r="AX560" s="16" t="s">
        <v>233</v>
      </c>
      <c r="AY560" s="18">
        <v>10000001</v>
      </c>
      <c r="AZ560" s="18">
        <v>20100020</v>
      </c>
      <c r="BA560" s="17" t="s">
        <v>200</v>
      </c>
      <c r="BB560" s="16">
        <v>0</v>
      </c>
      <c r="BC560" s="27">
        <v>0</v>
      </c>
      <c r="BD560" s="27">
        <v>0</v>
      </c>
      <c r="BE560" s="44"/>
      <c r="BF560" s="44"/>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60000803</v>
      </c>
      <c r="D561" s="17" t="s">
        <v>237</v>
      </c>
      <c r="E561" s="17" t="s">
        <v>238</v>
      </c>
      <c r="F561" s="16">
        <v>1</v>
      </c>
      <c r="G561" s="16">
        <v>60010300</v>
      </c>
      <c r="H561" s="16">
        <v>60000801</v>
      </c>
      <c r="I561" s="27">
        <v>2</v>
      </c>
      <c r="J561" s="16">
        <v>1</v>
      </c>
      <c r="K561" s="16">
        <v>3</v>
      </c>
      <c r="L561" s="16">
        <v>0</v>
      </c>
      <c r="M561" s="16">
        <v>0</v>
      </c>
      <c r="N561" s="16">
        <v>0</v>
      </c>
      <c r="O561" s="16">
        <v>1</v>
      </c>
      <c r="P561" s="16">
        <v>0</v>
      </c>
      <c r="Q561" s="16">
        <v>0</v>
      </c>
      <c r="R561" s="16">
        <v>0</v>
      </c>
      <c r="S561" s="12">
        <v>0</v>
      </c>
      <c r="T561" s="16">
        <v>60000101</v>
      </c>
      <c r="U561" s="16">
        <v>0</v>
      </c>
      <c r="V561" s="16">
        <v>2</v>
      </c>
      <c r="W561" s="16">
        <v>0</v>
      </c>
      <c r="X561" s="16">
        <v>2.25</v>
      </c>
      <c r="Y561" s="12">
        <v>0</v>
      </c>
      <c r="Z561" s="18">
        <v>0</v>
      </c>
      <c r="AA561" s="16">
        <v>0</v>
      </c>
      <c r="AB561" s="16">
        <v>0</v>
      </c>
      <c r="AC561" s="16">
        <v>0</v>
      </c>
      <c r="AD561" s="16">
        <v>1</v>
      </c>
      <c r="AE561" s="16">
        <v>0</v>
      </c>
      <c r="AF561" s="16">
        <v>0</v>
      </c>
      <c r="AG561" s="16">
        <v>2</v>
      </c>
      <c r="AH561" s="16" t="s">
        <v>231</v>
      </c>
      <c r="AI561" s="12">
        <v>2</v>
      </c>
      <c r="AJ561" s="12">
        <v>0</v>
      </c>
      <c r="AK561" s="12">
        <v>1</v>
      </c>
      <c r="AL561" s="12">
        <v>3</v>
      </c>
      <c r="AM561" s="16">
        <v>0</v>
      </c>
      <c r="AN561" s="16">
        <v>0</v>
      </c>
      <c r="AO561" s="16">
        <v>0</v>
      </c>
      <c r="AP561" s="16">
        <v>0.5</v>
      </c>
      <c r="AQ561" s="16">
        <v>1500</v>
      </c>
      <c r="AR561" s="16">
        <v>0.5</v>
      </c>
      <c r="AS561" s="16">
        <v>0</v>
      </c>
      <c r="AT561" s="12">
        <v>90001082</v>
      </c>
      <c r="AU561" s="16">
        <v>0</v>
      </c>
      <c r="AV561" s="16"/>
      <c r="AW561" s="17" t="s">
        <v>239</v>
      </c>
      <c r="AX561" s="16" t="s">
        <v>233</v>
      </c>
      <c r="AY561" s="18">
        <v>10000001</v>
      </c>
      <c r="AZ561" s="18">
        <v>20100030</v>
      </c>
      <c r="BA561" s="17" t="s">
        <v>200</v>
      </c>
      <c r="BB561" s="16">
        <v>0</v>
      </c>
      <c r="BC561" s="27">
        <v>0</v>
      </c>
      <c r="BD561" s="27">
        <v>0</v>
      </c>
      <c r="BE561" s="44"/>
      <c r="BF561" s="44"/>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61011101</v>
      </c>
      <c r="D562" s="17" t="s">
        <v>598</v>
      </c>
      <c r="E562" s="17" t="s">
        <v>1162</v>
      </c>
      <c r="F562" s="16">
        <v>0</v>
      </c>
      <c r="G562" s="16">
        <v>61011101</v>
      </c>
      <c r="H562" s="16">
        <v>61011102</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2</v>
      </c>
      <c r="Y562" s="12">
        <v>0</v>
      </c>
      <c r="Z562" s="18">
        <v>750</v>
      </c>
      <c r="AA562" s="16">
        <v>0</v>
      </c>
      <c r="AB562" s="16">
        <v>0</v>
      </c>
      <c r="AC562" s="16">
        <v>0</v>
      </c>
      <c r="AD562" s="16">
        <v>0</v>
      </c>
      <c r="AE562" s="16">
        <v>0</v>
      </c>
      <c r="AF562" s="16">
        <v>8</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"立即对目标范围内的怪物造成"&amp;X562*100&amp;"%攻击伤害+"&amp;Z562&amp;"点固定伤害"</f>
        <v>立即对目标范围内的怪物造成200%攻击伤害+750点固定伤害</v>
      </c>
      <c r="BF562" s="170" t="s">
        <v>1475</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61011102</v>
      </c>
      <c r="D563" s="17" t="s">
        <v>598</v>
      </c>
      <c r="E563" s="17" t="s">
        <v>1162</v>
      </c>
      <c r="F563" s="16">
        <v>1</v>
      </c>
      <c r="G563" s="16">
        <v>61011101</v>
      </c>
      <c r="H563" s="16">
        <v>61011103</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2.5</v>
      </c>
      <c r="Y563" s="12">
        <v>0</v>
      </c>
      <c r="Z563" s="18">
        <v>750</v>
      </c>
      <c r="AA563" s="16">
        <v>0</v>
      </c>
      <c r="AB563" s="16">
        <v>0</v>
      </c>
      <c r="AC563" s="16">
        <v>0</v>
      </c>
      <c r="AD563" s="16">
        <v>0</v>
      </c>
      <c r="AE563" s="16">
        <v>0</v>
      </c>
      <c r="AF563" s="16">
        <v>8</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ref="BE563:BE567" si="20">"立即对目标范围内的怪物造成"&amp;X563*100&amp;"%攻击伤害+"&amp;Z563&amp;"点固定伤害"</f>
        <v>立即对目标范围内的怪物造成250%攻击伤害+750点固定伤害</v>
      </c>
      <c r="BF563" s="170" t="s">
        <v>1476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61011103</v>
      </c>
      <c r="D564" s="17" t="s">
        <v>598</v>
      </c>
      <c r="E564" s="17" t="s">
        <v>1162</v>
      </c>
      <c r="F564" s="16">
        <v>2</v>
      </c>
      <c r="G564" s="16">
        <v>61011101</v>
      </c>
      <c r="H564" s="16">
        <v>61011104</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2.75</v>
      </c>
      <c r="Y564" s="12">
        <v>0</v>
      </c>
      <c r="Z564" s="18">
        <v>1500</v>
      </c>
      <c r="AA564" s="16">
        <v>0</v>
      </c>
      <c r="AB564" s="16">
        <v>0</v>
      </c>
      <c r="AC564" s="16">
        <v>0</v>
      </c>
      <c r="AD564" s="16">
        <v>0</v>
      </c>
      <c r="AE564" s="16">
        <v>0</v>
      </c>
      <c r="AF564" s="16">
        <v>8</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立即对目标范围内的怪物造成275%攻击伤害+1500点固定伤害</v>
      </c>
      <c r="BF564" s="170" t="s">
        <v>1477</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61011104</v>
      </c>
      <c r="D565" s="17" t="s">
        <v>598</v>
      </c>
      <c r="E565" s="17" t="s">
        <v>1162</v>
      </c>
      <c r="F565" s="16">
        <v>3</v>
      </c>
      <c r="G565" s="16">
        <v>61011101</v>
      </c>
      <c r="H565" s="16">
        <v>0</v>
      </c>
      <c r="I565" s="27">
        <v>1</v>
      </c>
      <c r="J565" s="16">
        <v>1</v>
      </c>
      <c r="K565" s="16">
        <v>3</v>
      </c>
      <c r="L565" s="16">
        <v>0</v>
      </c>
      <c r="M565" s="16">
        <v>0</v>
      </c>
      <c r="N565" s="16">
        <v>0</v>
      </c>
      <c r="O565" s="16">
        <v>1</v>
      </c>
      <c r="P565" s="16">
        <v>0</v>
      </c>
      <c r="Q565" s="16">
        <v>0</v>
      </c>
      <c r="R565" s="16">
        <v>0</v>
      </c>
      <c r="S565" s="12">
        <v>0</v>
      </c>
      <c r="T565" s="16">
        <v>0</v>
      </c>
      <c r="U565" s="16">
        <v>1</v>
      </c>
      <c r="V565" s="16">
        <v>2</v>
      </c>
      <c r="W565" s="18">
        <v>0</v>
      </c>
      <c r="X565" s="16">
        <v>3</v>
      </c>
      <c r="Y565" s="12">
        <v>0</v>
      </c>
      <c r="Z565" s="18">
        <v>2250</v>
      </c>
      <c r="AA565" s="16">
        <v>0</v>
      </c>
      <c r="AB565" s="16">
        <v>0</v>
      </c>
      <c r="AC565" s="16">
        <v>0</v>
      </c>
      <c r="AD565" s="16">
        <v>0</v>
      </c>
      <c r="AE565" s="16">
        <v>0</v>
      </c>
      <c r="AF565" s="16">
        <v>8</v>
      </c>
      <c r="AG565" s="16">
        <v>2</v>
      </c>
      <c r="AH565" s="16" t="s">
        <v>213</v>
      </c>
      <c r="AI565" s="12">
        <v>2</v>
      </c>
      <c r="AJ565" s="12">
        <v>2</v>
      </c>
      <c r="AK565" s="12">
        <v>0</v>
      </c>
      <c r="AL565" s="12">
        <v>1.5</v>
      </c>
      <c r="AM565" s="16">
        <v>0</v>
      </c>
      <c r="AN565" s="16">
        <v>0</v>
      </c>
      <c r="AO565" s="16">
        <v>0</v>
      </c>
      <c r="AP565" s="16">
        <v>0.5</v>
      </c>
      <c r="AQ565" s="16">
        <v>2000</v>
      </c>
      <c r="AR565" s="16">
        <v>0.5</v>
      </c>
      <c r="AS565" s="16">
        <v>0</v>
      </c>
      <c r="AT565" s="12">
        <v>0</v>
      </c>
      <c r="AU565" s="16">
        <v>0</v>
      </c>
      <c r="AV565" s="16"/>
      <c r="AW565" s="17" t="s">
        <v>287</v>
      </c>
      <c r="AX565" s="16" t="s">
        <v>545</v>
      </c>
      <c r="AY565" s="18">
        <v>10000007</v>
      </c>
      <c r="AZ565" s="18">
        <v>21000110</v>
      </c>
      <c r="BA565" s="17" t="s">
        <v>200</v>
      </c>
      <c r="BB565" s="16">
        <v>0</v>
      </c>
      <c r="BC565" s="27">
        <v>0</v>
      </c>
      <c r="BD565" s="27">
        <v>0</v>
      </c>
      <c r="BE565" s="170" t="str">
        <f t="shared" si="20"/>
        <v>立即对目标范围内的怪物造成300%攻击伤害+2250点固定伤害</v>
      </c>
      <c r="BF565" s="170" t="s">
        <v>1478</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61011105</v>
      </c>
      <c r="D566" s="17" t="s">
        <v>598</v>
      </c>
      <c r="E566" s="17" t="s">
        <v>1162</v>
      </c>
      <c r="F566" s="16">
        <v>4</v>
      </c>
      <c r="G566" s="16">
        <v>61011101</v>
      </c>
      <c r="H566" s="16">
        <v>0</v>
      </c>
      <c r="I566" s="27">
        <v>1</v>
      </c>
      <c r="J566" s="16">
        <v>1</v>
      </c>
      <c r="K566" s="16">
        <v>3</v>
      </c>
      <c r="L566" s="16">
        <v>0</v>
      </c>
      <c r="M566" s="16">
        <v>0</v>
      </c>
      <c r="N566" s="16">
        <v>0</v>
      </c>
      <c r="O566" s="16">
        <v>1</v>
      </c>
      <c r="P566" s="16">
        <v>0</v>
      </c>
      <c r="Q566" s="16">
        <v>0</v>
      </c>
      <c r="R566" s="16">
        <v>0</v>
      </c>
      <c r="S566" s="12">
        <v>0</v>
      </c>
      <c r="T566" s="16">
        <v>0</v>
      </c>
      <c r="U566" s="16">
        <v>1</v>
      </c>
      <c r="V566" s="16">
        <v>2</v>
      </c>
      <c r="W566" s="18">
        <v>0</v>
      </c>
      <c r="X566" s="16">
        <v>3.25</v>
      </c>
      <c r="Y566" s="12">
        <v>0</v>
      </c>
      <c r="Z566" s="18">
        <v>3250</v>
      </c>
      <c r="AA566" s="16">
        <v>0</v>
      </c>
      <c r="AB566" s="16">
        <v>0</v>
      </c>
      <c r="AC566" s="16">
        <v>0</v>
      </c>
      <c r="AD566" s="16">
        <v>0</v>
      </c>
      <c r="AE566" s="16">
        <v>0</v>
      </c>
      <c r="AF566" s="16">
        <v>8</v>
      </c>
      <c r="AG566" s="16">
        <v>2</v>
      </c>
      <c r="AH566" s="16" t="s">
        <v>213</v>
      </c>
      <c r="AI566" s="12">
        <v>2</v>
      </c>
      <c r="AJ566" s="12">
        <v>2</v>
      </c>
      <c r="AK566" s="12">
        <v>0</v>
      </c>
      <c r="AL566" s="12">
        <v>1.5</v>
      </c>
      <c r="AM566" s="16">
        <v>0</v>
      </c>
      <c r="AN566" s="16">
        <v>0</v>
      </c>
      <c r="AO566" s="16">
        <v>0</v>
      </c>
      <c r="AP566" s="16">
        <v>0.5</v>
      </c>
      <c r="AQ566" s="16">
        <v>2000</v>
      </c>
      <c r="AR566" s="16">
        <v>0.5</v>
      </c>
      <c r="AS566" s="16">
        <v>0</v>
      </c>
      <c r="AT566" s="12">
        <v>0</v>
      </c>
      <c r="AU566" s="16">
        <v>0</v>
      </c>
      <c r="AV566" s="16"/>
      <c r="AW566" s="17" t="s">
        <v>287</v>
      </c>
      <c r="AX566" s="16" t="s">
        <v>545</v>
      </c>
      <c r="AY566" s="18">
        <v>10000007</v>
      </c>
      <c r="AZ566" s="18">
        <v>21000110</v>
      </c>
      <c r="BA566" s="17" t="s">
        <v>200</v>
      </c>
      <c r="BB566" s="16">
        <v>0</v>
      </c>
      <c r="BC566" s="27">
        <v>0</v>
      </c>
      <c r="BD566" s="27">
        <v>0</v>
      </c>
      <c r="BE566" s="170" t="str">
        <f t="shared" si="20"/>
        <v>立即对目标范围内的怪物造成325%攻击伤害+3250点固定伤害</v>
      </c>
      <c r="BF566" s="170" t="s">
        <v>1479</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61011106</v>
      </c>
      <c r="D567" s="17" t="s">
        <v>598</v>
      </c>
      <c r="E567" s="17" t="s">
        <v>1162</v>
      </c>
      <c r="F567" s="16">
        <v>5</v>
      </c>
      <c r="G567" s="16">
        <v>61011101</v>
      </c>
      <c r="H567" s="16">
        <v>0</v>
      </c>
      <c r="I567" s="27">
        <v>1</v>
      </c>
      <c r="J567" s="16">
        <v>1</v>
      </c>
      <c r="K567" s="16">
        <v>3</v>
      </c>
      <c r="L567" s="16">
        <v>0</v>
      </c>
      <c r="M567" s="16">
        <v>0</v>
      </c>
      <c r="N567" s="16">
        <v>0</v>
      </c>
      <c r="O567" s="16">
        <v>1</v>
      </c>
      <c r="P567" s="16">
        <v>0</v>
      </c>
      <c r="Q567" s="16">
        <v>0</v>
      </c>
      <c r="R567" s="16">
        <v>0</v>
      </c>
      <c r="S567" s="12">
        <v>0</v>
      </c>
      <c r="T567" s="16">
        <v>0</v>
      </c>
      <c r="U567" s="16">
        <v>1</v>
      </c>
      <c r="V567" s="16">
        <v>2</v>
      </c>
      <c r="W567" s="18">
        <v>0</v>
      </c>
      <c r="X567" s="16">
        <v>3.5</v>
      </c>
      <c r="Y567" s="12">
        <v>0</v>
      </c>
      <c r="Z567" s="18">
        <v>4250</v>
      </c>
      <c r="AA567" s="16">
        <v>0</v>
      </c>
      <c r="AB567" s="16">
        <v>0</v>
      </c>
      <c r="AC567" s="16">
        <v>0</v>
      </c>
      <c r="AD567" s="16">
        <v>0</v>
      </c>
      <c r="AE567" s="16">
        <v>0</v>
      </c>
      <c r="AF567" s="16">
        <v>8</v>
      </c>
      <c r="AG567" s="16">
        <v>2</v>
      </c>
      <c r="AH567" s="16" t="s">
        <v>213</v>
      </c>
      <c r="AI567" s="12">
        <v>2</v>
      </c>
      <c r="AJ567" s="12">
        <v>2</v>
      </c>
      <c r="AK567" s="12">
        <v>0</v>
      </c>
      <c r="AL567" s="12">
        <v>1.5</v>
      </c>
      <c r="AM567" s="16">
        <v>0</v>
      </c>
      <c r="AN567" s="16">
        <v>0</v>
      </c>
      <c r="AO567" s="16">
        <v>0</v>
      </c>
      <c r="AP567" s="16">
        <v>0.5</v>
      </c>
      <c r="AQ567" s="16">
        <v>2000</v>
      </c>
      <c r="AR567" s="16">
        <v>0.5</v>
      </c>
      <c r="AS567" s="16">
        <v>0</v>
      </c>
      <c r="AT567" s="12">
        <v>0</v>
      </c>
      <c r="AU567" s="16">
        <v>0</v>
      </c>
      <c r="AV567" s="16"/>
      <c r="AW567" s="17" t="s">
        <v>287</v>
      </c>
      <c r="AX567" s="16" t="s">
        <v>545</v>
      </c>
      <c r="AY567" s="18">
        <v>10000007</v>
      </c>
      <c r="AZ567" s="18">
        <v>21000110</v>
      </c>
      <c r="BA567" s="17" t="s">
        <v>200</v>
      </c>
      <c r="BB567" s="16">
        <v>0</v>
      </c>
      <c r="BC567" s="27">
        <v>0</v>
      </c>
      <c r="BD567" s="27">
        <v>0</v>
      </c>
      <c r="BE567" s="170" t="str">
        <f t="shared" si="20"/>
        <v>立即对目标范围内的怪物造成350%攻击伤害+4250点固定伤害</v>
      </c>
      <c r="BF567" s="170" t="s">
        <v>1480</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100000000000001" customHeight="1">
      <c r="C568" s="16">
        <v>61011201</v>
      </c>
      <c r="D568" s="17" t="s">
        <v>532</v>
      </c>
      <c r="E568" s="17" t="s">
        <v>255</v>
      </c>
      <c r="F568" s="16">
        <v>0</v>
      </c>
      <c r="G568" s="16">
        <v>61011201</v>
      </c>
      <c r="H568" s="16">
        <v>61011202</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1.6</v>
      </c>
      <c r="Y568" s="12">
        <v>0</v>
      </c>
      <c r="Z568" s="18">
        <v>750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v>90001021</v>
      </c>
      <c r="AV568" s="16"/>
      <c r="AW568" s="17" t="s">
        <v>617</v>
      </c>
      <c r="AX568" s="16" t="s">
        <v>1481</v>
      </c>
      <c r="AY568" s="18">
        <v>10000007</v>
      </c>
      <c r="AZ568" s="18">
        <v>21000020</v>
      </c>
      <c r="BA568" s="17" t="s">
        <v>200</v>
      </c>
      <c r="BB568" s="16">
        <v>0</v>
      </c>
      <c r="BC568" s="27">
        <v>0</v>
      </c>
      <c r="BD568" s="27">
        <v>0</v>
      </c>
      <c r="BE568" s="170" t="str">
        <f>"立即对周围内的怪物造成"&amp;X568*100&amp;"%攻击伤害+"&amp;Z568&amp;"点固定伤害,并使目标眩晕1秒"</f>
        <v>立即对周围内的怪物造成160%攻击伤害+750点固定伤害,并使目标眩晕1秒</v>
      </c>
      <c r="BF568" s="170" t="s">
        <v>1482</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61011202</v>
      </c>
      <c r="D569" s="17" t="s">
        <v>532</v>
      </c>
      <c r="E569" s="17" t="s">
        <v>255</v>
      </c>
      <c r="F569" s="16">
        <v>1</v>
      </c>
      <c r="G569" s="16">
        <v>61011201</v>
      </c>
      <c r="H569" s="16">
        <v>61011203</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1.6</v>
      </c>
      <c r="Y569" s="12">
        <v>0</v>
      </c>
      <c r="Z569" s="18">
        <v>750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ref="BE569:BE573" si="21">"立即对周围内的怪物造成"&amp;X569*100&amp;"%攻击伤害+"&amp;Z569&amp;"点固定伤害,并使目标眩晕1秒"</f>
        <v>立即对周围内的怪物造成160%攻击伤害+750点固定伤害,并使目标眩晕1秒</v>
      </c>
      <c r="BF569" s="170" t="s">
        <v>1482</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61011203</v>
      </c>
      <c r="D570" s="17" t="s">
        <v>532</v>
      </c>
      <c r="E570" s="17" t="s">
        <v>255</v>
      </c>
      <c r="F570" s="16">
        <v>2</v>
      </c>
      <c r="G570" s="16">
        <v>61011201</v>
      </c>
      <c r="H570" s="16">
        <v>61011204</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1.8</v>
      </c>
      <c r="Y570" s="12">
        <v>0</v>
      </c>
      <c r="Z570" s="18">
        <v>1500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立即对周围内的怪物造成180%攻击伤害+1500点固定伤害,并使目标眩晕1秒</v>
      </c>
      <c r="BF570" s="170" t="s">
        <v>1484</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25" customHeight="1">
      <c r="C571" s="16">
        <v>61011204</v>
      </c>
      <c r="D571" s="17" t="s">
        <v>532</v>
      </c>
      <c r="E571" s="17" t="s">
        <v>255</v>
      </c>
      <c r="F571" s="16">
        <v>3</v>
      </c>
      <c r="G571" s="16">
        <v>61011201</v>
      </c>
      <c r="H571" s="16">
        <v>61011205</v>
      </c>
      <c r="I571" s="27">
        <v>1</v>
      </c>
      <c r="J571" s="16">
        <v>3</v>
      </c>
      <c r="K571" s="16">
        <v>5</v>
      </c>
      <c r="L571" s="16">
        <v>0</v>
      </c>
      <c r="M571" s="16">
        <v>0</v>
      </c>
      <c r="N571" s="16">
        <v>0</v>
      </c>
      <c r="O571" s="16">
        <v>1</v>
      </c>
      <c r="P571" s="16">
        <v>0</v>
      </c>
      <c r="Q571" s="16">
        <v>0</v>
      </c>
      <c r="R571" s="16">
        <v>0</v>
      </c>
      <c r="S571" s="12">
        <v>0</v>
      </c>
      <c r="T571" s="16">
        <v>0</v>
      </c>
      <c r="U571" s="16">
        <v>1</v>
      </c>
      <c r="V571" s="16">
        <v>2</v>
      </c>
      <c r="W571" s="16">
        <v>0</v>
      </c>
      <c r="X571" s="16">
        <v>2</v>
      </c>
      <c r="Y571" s="12">
        <v>0</v>
      </c>
      <c r="Z571" s="18">
        <v>2250</v>
      </c>
      <c r="AA571" s="16">
        <v>1</v>
      </c>
      <c r="AB571" s="16">
        <v>0</v>
      </c>
      <c r="AC571" s="16">
        <v>0</v>
      </c>
      <c r="AD571" s="16">
        <v>0</v>
      </c>
      <c r="AE571" s="16">
        <v>0</v>
      </c>
      <c r="AF571" s="16">
        <v>7</v>
      </c>
      <c r="AG571" s="16">
        <v>1</v>
      </c>
      <c r="AH571" s="16">
        <v>4</v>
      </c>
      <c r="AI571" s="12">
        <v>2</v>
      </c>
      <c r="AJ571" s="12">
        <v>0</v>
      </c>
      <c r="AK571" s="12">
        <v>0</v>
      </c>
      <c r="AL571" s="12">
        <v>0</v>
      </c>
      <c r="AM571" s="16">
        <v>0</v>
      </c>
      <c r="AN571" s="16">
        <v>0</v>
      </c>
      <c r="AO571" s="16">
        <v>0</v>
      </c>
      <c r="AP571" s="16">
        <v>0.25</v>
      </c>
      <c r="AQ571" s="16">
        <v>2000</v>
      </c>
      <c r="AR571" s="16">
        <v>0.2</v>
      </c>
      <c r="AS571" s="16">
        <v>0</v>
      </c>
      <c r="AT571" s="12">
        <v>0</v>
      </c>
      <c r="AU571" s="16" t="s">
        <v>1483</v>
      </c>
      <c r="AV571" s="16"/>
      <c r="AW571" s="17" t="s">
        <v>617</v>
      </c>
      <c r="AX571" s="16" t="s">
        <v>1481</v>
      </c>
      <c r="AY571" s="18">
        <v>10000007</v>
      </c>
      <c r="AZ571" s="18">
        <v>21000020</v>
      </c>
      <c r="BA571" s="17" t="s">
        <v>200</v>
      </c>
      <c r="BB571" s="16">
        <v>0</v>
      </c>
      <c r="BC571" s="27">
        <v>0</v>
      </c>
      <c r="BD571" s="27">
        <v>0</v>
      </c>
      <c r="BE571" s="170" t="str">
        <f t="shared" si="21"/>
        <v>立即对周围内的怪物造成200%攻击伤害+2250点固定伤害,并使目标眩晕1秒</v>
      </c>
      <c r="BF571" s="170" t="s">
        <v>1485</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61011205</v>
      </c>
      <c r="D572" s="17" t="s">
        <v>532</v>
      </c>
      <c r="E572" s="17" t="s">
        <v>255</v>
      </c>
      <c r="F572" s="16">
        <v>4</v>
      </c>
      <c r="G572" s="16">
        <v>61011201</v>
      </c>
      <c r="H572" s="16">
        <v>61011206</v>
      </c>
      <c r="I572" s="27">
        <v>1</v>
      </c>
      <c r="J572" s="16">
        <v>3</v>
      </c>
      <c r="K572" s="16">
        <v>5</v>
      </c>
      <c r="L572" s="16">
        <v>0</v>
      </c>
      <c r="M572" s="16">
        <v>0</v>
      </c>
      <c r="N572" s="16">
        <v>0</v>
      </c>
      <c r="O572" s="16">
        <v>1</v>
      </c>
      <c r="P572" s="16">
        <v>0</v>
      </c>
      <c r="Q572" s="16">
        <v>0</v>
      </c>
      <c r="R572" s="16">
        <v>0</v>
      </c>
      <c r="S572" s="12">
        <v>0</v>
      </c>
      <c r="T572" s="16">
        <v>0</v>
      </c>
      <c r="U572" s="16">
        <v>1</v>
      </c>
      <c r="V572" s="16">
        <v>2</v>
      </c>
      <c r="W572" s="16">
        <v>0</v>
      </c>
      <c r="X572" s="16">
        <v>2.2000000000000002</v>
      </c>
      <c r="Y572" s="12">
        <v>0</v>
      </c>
      <c r="Z572" s="18">
        <v>3250</v>
      </c>
      <c r="AA572" s="16">
        <v>1</v>
      </c>
      <c r="AB572" s="16">
        <v>0</v>
      </c>
      <c r="AC572" s="16">
        <v>0</v>
      </c>
      <c r="AD572" s="16">
        <v>0</v>
      </c>
      <c r="AE572" s="16">
        <v>0</v>
      </c>
      <c r="AF572" s="16">
        <v>7</v>
      </c>
      <c r="AG572" s="16">
        <v>1</v>
      </c>
      <c r="AH572" s="16">
        <v>4</v>
      </c>
      <c r="AI572" s="12">
        <v>2</v>
      </c>
      <c r="AJ572" s="12">
        <v>0</v>
      </c>
      <c r="AK572" s="12">
        <v>0</v>
      </c>
      <c r="AL572" s="12">
        <v>0</v>
      </c>
      <c r="AM572" s="16">
        <v>0</v>
      </c>
      <c r="AN572" s="16">
        <v>0</v>
      </c>
      <c r="AO572" s="16">
        <v>0</v>
      </c>
      <c r="AP572" s="16">
        <v>0.25</v>
      </c>
      <c r="AQ572" s="16">
        <v>2000</v>
      </c>
      <c r="AR572" s="16">
        <v>0.2</v>
      </c>
      <c r="AS572" s="16">
        <v>0</v>
      </c>
      <c r="AT572" s="12">
        <v>0</v>
      </c>
      <c r="AU572" s="16" t="s">
        <v>1483</v>
      </c>
      <c r="AV572" s="16"/>
      <c r="AW572" s="17" t="s">
        <v>617</v>
      </c>
      <c r="AX572" s="16" t="s">
        <v>1481</v>
      </c>
      <c r="AY572" s="18">
        <v>10000007</v>
      </c>
      <c r="AZ572" s="18">
        <v>21000020</v>
      </c>
      <c r="BA572" s="17" t="s">
        <v>200</v>
      </c>
      <c r="BB572" s="16">
        <v>0</v>
      </c>
      <c r="BC572" s="27">
        <v>0</v>
      </c>
      <c r="BD572" s="27">
        <v>0</v>
      </c>
      <c r="BE572" s="170" t="str">
        <f t="shared" si="21"/>
        <v>立即对周围内的怪物造成220%攻击伤害+3250点固定伤害,并使目标眩晕1秒</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61011206</v>
      </c>
      <c r="D573" s="17" t="s">
        <v>532</v>
      </c>
      <c r="E573" s="17" t="s">
        <v>255</v>
      </c>
      <c r="F573" s="16">
        <v>5</v>
      </c>
      <c r="G573" s="16">
        <v>61011201</v>
      </c>
      <c r="H573" s="16">
        <v>0</v>
      </c>
      <c r="I573" s="27">
        <v>1</v>
      </c>
      <c r="J573" s="16">
        <v>3</v>
      </c>
      <c r="K573" s="16">
        <v>5</v>
      </c>
      <c r="L573" s="16">
        <v>0</v>
      </c>
      <c r="M573" s="16">
        <v>0</v>
      </c>
      <c r="N573" s="16">
        <v>0</v>
      </c>
      <c r="O573" s="16">
        <v>1</v>
      </c>
      <c r="P573" s="16">
        <v>0</v>
      </c>
      <c r="Q573" s="16">
        <v>0</v>
      </c>
      <c r="R573" s="16">
        <v>0</v>
      </c>
      <c r="S573" s="12">
        <v>0</v>
      </c>
      <c r="T573" s="16">
        <v>0</v>
      </c>
      <c r="U573" s="16">
        <v>1</v>
      </c>
      <c r="V573" s="16">
        <v>2</v>
      </c>
      <c r="W573" s="16">
        <v>0</v>
      </c>
      <c r="X573" s="16">
        <v>2.4</v>
      </c>
      <c r="Y573" s="12">
        <v>0</v>
      </c>
      <c r="Z573" s="18">
        <v>4250</v>
      </c>
      <c r="AA573" s="16">
        <v>1</v>
      </c>
      <c r="AB573" s="16">
        <v>0</v>
      </c>
      <c r="AC573" s="16">
        <v>0</v>
      </c>
      <c r="AD573" s="16">
        <v>0</v>
      </c>
      <c r="AE573" s="16">
        <v>0</v>
      </c>
      <c r="AF573" s="16">
        <v>7</v>
      </c>
      <c r="AG573" s="16">
        <v>1</v>
      </c>
      <c r="AH573" s="16">
        <v>4</v>
      </c>
      <c r="AI573" s="12">
        <v>2</v>
      </c>
      <c r="AJ573" s="12">
        <v>0</v>
      </c>
      <c r="AK573" s="12">
        <v>0</v>
      </c>
      <c r="AL573" s="12">
        <v>0</v>
      </c>
      <c r="AM573" s="16">
        <v>0</v>
      </c>
      <c r="AN573" s="16">
        <v>0</v>
      </c>
      <c r="AO573" s="16">
        <v>0</v>
      </c>
      <c r="AP573" s="16">
        <v>0.25</v>
      </c>
      <c r="AQ573" s="16">
        <v>2000</v>
      </c>
      <c r="AR573" s="16">
        <v>0.2</v>
      </c>
      <c r="AS573" s="16">
        <v>0</v>
      </c>
      <c r="AT573" s="12">
        <v>0</v>
      </c>
      <c r="AU573" s="16" t="s">
        <v>1483</v>
      </c>
      <c r="AV573" s="16"/>
      <c r="AW573" s="17" t="s">
        <v>617</v>
      </c>
      <c r="AX573" s="16" t="s">
        <v>1481</v>
      </c>
      <c r="AY573" s="18">
        <v>10000007</v>
      </c>
      <c r="AZ573" s="18">
        <v>21000020</v>
      </c>
      <c r="BA573" s="17" t="s">
        <v>200</v>
      </c>
      <c r="BB573" s="16">
        <v>0</v>
      </c>
      <c r="BC573" s="27">
        <v>0</v>
      </c>
      <c r="BD573" s="27">
        <v>0</v>
      </c>
      <c r="BE573" s="170" t="str">
        <f t="shared" si="21"/>
        <v>立即对周围内的怪物造成240%攻击伤害+4250点固定伤害,并使目标眩晕1秒</v>
      </c>
      <c r="BF573" s="170" t="s">
        <v>1487</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61011301</v>
      </c>
      <c r="D574" s="17" t="s">
        <v>1369</v>
      </c>
      <c r="E574" s="17" t="s">
        <v>1488</v>
      </c>
      <c r="F574" s="16">
        <v>0</v>
      </c>
      <c r="G574" s="16">
        <v>61011301</v>
      </c>
      <c r="H574" s="16">
        <v>61011302</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v>
      </c>
      <c r="Y574" s="12">
        <v>0</v>
      </c>
      <c r="Z574" s="18">
        <v>750</v>
      </c>
      <c r="AA574" s="16">
        <v>1</v>
      </c>
      <c r="AB574" s="16">
        <v>0</v>
      </c>
      <c r="AC574" s="16">
        <v>0</v>
      </c>
      <c r="AD574" s="16">
        <v>0</v>
      </c>
      <c r="AE574" s="16">
        <v>0</v>
      </c>
      <c r="AF574" s="16">
        <v>9</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"立即跳跃至目标区域并对其怪物造成"&amp;X574*100&amp;"%攻击伤害+"&amp;Z574&amp;"点固定伤害,并使目标眩晕1秒"</f>
        <v>立即跳跃至目标区域并对其怪物造成200%攻击伤害+750点固定伤害,并使目标眩晕1秒</v>
      </c>
      <c r="BF574" s="170" t="s">
        <v>1490</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61011302</v>
      </c>
      <c r="D575" s="17" t="s">
        <v>1369</v>
      </c>
      <c r="E575" s="17" t="s">
        <v>1488</v>
      </c>
      <c r="F575" s="16">
        <v>1</v>
      </c>
      <c r="G575" s="16">
        <v>61011301</v>
      </c>
      <c r="H575" s="16">
        <v>61011303</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v>
      </c>
      <c r="Y575" s="12">
        <v>0</v>
      </c>
      <c r="Z575" s="18">
        <v>750</v>
      </c>
      <c r="AA575" s="16">
        <v>1</v>
      </c>
      <c r="AB575" s="16">
        <v>0</v>
      </c>
      <c r="AC575" s="16">
        <v>0</v>
      </c>
      <c r="AD575" s="16">
        <v>0</v>
      </c>
      <c r="AE575" s="16">
        <v>0</v>
      </c>
      <c r="AF575" s="16">
        <v>9</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ref="BE575:BE579" si="22">"立即跳跃至目标区域并对其怪物造成"&amp;X575*100&amp;"%攻击伤害+"&amp;Z575&amp;"点固定伤害,并使目标眩晕1秒"</f>
        <v>立即跳跃至目标区域并对其怪物造成200%攻击伤害+750点固定伤害,并使目标眩晕1秒</v>
      </c>
      <c r="BF575" s="170" t="s">
        <v>1490</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61011303</v>
      </c>
      <c r="D576" s="17" t="s">
        <v>1369</v>
      </c>
      <c r="E576" s="17" t="s">
        <v>1488</v>
      </c>
      <c r="F576" s="16">
        <v>2</v>
      </c>
      <c r="G576" s="16">
        <v>61011301</v>
      </c>
      <c r="H576" s="16">
        <v>61011304</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2.25</v>
      </c>
      <c r="Y576" s="12">
        <v>0</v>
      </c>
      <c r="Z576" s="18">
        <v>1500</v>
      </c>
      <c r="AA576" s="16">
        <v>1</v>
      </c>
      <c r="AB576" s="16">
        <v>0</v>
      </c>
      <c r="AC576" s="16">
        <v>0</v>
      </c>
      <c r="AD576" s="16">
        <v>0</v>
      </c>
      <c r="AE576" s="16">
        <v>0</v>
      </c>
      <c r="AF576" s="16">
        <v>9</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立即跳跃至目标区域并对其怪物造成225%攻击伤害+1500点固定伤害,并使目标眩晕1秒</v>
      </c>
      <c r="BF576" s="170" t="s">
        <v>1491</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61011304</v>
      </c>
      <c r="D577" s="17" t="s">
        <v>1369</v>
      </c>
      <c r="E577" s="17" t="s">
        <v>1488</v>
      </c>
      <c r="F577" s="16">
        <v>3</v>
      </c>
      <c r="G577" s="16">
        <v>61011301</v>
      </c>
      <c r="H577" s="16">
        <v>0</v>
      </c>
      <c r="I577" s="27">
        <v>1</v>
      </c>
      <c r="J577" s="16">
        <v>5</v>
      </c>
      <c r="K577" s="179">
        <v>3</v>
      </c>
      <c r="L577" s="16">
        <v>0</v>
      </c>
      <c r="M577" s="16">
        <v>0</v>
      </c>
      <c r="N577" s="16">
        <v>0</v>
      </c>
      <c r="O577" s="16">
        <v>1</v>
      </c>
      <c r="P577" s="16">
        <v>0</v>
      </c>
      <c r="Q577" s="16">
        <v>0</v>
      </c>
      <c r="R577" s="16">
        <v>0</v>
      </c>
      <c r="S577" s="12">
        <v>0</v>
      </c>
      <c r="T577" s="16">
        <v>0</v>
      </c>
      <c r="U577" s="16">
        <v>1</v>
      </c>
      <c r="V577" s="16">
        <v>2</v>
      </c>
      <c r="W577" s="16">
        <v>0</v>
      </c>
      <c r="X577" s="16">
        <v>2.5</v>
      </c>
      <c r="Y577" s="12">
        <v>0</v>
      </c>
      <c r="Z577" s="18">
        <v>2250</v>
      </c>
      <c r="AA577" s="16">
        <v>1</v>
      </c>
      <c r="AB577" s="16">
        <v>0</v>
      </c>
      <c r="AC577" s="16">
        <v>0</v>
      </c>
      <c r="AD577" s="16">
        <v>0</v>
      </c>
      <c r="AE577" s="16">
        <v>0</v>
      </c>
      <c r="AF577" s="16">
        <v>9</v>
      </c>
      <c r="AG577" s="16">
        <v>1</v>
      </c>
      <c r="AH577" s="16" t="s">
        <v>861</v>
      </c>
      <c r="AI577" s="12">
        <v>2</v>
      </c>
      <c r="AJ577" s="12">
        <v>1</v>
      </c>
      <c r="AK577" s="12">
        <v>0</v>
      </c>
      <c r="AL577" s="12">
        <v>6</v>
      </c>
      <c r="AM577" s="16">
        <v>0</v>
      </c>
      <c r="AN577" s="16">
        <v>0</v>
      </c>
      <c r="AO577" s="16">
        <v>0</v>
      </c>
      <c r="AP577" s="16">
        <v>0.5</v>
      </c>
      <c r="AQ577" s="16">
        <v>2000</v>
      </c>
      <c r="AR577" s="16">
        <v>0.4</v>
      </c>
      <c r="AS577" s="16">
        <v>0</v>
      </c>
      <c r="AT577" s="12">
        <v>0</v>
      </c>
      <c r="AU577" s="16">
        <v>90001037</v>
      </c>
      <c r="AV577" s="16"/>
      <c r="AW577" s="17" t="s">
        <v>762</v>
      </c>
      <c r="AX577" s="16" t="s">
        <v>1489</v>
      </c>
      <c r="AY577" s="18">
        <v>10000015</v>
      </c>
      <c r="AZ577" s="18">
        <v>21000030</v>
      </c>
      <c r="BA577" s="17" t="s">
        <v>1371</v>
      </c>
      <c r="BB577" s="16">
        <v>0</v>
      </c>
      <c r="BC577" s="27">
        <v>0</v>
      </c>
      <c r="BD577" s="27">
        <v>0</v>
      </c>
      <c r="BE577" s="170" t="str">
        <f t="shared" si="22"/>
        <v>立即跳跃至目标区域并对其怪物造成250%攻击伤害+2250点固定伤害,并使目标眩晕1秒</v>
      </c>
      <c r="BF577" s="170" t="s">
        <v>1492</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61011305</v>
      </c>
      <c r="D578" s="17" t="s">
        <v>1369</v>
      </c>
      <c r="E578" s="17" t="s">
        <v>1488</v>
      </c>
      <c r="F578" s="16">
        <v>4</v>
      </c>
      <c r="G578" s="16">
        <v>61011301</v>
      </c>
      <c r="H578" s="16">
        <v>0</v>
      </c>
      <c r="I578" s="27">
        <v>1</v>
      </c>
      <c r="J578" s="16">
        <v>5</v>
      </c>
      <c r="K578" s="179">
        <v>3</v>
      </c>
      <c r="L578" s="16">
        <v>0</v>
      </c>
      <c r="M578" s="16">
        <v>0</v>
      </c>
      <c r="N578" s="16">
        <v>0</v>
      </c>
      <c r="O578" s="16">
        <v>1</v>
      </c>
      <c r="P578" s="16">
        <v>0</v>
      </c>
      <c r="Q578" s="16">
        <v>0</v>
      </c>
      <c r="R578" s="16">
        <v>0</v>
      </c>
      <c r="S578" s="12">
        <v>0</v>
      </c>
      <c r="T578" s="16">
        <v>0</v>
      </c>
      <c r="U578" s="16">
        <v>1</v>
      </c>
      <c r="V578" s="16">
        <v>2</v>
      </c>
      <c r="W578" s="16">
        <v>0</v>
      </c>
      <c r="X578" s="16">
        <v>2.75</v>
      </c>
      <c r="Y578" s="12">
        <v>0</v>
      </c>
      <c r="Z578" s="18">
        <v>3250</v>
      </c>
      <c r="AA578" s="16">
        <v>1</v>
      </c>
      <c r="AB578" s="16">
        <v>0</v>
      </c>
      <c r="AC578" s="16">
        <v>0</v>
      </c>
      <c r="AD578" s="16">
        <v>0</v>
      </c>
      <c r="AE578" s="16">
        <v>0</v>
      </c>
      <c r="AF578" s="16">
        <v>9</v>
      </c>
      <c r="AG578" s="16">
        <v>1</v>
      </c>
      <c r="AH578" s="16" t="s">
        <v>861</v>
      </c>
      <c r="AI578" s="12">
        <v>2</v>
      </c>
      <c r="AJ578" s="12">
        <v>1</v>
      </c>
      <c r="AK578" s="12">
        <v>0</v>
      </c>
      <c r="AL578" s="12">
        <v>6</v>
      </c>
      <c r="AM578" s="16">
        <v>0</v>
      </c>
      <c r="AN578" s="16">
        <v>0</v>
      </c>
      <c r="AO578" s="16">
        <v>0</v>
      </c>
      <c r="AP578" s="16">
        <v>0.5</v>
      </c>
      <c r="AQ578" s="16">
        <v>2000</v>
      </c>
      <c r="AR578" s="16">
        <v>0.4</v>
      </c>
      <c r="AS578" s="16">
        <v>0</v>
      </c>
      <c r="AT578" s="12">
        <v>0</v>
      </c>
      <c r="AU578" s="16">
        <v>90001037</v>
      </c>
      <c r="AV578" s="16"/>
      <c r="AW578" s="17" t="s">
        <v>762</v>
      </c>
      <c r="AX578" s="16" t="s">
        <v>1489</v>
      </c>
      <c r="AY578" s="18">
        <v>10000015</v>
      </c>
      <c r="AZ578" s="18">
        <v>21000030</v>
      </c>
      <c r="BA578" s="17" t="s">
        <v>1371</v>
      </c>
      <c r="BB578" s="16">
        <v>0</v>
      </c>
      <c r="BC578" s="27">
        <v>0</v>
      </c>
      <c r="BD578" s="27">
        <v>0</v>
      </c>
      <c r="BE578" s="170" t="str">
        <f t="shared" si="22"/>
        <v>立即跳跃至目标区域并对其怪物造成275%攻击伤害+3250点固定伤害,并使目标眩晕1秒</v>
      </c>
      <c r="BF578" s="170" t="s">
        <v>1493</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61011306</v>
      </c>
      <c r="D579" s="17" t="s">
        <v>1369</v>
      </c>
      <c r="E579" s="17" t="s">
        <v>1488</v>
      </c>
      <c r="F579" s="16">
        <v>5</v>
      </c>
      <c r="G579" s="16">
        <v>61011301</v>
      </c>
      <c r="H579" s="16">
        <v>0</v>
      </c>
      <c r="I579" s="27">
        <v>1</v>
      </c>
      <c r="J579" s="16">
        <v>5</v>
      </c>
      <c r="K579" s="179">
        <v>3</v>
      </c>
      <c r="L579" s="16">
        <v>0</v>
      </c>
      <c r="M579" s="16">
        <v>0</v>
      </c>
      <c r="N579" s="16">
        <v>0</v>
      </c>
      <c r="O579" s="16">
        <v>1</v>
      </c>
      <c r="P579" s="16">
        <v>0</v>
      </c>
      <c r="Q579" s="16">
        <v>0</v>
      </c>
      <c r="R579" s="16">
        <v>0</v>
      </c>
      <c r="S579" s="12">
        <v>0</v>
      </c>
      <c r="T579" s="16">
        <v>0</v>
      </c>
      <c r="U579" s="16">
        <v>1</v>
      </c>
      <c r="V579" s="16">
        <v>2</v>
      </c>
      <c r="W579" s="16">
        <v>0</v>
      </c>
      <c r="X579" s="16">
        <v>3</v>
      </c>
      <c r="Y579" s="12">
        <v>0</v>
      </c>
      <c r="Z579" s="18">
        <v>4250</v>
      </c>
      <c r="AA579" s="16">
        <v>1</v>
      </c>
      <c r="AB579" s="16">
        <v>0</v>
      </c>
      <c r="AC579" s="16">
        <v>0</v>
      </c>
      <c r="AD579" s="16">
        <v>0</v>
      </c>
      <c r="AE579" s="16">
        <v>0</v>
      </c>
      <c r="AF579" s="16">
        <v>9</v>
      </c>
      <c r="AG579" s="16">
        <v>1</v>
      </c>
      <c r="AH579" s="16" t="s">
        <v>861</v>
      </c>
      <c r="AI579" s="12">
        <v>2</v>
      </c>
      <c r="AJ579" s="12">
        <v>1</v>
      </c>
      <c r="AK579" s="12">
        <v>0</v>
      </c>
      <c r="AL579" s="12">
        <v>6</v>
      </c>
      <c r="AM579" s="16">
        <v>0</v>
      </c>
      <c r="AN579" s="16">
        <v>0</v>
      </c>
      <c r="AO579" s="16">
        <v>0</v>
      </c>
      <c r="AP579" s="16">
        <v>0.5</v>
      </c>
      <c r="AQ579" s="16">
        <v>2000</v>
      </c>
      <c r="AR579" s="16">
        <v>0.4</v>
      </c>
      <c r="AS579" s="16">
        <v>0</v>
      </c>
      <c r="AT579" s="12">
        <v>0</v>
      </c>
      <c r="AU579" s="16">
        <v>90001037</v>
      </c>
      <c r="AV579" s="16"/>
      <c r="AW579" s="17" t="s">
        <v>762</v>
      </c>
      <c r="AX579" s="16" t="s">
        <v>1489</v>
      </c>
      <c r="AY579" s="18">
        <v>10000015</v>
      </c>
      <c r="AZ579" s="18">
        <v>21000030</v>
      </c>
      <c r="BA579" s="17" t="s">
        <v>1371</v>
      </c>
      <c r="BB579" s="16">
        <v>0</v>
      </c>
      <c r="BC579" s="27">
        <v>0</v>
      </c>
      <c r="BD579" s="27">
        <v>0</v>
      </c>
      <c r="BE579" s="170" t="str">
        <f t="shared" si="22"/>
        <v>立即跳跃至目标区域并对其怪物造成300%攻击伤害+4250点固定伤害,并使目标眩晕1秒</v>
      </c>
      <c r="BF579" s="170" t="s">
        <v>1494</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61012101</v>
      </c>
      <c r="D580" s="17" t="s">
        <v>1495</v>
      </c>
      <c r="E580" s="17" t="s">
        <v>1496</v>
      </c>
      <c r="F580" s="16">
        <v>0</v>
      </c>
      <c r="G580" s="16">
        <v>61012101</v>
      </c>
      <c r="H580" s="16">
        <v>61012102</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2.25</v>
      </c>
      <c r="Y580" s="12">
        <v>0</v>
      </c>
      <c r="Z580" s="18">
        <v>750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v>90001031</v>
      </c>
      <c r="AV580" s="16"/>
      <c r="AW580" s="17" t="s">
        <v>287</v>
      </c>
      <c r="AX580" s="16" t="s">
        <v>1498</v>
      </c>
      <c r="AY580" s="18">
        <v>10001007</v>
      </c>
      <c r="AZ580" s="18">
        <v>21000010</v>
      </c>
      <c r="BA580" s="17" t="s">
        <v>200</v>
      </c>
      <c r="BB580" s="16">
        <v>0</v>
      </c>
      <c r="BC580" s="27">
        <v>0</v>
      </c>
      <c r="BD580" s="27">
        <v>0</v>
      </c>
      <c r="BE580" s="170" t="str">
        <f>"立即对目标范围内的怪物造成"&amp;X580*100&amp;"%攻击伤害+"&amp;Z580&amp;"点固定伤害,并使目标速度降低50%,持续6秒"</f>
        <v>立即对目标范围内的怪物造成225%攻击伤害+750点固定伤害,并使目标速度降低50%,持续6秒</v>
      </c>
      <c r="BF580" s="170" t="s">
        <v>1499</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61012102</v>
      </c>
      <c r="D581" s="17" t="s">
        <v>1495</v>
      </c>
      <c r="E581" s="17" t="s">
        <v>1496</v>
      </c>
      <c r="F581" s="16">
        <v>1</v>
      </c>
      <c r="G581" s="16">
        <v>61012101</v>
      </c>
      <c r="H581" s="16">
        <v>61012103</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2.25</v>
      </c>
      <c r="Y581" s="12">
        <v>0</v>
      </c>
      <c r="Z581" s="18">
        <v>750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ref="BE581:BE585" si="23">"立即对目标范围内的怪物造成"&amp;X581*100&amp;"%攻击伤害+"&amp;Z581&amp;"点固定伤害,并使目标速度降低50%,持续6秒"</f>
        <v>立即对目标范围内的怪物造成225%攻击伤害+750点固定伤害,并使目标速度降低50%,持续6秒</v>
      </c>
      <c r="BF581" s="170" t="s">
        <v>1499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61012103</v>
      </c>
      <c r="D582" s="17" t="s">
        <v>1495</v>
      </c>
      <c r="E582" s="17" t="s">
        <v>1496</v>
      </c>
      <c r="F582" s="16">
        <v>2</v>
      </c>
      <c r="G582" s="16">
        <v>61012101</v>
      </c>
      <c r="H582" s="16">
        <v>61012104</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2.5</v>
      </c>
      <c r="Y582" s="12">
        <v>0</v>
      </c>
      <c r="Z582" s="18">
        <v>1500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立即对目标范围内的怪物造成250%攻击伤害+1500点固定伤害,并使目标速度降低50%,持续6秒</v>
      </c>
      <c r="BF582" s="170" t="s">
        <v>1501</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61012104</v>
      </c>
      <c r="D583" s="17" t="s">
        <v>1495</v>
      </c>
      <c r="E583" s="17" t="s">
        <v>1496</v>
      </c>
      <c r="F583" s="16">
        <v>3</v>
      </c>
      <c r="G583" s="16">
        <v>61012101</v>
      </c>
      <c r="H583" s="16">
        <v>0</v>
      </c>
      <c r="I583" s="27">
        <v>2</v>
      </c>
      <c r="J583" s="16">
        <v>1</v>
      </c>
      <c r="K583" s="16">
        <v>3</v>
      </c>
      <c r="L583" s="16">
        <v>0</v>
      </c>
      <c r="M583" s="16">
        <v>0</v>
      </c>
      <c r="N583" s="16">
        <v>0</v>
      </c>
      <c r="O583" s="16">
        <v>1</v>
      </c>
      <c r="P583" s="16">
        <v>0</v>
      </c>
      <c r="Q583" s="16">
        <v>0</v>
      </c>
      <c r="R583" s="16">
        <v>0</v>
      </c>
      <c r="S583" s="12">
        <v>0</v>
      </c>
      <c r="T583" s="16">
        <v>0</v>
      </c>
      <c r="U583" s="16">
        <v>1</v>
      </c>
      <c r="V583" s="16">
        <v>2</v>
      </c>
      <c r="W583" s="16">
        <v>0</v>
      </c>
      <c r="X583" s="16">
        <v>2.75</v>
      </c>
      <c r="Y583" s="12">
        <v>0</v>
      </c>
      <c r="Z583" s="18">
        <v>2250</v>
      </c>
      <c r="AA583" s="16">
        <v>0</v>
      </c>
      <c r="AB583" s="16">
        <v>0</v>
      </c>
      <c r="AC583" s="16">
        <v>0</v>
      </c>
      <c r="AD583" s="16">
        <v>0</v>
      </c>
      <c r="AE583" s="16">
        <v>0</v>
      </c>
      <c r="AF583" s="16">
        <v>9</v>
      </c>
      <c r="AG583" s="16">
        <v>2</v>
      </c>
      <c r="AH583" s="16" t="s">
        <v>1497</v>
      </c>
      <c r="AI583" s="12">
        <v>2</v>
      </c>
      <c r="AJ583" s="12">
        <v>2</v>
      </c>
      <c r="AK583" s="12">
        <v>0</v>
      </c>
      <c r="AL583" s="12">
        <v>1.5</v>
      </c>
      <c r="AM583" s="16">
        <v>0</v>
      </c>
      <c r="AN583" s="16">
        <v>0</v>
      </c>
      <c r="AO583" s="16">
        <v>0</v>
      </c>
      <c r="AP583" s="16">
        <v>0.5</v>
      </c>
      <c r="AQ583" s="16">
        <v>2000</v>
      </c>
      <c r="AR583" s="16">
        <v>0.5</v>
      </c>
      <c r="AS583" s="16">
        <v>0</v>
      </c>
      <c r="AT583" s="12">
        <v>0</v>
      </c>
      <c r="AU583" s="16" t="s">
        <v>1500</v>
      </c>
      <c r="AV583" s="16"/>
      <c r="AW583" s="17" t="s">
        <v>287</v>
      </c>
      <c r="AX583" s="16" t="s">
        <v>1498</v>
      </c>
      <c r="AY583" s="18">
        <v>10001007</v>
      </c>
      <c r="AZ583" s="18">
        <v>21000010</v>
      </c>
      <c r="BA583" s="17" t="s">
        <v>200</v>
      </c>
      <c r="BB583" s="16">
        <v>0</v>
      </c>
      <c r="BC583" s="27">
        <v>0</v>
      </c>
      <c r="BD583" s="27">
        <v>0</v>
      </c>
      <c r="BE583" s="170" t="str">
        <f t="shared" si="23"/>
        <v>立即对目标范围内的怪物造成275%攻击伤害+2250点固定伤害,并使目标速度降低50%,持续6秒</v>
      </c>
      <c r="BF583" s="170" t="s">
        <v>1502</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61012105</v>
      </c>
      <c r="D584" s="17" t="s">
        <v>1495</v>
      </c>
      <c r="E584" s="17" t="s">
        <v>1496</v>
      </c>
      <c r="F584" s="16">
        <v>4</v>
      </c>
      <c r="G584" s="16">
        <v>61012101</v>
      </c>
      <c r="H584" s="16">
        <v>0</v>
      </c>
      <c r="I584" s="27">
        <v>2</v>
      </c>
      <c r="J584" s="16">
        <v>1</v>
      </c>
      <c r="K584" s="16">
        <v>3</v>
      </c>
      <c r="L584" s="16">
        <v>0</v>
      </c>
      <c r="M584" s="16">
        <v>0</v>
      </c>
      <c r="N584" s="16">
        <v>0</v>
      </c>
      <c r="O584" s="16">
        <v>1</v>
      </c>
      <c r="P584" s="16">
        <v>0</v>
      </c>
      <c r="Q584" s="16">
        <v>0</v>
      </c>
      <c r="R584" s="16">
        <v>0</v>
      </c>
      <c r="S584" s="12">
        <v>0</v>
      </c>
      <c r="T584" s="16">
        <v>0</v>
      </c>
      <c r="U584" s="16">
        <v>1</v>
      </c>
      <c r="V584" s="16">
        <v>2</v>
      </c>
      <c r="W584" s="16">
        <v>0</v>
      </c>
      <c r="X584" s="16">
        <v>3</v>
      </c>
      <c r="Y584" s="12">
        <v>0</v>
      </c>
      <c r="Z584" s="18">
        <v>3250</v>
      </c>
      <c r="AA584" s="16">
        <v>0</v>
      </c>
      <c r="AB584" s="16">
        <v>0</v>
      </c>
      <c r="AC584" s="16">
        <v>0</v>
      </c>
      <c r="AD584" s="16">
        <v>0</v>
      </c>
      <c r="AE584" s="16">
        <v>0</v>
      </c>
      <c r="AF584" s="16">
        <v>9</v>
      </c>
      <c r="AG584" s="16">
        <v>2</v>
      </c>
      <c r="AH584" s="16" t="s">
        <v>1497</v>
      </c>
      <c r="AI584" s="12">
        <v>2</v>
      </c>
      <c r="AJ584" s="12">
        <v>2</v>
      </c>
      <c r="AK584" s="12">
        <v>0</v>
      </c>
      <c r="AL584" s="12">
        <v>1.5</v>
      </c>
      <c r="AM584" s="16">
        <v>0</v>
      </c>
      <c r="AN584" s="16">
        <v>0</v>
      </c>
      <c r="AO584" s="16">
        <v>0</v>
      </c>
      <c r="AP584" s="16">
        <v>0.5</v>
      </c>
      <c r="AQ584" s="16">
        <v>2000</v>
      </c>
      <c r="AR584" s="16">
        <v>0.5</v>
      </c>
      <c r="AS584" s="16">
        <v>0</v>
      </c>
      <c r="AT584" s="12">
        <v>0</v>
      </c>
      <c r="AU584" s="16" t="s">
        <v>1500</v>
      </c>
      <c r="AV584" s="16"/>
      <c r="AW584" s="17" t="s">
        <v>287</v>
      </c>
      <c r="AX584" s="16" t="s">
        <v>1498</v>
      </c>
      <c r="AY584" s="18">
        <v>10001007</v>
      </c>
      <c r="AZ584" s="18">
        <v>21000010</v>
      </c>
      <c r="BA584" s="17" t="s">
        <v>200</v>
      </c>
      <c r="BB584" s="16">
        <v>0</v>
      </c>
      <c r="BC584" s="27">
        <v>0</v>
      </c>
      <c r="BD584" s="27">
        <v>0</v>
      </c>
      <c r="BE584" s="170" t="str">
        <f t="shared" si="23"/>
        <v>立即对目标范围内的怪物造成300%攻击伤害+3250点固定伤害,并使目标速度降低50%,持续6秒</v>
      </c>
      <c r="BF584" s="170" t="s">
        <v>1503</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61012106</v>
      </c>
      <c r="D585" s="17" t="s">
        <v>1495</v>
      </c>
      <c r="E585" s="17" t="s">
        <v>1496</v>
      </c>
      <c r="F585" s="16">
        <v>5</v>
      </c>
      <c r="G585" s="16">
        <v>61012101</v>
      </c>
      <c r="H585" s="16">
        <v>0</v>
      </c>
      <c r="I585" s="27">
        <v>2</v>
      </c>
      <c r="J585" s="16">
        <v>1</v>
      </c>
      <c r="K585" s="16">
        <v>3</v>
      </c>
      <c r="L585" s="16">
        <v>0</v>
      </c>
      <c r="M585" s="16">
        <v>0</v>
      </c>
      <c r="N585" s="16">
        <v>0</v>
      </c>
      <c r="O585" s="16">
        <v>1</v>
      </c>
      <c r="P585" s="16">
        <v>0</v>
      </c>
      <c r="Q585" s="16">
        <v>0</v>
      </c>
      <c r="R585" s="16">
        <v>0</v>
      </c>
      <c r="S585" s="12">
        <v>0</v>
      </c>
      <c r="T585" s="16">
        <v>0</v>
      </c>
      <c r="U585" s="16">
        <v>1</v>
      </c>
      <c r="V585" s="16">
        <v>2</v>
      </c>
      <c r="W585" s="16">
        <v>0</v>
      </c>
      <c r="X585" s="16">
        <v>3.25</v>
      </c>
      <c r="Y585" s="12">
        <v>0</v>
      </c>
      <c r="Z585" s="18">
        <v>4250</v>
      </c>
      <c r="AA585" s="16">
        <v>0</v>
      </c>
      <c r="AB585" s="16">
        <v>0</v>
      </c>
      <c r="AC585" s="16">
        <v>0</v>
      </c>
      <c r="AD585" s="16">
        <v>0</v>
      </c>
      <c r="AE585" s="16">
        <v>0</v>
      </c>
      <c r="AF585" s="16">
        <v>9</v>
      </c>
      <c r="AG585" s="16">
        <v>2</v>
      </c>
      <c r="AH585" s="16" t="s">
        <v>1497</v>
      </c>
      <c r="AI585" s="12">
        <v>2</v>
      </c>
      <c r="AJ585" s="12">
        <v>2</v>
      </c>
      <c r="AK585" s="12">
        <v>0</v>
      </c>
      <c r="AL585" s="12">
        <v>1.5</v>
      </c>
      <c r="AM585" s="16">
        <v>0</v>
      </c>
      <c r="AN585" s="16">
        <v>0</v>
      </c>
      <c r="AO585" s="16">
        <v>0</v>
      </c>
      <c r="AP585" s="16">
        <v>0.5</v>
      </c>
      <c r="AQ585" s="16">
        <v>2000</v>
      </c>
      <c r="AR585" s="16">
        <v>0.5</v>
      </c>
      <c r="AS585" s="16">
        <v>0</v>
      </c>
      <c r="AT585" s="12">
        <v>0</v>
      </c>
      <c r="AU585" s="16" t="s">
        <v>1500</v>
      </c>
      <c r="AV585" s="16"/>
      <c r="AW585" s="17" t="s">
        <v>287</v>
      </c>
      <c r="AX585" s="16" t="s">
        <v>1498</v>
      </c>
      <c r="AY585" s="18">
        <v>10001007</v>
      </c>
      <c r="AZ585" s="18">
        <v>21000010</v>
      </c>
      <c r="BA585" s="17" t="s">
        <v>200</v>
      </c>
      <c r="BB585" s="16">
        <v>0</v>
      </c>
      <c r="BC585" s="27">
        <v>0</v>
      </c>
      <c r="BD585" s="27">
        <v>0</v>
      </c>
      <c r="BE585" s="170" t="str">
        <f t="shared" si="23"/>
        <v>立即对目标范围内的怪物造成325%攻击伤害+4250点固定伤害,并使目标速度降低50%,持续6秒</v>
      </c>
      <c r="BF585" s="170" t="s">
        <v>1504</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61012201</v>
      </c>
      <c r="D586" s="17" t="s">
        <v>254</v>
      </c>
      <c r="E586" s="17" t="s">
        <v>255</v>
      </c>
      <c r="F586" s="16">
        <v>0</v>
      </c>
      <c r="G586" s="16">
        <v>61012201</v>
      </c>
      <c r="H586" s="16">
        <v>61012202</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v>
      </c>
      <c r="Y586" s="12">
        <v>0</v>
      </c>
      <c r="Z586" s="16">
        <v>300</v>
      </c>
      <c r="AA586" s="16">
        <v>1</v>
      </c>
      <c r="AB586" s="16">
        <v>0</v>
      </c>
      <c r="AC586" s="16">
        <v>0</v>
      </c>
      <c r="AD586" s="16">
        <v>0</v>
      </c>
      <c r="AE586" s="16">
        <v>0</v>
      </c>
      <c r="AF586" s="16">
        <v>13</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"每秒对周围的怪物造成"&amp;X586*100&amp;"%攻击伤害+"&amp;Z586&amp;"点固定伤害.持续4秒并使自身免疫怪物攻击"</f>
        <v>每秒对周围的怪物造成100%攻击伤害+300点固定伤害.持续4秒并使自身免疫怪物攻击</v>
      </c>
      <c r="BF586" s="170" t="s">
        <v>1506</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61012202</v>
      </c>
      <c r="D587" s="17" t="s">
        <v>254</v>
      </c>
      <c r="E587" s="17" t="s">
        <v>255</v>
      </c>
      <c r="F587" s="16">
        <v>1</v>
      </c>
      <c r="G587" s="16">
        <v>61012201</v>
      </c>
      <c r="H587" s="16">
        <v>61012203</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1.1000000000000001</v>
      </c>
      <c r="Y587" s="12">
        <v>0</v>
      </c>
      <c r="Z587" s="16">
        <v>300</v>
      </c>
      <c r="AA587" s="16">
        <v>1</v>
      </c>
      <c r="AB587" s="16">
        <v>0</v>
      </c>
      <c r="AC587" s="16">
        <v>0</v>
      </c>
      <c r="AD587" s="16">
        <v>0</v>
      </c>
      <c r="AE587" s="16">
        <v>0</v>
      </c>
      <c r="AF587" s="16">
        <v>13</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ref="BE587:BE591" si="24">"每秒对周围的怪物造成"&amp;X587*100&amp;"%攻击伤害+"&amp;Z587&amp;"点固定伤害.持续4秒并使自身免疫怪物攻击"</f>
        <v>每秒对周围的怪物造成110%攻击伤害+300点固定伤害.持续4秒并使自身免疫怪物攻击</v>
      </c>
      <c r="BF587" s="170" t="s">
        <v>1507</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61012203</v>
      </c>
      <c r="D588" s="17" t="s">
        <v>254</v>
      </c>
      <c r="E588" s="17" t="s">
        <v>255</v>
      </c>
      <c r="F588" s="16">
        <v>2</v>
      </c>
      <c r="G588" s="16">
        <v>61012201</v>
      </c>
      <c r="H588" s="16">
        <v>61012204</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1.2</v>
      </c>
      <c r="Y588" s="12">
        <v>0</v>
      </c>
      <c r="Z588" s="16">
        <v>450</v>
      </c>
      <c r="AA588" s="16">
        <v>1</v>
      </c>
      <c r="AB588" s="16">
        <v>0</v>
      </c>
      <c r="AC588" s="16">
        <v>0</v>
      </c>
      <c r="AD588" s="16">
        <v>0</v>
      </c>
      <c r="AE588" s="16">
        <v>0</v>
      </c>
      <c r="AF588" s="16">
        <v>13</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每秒对周围的怪物造成120%攻击伤害+450点固定伤害.持续4秒并使自身免疫怪物攻击</v>
      </c>
      <c r="BF588" s="170" t="s">
        <v>1508</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61012204</v>
      </c>
      <c r="D589" s="17" t="s">
        <v>254</v>
      </c>
      <c r="E589" s="17" t="s">
        <v>255</v>
      </c>
      <c r="F589" s="16">
        <v>3</v>
      </c>
      <c r="G589" s="16">
        <v>61012201</v>
      </c>
      <c r="H589" s="16">
        <v>0</v>
      </c>
      <c r="I589" s="27">
        <v>2</v>
      </c>
      <c r="J589" s="16">
        <v>3</v>
      </c>
      <c r="K589" s="16">
        <v>0</v>
      </c>
      <c r="L589" s="16">
        <v>0</v>
      </c>
      <c r="M589" s="16">
        <v>0</v>
      </c>
      <c r="N589" s="16">
        <v>0</v>
      </c>
      <c r="O589" s="16">
        <v>1</v>
      </c>
      <c r="P589" s="16">
        <v>0</v>
      </c>
      <c r="Q589" s="16">
        <v>0</v>
      </c>
      <c r="R589" s="16">
        <v>0</v>
      </c>
      <c r="S589" s="12">
        <v>0</v>
      </c>
      <c r="T589" s="16">
        <v>0</v>
      </c>
      <c r="U589" s="16">
        <v>1</v>
      </c>
      <c r="V589" s="16">
        <v>2</v>
      </c>
      <c r="W589" s="16">
        <v>0</v>
      </c>
      <c r="X589" s="16">
        <v>1.3</v>
      </c>
      <c r="Y589" s="12">
        <v>0</v>
      </c>
      <c r="Z589" s="16">
        <v>750</v>
      </c>
      <c r="AA589" s="16">
        <v>1</v>
      </c>
      <c r="AB589" s="16">
        <v>0</v>
      </c>
      <c r="AC589" s="16">
        <v>0</v>
      </c>
      <c r="AD589" s="16">
        <v>0</v>
      </c>
      <c r="AE589" s="16">
        <v>0</v>
      </c>
      <c r="AF589" s="16">
        <v>13</v>
      </c>
      <c r="AG589" s="16">
        <v>1</v>
      </c>
      <c r="AH589" s="16" t="s">
        <v>1164</v>
      </c>
      <c r="AI589" s="12">
        <v>2</v>
      </c>
      <c r="AJ589" s="12">
        <v>0</v>
      </c>
      <c r="AK589" s="12">
        <v>0</v>
      </c>
      <c r="AL589" s="12">
        <v>0</v>
      </c>
      <c r="AM589" s="16">
        <v>0</v>
      </c>
      <c r="AN589" s="16">
        <v>0</v>
      </c>
      <c r="AO589" s="16">
        <v>0</v>
      </c>
      <c r="AP589" s="16">
        <v>0</v>
      </c>
      <c r="AQ589" s="16">
        <v>3000</v>
      </c>
      <c r="AR589" s="16">
        <v>0</v>
      </c>
      <c r="AS589" s="16">
        <v>0</v>
      </c>
      <c r="AT589" s="12">
        <v>90001035</v>
      </c>
      <c r="AU589" s="16" t="s">
        <v>198</v>
      </c>
      <c r="AV589" s="16"/>
      <c r="AW589" s="17" t="s">
        <v>1505</v>
      </c>
      <c r="AX589" s="16" t="s">
        <v>534</v>
      </c>
      <c r="AY589" s="18">
        <v>10000001</v>
      </c>
      <c r="AZ589" s="18">
        <v>21000120</v>
      </c>
      <c r="BA589" s="17" t="s">
        <v>1165</v>
      </c>
      <c r="BB589" s="16">
        <v>0</v>
      </c>
      <c r="BC589" s="27">
        <v>0</v>
      </c>
      <c r="BD589" s="27">
        <v>0</v>
      </c>
      <c r="BE589" s="170" t="str">
        <f t="shared" si="24"/>
        <v>每秒对周围的怪物造成130%攻击伤害+750点固定伤害.持续4秒并使自身免疫怪物攻击</v>
      </c>
      <c r="BF589" s="170" t="s">
        <v>1509</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61012205</v>
      </c>
      <c r="D590" s="17" t="s">
        <v>254</v>
      </c>
      <c r="E590" s="17" t="s">
        <v>255</v>
      </c>
      <c r="F590" s="16">
        <v>4</v>
      </c>
      <c r="G590" s="16">
        <v>61012201</v>
      </c>
      <c r="H590" s="16">
        <v>0</v>
      </c>
      <c r="I590" s="27">
        <v>2</v>
      </c>
      <c r="J590" s="16">
        <v>3</v>
      </c>
      <c r="K590" s="16">
        <v>0</v>
      </c>
      <c r="L590" s="16">
        <v>0</v>
      </c>
      <c r="M590" s="16">
        <v>0</v>
      </c>
      <c r="N590" s="16">
        <v>0</v>
      </c>
      <c r="O590" s="16">
        <v>1</v>
      </c>
      <c r="P590" s="16">
        <v>0</v>
      </c>
      <c r="Q590" s="16">
        <v>0</v>
      </c>
      <c r="R590" s="16">
        <v>0</v>
      </c>
      <c r="S590" s="12">
        <v>0</v>
      </c>
      <c r="T590" s="16">
        <v>0</v>
      </c>
      <c r="U590" s="16">
        <v>1</v>
      </c>
      <c r="V590" s="16">
        <v>2</v>
      </c>
      <c r="W590" s="16">
        <v>0</v>
      </c>
      <c r="X590" s="16">
        <v>1.4</v>
      </c>
      <c r="Y590" s="12">
        <v>0</v>
      </c>
      <c r="Z590" s="16">
        <v>1050</v>
      </c>
      <c r="AA590" s="16">
        <v>1</v>
      </c>
      <c r="AB590" s="16">
        <v>0</v>
      </c>
      <c r="AC590" s="16">
        <v>0</v>
      </c>
      <c r="AD590" s="16">
        <v>0</v>
      </c>
      <c r="AE590" s="16">
        <v>0</v>
      </c>
      <c r="AF590" s="16">
        <v>13</v>
      </c>
      <c r="AG590" s="16">
        <v>1</v>
      </c>
      <c r="AH590" s="16" t="s">
        <v>1164</v>
      </c>
      <c r="AI590" s="12">
        <v>2</v>
      </c>
      <c r="AJ590" s="12">
        <v>0</v>
      </c>
      <c r="AK590" s="12">
        <v>0</v>
      </c>
      <c r="AL590" s="12">
        <v>0</v>
      </c>
      <c r="AM590" s="16">
        <v>0</v>
      </c>
      <c r="AN590" s="16">
        <v>0</v>
      </c>
      <c r="AO590" s="16">
        <v>0</v>
      </c>
      <c r="AP590" s="16">
        <v>0</v>
      </c>
      <c r="AQ590" s="16">
        <v>3000</v>
      </c>
      <c r="AR590" s="16">
        <v>0</v>
      </c>
      <c r="AS590" s="16">
        <v>0</v>
      </c>
      <c r="AT590" s="12">
        <v>90001035</v>
      </c>
      <c r="AU590" s="16" t="s">
        <v>198</v>
      </c>
      <c r="AV590" s="16"/>
      <c r="AW590" s="17" t="s">
        <v>1505</v>
      </c>
      <c r="AX590" s="16" t="s">
        <v>534</v>
      </c>
      <c r="AY590" s="18">
        <v>10000001</v>
      </c>
      <c r="AZ590" s="18">
        <v>21000120</v>
      </c>
      <c r="BA590" s="17" t="s">
        <v>1165</v>
      </c>
      <c r="BB590" s="16">
        <v>0</v>
      </c>
      <c r="BC590" s="27">
        <v>0</v>
      </c>
      <c r="BD590" s="27">
        <v>0</v>
      </c>
      <c r="BE590" s="170" t="str">
        <f t="shared" si="24"/>
        <v>每秒对周围的怪物造成140%攻击伤害+1050点固定伤害.持续4秒并使自身免疫怪物攻击</v>
      </c>
      <c r="BF590" s="170" t="s">
        <v>1510</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61012206</v>
      </c>
      <c r="D591" s="17" t="s">
        <v>254</v>
      </c>
      <c r="E591" s="17" t="s">
        <v>255</v>
      </c>
      <c r="F591" s="16">
        <v>5</v>
      </c>
      <c r="G591" s="16">
        <v>61012201</v>
      </c>
      <c r="H591" s="16">
        <v>0</v>
      </c>
      <c r="I591" s="27">
        <v>2</v>
      </c>
      <c r="J591" s="16">
        <v>3</v>
      </c>
      <c r="K591" s="16">
        <v>0</v>
      </c>
      <c r="L591" s="16">
        <v>0</v>
      </c>
      <c r="M591" s="16">
        <v>0</v>
      </c>
      <c r="N591" s="16">
        <v>0</v>
      </c>
      <c r="O591" s="16">
        <v>1</v>
      </c>
      <c r="P591" s="16">
        <v>0</v>
      </c>
      <c r="Q591" s="16">
        <v>0</v>
      </c>
      <c r="R591" s="16">
        <v>0</v>
      </c>
      <c r="S591" s="12">
        <v>0</v>
      </c>
      <c r="T591" s="16">
        <v>0</v>
      </c>
      <c r="U591" s="16">
        <v>1</v>
      </c>
      <c r="V591" s="16">
        <v>2</v>
      </c>
      <c r="W591" s="16">
        <v>0</v>
      </c>
      <c r="X591" s="16">
        <v>1.5</v>
      </c>
      <c r="Y591" s="12">
        <v>0</v>
      </c>
      <c r="Z591" s="16">
        <v>1500</v>
      </c>
      <c r="AA591" s="16">
        <v>1</v>
      </c>
      <c r="AB591" s="16">
        <v>0</v>
      </c>
      <c r="AC591" s="16">
        <v>0</v>
      </c>
      <c r="AD591" s="16">
        <v>0</v>
      </c>
      <c r="AE591" s="16">
        <v>0</v>
      </c>
      <c r="AF591" s="16">
        <v>13</v>
      </c>
      <c r="AG591" s="16">
        <v>1</v>
      </c>
      <c r="AH591" s="16" t="s">
        <v>1164</v>
      </c>
      <c r="AI591" s="12">
        <v>2</v>
      </c>
      <c r="AJ591" s="12">
        <v>0</v>
      </c>
      <c r="AK591" s="12">
        <v>0</v>
      </c>
      <c r="AL591" s="12">
        <v>0</v>
      </c>
      <c r="AM591" s="16">
        <v>0</v>
      </c>
      <c r="AN591" s="16">
        <v>0</v>
      </c>
      <c r="AO591" s="16">
        <v>0</v>
      </c>
      <c r="AP591" s="16">
        <v>0</v>
      </c>
      <c r="AQ591" s="16">
        <v>3000</v>
      </c>
      <c r="AR591" s="16">
        <v>0</v>
      </c>
      <c r="AS591" s="16">
        <v>0</v>
      </c>
      <c r="AT591" s="12">
        <v>90001035</v>
      </c>
      <c r="AU591" s="16" t="s">
        <v>198</v>
      </c>
      <c r="AV591" s="16"/>
      <c r="AW591" s="17" t="s">
        <v>1505</v>
      </c>
      <c r="AX591" s="16" t="s">
        <v>534</v>
      </c>
      <c r="AY591" s="18">
        <v>10000001</v>
      </c>
      <c r="AZ591" s="18">
        <v>21000120</v>
      </c>
      <c r="BA591" s="17" t="s">
        <v>1165</v>
      </c>
      <c r="BB591" s="16">
        <v>0</v>
      </c>
      <c r="BC591" s="27">
        <v>0</v>
      </c>
      <c r="BD591" s="27">
        <v>0</v>
      </c>
      <c r="BE591" s="170" t="str">
        <f t="shared" si="24"/>
        <v>每秒对周围的怪物造成150%攻击伤害+1500点固定伤害.持续4秒并使自身免疫怪物攻击</v>
      </c>
      <c r="BF591" s="170" t="s">
        <v>1511</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61012301</v>
      </c>
      <c r="D592" s="17" t="s">
        <v>1512</v>
      </c>
      <c r="E592" s="17" t="s">
        <v>1513</v>
      </c>
      <c r="F592" s="16">
        <v>0</v>
      </c>
      <c r="G592" s="16">
        <v>61012301</v>
      </c>
      <c r="H592" s="16">
        <v>61012302</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1.6</v>
      </c>
      <c r="Y592" s="12">
        <v>0</v>
      </c>
      <c r="Z592" s="18">
        <v>750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1" t="s">
        <v>1514</v>
      </c>
      <c r="AU592" s="16">
        <v>90001020</v>
      </c>
      <c r="AV592" s="16"/>
      <c r="AW592" s="17" t="s">
        <v>214</v>
      </c>
      <c r="AX592" s="16" t="s">
        <v>215</v>
      </c>
      <c r="AY592" s="18">
        <v>10000011</v>
      </c>
      <c r="AZ592" s="18">
        <v>21000130</v>
      </c>
      <c r="BA592" s="17" t="s">
        <v>216</v>
      </c>
      <c r="BB592" s="16">
        <v>1</v>
      </c>
      <c r="BC592" s="27">
        <v>0</v>
      </c>
      <c r="BD592" s="27">
        <v>0</v>
      </c>
      <c r="BE592" s="170" t="str">
        <f>"立即冲锋至目标区域并对其怪物造成"&amp;X592*100&amp;"%攻击伤害+"&amp;Z592&amp;"点固定伤害,并使自身无敌1秒和将对方眩晕1秒"</f>
        <v>立即冲锋至目标区域并对其怪物造成160%攻击伤害+750点固定伤害,并使自身无敌1秒和将对方眩晕1秒</v>
      </c>
      <c r="BF592" s="170" t="s">
        <v>1515</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61012302</v>
      </c>
      <c r="D593" s="17" t="s">
        <v>1512</v>
      </c>
      <c r="E593" s="17" t="s">
        <v>1513</v>
      </c>
      <c r="F593" s="16">
        <v>1</v>
      </c>
      <c r="G593" s="16">
        <v>61012301</v>
      </c>
      <c r="H593" s="16">
        <v>61012303</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1.6</v>
      </c>
      <c r="Y593" s="12">
        <v>0</v>
      </c>
      <c r="Z593" s="18">
        <v>750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1" t="s">
        <v>1514</v>
      </c>
      <c r="AU593" s="16">
        <v>90001020</v>
      </c>
      <c r="AV593" s="16"/>
      <c r="AW593" s="17" t="s">
        <v>214</v>
      </c>
      <c r="AX593" s="16" t="s">
        <v>215</v>
      </c>
      <c r="AY593" s="18">
        <v>10000011</v>
      </c>
      <c r="AZ593" s="18">
        <v>21000130</v>
      </c>
      <c r="BA593" s="17" t="s">
        <v>216</v>
      </c>
      <c r="BB593" s="16">
        <v>1</v>
      </c>
      <c r="BC593" s="27">
        <v>0</v>
      </c>
      <c r="BD593" s="27">
        <v>0</v>
      </c>
      <c r="BE593" s="170" t="str">
        <f t="shared" ref="BE593:BE597" si="25">"立即冲锋至目标区域并对其怪物造成"&amp;X593*100&amp;"%攻击伤害+"&amp;Z593&amp;"点固定伤害,并使自身无敌1秒和将对方眩晕1秒"</f>
        <v>立即冲锋至目标区域并对其怪物造成160%攻击伤害+750点固定伤害,并使自身无敌1秒和将对方眩晕1秒</v>
      </c>
      <c r="BF593" s="170" t="s">
        <v>1515</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61012303</v>
      </c>
      <c r="D594" s="17" t="s">
        <v>1512</v>
      </c>
      <c r="E594" s="17" t="s">
        <v>1513</v>
      </c>
      <c r="F594" s="16">
        <v>2</v>
      </c>
      <c r="G594" s="16">
        <v>61012301</v>
      </c>
      <c r="H594" s="16">
        <v>61012304</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1.8</v>
      </c>
      <c r="Y594" s="12">
        <v>0</v>
      </c>
      <c r="Z594" s="18">
        <v>1500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1"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立即冲锋至目标区域并对其怪物造成180%攻击伤害+1500点固定伤害,并使自身无敌1秒和将对方眩晕1秒</v>
      </c>
      <c r="BF594" s="170" t="s">
        <v>1516</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16">
        <v>61012304</v>
      </c>
      <c r="D595" s="17" t="s">
        <v>1512</v>
      </c>
      <c r="E595" s="17" t="s">
        <v>1513</v>
      </c>
      <c r="F595" s="16">
        <v>3</v>
      </c>
      <c r="G595" s="16">
        <v>61012301</v>
      </c>
      <c r="H595" s="16">
        <v>0</v>
      </c>
      <c r="I595" s="27">
        <v>2</v>
      </c>
      <c r="J595" s="16">
        <v>5</v>
      </c>
      <c r="K595" s="16">
        <v>3</v>
      </c>
      <c r="L595" s="16">
        <v>0</v>
      </c>
      <c r="M595" s="16">
        <v>0</v>
      </c>
      <c r="N595" s="16">
        <v>0</v>
      </c>
      <c r="O595" s="16">
        <v>1</v>
      </c>
      <c r="P595" s="16">
        <v>0</v>
      </c>
      <c r="Q595" s="16">
        <v>0</v>
      </c>
      <c r="R595" s="16">
        <v>0</v>
      </c>
      <c r="S595" s="12">
        <v>0</v>
      </c>
      <c r="T595" s="16">
        <v>0</v>
      </c>
      <c r="U595" s="16">
        <v>1</v>
      </c>
      <c r="V595" s="16">
        <v>2</v>
      </c>
      <c r="W595" s="16">
        <v>0</v>
      </c>
      <c r="X595" s="16">
        <v>2</v>
      </c>
      <c r="Y595" s="12">
        <v>0</v>
      </c>
      <c r="Z595" s="18">
        <v>2250</v>
      </c>
      <c r="AA595" s="16">
        <v>1</v>
      </c>
      <c r="AB595" s="16">
        <v>0</v>
      </c>
      <c r="AC595" s="16">
        <v>0</v>
      </c>
      <c r="AD595" s="16">
        <v>0</v>
      </c>
      <c r="AE595" s="16">
        <v>0</v>
      </c>
      <c r="AF595" s="16">
        <v>9</v>
      </c>
      <c r="AG595" s="16">
        <v>2</v>
      </c>
      <c r="AH595" s="16" t="s">
        <v>714</v>
      </c>
      <c r="AI595" s="12">
        <v>2</v>
      </c>
      <c r="AJ595" s="12">
        <v>2</v>
      </c>
      <c r="AK595" s="12">
        <v>0</v>
      </c>
      <c r="AL595" s="12">
        <v>1.5</v>
      </c>
      <c r="AM595" s="16">
        <v>0</v>
      </c>
      <c r="AN595" s="16">
        <v>0</v>
      </c>
      <c r="AO595" s="16">
        <v>0</v>
      </c>
      <c r="AP595" s="16">
        <v>0.2</v>
      </c>
      <c r="AQ595" s="16">
        <v>200</v>
      </c>
      <c r="AR595" s="16">
        <v>0</v>
      </c>
      <c r="AS595" s="16">
        <v>60</v>
      </c>
      <c r="AT595" s="341" t="s">
        <v>1514</v>
      </c>
      <c r="AU595" s="16">
        <v>90001020</v>
      </c>
      <c r="AV595" s="16"/>
      <c r="AW595" s="17" t="s">
        <v>214</v>
      </c>
      <c r="AX595" s="16" t="s">
        <v>215</v>
      </c>
      <c r="AY595" s="18">
        <v>10000011</v>
      </c>
      <c r="AZ595" s="18">
        <v>21000130</v>
      </c>
      <c r="BA595" s="17" t="s">
        <v>216</v>
      </c>
      <c r="BB595" s="16">
        <v>1</v>
      </c>
      <c r="BC595" s="27">
        <v>0</v>
      </c>
      <c r="BD595" s="27">
        <v>0</v>
      </c>
      <c r="BE595" s="170" t="str">
        <f t="shared" si="25"/>
        <v>立即冲锋至目标区域并对其怪物造成200%攻击伤害+2250点固定伤害,并使自身无敌1秒和将对方眩晕1秒</v>
      </c>
      <c r="BF595" s="170" t="s">
        <v>1517</v>
      </c>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row>
    <row r="596" spans="3:75" ht="20.100000000000001" customHeight="1">
      <c r="C596" s="16">
        <v>61012305</v>
      </c>
      <c r="D596" s="17" t="s">
        <v>1512</v>
      </c>
      <c r="E596" s="17" t="s">
        <v>1513</v>
      </c>
      <c r="F596" s="16">
        <v>4</v>
      </c>
      <c r="G596" s="16">
        <v>61012301</v>
      </c>
      <c r="H596" s="16">
        <v>0</v>
      </c>
      <c r="I596" s="27">
        <v>2</v>
      </c>
      <c r="J596" s="16">
        <v>5</v>
      </c>
      <c r="K596" s="16">
        <v>3</v>
      </c>
      <c r="L596" s="16">
        <v>0</v>
      </c>
      <c r="M596" s="16">
        <v>0</v>
      </c>
      <c r="N596" s="16">
        <v>0</v>
      </c>
      <c r="O596" s="16">
        <v>1</v>
      </c>
      <c r="P596" s="16">
        <v>0</v>
      </c>
      <c r="Q596" s="16">
        <v>0</v>
      </c>
      <c r="R596" s="16">
        <v>0</v>
      </c>
      <c r="S596" s="12">
        <v>0</v>
      </c>
      <c r="T596" s="16">
        <v>0</v>
      </c>
      <c r="U596" s="16">
        <v>1</v>
      </c>
      <c r="V596" s="16">
        <v>2</v>
      </c>
      <c r="W596" s="16">
        <v>0</v>
      </c>
      <c r="X596" s="16">
        <v>2.2000000000000002</v>
      </c>
      <c r="Y596" s="12">
        <v>0</v>
      </c>
      <c r="Z596" s="18">
        <v>3250</v>
      </c>
      <c r="AA596" s="16">
        <v>1</v>
      </c>
      <c r="AB596" s="16">
        <v>0</v>
      </c>
      <c r="AC596" s="16">
        <v>0</v>
      </c>
      <c r="AD596" s="16">
        <v>0</v>
      </c>
      <c r="AE596" s="16">
        <v>0</v>
      </c>
      <c r="AF596" s="16">
        <v>9</v>
      </c>
      <c r="AG596" s="16">
        <v>2</v>
      </c>
      <c r="AH596" s="16" t="s">
        <v>714</v>
      </c>
      <c r="AI596" s="12">
        <v>2</v>
      </c>
      <c r="AJ596" s="12">
        <v>2</v>
      </c>
      <c r="AK596" s="12">
        <v>0</v>
      </c>
      <c r="AL596" s="12">
        <v>1.5</v>
      </c>
      <c r="AM596" s="16">
        <v>0</v>
      </c>
      <c r="AN596" s="16">
        <v>0</v>
      </c>
      <c r="AO596" s="16">
        <v>0</v>
      </c>
      <c r="AP596" s="16">
        <v>0.2</v>
      </c>
      <c r="AQ596" s="16">
        <v>200</v>
      </c>
      <c r="AR596" s="16">
        <v>0</v>
      </c>
      <c r="AS596" s="16">
        <v>60</v>
      </c>
      <c r="AT596" s="341" t="s">
        <v>1514</v>
      </c>
      <c r="AU596" s="16">
        <v>90001020</v>
      </c>
      <c r="AV596" s="16"/>
      <c r="AW596" s="17" t="s">
        <v>214</v>
      </c>
      <c r="AX596" s="16" t="s">
        <v>215</v>
      </c>
      <c r="AY596" s="18">
        <v>10000011</v>
      </c>
      <c r="AZ596" s="18">
        <v>21000130</v>
      </c>
      <c r="BA596" s="17" t="s">
        <v>216</v>
      </c>
      <c r="BB596" s="16">
        <v>1</v>
      </c>
      <c r="BC596" s="27">
        <v>0</v>
      </c>
      <c r="BD596" s="27">
        <v>0</v>
      </c>
      <c r="BE596" s="170" t="str">
        <f t="shared" si="25"/>
        <v>立即冲锋至目标区域并对其怪物造成220%攻击伤害+3250点固定伤害,并使自身无敌1秒和将对方眩晕1秒</v>
      </c>
      <c r="BF596" s="170" t="s">
        <v>1518</v>
      </c>
      <c r="BG596" s="16">
        <v>0</v>
      </c>
      <c r="BH596" s="16">
        <v>0</v>
      </c>
      <c r="BI596" s="16">
        <v>0</v>
      </c>
      <c r="BJ596" s="16">
        <v>0</v>
      </c>
      <c r="BK596" s="16">
        <v>0</v>
      </c>
      <c r="BL596" s="16">
        <v>0</v>
      </c>
      <c r="BM596" s="15">
        <v>0</v>
      </c>
      <c r="BN596" s="12">
        <v>0</v>
      </c>
      <c r="BO596" s="12">
        <v>0</v>
      </c>
      <c r="BP596" s="12">
        <v>0</v>
      </c>
      <c r="BQ596" s="12">
        <v>0</v>
      </c>
      <c r="BR596" s="12">
        <v>0</v>
      </c>
      <c r="BS596" s="12">
        <v>0</v>
      </c>
      <c r="BT596" s="12">
        <v>0</v>
      </c>
      <c r="BU596" s="47">
        <v>0</v>
      </c>
      <c r="BV596" s="47"/>
      <c r="BW596" s="47"/>
    </row>
    <row r="597" spans="3:75" ht="20.100000000000001" customHeight="1">
      <c r="C597" s="16">
        <v>61012306</v>
      </c>
      <c r="D597" s="17" t="s">
        <v>1512</v>
      </c>
      <c r="E597" s="17" t="s">
        <v>1513</v>
      </c>
      <c r="F597" s="16">
        <v>5</v>
      </c>
      <c r="G597" s="16">
        <v>61012301</v>
      </c>
      <c r="H597" s="16">
        <v>0</v>
      </c>
      <c r="I597" s="27">
        <v>2</v>
      </c>
      <c r="J597" s="16">
        <v>5</v>
      </c>
      <c r="K597" s="16">
        <v>3</v>
      </c>
      <c r="L597" s="16">
        <v>0</v>
      </c>
      <c r="M597" s="16">
        <v>0</v>
      </c>
      <c r="N597" s="16">
        <v>0</v>
      </c>
      <c r="O597" s="16">
        <v>1</v>
      </c>
      <c r="P597" s="16">
        <v>0</v>
      </c>
      <c r="Q597" s="16">
        <v>0</v>
      </c>
      <c r="R597" s="16">
        <v>0</v>
      </c>
      <c r="S597" s="12">
        <v>0</v>
      </c>
      <c r="T597" s="16">
        <v>0</v>
      </c>
      <c r="U597" s="16">
        <v>1</v>
      </c>
      <c r="V597" s="16">
        <v>2</v>
      </c>
      <c r="W597" s="16">
        <v>0</v>
      </c>
      <c r="X597" s="16">
        <v>2.4</v>
      </c>
      <c r="Y597" s="12">
        <v>0</v>
      </c>
      <c r="Z597" s="18">
        <v>4250</v>
      </c>
      <c r="AA597" s="16">
        <v>1</v>
      </c>
      <c r="AB597" s="16">
        <v>0</v>
      </c>
      <c r="AC597" s="16">
        <v>0</v>
      </c>
      <c r="AD597" s="16">
        <v>0</v>
      </c>
      <c r="AE597" s="16">
        <v>0</v>
      </c>
      <c r="AF597" s="16">
        <v>9</v>
      </c>
      <c r="AG597" s="16">
        <v>2</v>
      </c>
      <c r="AH597" s="16" t="s">
        <v>714</v>
      </c>
      <c r="AI597" s="12">
        <v>2</v>
      </c>
      <c r="AJ597" s="12">
        <v>2</v>
      </c>
      <c r="AK597" s="12">
        <v>0</v>
      </c>
      <c r="AL597" s="12">
        <v>1.5</v>
      </c>
      <c r="AM597" s="16">
        <v>0</v>
      </c>
      <c r="AN597" s="16">
        <v>0</v>
      </c>
      <c r="AO597" s="16">
        <v>0</v>
      </c>
      <c r="AP597" s="16">
        <v>0.2</v>
      </c>
      <c r="AQ597" s="16">
        <v>200</v>
      </c>
      <c r="AR597" s="16">
        <v>0</v>
      </c>
      <c r="AS597" s="16">
        <v>60</v>
      </c>
      <c r="AT597" s="341" t="s">
        <v>1514</v>
      </c>
      <c r="AU597" s="16">
        <v>90001020</v>
      </c>
      <c r="AV597" s="16"/>
      <c r="AW597" s="17" t="s">
        <v>214</v>
      </c>
      <c r="AX597" s="16" t="s">
        <v>215</v>
      </c>
      <c r="AY597" s="18">
        <v>10000011</v>
      </c>
      <c r="AZ597" s="18">
        <v>21000130</v>
      </c>
      <c r="BA597" s="17" t="s">
        <v>216</v>
      </c>
      <c r="BB597" s="16">
        <v>1</v>
      </c>
      <c r="BC597" s="27">
        <v>0</v>
      </c>
      <c r="BD597" s="27">
        <v>0</v>
      </c>
      <c r="BE597" s="170" t="str">
        <f t="shared" si="25"/>
        <v>立即冲锋至目标区域并对其怪物造成240%攻击伤害+4250点固定伤害,并使自身无敌1秒和将对方眩晕1秒</v>
      </c>
      <c r="BF597" s="170" t="s">
        <v>1519</v>
      </c>
      <c r="BG597" s="16">
        <v>0</v>
      </c>
      <c r="BH597" s="16">
        <v>0</v>
      </c>
      <c r="BI597" s="16">
        <v>0</v>
      </c>
      <c r="BJ597" s="16">
        <v>0</v>
      </c>
      <c r="BK597" s="16">
        <v>0</v>
      </c>
      <c r="BL597" s="16">
        <v>0</v>
      </c>
      <c r="BM597" s="15">
        <v>0</v>
      </c>
      <c r="BN597" s="12">
        <v>0</v>
      </c>
      <c r="BO597" s="12">
        <v>0</v>
      </c>
      <c r="BP597" s="12">
        <v>0</v>
      </c>
      <c r="BQ597" s="12">
        <v>0</v>
      </c>
      <c r="BR597" s="12">
        <v>0</v>
      </c>
      <c r="BS597" s="12">
        <v>0</v>
      </c>
      <c r="BT597" s="12">
        <v>0</v>
      </c>
      <c r="BU597" s="47">
        <v>0</v>
      </c>
      <c r="BV597" s="47"/>
      <c r="BW597" s="47"/>
    </row>
    <row r="598" spans="3:75" ht="20.100000000000001" customHeight="1">
      <c r="C598" s="30">
        <v>610211011</v>
      </c>
      <c r="D598" s="38" t="s">
        <v>1520</v>
      </c>
      <c r="E598" s="38" t="s">
        <v>1521</v>
      </c>
      <c r="F598" s="30">
        <v>0</v>
      </c>
      <c r="G598" s="30">
        <v>61021101</v>
      </c>
      <c r="H598" s="30">
        <v>0</v>
      </c>
      <c r="I598" s="30">
        <v>0</v>
      </c>
      <c r="J598" s="30">
        <v>18</v>
      </c>
      <c r="K598" s="30">
        <v>5</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8" t="s">
        <v>1522</v>
      </c>
      <c r="AU598" s="30" t="s">
        <v>198</v>
      </c>
      <c r="AV598" s="30"/>
      <c r="AW598" s="38" t="s">
        <v>199</v>
      </c>
      <c r="AX598" s="30" t="s">
        <v>348</v>
      </c>
      <c r="AY598" s="30">
        <v>0</v>
      </c>
      <c r="AZ598" s="30">
        <v>0</v>
      </c>
      <c r="BA598" s="38" t="s">
        <v>200</v>
      </c>
      <c r="BB598" s="38" t="s">
        <v>198</v>
      </c>
      <c r="BC598" s="30">
        <v>0</v>
      </c>
      <c r="BD598" s="30">
        <v>0</v>
      </c>
      <c r="BE598" s="182" t="s">
        <v>1523</v>
      </c>
      <c r="BF598" s="182" t="s">
        <v>1524</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610211021</v>
      </c>
      <c r="D599" s="38" t="s">
        <v>1520</v>
      </c>
      <c r="E599" s="38" t="s">
        <v>1521</v>
      </c>
      <c r="F599" s="30">
        <v>1</v>
      </c>
      <c r="G599" s="30">
        <v>61021101</v>
      </c>
      <c r="H599" s="30">
        <v>0</v>
      </c>
      <c r="I599" s="30">
        <v>0</v>
      </c>
      <c r="J599" s="30">
        <v>27</v>
      </c>
      <c r="K599" s="30">
        <v>2</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8" t="s">
        <v>1522</v>
      </c>
      <c r="AU599" s="30" t="s">
        <v>198</v>
      </c>
      <c r="AV599" s="30"/>
      <c r="AW599" s="38" t="s">
        <v>199</v>
      </c>
      <c r="AX599" s="30" t="s">
        <v>348</v>
      </c>
      <c r="AY599" s="30">
        <v>0</v>
      </c>
      <c r="AZ599" s="30">
        <v>0</v>
      </c>
      <c r="BA599" s="38" t="s">
        <v>200</v>
      </c>
      <c r="BB599" s="38" t="s">
        <v>198</v>
      </c>
      <c r="BC599" s="30">
        <v>0</v>
      </c>
      <c r="BD599" s="30">
        <v>0</v>
      </c>
      <c r="BE599" s="182" t="s">
        <v>1523</v>
      </c>
      <c r="BF599" s="182" t="s">
        <v>1524</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610211031</v>
      </c>
      <c r="D600" s="38" t="s">
        <v>1520</v>
      </c>
      <c r="E600" s="38" t="s">
        <v>1521</v>
      </c>
      <c r="F600" s="30">
        <v>2</v>
      </c>
      <c r="G600" s="30">
        <v>61021101</v>
      </c>
      <c r="H600" s="30">
        <v>0</v>
      </c>
      <c r="I600" s="30">
        <v>0</v>
      </c>
      <c r="J600" s="30">
        <v>32</v>
      </c>
      <c r="K600" s="30">
        <v>2</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8" t="s">
        <v>1525</v>
      </c>
      <c r="AU600" s="30" t="s">
        <v>198</v>
      </c>
      <c r="AV600" s="30"/>
      <c r="AW600" s="38" t="s">
        <v>199</v>
      </c>
      <c r="AX600" s="30" t="s">
        <v>348</v>
      </c>
      <c r="AY600" s="30">
        <v>0</v>
      </c>
      <c r="AZ600" s="30">
        <v>0</v>
      </c>
      <c r="BA600" s="38" t="s">
        <v>200</v>
      </c>
      <c r="BB600" s="38" t="s">
        <v>198</v>
      </c>
      <c r="BC600" s="30">
        <v>0</v>
      </c>
      <c r="BD600" s="30">
        <v>0</v>
      </c>
      <c r="BE600" s="182" t="s">
        <v>1526</v>
      </c>
      <c r="BF600" s="182" t="s">
        <v>1527</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610211041</v>
      </c>
      <c r="D601" s="38" t="s">
        <v>1520</v>
      </c>
      <c r="E601" s="38" t="s">
        <v>1521</v>
      </c>
      <c r="F601" s="30">
        <v>3</v>
      </c>
      <c r="G601" s="30">
        <v>61021101</v>
      </c>
      <c r="H601" s="30">
        <v>0</v>
      </c>
      <c r="I601" s="30">
        <v>0</v>
      </c>
      <c r="J601" s="30">
        <v>0</v>
      </c>
      <c r="K601" s="181">
        <v>0</v>
      </c>
      <c r="L601" s="30">
        <v>0</v>
      </c>
      <c r="M601" s="30">
        <v>0</v>
      </c>
      <c r="N601" s="30">
        <v>0</v>
      </c>
      <c r="O601" s="30">
        <v>1</v>
      </c>
      <c r="P601" s="30">
        <v>0</v>
      </c>
      <c r="Q601" s="30">
        <v>0</v>
      </c>
      <c r="R601" s="30">
        <v>0</v>
      </c>
      <c r="S601" s="30">
        <v>0</v>
      </c>
      <c r="T601" s="30">
        <v>0</v>
      </c>
      <c r="U601" s="30">
        <v>1</v>
      </c>
      <c r="V601" s="30">
        <v>2</v>
      </c>
      <c r="W601" s="30">
        <v>0</v>
      </c>
      <c r="X601" s="30">
        <v>0</v>
      </c>
      <c r="Y601" s="12">
        <v>0</v>
      </c>
      <c r="Z601" s="30">
        <v>0</v>
      </c>
      <c r="AA601" s="30">
        <v>0</v>
      </c>
      <c r="AB601" s="30">
        <v>0</v>
      </c>
      <c r="AC601" s="30">
        <v>0</v>
      </c>
      <c r="AD601" s="30">
        <v>0</v>
      </c>
      <c r="AE601" s="30">
        <v>0</v>
      </c>
      <c r="AF601" s="30">
        <v>30</v>
      </c>
      <c r="AG601" s="30">
        <v>0</v>
      </c>
      <c r="AH601" s="30">
        <v>0</v>
      </c>
      <c r="AI601" s="30">
        <v>2</v>
      </c>
      <c r="AJ601" s="30">
        <v>0</v>
      </c>
      <c r="AK601" s="30">
        <v>0</v>
      </c>
      <c r="AL601" s="30">
        <v>0</v>
      </c>
      <c r="AM601" s="30">
        <v>0</v>
      </c>
      <c r="AN601" s="30">
        <v>0</v>
      </c>
      <c r="AO601" s="30">
        <v>0</v>
      </c>
      <c r="AP601" s="30">
        <v>0</v>
      </c>
      <c r="AQ601" s="30">
        <v>1000</v>
      </c>
      <c r="AR601" s="30">
        <v>0</v>
      </c>
      <c r="AS601" s="30">
        <v>0</v>
      </c>
      <c r="AT601" s="348" t="s">
        <v>1528</v>
      </c>
      <c r="AU601" s="30" t="s">
        <v>198</v>
      </c>
      <c r="AV601" s="30"/>
      <c r="AW601" s="38" t="s">
        <v>199</v>
      </c>
      <c r="AX601" s="30" t="s">
        <v>348</v>
      </c>
      <c r="AY601" s="30">
        <v>0</v>
      </c>
      <c r="AZ601" s="30">
        <v>0</v>
      </c>
      <c r="BA601" s="38" t="s">
        <v>200</v>
      </c>
      <c r="BB601" s="38" t="s">
        <v>198</v>
      </c>
      <c r="BC601" s="30">
        <v>0</v>
      </c>
      <c r="BD601" s="30">
        <v>0</v>
      </c>
      <c r="BE601" s="182" t="s">
        <v>1529</v>
      </c>
      <c r="BF601" s="182" t="s">
        <v>1530</v>
      </c>
      <c r="BG601" s="30">
        <v>0</v>
      </c>
      <c r="BH601" s="30">
        <v>0</v>
      </c>
      <c r="BI601" s="30">
        <v>0</v>
      </c>
      <c r="BJ601" s="30">
        <v>0</v>
      </c>
      <c r="BK601" s="30">
        <v>0</v>
      </c>
      <c r="BL601" s="30">
        <v>0</v>
      </c>
      <c r="BM601" s="21">
        <v>0</v>
      </c>
      <c r="BN601" s="30">
        <v>1</v>
      </c>
      <c r="BO601" s="30">
        <v>0</v>
      </c>
      <c r="BP601" s="30">
        <v>0</v>
      </c>
      <c r="BQ601" s="30">
        <v>0</v>
      </c>
      <c r="BR601" s="30">
        <v>0</v>
      </c>
      <c r="BS601" s="30">
        <v>0</v>
      </c>
      <c r="BT601" s="12">
        <v>0</v>
      </c>
      <c r="BU601" s="47">
        <v>0</v>
      </c>
      <c r="BV601" s="47"/>
      <c r="BW601" s="47"/>
    </row>
    <row r="602" spans="3:75" ht="20.100000000000001" customHeight="1">
      <c r="C602" s="30">
        <v>610211051</v>
      </c>
      <c r="D602" s="38" t="s">
        <v>1520</v>
      </c>
      <c r="E602" s="38" t="s">
        <v>1521</v>
      </c>
      <c r="F602" s="30">
        <v>4</v>
      </c>
      <c r="G602" s="30">
        <v>61021101</v>
      </c>
      <c r="H602" s="30">
        <v>0</v>
      </c>
      <c r="I602" s="30">
        <v>0</v>
      </c>
      <c r="J602" s="30">
        <v>0</v>
      </c>
      <c r="K602" s="30">
        <v>0</v>
      </c>
      <c r="L602" s="30">
        <v>0</v>
      </c>
      <c r="M602" s="30">
        <v>0</v>
      </c>
      <c r="N602" s="30">
        <v>0</v>
      </c>
      <c r="O602" s="30">
        <v>1</v>
      </c>
      <c r="P602" s="30">
        <v>0</v>
      </c>
      <c r="Q602" s="30">
        <v>0</v>
      </c>
      <c r="R602" s="30">
        <v>0</v>
      </c>
      <c r="S602" s="30">
        <v>0</v>
      </c>
      <c r="T602" s="30">
        <v>0</v>
      </c>
      <c r="U602" s="30">
        <v>1</v>
      </c>
      <c r="V602" s="30">
        <v>2</v>
      </c>
      <c r="W602" s="30">
        <v>0</v>
      </c>
      <c r="X602" s="30">
        <v>0</v>
      </c>
      <c r="Y602" s="12">
        <v>0</v>
      </c>
      <c r="Z602" s="30">
        <v>0</v>
      </c>
      <c r="AA602" s="30">
        <v>0</v>
      </c>
      <c r="AB602" s="30">
        <v>0</v>
      </c>
      <c r="AC602" s="30">
        <v>0</v>
      </c>
      <c r="AD602" s="30">
        <v>0</v>
      </c>
      <c r="AE602" s="30">
        <v>0</v>
      </c>
      <c r="AF602" s="30">
        <v>30</v>
      </c>
      <c r="AG602" s="30">
        <v>0</v>
      </c>
      <c r="AH602" s="30">
        <v>0</v>
      </c>
      <c r="AI602" s="30">
        <v>2</v>
      </c>
      <c r="AJ602" s="30">
        <v>0</v>
      </c>
      <c r="AK602" s="30">
        <v>0</v>
      </c>
      <c r="AL602" s="30">
        <v>0</v>
      </c>
      <c r="AM602" s="30">
        <v>0</v>
      </c>
      <c r="AN602" s="30">
        <v>0</v>
      </c>
      <c r="AO602" s="30">
        <v>0</v>
      </c>
      <c r="AP602" s="30">
        <v>0</v>
      </c>
      <c r="AQ602" s="30">
        <v>1000</v>
      </c>
      <c r="AR602" s="30">
        <v>0</v>
      </c>
      <c r="AS602" s="30">
        <v>0</v>
      </c>
      <c r="AT602" s="348" t="s">
        <v>1531</v>
      </c>
      <c r="AU602" s="30" t="s">
        <v>198</v>
      </c>
      <c r="AV602" s="30"/>
      <c r="AW602" s="38" t="s">
        <v>199</v>
      </c>
      <c r="AX602" s="30" t="s">
        <v>348</v>
      </c>
      <c r="AY602" s="30">
        <v>0</v>
      </c>
      <c r="AZ602" s="30">
        <v>0</v>
      </c>
      <c r="BA602" s="38" t="s">
        <v>200</v>
      </c>
      <c r="BB602" s="38" t="s">
        <v>198</v>
      </c>
      <c r="BC602" s="30">
        <v>0</v>
      </c>
      <c r="BD602" s="30">
        <v>0</v>
      </c>
      <c r="BE602" s="182" t="s">
        <v>1532</v>
      </c>
      <c r="BF602" s="182" t="s">
        <v>1533</v>
      </c>
      <c r="BG602" s="30">
        <v>0</v>
      </c>
      <c r="BH602" s="30">
        <v>0</v>
      </c>
      <c r="BI602" s="30">
        <v>0</v>
      </c>
      <c r="BJ602" s="30">
        <v>0</v>
      </c>
      <c r="BK602" s="30">
        <v>0</v>
      </c>
      <c r="BL602" s="30">
        <v>0</v>
      </c>
      <c r="BM602" s="21">
        <v>0</v>
      </c>
      <c r="BN602" s="30">
        <v>1</v>
      </c>
      <c r="BO602" s="30">
        <v>0</v>
      </c>
      <c r="BP602" s="30">
        <v>0</v>
      </c>
      <c r="BQ602" s="30">
        <v>0</v>
      </c>
      <c r="BR602" s="30">
        <v>0</v>
      </c>
      <c r="BS602" s="30">
        <v>0</v>
      </c>
      <c r="BT602" s="12">
        <v>0</v>
      </c>
      <c r="BU602" s="47">
        <v>0</v>
      </c>
      <c r="BV602" s="47"/>
      <c r="BW602" s="47"/>
    </row>
    <row r="603" spans="3:75" ht="20.100000000000001" customHeight="1">
      <c r="C603" s="30">
        <v>610211061</v>
      </c>
      <c r="D603" s="38" t="s">
        <v>1520</v>
      </c>
      <c r="E603" s="38" t="s">
        <v>1521</v>
      </c>
      <c r="F603" s="30">
        <v>5</v>
      </c>
      <c r="G603" s="30">
        <v>61021101</v>
      </c>
      <c r="H603" s="30">
        <v>0</v>
      </c>
      <c r="I603" s="30">
        <v>0</v>
      </c>
      <c r="J603" s="30">
        <v>0</v>
      </c>
      <c r="K603" s="30">
        <v>0</v>
      </c>
      <c r="L603" s="30">
        <v>0</v>
      </c>
      <c r="M603" s="30">
        <v>0</v>
      </c>
      <c r="N603" s="30">
        <v>0</v>
      </c>
      <c r="O603" s="30">
        <v>1</v>
      </c>
      <c r="P603" s="30">
        <v>0</v>
      </c>
      <c r="Q603" s="30">
        <v>0</v>
      </c>
      <c r="R603" s="30">
        <v>0</v>
      </c>
      <c r="S603" s="30">
        <v>0</v>
      </c>
      <c r="T603" s="30">
        <v>0</v>
      </c>
      <c r="U603" s="30">
        <v>1</v>
      </c>
      <c r="V603" s="30">
        <v>2</v>
      </c>
      <c r="W603" s="30">
        <v>0</v>
      </c>
      <c r="X603" s="30">
        <v>0</v>
      </c>
      <c r="Y603" s="12">
        <v>0</v>
      </c>
      <c r="Z603" s="30">
        <v>0</v>
      </c>
      <c r="AA603" s="30">
        <v>0</v>
      </c>
      <c r="AB603" s="30">
        <v>0</v>
      </c>
      <c r="AC603" s="30">
        <v>0</v>
      </c>
      <c r="AD603" s="30">
        <v>0</v>
      </c>
      <c r="AE603" s="30">
        <v>0</v>
      </c>
      <c r="AF603" s="30">
        <v>30</v>
      </c>
      <c r="AG603" s="30">
        <v>0</v>
      </c>
      <c r="AH603" s="30">
        <v>0</v>
      </c>
      <c r="AI603" s="30">
        <v>2</v>
      </c>
      <c r="AJ603" s="30">
        <v>0</v>
      </c>
      <c r="AK603" s="30">
        <v>0</v>
      </c>
      <c r="AL603" s="30">
        <v>0</v>
      </c>
      <c r="AM603" s="30">
        <v>0</v>
      </c>
      <c r="AN603" s="30">
        <v>0</v>
      </c>
      <c r="AO603" s="30">
        <v>0</v>
      </c>
      <c r="AP603" s="30">
        <v>0</v>
      </c>
      <c r="AQ603" s="30">
        <v>1000</v>
      </c>
      <c r="AR603" s="30">
        <v>0</v>
      </c>
      <c r="AS603" s="30">
        <v>0</v>
      </c>
      <c r="AT603" s="348" t="s">
        <v>1534</v>
      </c>
      <c r="AU603" s="30" t="s">
        <v>198</v>
      </c>
      <c r="AV603" s="30"/>
      <c r="AW603" s="38" t="s">
        <v>199</v>
      </c>
      <c r="AX603" s="30" t="s">
        <v>348</v>
      </c>
      <c r="AY603" s="30">
        <v>0</v>
      </c>
      <c r="AZ603" s="30">
        <v>0</v>
      </c>
      <c r="BA603" s="38" t="s">
        <v>200</v>
      </c>
      <c r="BB603" s="38" t="s">
        <v>198</v>
      </c>
      <c r="BC603" s="30">
        <v>0</v>
      </c>
      <c r="BD603" s="30">
        <v>0</v>
      </c>
      <c r="BE603" s="182" t="s">
        <v>1535</v>
      </c>
      <c r="BF603" s="182" t="s">
        <v>1536</v>
      </c>
      <c r="BG603" s="30">
        <v>0</v>
      </c>
      <c r="BH603" s="30">
        <v>0</v>
      </c>
      <c r="BI603" s="30">
        <v>0</v>
      </c>
      <c r="BJ603" s="30">
        <v>0</v>
      </c>
      <c r="BK603" s="30">
        <v>0</v>
      </c>
      <c r="BL603" s="30">
        <v>0</v>
      </c>
      <c r="BM603" s="21">
        <v>0</v>
      </c>
      <c r="BN603" s="30">
        <v>1</v>
      </c>
      <c r="BO603" s="30">
        <v>0</v>
      </c>
      <c r="BP603" s="30">
        <v>0</v>
      </c>
      <c r="BQ603" s="30">
        <v>0</v>
      </c>
      <c r="BR603" s="30">
        <v>0</v>
      </c>
      <c r="BS603" s="30">
        <v>0</v>
      </c>
      <c r="BT603" s="12">
        <v>0</v>
      </c>
      <c r="BU603" s="47">
        <v>0</v>
      </c>
      <c r="BV603" s="47"/>
      <c r="BW603" s="47"/>
    </row>
    <row r="604" spans="3:75" ht="20.100000000000001" customHeight="1">
      <c r="C604" s="30">
        <v>610211071</v>
      </c>
      <c r="D604" s="38" t="s">
        <v>1537</v>
      </c>
      <c r="E604" s="38" t="s">
        <v>1538</v>
      </c>
      <c r="F604" s="30">
        <v>0</v>
      </c>
      <c r="G604" s="30">
        <v>62021201</v>
      </c>
      <c r="H604" s="30">
        <v>0</v>
      </c>
      <c r="I604" s="30">
        <v>0</v>
      </c>
      <c r="J604" s="30">
        <v>30</v>
      </c>
      <c r="K604" s="30">
        <v>5</v>
      </c>
      <c r="L604" s="30">
        <v>0</v>
      </c>
      <c r="M604" s="30">
        <v>0</v>
      </c>
      <c r="N604" s="30">
        <v>0</v>
      </c>
      <c r="O604" s="30">
        <v>1</v>
      </c>
      <c r="P604" s="30">
        <v>0</v>
      </c>
      <c r="Q604" s="30">
        <v>0</v>
      </c>
      <c r="R604" s="30">
        <v>0</v>
      </c>
      <c r="S604" s="30">
        <v>0</v>
      </c>
      <c r="T604" s="30">
        <v>0</v>
      </c>
      <c r="U604" s="30">
        <v>1</v>
      </c>
      <c r="V604" s="30">
        <v>2</v>
      </c>
      <c r="W604" s="30">
        <v>0</v>
      </c>
      <c r="X604" s="30">
        <v>2</v>
      </c>
      <c r="Y604" s="12">
        <v>0</v>
      </c>
      <c r="Z604" s="30">
        <v>1050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"立即对当前脚下敌人目标造成"&amp;X604*100&amp;"%攻击伤害+"&amp;Z604&amp;"点固定伤害和使目标眩晕1秒,并迅速跳跃至目标区域"</f>
        <v>立即对当前脚下敌人目标造成200%攻击伤害+1050点固定伤害和使目标眩晕1秒,并迅速跳跃至目标区域</v>
      </c>
      <c r="BF604" s="182" t="s">
        <v>1539</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610211081</v>
      </c>
      <c r="D605" s="38" t="s">
        <v>1537</v>
      </c>
      <c r="E605" s="38" t="s">
        <v>1538</v>
      </c>
      <c r="F605" s="30">
        <v>1</v>
      </c>
      <c r="G605" s="30">
        <v>62021201</v>
      </c>
      <c r="H605" s="30">
        <v>0</v>
      </c>
      <c r="I605" s="30">
        <v>0</v>
      </c>
      <c r="J605" s="30">
        <v>37</v>
      </c>
      <c r="K605" s="30">
        <v>2</v>
      </c>
      <c r="L605" s="30">
        <v>0</v>
      </c>
      <c r="M605" s="30">
        <v>0</v>
      </c>
      <c r="N605" s="30">
        <v>0</v>
      </c>
      <c r="O605" s="30">
        <v>1</v>
      </c>
      <c r="P605" s="30">
        <v>0</v>
      </c>
      <c r="Q605" s="30">
        <v>0</v>
      </c>
      <c r="R605" s="30">
        <v>0</v>
      </c>
      <c r="S605" s="30">
        <v>0</v>
      </c>
      <c r="T605" s="30">
        <v>0</v>
      </c>
      <c r="U605" s="30">
        <v>1</v>
      </c>
      <c r="V605" s="30">
        <v>2</v>
      </c>
      <c r="W605" s="30">
        <v>0</v>
      </c>
      <c r="X605" s="30">
        <v>2</v>
      </c>
      <c r="Y605" s="12">
        <v>0</v>
      </c>
      <c r="Z605" s="30">
        <v>1050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ref="BE605:BE609" si="26">"立即对当前脚下敌人目标造成"&amp;X605*100&amp;"%攻击伤害+"&amp;Z605&amp;"点固定伤害和使目标眩晕1秒,并迅速跳跃至目标区域"</f>
        <v>立即对当前脚下敌人目标造成200%攻击伤害+1050点固定伤害和使目标眩晕1秒,并迅速跳跃至目标区域</v>
      </c>
      <c r="BF605" s="182" t="s">
        <v>1539</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610211091</v>
      </c>
      <c r="D606" s="38" t="s">
        <v>1537</v>
      </c>
      <c r="E606" s="38" t="s">
        <v>1538</v>
      </c>
      <c r="F606" s="30">
        <v>2</v>
      </c>
      <c r="G606" s="30">
        <v>62021201</v>
      </c>
      <c r="H606" s="30">
        <v>0</v>
      </c>
      <c r="I606" s="30">
        <v>0</v>
      </c>
      <c r="J606" s="30">
        <v>42</v>
      </c>
      <c r="K606" s="30">
        <v>2</v>
      </c>
      <c r="L606" s="30">
        <v>0</v>
      </c>
      <c r="M606" s="30">
        <v>0</v>
      </c>
      <c r="N606" s="30">
        <v>0</v>
      </c>
      <c r="O606" s="30">
        <v>1</v>
      </c>
      <c r="P606" s="30">
        <v>0</v>
      </c>
      <c r="Q606" s="30">
        <v>0</v>
      </c>
      <c r="R606" s="30">
        <v>0</v>
      </c>
      <c r="S606" s="30">
        <v>0</v>
      </c>
      <c r="T606" s="30">
        <v>0</v>
      </c>
      <c r="U606" s="30">
        <v>1</v>
      </c>
      <c r="V606" s="30">
        <v>2</v>
      </c>
      <c r="W606" s="30">
        <v>0</v>
      </c>
      <c r="X606" s="30">
        <v>2</v>
      </c>
      <c r="Y606" s="12">
        <v>0</v>
      </c>
      <c r="Z606" s="30">
        <v>1400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立即对当前脚下敌人目标造成200%攻击伤害+1400点固定伤害和使目标眩晕1秒,并迅速跳跃至目标区域</v>
      </c>
      <c r="BF606" s="182" t="s">
        <v>1540</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20.100000000000001" customHeight="1">
      <c r="C607" s="30">
        <v>610211101</v>
      </c>
      <c r="D607" s="38" t="s">
        <v>1537</v>
      </c>
      <c r="E607" s="38" t="s">
        <v>1538</v>
      </c>
      <c r="F607" s="30">
        <v>3</v>
      </c>
      <c r="G607" s="30">
        <v>62021201</v>
      </c>
      <c r="H607" s="30">
        <v>0</v>
      </c>
      <c r="I607" s="30">
        <v>0</v>
      </c>
      <c r="J607" s="30">
        <v>0</v>
      </c>
      <c r="K607" s="30">
        <v>0</v>
      </c>
      <c r="L607" s="30">
        <v>0</v>
      </c>
      <c r="M607" s="30">
        <v>0</v>
      </c>
      <c r="N607" s="30">
        <v>0</v>
      </c>
      <c r="O607" s="30">
        <v>1</v>
      </c>
      <c r="P607" s="30">
        <v>0</v>
      </c>
      <c r="Q607" s="30">
        <v>0</v>
      </c>
      <c r="R607" s="30">
        <v>0</v>
      </c>
      <c r="S607" s="30">
        <v>0</v>
      </c>
      <c r="T607" s="30">
        <v>0</v>
      </c>
      <c r="U607" s="30">
        <v>1</v>
      </c>
      <c r="V607" s="30">
        <v>2</v>
      </c>
      <c r="W607" s="30">
        <v>0</v>
      </c>
      <c r="X607" s="30">
        <v>2</v>
      </c>
      <c r="Y607" s="12">
        <v>0</v>
      </c>
      <c r="Z607" s="30">
        <v>1750</v>
      </c>
      <c r="AA607" s="30">
        <v>1</v>
      </c>
      <c r="AB607" s="30">
        <v>0</v>
      </c>
      <c r="AC607" s="30">
        <v>0</v>
      </c>
      <c r="AD607" s="30">
        <v>0</v>
      </c>
      <c r="AE607" s="30">
        <v>0</v>
      </c>
      <c r="AF607" s="30">
        <v>9</v>
      </c>
      <c r="AG607" s="30">
        <v>1</v>
      </c>
      <c r="AH607" s="30">
        <v>3</v>
      </c>
      <c r="AI607" s="30">
        <v>2</v>
      </c>
      <c r="AJ607" s="30">
        <v>1</v>
      </c>
      <c r="AK607" s="30">
        <v>2</v>
      </c>
      <c r="AL607" s="30">
        <v>8</v>
      </c>
      <c r="AM607" s="30">
        <v>0</v>
      </c>
      <c r="AN607" s="30">
        <v>0</v>
      </c>
      <c r="AO607" s="30">
        <v>0</v>
      </c>
      <c r="AP607" s="30">
        <v>0.5</v>
      </c>
      <c r="AQ607" s="30">
        <v>3000</v>
      </c>
      <c r="AR607" s="30">
        <v>0.4</v>
      </c>
      <c r="AS607" s="30">
        <v>0</v>
      </c>
      <c r="AT607" s="30">
        <v>92012001</v>
      </c>
      <c r="AU607" s="30" t="s">
        <v>1483</v>
      </c>
      <c r="AV607" s="30"/>
      <c r="AW607" s="38" t="s">
        <v>762</v>
      </c>
      <c r="AX607" s="30" t="s">
        <v>215</v>
      </c>
      <c r="AY607" s="30">
        <v>10000015</v>
      </c>
      <c r="AZ607" s="30">
        <v>21101021</v>
      </c>
      <c r="BA607" s="38" t="s">
        <v>1371</v>
      </c>
      <c r="BB607" s="30">
        <v>1</v>
      </c>
      <c r="BC607" s="30">
        <v>0</v>
      </c>
      <c r="BD607" s="30">
        <v>0</v>
      </c>
      <c r="BE607" s="182" t="str">
        <f t="shared" si="26"/>
        <v>立即对当前脚下敌人目标造成200%攻击伤害+1750点固定伤害和使目标眩晕1秒,并迅速跳跃至目标区域</v>
      </c>
      <c r="BF607" s="182" t="s">
        <v>1541</v>
      </c>
      <c r="BG607" s="30">
        <v>0</v>
      </c>
      <c r="BH607" s="30">
        <v>0</v>
      </c>
      <c r="BI607" s="30">
        <v>0</v>
      </c>
      <c r="BJ607" s="30">
        <v>0</v>
      </c>
      <c r="BK607" s="30">
        <v>0</v>
      </c>
      <c r="BL607" s="30">
        <v>0</v>
      </c>
      <c r="BM607" s="21">
        <v>0</v>
      </c>
      <c r="BN607" s="30">
        <v>0</v>
      </c>
      <c r="BO607" s="30">
        <v>0</v>
      </c>
      <c r="BP607" s="30">
        <v>0</v>
      </c>
      <c r="BQ607" s="30">
        <v>0</v>
      </c>
      <c r="BR607" s="30">
        <v>0</v>
      </c>
      <c r="BS607" s="30">
        <v>0</v>
      </c>
      <c r="BT607" s="12">
        <v>0</v>
      </c>
      <c r="BU607" s="47">
        <v>0</v>
      </c>
      <c r="BV607" s="47"/>
      <c r="BW607" s="47"/>
    </row>
    <row r="608" spans="3:75" ht="20.100000000000001" customHeight="1">
      <c r="C608" s="30">
        <v>610211111</v>
      </c>
      <c r="D608" s="38" t="s">
        <v>1537</v>
      </c>
      <c r="E608" s="38" t="s">
        <v>1538</v>
      </c>
      <c r="F608" s="30">
        <v>4</v>
      </c>
      <c r="G608" s="30">
        <v>62021201</v>
      </c>
      <c r="H608" s="30">
        <v>0</v>
      </c>
      <c r="I608" s="30">
        <v>0</v>
      </c>
      <c r="J608" s="30">
        <v>0</v>
      </c>
      <c r="K608" s="30">
        <v>0</v>
      </c>
      <c r="L608" s="30">
        <v>0</v>
      </c>
      <c r="M608" s="30">
        <v>0</v>
      </c>
      <c r="N608" s="30">
        <v>0</v>
      </c>
      <c r="O608" s="30">
        <v>1</v>
      </c>
      <c r="P608" s="30">
        <v>0</v>
      </c>
      <c r="Q608" s="30">
        <v>0</v>
      </c>
      <c r="R608" s="30">
        <v>0</v>
      </c>
      <c r="S608" s="30">
        <v>0</v>
      </c>
      <c r="T608" s="30">
        <v>0</v>
      </c>
      <c r="U608" s="30">
        <v>1</v>
      </c>
      <c r="V608" s="30">
        <v>2</v>
      </c>
      <c r="W608" s="30">
        <v>0</v>
      </c>
      <c r="X608" s="30">
        <v>2</v>
      </c>
      <c r="Y608" s="12">
        <v>0</v>
      </c>
      <c r="Z608" s="30">
        <v>2100</v>
      </c>
      <c r="AA608" s="30">
        <v>1</v>
      </c>
      <c r="AB608" s="30">
        <v>0</v>
      </c>
      <c r="AC608" s="30">
        <v>0</v>
      </c>
      <c r="AD608" s="30">
        <v>0</v>
      </c>
      <c r="AE608" s="30">
        <v>0</v>
      </c>
      <c r="AF608" s="30">
        <v>9</v>
      </c>
      <c r="AG608" s="30">
        <v>1</v>
      </c>
      <c r="AH608" s="30">
        <v>3</v>
      </c>
      <c r="AI608" s="30">
        <v>2</v>
      </c>
      <c r="AJ608" s="30">
        <v>1</v>
      </c>
      <c r="AK608" s="30">
        <v>2</v>
      </c>
      <c r="AL608" s="30">
        <v>8</v>
      </c>
      <c r="AM608" s="30">
        <v>0</v>
      </c>
      <c r="AN608" s="30">
        <v>0</v>
      </c>
      <c r="AO608" s="30">
        <v>0</v>
      </c>
      <c r="AP608" s="30">
        <v>0.5</v>
      </c>
      <c r="AQ608" s="30">
        <v>3000</v>
      </c>
      <c r="AR608" s="30">
        <v>0.4</v>
      </c>
      <c r="AS608" s="30">
        <v>0</v>
      </c>
      <c r="AT608" s="30">
        <v>92012001</v>
      </c>
      <c r="AU608" s="30" t="s">
        <v>1483</v>
      </c>
      <c r="AV608" s="30"/>
      <c r="AW608" s="38" t="s">
        <v>762</v>
      </c>
      <c r="AX608" s="30" t="s">
        <v>215</v>
      </c>
      <c r="AY608" s="30">
        <v>10000015</v>
      </c>
      <c r="AZ608" s="30">
        <v>21101021</v>
      </c>
      <c r="BA608" s="38" t="s">
        <v>1371</v>
      </c>
      <c r="BB608" s="30">
        <v>1</v>
      </c>
      <c r="BC608" s="30">
        <v>0</v>
      </c>
      <c r="BD608" s="30">
        <v>0</v>
      </c>
      <c r="BE608" s="182" t="str">
        <f t="shared" si="26"/>
        <v>立即对当前脚下敌人目标造成200%攻击伤害+2100点固定伤害和使目标眩晕1秒,并迅速跳跃至目标区域</v>
      </c>
      <c r="BF608" s="182" t="s">
        <v>1542</v>
      </c>
      <c r="BG608" s="30">
        <v>0</v>
      </c>
      <c r="BH608" s="30">
        <v>0</v>
      </c>
      <c r="BI608" s="30">
        <v>0</v>
      </c>
      <c r="BJ608" s="30">
        <v>0</v>
      </c>
      <c r="BK608" s="30">
        <v>0</v>
      </c>
      <c r="BL608" s="30">
        <v>0</v>
      </c>
      <c r="BM608" s="21">
        <v>0</v>
      </c>
      <c r="BN608" s="30">
        <v>0</v>
      </c>
      <c r="BO608" s="30">
        <v>0</v>
      </c>
      <c r="BP608" s="30">
        <v>0</v>
      </c>
      <c r="BQ608" s="30">
        <v>0</v>
      </c>
      <c r="BR608" s="30">
        <v>0</v>
      </c>
      <c r="BS608" s="30">
        <v>0</v>
      </c>
      <c r="BT608" s="12">
        <v>0</v>
      </c>
      <c r="BU608" s="47">
        <v>0</v>
      </c>
      <c r="BV608" s="47"/>
      <c r="BW608" s="47"/>
    </row>
    <row r="609" spans="3:75" ht="20.100000000000001" customHeight="1">
      <c r="C609" s="30">
        <v>610211121</v>
      </c>
      <c r="D609" s="38" t="s">
        <v>1537</v>
      </c>
      <c r="E609" s="38" t="s">
        <v>1538</v>
      </c>
      <c r="F609" s="30">
        <v>5</v>
      </c>
      <c r="G609" s="30">
        <v>62021201</v>
      </c>
      <c r="H609" s="30">
        <v>0</v>
      </c>
      <c r="I609" s="30">
        <v>0</v>
      </c>
      <c r="J609" s="30">
        <v>0</v>
      </c>
      <c r="K609" s="30">
        <v>0</v>
      </c>
      <c r="L609" s="30">
        <v>0</v>
      </c>
      <c r="M609" s="30">
        <v>0</v>
      </c>
      <c r="N609" s="30">
        <v>0</v>
      </c>
      <c r="O609" s="30">
        <v>1</v>
      </c>
      <c r="P609" s="30">
        <v>0</v>
      </c>
      <c r="Q609" s="30">
        <v>0</v>
      </c>
      <c r="R609" s="30">
        <v>0</v>
      </c>
      <c r="S609" s="30">
        <v>0</v>
      </c>
      <c r="T609" s="30">
        <v>0</v>
      </c>
      <c r="U609" s="30">
        <v>1</v>
      </c>
      <c r="V609" s="30">
        <v>2</v>
      </c>
      <c r="W609" s="30">
        <v>0</v>
      </c>
      <c r="X609" s="30">
        <v>2</v>
      </c>
      <c r="Y609" s="12">
        <v>0</v>
      </c>
      <c r="Z609" s="30">
        <v>2450</v>
      </c>
      <c r="AA609" s="30">
        <v>1</v>
      </c>
      <c r="AB609" s="30">
        <v>0</v>
      </c>
      <c r="AC609" s="30">
        <v>0</v>
      </c>
      <c r="AD609" s="30">
        <v>0</v>
      </c>
      <c r="AE609" s="30">
        <v>0</v>
      </c>
      <c r="AF609" s="30">
        <v>9</v>
      </c>
      <c r="AG609" s="30">
        <v>1</v>
      </c>
      <c r="AH609" s="30">
        <v>3</v>
      </c>
      <c r="AI609" s="30">
        <v>2</v>
      </c>
      <c r="AJ609" s="30">
        <v>1</v>
      </c>
      <c r="AK609" s="30">
        <v>2</v>
      </c>
      <c r="AL609" s="30">
        <v>8</v>
      </c>
      <c r="AM609" s="30">
        <v>0</v>
      </c>
      <c r="AN609" s="30">
        <v>0</v>
      </c>
      <c r="AO609" s="30">
        <v>0</v>
      </c>
      <c r="AP609" s="30">
        <v>0.5</v>
      </c>
      <c r="AQ609" s="30">
        <v>3000</v>
      </c>
      <c r="AR609" s="30">
        <v>0.4</v>
      </c>
      <c r="AS609" s="30">
        <v>0</v>
      </c>
      <c r="AT609" s="30">
        <v>92012001</v>
      </c>
      <c r="AU609" s="30" t="s">
        <v>1483</v>
      </c>
      <c r="AV609" s="30"/>
      <c r="AW609" s="38" t="s">
        <v>762</v>
      </c>
      <c r="AX609" s="30" t="s">
        <v>215</v>
      </c>
      <c r="AY609" s="30">
        <v>10000015</v>
      </c>
      <c r="AZ609" s="30">
        <v>21101021</v>
      </c>
      <c r="BA609" s="38" t="s">
        <v>1371</v>
      </c>
      <c r="BB609" s="30">
        <v>1</v>
      </c>
      <c r="BC609" s="30">
        <v>0</v>
      </c>
      <c r="BD609" s="30">
        <v>0</v>
      </c>
      <c r="BE609" s="182" t="str">
        <f t="shared" si="26"/>
        <v>立即对当前脚下敌人目标造成200%攻击伤害+2450点固定伤害和使目标眩晕1秒,并迅速跳跃至目标区域</v>
      </c>
      <c r="BF609" s="182" t="s">
        <v>1543</v>
      </c>
      <c r="BG609" s="30">
        <v>0</v>
      </c>
      <c r="BH609" s="30">
        <v>0</v>
      </c>
      <c r="BI609" s="30">
        <v>0</v>
      </c>
      <c r="BJ609" s="30">
        <v>0</v>
      </c>
      <c r="BK609" s="30">
        <v>0</v>
      </c>
      <c r="BL609" s="30">
        <v>0</v>
      </c>
      <c r="BM609" s="21">
        <v>0</v>
      </c>
      <c r="BN609" s="30">
        <v>0</v>
      </c>
      <c r="BO609" s="30">
        <v>0</v>
      </c>
      <c r="BP609" s="30">
        <v>0</v>
      </c>
      <c r="BQ609" s="30">
        <v>0</v>
      </c>
      <c r="BR609" s="30">
        <v>0</v>
      </c>
      <c r="BS609" s="30">
        <v>0</v>
      </c>
      <c r="BT609" s="12">
        <v>0</v>
      </c>
      <c r="BU609" s="47">
        <v>0</v>
      </c>
      <c r="BV609" s="47"/>
      <c r="BW609" s="47"/>
    </row>
    <row r="610" spans="3:75" ht="19.5" customHeight="1">
      <c r="C610" s="180">
        <v>61021101</v>
      </c>
      <c r="D610" s="19" t="s">
        <v>1544</v>
      </c>
      <c r="E610" s="19" t="s">
        <v>1545</v>
      </c>
      <c r="F610" s="16">
        <v>0</v>
      </c>
      <c r="G610" s="18">
        <v>61021401</v>
      </c>
      <c r="H610" s="180">
        <v>61021102</v>
      </c>
      <c r="I610" s="27">
        <v>0</v>
      </c>
      <c r="J610" s="16">
        <v>18</v>
      </c>
      <c r="K610" s="16">
        <v>5</v>
      </c>
      <c r="L610" s="16">
        <v>0</v>
      </c>
      <c r="M610" s="18">
        <v>0</v>
      </c>
      <c r="N610" s="18">
        <v>0</v>
      </c>
      <c r="O610" s="18">
        <v>1</v>
      </c>
      <c r="P610" s="18">
        <v>0</v>
      </c>
      <c r="Q610" s="18">
        <v>0</v>
      </c>
      <c r="R610" s="18">
        <v>0</v>
      </c>
      <c r="S610" s="12">
        <v>0</v>
      </c>
      <c r="T610" s="27">
        <v>0</v>
      </c>
      <c r="U610" s="16">
        <v>1</v>
      </c>
      <c r="V610" s="18">
        <v>2</v>
      </c>
      <c r="W610" s="18">
        <v>0</v>
      </c>
      <c r="X610" s="18">
        <v>2.5</v>
      </c>
      <c r="Y610" s="12">
        <v>0</v>
      </c>
      <c r="Z610" s="16">
        <v>900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9" t="s">
        <v>1546</v>
      </c>
      <c r="AV610" s="18"/>
      <c r="AW610" s="19" t="s">
        <v>1547</v>
      </c>
      <c r="AX610" s="18" t="s">
        <v>1548</v>
      </c>
      <c r="AY610" s="18">
        <v>10000006</v>
      </c>
      <c r="AZ610" s="18">
        <v>21010040</v>
      </c>
      <c r="BA610" s="17" t="s">
        <v>1549</v>
      </c>
      <c r="BB610" s="19">
        <v>0</v>
      </c>
      <c r="BC610" s="27">
        <v>0</v>
      </c>
      <c r="BD610" s="27">
        <v>0</v>
      </c>
      <c r="BE610" s="183" t="str">
        <f>"立即将目标周围的怪物强制拉到技能范围中,并对目标范围内的怪物造成"&amp;X610*100&amp;"%攻击伤害+"&amp;Z610&amp;"点固定伤害,并使目标移动速度降低50%且沉默,持续3秒"</f>
        <v>立即将目标周围的怪物强制拉到技能范围中,并对目标范围内的怪物造成250%攻击伤害+900点固定伤害,并使目标移动速度降低50%且沉默,持续3秒</v>
      </c>
      <c r="BF610" s="183" t="s">
        <v>1550</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61021102</v>
      </c>
      <c r="D611" s="19" t="s">
        <v>1544</v>
      </c>
      <c r="E611" s="19" t="s">
        <v>1545</v>
      </c>
      <c r="F611" s="16">
        <v>1</v>
      </c>
      <c r="G611" s="18">
        <v>61021401</v>
      </c>
      <c r="H611" s="180">
        <v>61021103</v>
      </c>
      <c r="I611" s="27">
        <v>0</v>
      </c>
      <c r="J611" s="16">
        <v>27</v>
      </c>
      <c r="K611" s="16">
        <v>2</v>
      </c>
      <c r="L611" s="16">
        <v>0</v>
      </c>
      <c r="M611" s="18">
        <v>0</v>
      </c>
      <c r="N611" s="18">
        <v>0</v>
      </c>
      <c r="O611" s="18">
        <v>1</v>
      </c>
      <c r="P611" s="18">
        <v>0</v>
      </c>
      <c r="Q611" s="18">
        <v>0</v>
      </c>
      <c r="R611" s="18">
        <v>0</v>
      </c>
      <c r="S611" s="12">
        <v>0</v>
      </c>
      <c r="T611" s="27">
        <v>0</v>
      </c>
      <c r="U611" s="16">
        <v>1</v>
      </c>
      <c r="V611" s="18">
        <v>2</v>
      </c>
      <c r="W611" s="18">
        <v>0</v>
      </c>
      <c r="X611" s="18">
        <v>2.5</v>
      </c>
      <c r="Y611" s="12">
        <v>0</v>
      </c>
      <c r="Z611" s="16">
        <v>900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9" t="s">
        <v>1546</v>
      </c>
      <c r="AV611" s="18"/>
      <c r="AW611" s="19" t="s">
        <v>1547</v>
      </c>
      <c r="AX611" s="18" t="s">
        <v>1548</v>
      </c>
      <c r="AY611" s="18">
        <v>10000006</v>
      </c>
      <c r="AZ611" s="18">
        <v>21010040</v>
      </c>
      <c r="BA611" s="17" t="s">
        <v>1549</v>
      </c>
      <c r="BB611" s="19">
        <v>0</v>
      </c>
      <c r="BC611" s="27">
        <v>0</v>
      </c>
      <c r="BD611" s="27">
        <v>0</v>
      </c>
      <c r="BE611" s="183" t="str">
        <f t="shared" ref="BE611:BE615" si="27">"立即将目标周围的怪物强制拉到技能范围中,并对目标范围内的怪物造成"&amp;X611*100&amp;"%攻击伤害+"&amp;Z611&amp;"点固定伤害,并使目标移动速度降低50%且沉默,持续3秒"</f>
        <v>立即将目标周围的怪物强制拉到技能范围中,并对目标范围内的怪物造成250%攻击伤害+900点固定伤害,并使目标移动速度降低50%且沉默,持续3秒</v>
      </c>
      <c r="BF611" s="183" t="s">
        <v>1550</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61021103</v>
      </c>
      <c r="D612" s="19" t="s">
        <v>1544</v>
      </c>
      <c r="E612" s="19" t="s">
        <v>1545</v>
      </c>
      <c r="F612" s="16">
        <v>2</v>
      </c>
      <c r="G612" s="18">
        <v>61021401</v>
      </c>
      <c r="H612" s="180">
        <v>61021104</v>
      </c>
      <c r="I612" s="27">
        <v>0</v>
      </c>
      <c r="J612" s="16">
        <v>32</v>
      </c>
      <c r="K612" s="16">
        <v>2</v>
      </c>
      <c r="L612" s="16">
        <v>0</v>
      </c>
      <c r="M612" s="18">
        <v>0</v>
      </c>
      <c r="N612" s="18">
        <v>0</v>
      </c>
      <c r="O612" s="18">
        <v>1</v>
      </c>
      <c r="P612" s="18">
        <v>0</v>
      </c>
      <c r="Q612" s="18">
        <v>0</v>
      </c>
      <c r="R612" s="18">
        <v>0</v>
      </c>
      <c r="S612" s="12">
        <v>0</v>
      </c>
      <c r="T612" s="27">
        <v>0</v>
      </c>
      <c r="U612" s="16">
        <v>1</v>
      </c>
      <c r="V612" s="18">
        <v>2</v>
      </c>
      <c r="W612" s="18">
        <v>0</v>
      </c>
      <c r="X612" s="18">
        <v>2.75</v>
      </c>
      <c r="Y612" s="12">
        <v>0</v>
      </c>
      <c r="Z612" s="16">
        <v>1800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9"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立即将目标周围的怪物强制拉到技能范围中,并对目标范围内的怪物造成275%攻击伤害+1800点固定伤害,并使目标移动速度降低50%且沉默,持续3秒</v>
      </c>
      <c r="BF612" s="183" t="s">
        <v>1551</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0">
        <v>61021104</v>
      </c>
      <c r="D613" s="19" t="s">
        <v>1544</v>
      </c>
      <c r="E613" s="19" t="s">
        <v>1545</v>
      </c>
      <c r="F613" s="16">
        <v>3</v>
      </c>
      <c r="G613" s="18">
        <v>61021401</v>
      </c>
      <c r="H613" s="16">
        <v>0</v>
      </c>
      <c r="I613" s="27">
        <v>0</v>
      </c>
      <c r="J613" s="16">
        <v>0</v>
      </c>
      <c r="K613" s="179">
        <v>0</v>
      </c>
      <c r="L613" s="16">
        <v>0</v>
      </c>
      <c r="M613" s="18">
        <v>0</v>
      </c>
      <c r="N613" s="18">
        <v>0</v>
      </c>
      <c r="O613" s="18">
        <v>1</v>
      </c>
      <c r="P613" s="18">
        <v>0</v>
      </c>
      <c r="Q613" s="18">
        <v>0</v>
      </c>
      <c r="R613" s="18">
        <v>0</v>
      </c>
      <c r="S613" s="12">
        <v>0</v>
      </c>
      <c r="T613" s="27">
        <v>0</v>
      </c>
      <c r="U613" s="16">
        <v>1</v>
      </c>
      <c r="V613" s="18">
        <v>2</v>
      </c>
      <c r="W613" s="18">
        <v>0</v>
      </c>
      <c r="X613" s="18">
        <v>3</v>
      </c>
      <c r="Y613" s="12">
        <v>0</v>
      </c>
      <c r="Z613" s="16">
        <v>2800</v>
      </c>
      <c r="AA613" s="18">
        <v>0</v>
      </c>
      <c r="AB613" s="18">
        <v>0</v>
      </c>
      <c r="AC613" s="18">
        <v>0</v>
      </c>
      <c r="AD613" s="18">
        <v>0</v>
      </c>
      <c r="AE613" s="18">
        <v>0</v>
      </c>
      <c r="AF613" s="18">
        <v>7</v>
      </c>
      <c r="AG613" s="18">
        <v>1</v>
      </c>
      <c r="AH613" s="18">
        <v>4</v>
      </c>
      <c r="AI613" s="12">
        <v>2</v>
      </c>
      <c r="AJ613" s="12">
        <v>1</v>
      </c>
      <c r="AK613" s="12">
        <v>0</v>
      </c>
      <c r="AL613" s="12">
        <v>7</v>
      </c>
      <c r="AM613" s="18">
        <v>0</v>
      </c>
      <c r="AN613" s="18">
        <v>0</v>
      </c>
      <c r="AO613" s="18">
        <v>0</v>
      </c>
      <c r="AP613" s="18">
        <v>0.25</v>
      </c>
      <c r="AQ613" s="18">
        <v>2000</v>
      </c>
      <c r="AR613" s="18">
        <v>0.25</v>
      </c>
      <c r="AS613" s="18">
        <v>0</v>
      </c>
      <c r="AT613" s="12">
        <v>90000001</v>
      </c>
      <c r="AU613" s="349" t="s">
        <v>1546</v>
      </c>
      <c r="AV613" s="18"/>
      <c r="AW613" s="19" t="s">
        <v>1547</v>
      </c>
      <c r="AX613" s="18" t="s">
        <v>1548</v>
      </c>
      <c r="AY613" s="18">
        <v>10000006</v>
      </c>
      <c r="AZ613" s="18">
        <v>21010040</v>
      </c>
      <c r="BA613" s="17" t="s">
        <v>1549</v>
      </c>
      <c r="BB613" s="19">
        <v>0</v>
      </c>
      <c r="BC613" s="27">
        <v>0</v>
      </c>
      <c r="BD613" s="27">
        <v>0</v>
      </c>
      <c r="BE613" s="183" t="str">
        <f t="shared" si="27"/>
        <v>立即将目标周围的怪物强制拉到技能范围中,并对目标范围内的怪物造成300%攻击伤害+2800点固定伤害,并使目标移动速度降低50%且沉默,持续3秒</v>
      </c>
      <c r="BF613" s="183" t="s">
        <v>1552</v>
      </c>
      <c r="BG613" s="18">
        <v>0</v>
      </c>
      <c r="BH613" s="16">
        <v>0</v>
      </c>
      <c r="BI613" s="18">
        <v>0</v>
      </c>
      <c r="BJ613" s="18">
        <v>0</v>
      </c>
      <c r="BK613" s="18">
        <v>0</v>
      </c>
      <c r="BL613" s="18">
        <v>0</v>
      </c>
      <c r="BM613" s="15">
        <v>0</v>
      </c>
      <c r="BN613" s="12">
        <v>0</v>
      </c>
      <c r="BO613" s="12">
        <v>0</v>
      </c>
      <c r="BP613" s="12">
        <v>0</v>
      </c>
      <c r="BQ613" s="12">
        <v>0</v>
      </c>
      <c r="BR613" s="12">
        <v>0</v>
      </c>
      <c r="BS613" s="12">
        <v>0</v>
      </c>
      <c r="BT613" s="12">
        <v>0</v>
      </c>
      <c r="BU613" s="47">
        <v>0</v>
      </c>
      <c r="BV613" s="47"/>
      <c r="BW613" s="47"/>
    </row>
    <row r="614" spans="3:75" ht="19.5" customHeight="1">
      <c r="C614" s="180">
        <v>61021105</v>
      </c>
      <c r="D614" s="19" t="s">
        <v>1544</v>
      </c>
      <c r="E614" s="19" t="s">
        <v>1545</v>
      </c>
      <c r="F614" s="16">
        <v>4</v>
      </c>
      <c r="G614" s="18">
        <v>61021401</v>
      </c>
      <c r="H614" s="16">
        <v>0</v>
      </c>
      <c r="I614" s="27">
        <v>0</v>
      </c>
      <c r="J614" s="16">
        <v>0</v>
      </c>
      <c r="K614" s="16">
        <v>0</v>
      </c>
      <c r="L614" s="16">
        <v>0</v>
      </c>
      <c r="M614" s="18">
        <v>0</v>
      </c>
      <c r="N614" s="18">
        <v>0</v>
      </c>
      <c r="O614" s="18">
        <v>1</v>
      </c>
      <c r="P614" s="18">
        <v>0</v>
      </c>
      <c r="Q614" s="18">
        <v>0</v>
      </c>
      <c r="R614" s="18">
        <v>0</v>
      </c>
      <c r="S614" s="12">
        <v>0</v>
      </c>
      <c r="T614" s="27">
        <v>0</v>
      </c>
      <c r="U614" s="16">
        <v>1</v>
      </c>
      <c r="V614" s="18">
        <v>2</v>
      </c>
      <c r="W614" s="18">
        <v>0</v>
      </c>
      <c r="X614" s="18">
        <v>3.25</v>
      </c>
      <c r="Y614" s="12">
        <v>0</v>
      </c>
      <c r="Z614" s="16">
        <v>4000</v>
      </c>
      <c r="AA614" s="18">
        <v>0</v>
      </c>
      <c r="AB614" s="18">
        <v>0</v>
      </c>
      <c r="AC614" s="18">
        <v>0</v>
      </c>
      <c r="AD614" s="18">
        <v>0</v>
      </c>
      <c r="AE614" s="18">
        <v>0</v>
      </c>
      <c r="AF614" s="18">
        <v>7</v>
      </c>
      <c r="AG614" s="18">
        <v>1</v>
      </c>
      <c r="AH614" s="18">
        <v>4</v>
      </c>
      <c r="AI614" s="12">
        <v>2</v>
      </c>
      <c r="AJ614" s="12">
        <v>1</v>
      </c>
      <c r="AK614" s="12">
        <v>0</v>
      </c>
      <c r="AL614" s="12">
        <v>7</v>
      </c>
      <c r="AM614" s="18">
        <v>0</v>
      </c>
      <c r="AN614" s="18">
        <v>0</v>
      </c>
      <c r="AO614" s="18">
        <v>0</v>
      </c>
      <c r="AP614" s="18">
        <v>0.25</v>
      </c>
      <c r="AQ614" s="18">
        <v>2000</v>
      </c>
      <c r="AR614" s="18">
        <v>0.25</v>
      </c>
      <c r="AS614" s="18">
        <v>0</v>
      </c>
      <c r="AT614" s="12">
        <v>90000001</v>
      </c>
      <c r="AU614" s="349" t="s">
        <v>1546</v>
      </c>
      <c r="AV614" s="18"/>
      <c r="AW614" s="19" t="s">
        <v>1547</v>
      </c>
      <c r="AX614" s="18" t="s">
        <v>1548</v>
      </c>
      <c r="AY614" s="18">
        <v>10000006</v>
      </c>
      <c r="AZ614" s="18">
        <v>21010040</v>
      </c>
      <c r="BA614" s="17" t="s">
        <v>1549</v>
      </c>
      <c r="BB614" s="19">
        <v>0</v>
      </c>
      <c r="BC614" s="27">
        <v>0</v>
      </c>
      <c r="BD614" s="27">
        <v>0</v>
      </c>
      <c r="BE614" s="183" t="str">
        <f t="shared" si="27"/>
        <v>立即将目标周围的怪物强制拉到技能范围中,并对目标范围内的怪物造成325%攻击伤害+4000点固定伤害,并使目标移动速度降低50%且沉默,持续3秒</v>
      </c>
      <c r="BF614" s="183" t="s">
        <v>1553</v>
      </c>
      <c r="BG614" s="18">
        <v>0</v>
      </c>
      <c r="BH614" s="16">
        <v>0</v>
      </c>
      <c r="BI614" s="18">
        <v>0</v>
      </c>
      <c r="BJ614" s="18">
        <v>0</v>
      </c>
      <c r="BK614" s="18">
        <v>0</v>
      </c>
      <c r="BL614" s="18">
        <v>0</v>
      </c>
      <c r="BM614" s="15">
        <v>0</v>
      </c>
      <c r="BN614" s="12">
        <v>0</v>
      </c>
      <c r="BO614" s="12">
        <v>0</v>
      </c>
      <c r="BP614" s="12">
        <v>0</v>
      </c>
      <c r="BQ614" s="12">
        <v>0</v>
      </c>
      <c r="BR614" s="12">
        <v>0</v>
      </c>
      <c r="BS614" s="12">
        <v>0</v>
      </c>
      <c r="BT614" s="12">
        <v>0</v>
      </c>
      <c r="BU614" s="47">
        <v>0</v>
      </c>
      <c r="BV614" s="47"/>
      <c r="BW614" s="47"/>
    </row>
    <row r="615" spans="3:75" ht="19.5" customHeight="1">
      <c r="C615" s="180">
        <v>61021106</v>
      </c>
      <c r="D615" s="19" t="s">
        <v>1544</v>
      </c>
      <c r="E615" s="19" t="s">
        <v>1545</v>
      </c>
      <c r="F615" s="16">
        <v>5</v>
      </c>
      <c r="G615" s="18">
        <v>61021401</v>
      </c>
      <c r="H615" s="16">
        <v>0</v>
      </c>
      <c r="I615" s="27">
        <v>0</v>
      </c>
      <c r="J615" s="16">
        <v>0</v>
      </c>
      <c r="K615" s="16">
        <v>0</v>
      </c>
      <c r="L615" s="16">
        <v>0</v>
      </c>
      <c r="M615" s="18">
        <v>0</v>
      </c>
      <c r="N615" s="18">
        <v>0</v>
      </c>
      <c r="O615" s="18">
        <v>1</v>
      </c>
      <c r="P615" s="18">
        <v>0</v>
      </c>
      <c r="Q615" s="18">
        <v>0</v>
      </c>
      <c r="R615" s="18">
        <v>0</v>
      </c>
      <c r="S615" s="12">
        <v>0</v>
      </c>
      <c r="T615" s="27">
        <v>0</v>
      </c>
      <c r="U615" s="16">
        <v>1</v>
      </c>
      <c r="V615" s="18">
        <v>2</v>
      </c>
      <c r="W615" s="18">
        <v>0</v>
      </c>
      <c r="X615" s="18">
        <v>3.5</v>
      </c>
      <c r="Y615" s="12">
        <v>0</v>
      </c>
      <c r="Z615" s="16">
        <v>5200</v>
      </c>
      <c r="AA615" s="18">
        <v>0</v>
      </c>
      <c r="AB615" s="18">
        <v>0</v>
      </c>
      <c r="AC615" s="18">
        <v>0</v>
      </c>
      <c r="AD615" s="18">
        <v>0</v>
      </c>
      <c r="AE615" s="18">
        <v>0</v>
      </c>
      <c r="AF615" s="18">
        <v>7</v>
      </c>
      <c r="AG615" s="18">
        <v>1</v>
      </c>
      <c r="AH615" s="18">
        <v>4</v>
      </c>
      <c r="AI615" s="12">
        <v>2</v>
      </c>
      <c r="AJ615" s="12">
        <v>1</v>
      </c>
      <c r="AK615" s="12">
        <v>0</v>
      </c>
      <c r="AL615" s="12">
        <v>7</v>
      </c>
      <c r="AM615" s="18">
        <v>0</v>
      </c>
      <c r="AN615" s="18">
        <v>0</v>
      </c>
      <c r="AO615" s="18">
        <v>0</v>
      </c>
      <c r="AP615" s="18">
        <v>0.25</v>
      </c>
      <c r="AQ615" s="18">
        <v>2000</v>
      </c>
      <c r="AR615" s="18">
        <v>0.25</v>
      </c>
      <c r="AS615" s="18">
        <v>0</v>
      </c>
      <c r="AT615" s="12">
        <v>90000001</v>
      </c>
      <c r="AU615" s="349" t="s">
        <v>1546</v>
      </c>
      <c r="AV615" s="18"/>
      <c r="AW615" s="19" t="s">
        <v>1547</v>
      </c>
      <c r="AX615" s="18" t="s">
        <v>1548</v>
      </c>
      <c r="AY615" s="18">
        <v>10000006</v>
      </c>
      <c r="AZ615" s="18">
        <v>21010040</v>
      </c>
      <c r="BA615" s="17" t="s">
        <v>1549</v>
      </c>
      <c r="BB615" s="19">
        <v>0</v>
      </c>
      <c r="BC615" s="27">
        <v>0</v>
      </c>
      <c r="BD615" s="27">
        <v>0</v>
      </c>
      <c r="BE615" s="183" t="str">
        <f t="shared" si="27"/>
        <v>立即将目标周围的怪物强制拉到技能范围中,并对目标范围内的怪物造成350%攻击伤害+5200点固定伤害,并使目标移动速度降低50%且沉默,持续3秒</v>
      </c>
      <c r="BF615" s="183" t="s">
        <v>1554</v>
      </c>
      <c r="BG615" s="18">
        <v>0</v>
      </c>
      <c r="BH615" s="16">
        <v>0</v>
      </c>
      <c r="BI615" s="18">
        <v>0</v>
      </c>
      <c r="BJ615" s="18">
        <v>0</v>
      </c>
      <c r="BK615" s="18">
        <v>0</v>
      </c>
      <c r="BL615" s="18">
        <v>0</v>
      </c>
      <c r="BM615" s="15">
        <v>0</v>
      </c>
      <c r="BN615" s="12">
        <v>0</v>
      </c>
      <c r="BO615" s="12">
        <v>0</v>
      </c>
      <c r="BP615" s="12">
        <v>0</v>
      </c>
      <c r="BQ615" s="12">
        <v>0</v>
      </c>
      <c r="BR615" s="12">
        <v>0</v>
      </c>
      <c r="BS615" s="12">
        <v>0</v>
      </c>
      <c r="BT615" s="12">
        <v>0</v>
      </c>
      <c r="BU615" s="47">
        <v>0</v>
      </c>
      <c r="BV615" s="47"/>
      <c r="BW615" s="47"/>
    </row>
    <row r="616" spans="3:75" ht="19.5" customHeight="1">
      <c r="C616" s="18">
        <v>61021201</v>
      </c>
      <c r="D616" s="19" t="s">
        <v>1555</v>
      </c>
      <c r="E616" s="19" t="s">
        <v>1556</v>
      </c>
      <c r="F616" s="16">
        <v>0</v>
      </c>
      <c r="G616" s="18">
        <v>61021201</v>
      </c>
      <c r="H616" s="18">
        <f>C617</f>
        <v>61021202</v>
      </c>
      <c r="I616" s="27">
        <v>0</v>
      </c>
      <c r="J616" s="16">
        <v>25</v>
      </c>
      <c r="K616" s="16">
        <v>5</v>
      </c>
      <c r="L616" s="16">
        <v>0</v>
      </c>
      <c r="M616" s="18">
        <v>0</v>
      </c>
      <c r="N616" s="18">
        <v>0</v>
      </c>
      <c r="O616" s="18">
        <v>1</v>
      </c>
      <c r="P616" s="18">
        <v>0</v>
      </c>
      <c r="Q616" s="18">
        <v>0</v>
      </c>
      <c r="R616" s="18">
        <v>0</v>
      </c>
      <c r="S616" s="12">
        <v>0</v>
      </c>
      <c r="T616" s="27">
        <v>0</v>
      </c>
      <c r="U616" s="16">
        <v>1</v>
      </c>
      <c r="V616" s="18">
        <v>2</v>
      </c>
      <c r="W616" s="18">
        <v>0</v>
      </c>
      <c r="X616" s="16">
        <v>3</v>
      </c>
      <c r="Y616" s="12">
        <v>0</v>
      </c>
      <c r="Z616" s="16">
        <v>900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"向前方发射一颗移动缓慢的法球,球体每秒对附近玩家造成"&amp;X616*100&amp;"%伤害+"&amp;Z616&amp;"点固定伤害,并产生2秒禁锢效果,技能持续为15秒,移动过程中每秒对范围额外附加150%伤害+"&amp;BR616&amp;"点伤害"</f>
        <v>向前方发射一颗移动缓慢的法球,球体每秒对附近玩家造成300%伤害+900点固定伤害,并产生2秒禁锢效果,技能持续为15秒,移动过程中每秒对范围额外附加150%伤害+500点伤害</v>
      </c>
      <c r="BF616" s="183" t="s">
        <v>1558</v>
      </c>
      <c r="BG616" s="18">
        <v>0</v>
      </c>
      <c r="BH616" s="16">
        <v>0</v>
      </c>
      <c r="BI616" s="18">
        <v>0</v>
      </c>
      <c r="BJ616" s="18">
        <v>0</v>
      </c>
      <c r="BK616" s="18">
        <v>0</v>
      </c>
      <c r="BL616" s="18">
        <v>0</v>
      </c>
      <c r="BM616" s="15">
        <v>0</v>
      </c>
      <c r="BN616" s="12">
        <v>0</v>
      </c>
      <c r="BO616" s="12">
        <v>0</v>
      </c>
      <c r="BP616" s="12">
        <v>0</v>
      </c>
      <c r="BQ616" s="12">
        <v>1.5</v>
      </c>
      <c r="BR616" s="12">
        <v>500</v>
      </c>
      <c r="BS616" s="12">
        <v>0</v>
      </c>
      <c r="BT616" s="12">
        <v>0</v>
      </c>
      <c r="BU616" s="47">
        <v>0</v>
      </c>
      <c r="BV616" s="47"/>
      <c r="BW616" s="47"/>
    </row>
    <row r="617" spans="3:75" ht="19.5" customHeight="1">
      <c r="C617" s="18">
        <v>61021202</v>
      </c>
      <c r="D617" s="19" t="s">
        <v>1555</v>
      </c>
      <c r="E617" s="19" t="s">
        <v>1556</v>
      </c>
      <c r="F617" s="16">
        <v>1</v>
      </c>
      <c r="G617" s="18">
        <v>61021201</v>
      </c>
      <c r="H617" s="18">
        <f t="shared" ref="H617:H618" si="28">C618</f>
        <v>61021203</v>
      </c>
      <c r="I617" s="27">
        <v>0</v>
      </c>
      <c r="J617" s="16">
        <v>32</v>
      </c>
      <c r="K617" s="16">
        <v>2</v>
      </c>
      <c r="L617" s="16">
        <v>0</v>
      </c>
      <c r="M617" s="18">
        <v>0</v>
      </c>
      <c r="N617" s="18">
        <v>0</v>
      </c>
      <c r="O617" s="18">
        <v>1</v>
      </c>
      <c r="P617" s="18">
        <v>0</v>
      </c>
      <c r="Q617" s="18">
        <v>0</v>
      </c>
      <c r="R617" s="18">
        <v>0</v>
      </c>
      <c r="S617" s="12">
        <v>0</v>
      </c>
      <c r="T617" s="27">
        <v>0</v>
      </c>
      <c r="U617" s="16">
        <v>1</v>
      </c>
      <c r="V617" s="18">
        <v>2</v>
      </c>
      <c r="W617" s="18">
        <v>0</v>
      </c>
      <c r="X617" s="16">
        <v>3</v>
      </c>
      <c r="Y617" s="12">
        <v>0</v>
      </c>
      <c r="Z617" s="16">
        <v>900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ref="BE617:BE621" si="29">"向前方发射一颗移动缓慢的法球,球体每秒对附近玩家造成"&amp;X617*100&amp;"%伤害+"&amp;Z617&amp;"点固定伤害,并产生2秒禁锢效果,技能持续为15秒,移动过程中每秒对范围额外附加150%伤害+"&amp;BR617&amp;"点伤害"</f>
        <v>向前方发射一颗移动缓慢的法球,球体每秒对附近玩家造成300%伤害+900点固定伤害,并产生2秒禁锢效果,技能持续为15秒,移动过程中每秒对范围额外附加150%伤害+500点伤害</v>
      </c>
      <c r="BF617" s="183" t="s">
        <v>1558</v>
      </c>
      <c r="BG617" s="18">
        <v>0</v>
      </c>
      <c r="BH617" s="16">
        <v>0</v>
      </c>
      <c r="BI617" s="18">
        <v>0</v>
      </c>
      <c r="BJ617" s="18">
        <v>0</v>
      </c>
      <c r="BK617" s="18">
        <v>0</v>
      </c>
      <c r="BL617" s="18">
        <v>0</v>
      </c>
      <c r="BM617" s="15">
        <v>0</v>
      </c>
      <c r="BN617" s="12">
        <v>0</v>
      </c>
      <c r="BO617" s="12">
        <v>0</v>
      </c>
      <c r="BP617" s="12">
        <v>0</v>
      </c>
      <c r="BQ617" s="12">
        <v>1.6</v>
      </c>
      <c r="BR617" s="12">
        <v>500</v>
      </c>
      <c r="BS617" s="12">
        <v>0</v>
      </c>
      <c r="BT617" s="12">
        <v>0</v>
      </c>
      <c r="BU617" s="47">
        <v>0</v>
      </c>
      <c r="BV617" s="47"/>
      <c r="BW617" s="47"/>
    </row>
    <row r="618" spans="3:75" ht="19.5" customHeight="1">
      <c r="C618" s="18">
        <v>61021203</v>
      </c>
      <c r="D618" s="19" t="s">
        <v>1555</v>
      </c>
      <c r="E618" s="19" t="s">
        <v>1556</v>
      </c>
      <c r="F618" s="16">
        <v>2</v>
      </c>
      <c r="G618" s="18">
        <v>61021201</v>
      </c>
      <c r="H618" s="18">
        <f t="shared" si="28"/>
        <v>61021204</v>
      </c>
      <c r="I618" s="27">
        <v>0</v>
      </c>
      <c r="J618" s="16">
        <v>37</v>
      </c>
      <c r="K618" s="16">
        <v>2</v>
      </c>
      <c r="L618" s="16">
        <v>0</v>
      </c>
      <c r="M618" s="18">
        <v>0</v>
      </c>
      <c r="N618" s="18">
        <v>0</v>
      </c>
      <c r="O618" s="18">
        <v>1</v>
      </c>
      <c r="P618" s="18">
        <v>0</v>
      </c>
      <c r="Q618" s="18">
        <v>0</v>
      </c>
      <c r="R618" s="18">
        <v>0</v>
      </c>
      <c r="S618" s="12">
        <v>0</v>
      </c>
      <c r="T618" s="27">
        <v>0</v>
      </c>
      <c r="U618" s="16">
        <v>1</v>
      </c>
      <c r="V618" s="18">
        <v>2</v>
      </c>
      <c r="W618" s="18">
        <v>0</v>
      </c>
      <c r="X618" s="16">
        <v>3.25</v>
      </c>
      <c r="Y618" s="12">
        <v>0</v>
      </c>
      <c r="Z618" s="16">
        <v>1800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向前方发射一颗移动缓慢的法球,球体每秒对附近玩家造成325%伤害+1800点固定伤害,并产生2秒禁锢效果,技能持续为15秒,移动过程中每秒对范围额外附加150%伤害+1000点伤害</v>
      </c>
      <c r="BF618" s="183" t="s">
        <v>1559</v>
      </c>
      <c r="BG618" s="18">
        <v>0</v>
      </c>
      <c r="BH618" s="16">
        <v>0</v>
      </c>
      <c r="BI618" s="18">
        <v>0</v>
      </c>
      <c r="BJ618" s="18">
        <v>0</v>
      </c>
      <c r="BK618" s="18">
        <v>0</v>
      </c>
      <c r="BL618" s="18">
        <v>0</v>
      </c>
      <c r="BM618" s="15">
        <v>0</v>
      </c>
      <c r="BN618" s="12">
        <v>0</v>
      </c>
      <c r="BO618" s="12">
        <v>0</v>
      </c>
      <c r="BP618" s="12">
        <v>0</v>
      </c>
      <c r="BQ618" s="12">
        <v>1.7</v>
      </c>
      <c r="BR618" s="12">
        <v>1000</v>
      </c>
      <c r="BS618" s="12">
        <v>0</v>
      </c>
      <c r="BT618" s="12">
        <v>0</v>
      </c>
      <c r="BU618" s="47">
        <v>0</v>
      </c>
      <c r="BV618" s="47"/>
      <c r="BW618" s="47"/>
    </row>
    <row r="619" spans="3:75" ht="19.5" customHeight="1">
      <c r="C619" s="18">
        <v>61021204</v>
      </c>
      <c r="D619" s="19" t="s">
        <v>1555</v>
      </c>
      <c r="E619" s="19" t="s">
        <v>1556</v>
      </c>
      <c r="F619" s="16">
        <v>3</v>
      </c>
      <c r="G619" s="18">
        <v>61021201</v>
      </c>
      <c r="H619" s="16">
        <v>0</v>
      </c>
      <c r="I619" s="27">
        <v>0</v>
      </c>
      <c r="J619" s="16">
        <v>0</v>
      </c>
      <c r="K619" s="16">
        <v>0</v>
      </c>
      <c r="L619" s="16">
        <v>0</v>
      </c>
      <c r="M619" s="18">
        <v>0</v>
      </c>
      <c r="N619" s="18">
        <v>0</v>
      </c>
      <c r="O619" s="18">
        <v>1</v>
      </c>
      <c r="P619" s="18">
        <v>0</v>
      </c>
      <c r="Q619" s="18">
        <v>0</v>
      </c>
      <c r="R619" s="18">
        <v>0</v>
      </c>
      <c r="S619" s="12">
        <v>0</v>
      </c>
      <c r="T619" s="27">
        <v>0</v>
      </c>
      <c r="U619" s="16">
        <v>1</v>
      </c>
      <c r="V619" s="18">
        <v>2</v>
      </c>
      <c r="W619" s="18">
        <v>0</v>
      </c>
      <c r="X619" s="16">
        <v>3.5</v>
      </c>
      <c r="Y619" s="12">
        <v>0</v>
      </c>
      <c r="Z619" s="16">
        <v>2800</v>
      </c>
      <c r="AA619" s="18">
        <v>0</v>
      </c>
      <c r="AB619" s="18">
        <v>0</v>
      </c>
      <c r="AC619" s="18">
        <v>0</v>
      </c>
      <c r="AD619" s="18">
        <v>0</v>
      </c>
      <c r="AE619" s="18">
        <v>0</v>
      </c>
      <c r="AF619" s="18">
        <v>7</v>
      </c>
      <c r="AG619" s="18">
        <v>1</v>
      </c>
      <c r="AH619" s="18">
        <v>2.5</v>
      </c>
      <c r="AI619" s="12">
        <v>2</v>
      </c>
      <c r="AJ619" s="12">
        <v>2</v>
      </c>
      <c r="AK619" s="12">
        <v>0</v>
      </c>
      <c r="AL619" s="12">
        <v>3</v>
      </c>
      <c r="AM619" s="18">
        <v>0</v>
      </c>
      <c r="AN619" s="18">
        <v>0</v>
      </c>
      <c r="AO619" s="18">
        <v>0</v>
      </c>
      <c r="AP619" s="18">
        <v>0.25</v>
      </c>
      <c r="AQ619" s="18">
        <v>9000</v>
      </c>
      <c r="AR619" s="18">
        <v>0.25</v>
      </c>
      <c r="AS619" s="18">
        <v>3</v>
      </c>
      <c r="AT619" s="12">
        <v>0</v>
      </c>
      <c r="AU619" s="18">
        <v>93000205</v>
      </c>
      <c r="AV619" s="18"/>
      <c r="AW619" s="19" t="s">
        <v>1557</v>
      </c>
      <c r="AX619" s="18" t="s">
        <v>1041</v>
      </c>
      <c r="AY619" s="18">
        <v>10003002</v>
      </c>
      <c r="AZ619" s="18">
        <v>21010020</v>
      </c>
      <c r="BA619" s="19" t="s">
        <v>586</v>
      </c>
      <c r="BB619" s="19">
        <v>0</v>
      </c>
      <c r="BC619" s="27">
        <v>0</v>
      </c>
      <c r="BD619" s="27">
        <v>0</v>
      </c>
      <c r="BE619" s="183" t="str">
        <f t="shared" si="29"/>
        <v>向前方发射一颗移动缓慢的法球,球体每秒对附近玩家造成350%伤害+2800点固定伤害,并产生2秒禁锢效果,技能持续为15秒,移动过程中每秒对范围额外附加150%伤害+1500点伤害</v>
      </c>
      <c r="BF619" s="183" t="s">
        <v>1560</v>
      </c>
      <c r="BG619" s="18">
        <v>0</v>
      </c>
      <c r="BH619" s="16">
        <v>0</v>
      </c>
      <c r="BI619" s="18">
        <v>0</v>
      </c>
      <c r="BJ619" s="18">
        <v>0</v>
      </c>
      <c r="BK619" s="18">
        <v>0</v>
      </c>
      <c r="BL619" s="18">
        <v>0</v>
      </c>
      <c r="BM619" s="15">
        <v>0</v>
      </c>
      <c r="BN619" s="12">
        <v>0</v>
      </c>
      <c r="BO619" s="12">
        <v>0</v>
      </c>
      <c r="BP619" s="12">
        <v>0</v>
      </c>
      <c r="BQ619" s="12">
        <v>1.8</v>
      </c>
      <c r="BR619" s="12">
        <v>1500</v>
      </c>
      <c r="BS619" s="12">
        <v>0</v>
      </c>
      <c r="BT619" s="12">
        <v>0</v>
      </c>
      <c r="BU619" s="47">
        <v>0</v>
      </c>
      <c r="BV619" s="47"/>
      <c r="BW619" s="47"/>
    </row>
    <row r="620" spans="3:75" ht="19.5" customHeight="1">
      <c r="C620" s="18">
        <v>61021205</v>
      </c>
      <c r="D620" s="19" t="s">
        <v>1555</v>
      </c>
      <c r="E620" s="19" t="s">
        <v>1556</v>
      </c>
      <c r="F620" s="16">
        <v>4</v>
      </c>
      <c r="G620" s="18">
        <v>61021201</v>
      </c>
      <c r="H620" s="16">
        <v>0</v>
      </c>
      <c r="I620" s="27">
        <v>0</v>
      </c>
      <c r="J620" s="16">
        <v>0</v>
      </c>
      <c r="K620" s="16">
        <v>0</v>
      </c>
      <c r="L620" s="16">
        <v>0</v>
      </c>
      <c r="M620" s="18">
        <v>0</v>
      </c>
      <c r="N620" s="18">
        <v>0</v>
      </c>
      <c r="O620" s="18">
        <v>1</v>
      </c>
      <c r="P620" s="18">
        <v>0</v>
      </c>
      <c r="Q620" s="18">
        <v>0</v>
      </c>
      <c r="R620" s="18">
        <v>0</v>
      </c>
      <c r="S620" s="12">
        <v>0</v>
      </c>
      <c r="T620" s="27">
        <v>0</v>
      </c>
      <c r="U620" s="16">
        <v>1</v>
      </c>
      <c r="V620" s="18">
        <v>2</v>
      </c>
      <c r="W620" s="18">
        <v>0</v>
      </c>
      <c r="X620" s="16">
        <v>3.75</v>
      </c>
      <c r="Y620" s="12">
        <v>0</v>
      </c>
      <c r="Z620" s="16">
        <v>4000</v>
      </c>
      <c r="AA620" s="18">
        <v>0</v>
      </c>
      <c r="AB620" s="18">
        <v>0</v>
      </c>
      <c r="AC620" s="18">
        <v>0</v>
      </c>
      <c r="AD620" s="18">
        <v>0</v>
      </c>
      <c r="AE620" s="18">
        <v>0</v>
      </c>
      <c r="AF620" s="18">
        <v>7</v>
      </c>
      <c r="AG620" s="18">
        <v>1</v>
      </c>
      <c r="AH620" s="18">
        <v>2.5</v>
      </c>
      <c r="AI620" s="12">
        <v>2</v>
      </c>
      <c r="AJ620" s="12">
        <v>2</v>
      </c>
      <c r="AK620" s="12">
        <v>0</v>
      </c>
      <c r="AL620" s="12">
        <v>3</v>
      </c>
      <c r="AM620" s="18">
        <v>0</v>
      </c>
      <c r="AN620" s="18">
        <v>0</v>
      </c>
      <c r="AO620" s="18">
        <v>0</v>
      </c>
      <c r="AP620" s="18">
        <v>0.25</v>
      </c>
      <c r="AQ620" s="18">
        <v>9000</v>
      </c>
      <c r="AR620" s="18">
        <v>0.25</v>
      </c>
      <c r="AS620" s="18">
        <v>3</v>
      </c>
      <c r="AT620" s="12">
        <v>0</v>
      </c>
      <c r="AU620" s="18">
        <v>93000205</v>
      </c>
      <c r="AV620" s="18"/>
      <c r="AW620" s="19" t="s">
        <v>1557</v>
      </c>
      <c r="AX620" s="18" t="s">
        <v>1041</v>
      </c>
      <c r="AY620" s="18">
        <v>10003002</v>
      </c>
      <c r="AZ620" s="18">
        <v>21010020</v>
      </c>
      <c r="BA620" s="19" t="s">
        <v>586</v>
      </c>
      <c r="BB620" s="19">
        <v>0</v>
      </c>
      <c r="BC620" s="27">
        <v>0</v>
      </c>
      <c r="BD620" s="27">
        <v>0</v>
      </c>
      <c r="BE620" s="183" t="str">
        <f t="shared" si="29"/>
        <v>向前方发射一颗移动缓慢的法球,球体每秒对附近玩家造成375%伤害+4000点固定伤害,并产生2秒禁锢效果,技能持续为15秒,移动过程中每秒对范围额外附加150%伤害+2000点伤害</v>
      </c>
      <c r="BF620" s="183" t="s">
        <v>1561</v>
      </c>
      <c r="BG620" s="18">
        <v>0</v>
      </c>
      <c r="BH620" s="16">
        <v>0</v>
      </c>
      <c r="BI620" s="18">
        <v>0</v>
      </c>
      <c r="BJ620" s="18">
        <v>0</v>
      </c>
      <c r="BK620" s="18">
        <v>0</v>
      </c>
      <c r="BL620" s="18">
        <v>0</v>
      </c>
      <c r="BM620" s="15">
        <v>0</v>
      </c>
      <c r="BN620" s="12">
        <v>0</v>
      </c>
      <c r="BO620" s="12">
        <v>0</v>
      </c>
      <c r="BP620" s="12">
        <v>0</v>
      </c>
      <c r="BQ620" s="12">
        <v>1.9</v>
      </c>
      <c r="BR620" s="12">
        <v>2000</v>
      </c>
      <c r="BS620" s="12">
        <v>0</v>
      </c>
      <c r="BT620" s="12">
        <v>0</v>
      </c>
      <c r="BU620" s="47">
        <v>0</v>
      </c>
      <c r="BV620" s="47"/>
      <c r="BW620" s="47"/>
    </row>
    <row r="621" spans="3:75" ht="19.5" customHeight="1">
      <c r="C621" s="18">
        <v>61021206</v>
      </c>
      <c r="D621" s="19" t="s">
        <v>1555</v>
      </c>
      <c r="E621" s="19" t="s">
        <v>1556</v>
      </c>
      <c r="F621" s="16">
        <v>5</v>
      </c>
      <c r="G621" s="18">
        <v>61021201</v>
      </c>
      <c r="H621" s="16">
        <v>0</v>
      </c>
      <c r="I621" s="27">
        <v>0</v>
      </c>
      <c r="J621" s="16">
        <v>0</v>
      </c>
      <c r="K621" s="16">
        <v>0</v>
      </c>
      <c r="L621" s="16">
        <v>0</v>
      </c>
      <c r="M621" s="18">
        <v>0</v>
      </c>
      <c r="N621" s="18">
        <v>0</v>
      </c>
      <c r="O621" s="18">
        <v>1</v>
      </c>
      <c r="P621" s="18">
        <v>0</v>
      </c>
      <c r="Q621" s="18">
        <v>0</v>
      </c>
      <c r="R621" s="18">
        <v>0</v>
      </c>
      <c r="S621" s="12">
        <v>0</v>
      </c>
      <c r="T621" s="27">
        <v>0</v>
      </c>
      <c r="U621" s="16">
        <v>1</v>
      </c>
      <c r="V621" s="18">
        <v>2</v>
      </c>
      <c r="W621" s="18">
        <v>0</v>
      </c>
      <c r="X621" s="16">
        <v>4</v>
      </c>
      <c r="Y621" s="12">
        <v>0</v>
      </c>
      <c r="Z621" s="16">
        <v>5200</v>
      </c>
      <c r="AA621" s="18">
        <v>0</v>
      </c>
      <c r="AB621" s="18">
        <v>0</v>
      </c>
      <c r="AC621" s="18">
        <v>0</v>
      </c>
      <c r="AD621" s="18">
        <v>0</v>
      </c>
      <c r="AE621" s="18">
        <v>0</v>
      </c>
      <c r="AF621" s="18">
        <v>7</v>
      </c>
      <c r="AG621" s="18">
        <v>1</v>
      </c>
      <c r="AH621" s="18">
        <v>2.5</v>
      </c>
      <c r="AI621" s="12">
        <v>2</v>
      </c>
      <c r="AJ621" s="12">
        <v>2</v>
      </c>
      <c r="AK621" s="12">
        <v>0</v>
      </c>
      <c r="AL621" s="12">
        <v>3</v>
      </c>
      <c r="AM621" s="18">
        <v>0</v>
      </c>
      <c r="AN621" s="18">
        <v>0</v>
      </c>
      <c r="AO621" s="18">
        <v>0</v>
      </c>
      <c r="AP621" s="18">
        <v>0.25</v>
      </c>
      <c r="AQ621" s="18">
        <v>9000</v>
      </c>
      <c r="AR621" s="18">
        <v>0.25</v>
      </c>
      <c r="AS621" s="18">
        <v>3</v>
      </c>
      <c r="AT621" s="12">
        <v>0</v>
      </c>
      <c r="AU621" s="18">
        <v>93000205</v>
      </c>
      <c r="AV621" s="18"/>
      <c r="AW621" s="19" t="s">
        <v>1557</v>
      </c>
      <c r="AX621" s="18" t="s">
        <v>1041</v>
      </c>
      <c r="AY621" s="18">
        <v>10003002</v>
      </c>
      <c r="AZ621" s="18">
        <v>21010020</v>
      </c>
      <c r="BA621" s="19" t="s">
        <v>586</v>
      </c>
      <c r="BB621" s="19">
        <v>0</v>
      </c>
      <c r="BC621" s="27">
        <v>0</v>
      </c>
      <c r="BD621" s="27">
        <v>0</v>
      </c>
      <c r="BE621" s="183" t="str">
        <f t="shared" si="29"/>
        <v>向前方发射一颗移动缓慢的法球,球体每秒对附近玩家造成400%伤害+5200点固定伤害,并产生2秒禁锢效果,技能持续为15秒,移动过程中每秒对范围额外附加150%伤害+2500点伤害</v>
      </c>
      <c r="BF621" s="183" t="s">
        <v>1562</v>
      </c>
      <c r="BG621" s="18">
        <v>0</v>
      </c>
      <c r="BH621" s="16">
        <v>0</v>
      </c>
      <c r="BI621" s="18">
        <v>0</v>
      </c>
      <c r="BJ621" s="18">
        <v>0</v>
      </c>
      <c r="BK621" s="18">
        <v>0</v>
      </c>
      <c r="BL621" s="18">
        <v>0</v>
      </c>
      <c r="BM621" s="15">
        <v>0</v>
      </c>
      <c r="BN621" s="12">
        <v>0</v>
      </c>
      <c r="BO621" s="12">
        <v>0</v>
      </c>
      <c r="BP621" s="12">
        <v>0</v>
      </c>
      <c r="BQ621" s="12">
        <v>2</v>
      </c>
      <c r="BR621" s="12">
        <v>2500</v>
      </c>
      <c r="BS621" s="12">
        <v>0</v>
      </c>
      <c r="BT621" s="12">
        <v>0</v>
      </c>
      <c r="BU621" s="47">
        <v>0</v>
      </c>
      <c r="BV621" s="47"/>
      <c r="BW621" s="47"/>
    </row>
    <row r="622" spans="3:75" ht="19.5" customHeight="1">
      <c r="C622" s="18">
        <v>61021301</v>
      </c>
      <c r="D622" s="19" t="s">
        <v>1563</v>
      </c>
      <c r="E622" s="19" t="s">
        <v>1564</v>
      </c>
      <c r="F622" s="16">
        <v>0</v>
      </c>
      <c r="G622" s="18">
        <v>61021301</v>
      </c>
      <c r="H622" s="18">
        <f>C623</f>
        <v>61021302</v>
      </c>
      <c r="I622" s="27">
        <v>0</v>
      </c>
      <c r="J622" s="16">
        <v>30</v>
      </c>
      <c r="K622" s="18">
        <v>5</v>
      </c>
      <c r="L622" s="16">
        <v>0</v>
      </c>
      <c r="M622" s="18">
        <v>0</v>
      </c>
      <c r="N622" s="18">
        <v>0</v>
      </c>
      <c r="O622" s="18">
        <v>1</v>
      </c>
      <c r="P622" s="18">
        <v>0</v>
      </c>
      <c r="Q622" s="18">
        <v>0</v>
      </c>
      <c r="R622" s="18">
        <v>0</v>
      </c>
      <c r="S622" s="12">
        <v>0</v>
      </c>
      <c r="T622" s="27">
        <v>0</v>
      </c>
      <c r="U622" s="16">
        <v>1</v>
      </c>
      <c r="V622" s="18">
        <v>2</v>
      </c>
      <c r="W622" s="18">
        <v>0</v>
      </c>
      <c r="X622" s="18">
        <v>2.5</v>
      </c>
      <c r="Y622" s="12">
        <v>0</v>
      </c>
      <c r="Z622" s="18">
        <v>1000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49" t="s">
        <v>1566</v>
      </c>
      <c r="AV622" s="18"/>
      <c r="AW622" s="19" t="s">
        <v>256</v>
      </c>
      <c r="AX622" s="18" t="s">
        <v>545</v>
      </c>
      <c r="AY622" s="18">
        <v>10001007</v>
      </c>
      <c r="AZ622" s="18">
        <v>21010030</v>
      </c>
      <c r="BA622" s="19" t="s">
        <v>200</v>
      </c>
      <c r="BB622" s="19">
        <v>0</v>
      </c>
      <c r="BC622" s="27">
        <v>0</v>
      </c>
      <c r="BD622" s="27">
        <v>0</v>
      </c>
      <c r="BE622" s="183" t="str">
        <f>"立即对目标范围内的怪物造成"&amp;X622*100&amp;"%攻击伤害+"&amp;Z622&amp;"点固定伤害,并使目标冰冻1秒,使其受到伤害额外提升20%"</f>
        <v>立即对目标范围内的怪物造成250%攻击伤害+1000点固定伤害,并使目标冰冻1秒,使其受到伤害额外提升20%</v>
      </c>
      <c r="BF622" s="183" t="s">
        <v>1567</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61021302</v>
      </c>
      <c r="D623" s="19" t="s">
        <v>1563</v>
      </c>
      <c r="E623" s="19" t="s">
        <v>1564</v>
      </c>
      <c r="F623" s="16">
        <v>1</v>
      </c>
      <c r="G623" s="18">
        <v>61021301</v>
      </c>
      <c r="H623" s="18">
        <f t="shared" ref="H623:H624" si="30">C624</f>
        <v>61021303</v>
      </c>
      <c r="I623" s="27">
        <v>0</v>
      </c>
      <c r="J623" s="16">
        <v>37</v>
      </c>
      <c r="K623" s="18">
        <v>2</v>
      </c>
      <c r="L623" s="16">
        <v>0</v>
      </c>
      <c r="M623" s="18">
        <v>0</v>
      </c>
      <c r="N623" s="18">
        <v>0</v>
      </c>
      <c r="O623" s="18">
        <v>1</v>
      </c>
      <c r="P623" s="18">
        <v>0</v>
      </c>
      <c r="Q623" s="18">
        <v>0</v>
      </c>
      <c r="R623" s="18">
        <v>0</v>
      </c>
      <c r="S623" s="12">
        <v>0</v>
      </c>
      <c r="T623" s="27">
        <v>0</v>
      </c>
      <c r="U623" s="16">
        <v>1</v>
      </c>
      <c r="V623" s="18">
        <v>2</v>
      </c>
      <c r="W623" s="18">
        <v>0</v>
      </c>
      <c r="X623" s="18">
        <v>2.5</v>
      </c>
      <c r="Y623" s="12">
        <v>0</v>
      </c>
      <c r="Z623" s="18">
        <v>1000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49" t="s">
        <v>1566</v>
      </c>
      <c r="AV623" s="18"/>
      <c r="AW623" s="19" t="s">
        <v>256</v>
      </c>
      <c r="AX623" s="18" t="s">
        <v>545</v>
      </c>
      <c r="AY623" s="18">
        <v>10001007</v>
      </c>
      <c r="AZ623" s="18">
        <v>21010030</v>
      </c>
      <c r="BA623" s="19" t="s">
        <v>200</v>
      </c>
      <c r="BB623" s="19">
        <v>0</v>
      </c>
      <c r="BC623" s="27">
        <v>0</v>
      </c>
      <c r="BD623" s="27">
        <v>0</v>
      </c>
      <c r="BE623" s="183" t="str">
        <f t="shared" ref="BE623:BE627" si="31">"立即对目标范围内的怪物造成"&amp;X623*100&amp;"%攻击伤害+"&amp;Z623&amp;"点固定伤害,并使目标冰冻1秒,使其受到伤害额外提升20%"</f>
        <v>立即对目标范围内的怪物造成250%攻击伤害+1000点固定伤害,并使目标冰冻1秒,使其受到伤害额外提升20%</v>
      </c>
      <c r="BF623" s="183" t="s">
        <v>1567</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61021303</v>
      </c>
      <c r="D624" s="19" t="s">
        <v>1563</v>
      </c>
      <c r="E624" s="19" t="s">
        <v>1564</v>
      </c>
      <c r="F624" s="16">
        <v>2</v>
      </c>
      <c r="G624" s="18">
        <v>61021301</v>
      </c>
      <c r="H624" s="18">
        <f t="shared" si="30"/>
        <v>61021304</v>
      </c>
      <c r="I624" s="27">
        <v>0</v>
      </c>
      <c r="J624" s="16">
        <v>42</v>
      </c>
      <c r="K624" s="18">
        <v>2</v>
      </c>
      <c r="L624" s="16">
        <v>0</v>
      </c>
      <c r="M624" s="18">
        <v>0</v>
      </c>
      <c r="N624" s="18">
        <v>0</v>
      </c>
      <c r="O624" s="18">
        <v>1</v>
      </c>
      <c r="P624" s="18">
        <v>0</v>
      </c>
      <c r="Q624" s="18">
        <v>0</v>
      </c>
      <c r="R624" s="18">
        <v>0</v>
      </c>
      <c r="S624" s="12">
        <v>0</v>
      </c>
      <c r="T624" s="27">
        <v>0</v>
      </c>
      <c r="U624" s="16">
        <v>1</v>
      </c>
      <c r="V624" s="18">
        <v>2</v>
      </c>
      <c r="W624" s="18">
        <v>0</v>
      </c>
      <c r="X624" s="18">
        <v>2.75</v>
      </c>
      <c r="Y624" s="12">
        <v>0</v>
      </c>
      <c r="Z624" s="18">
        <v>1500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49"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立即对目标范围内的怪物造成275%攻击伤害+1500点固定伤害,并使目标冰冻1秒,使其受到伤害额外提升20%</v>
      </c>
      <c r="BF624" s="183" t="s">
        <v>1568</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19.5" customHeight="1">
      <c r="C625" s="18">
        <v>61021304</v>
      </c>
      <c r="D625" s="19" t="s">
        <v>1563</v>
      </c>
      <c r="E625" s="19" t="s">
        <v>1564</v>
      </c>
      <c r="F625" s="16">
        <v>3</v>
      </c>
      <c r="G625" s="18">
        <v>61021301</v>
      </c>
      <c r="H625" s="16">
        <v>0</v>
      </c>
      <c r="I625" s="27">
        <v>0</v>
      </c>
      <c r="J625" s="18">
        <v>0</v>
      </c>
      <c r="K625" s="18">
        <v>0</v>
      </c>
      <c r="L625" s="16">
        <v>0</v>
      </c>
      <c r="M625" s="18">
        <v>0</v>
      </c>
      <c r="N625" s="18">
        <v>0</v>
      </c>
      <c r="O625" s="18">
        <v>1</v>
      </c>
      <c r="P625" s="18">
        <v>0</v>
      </c>
      <c r="Q625" s="18">
        <v>0</v>
      </c>
      <c r="R625" s="18">
        <v>0</v>
      </c>
      <c r="S625" s="12">
        <v>0</v>
      </c>
      <c r="T625" s="27">
        <v>0</v>
      </c>
      <c r="U625" s="16">
        <v>1</v>
      </c>
      <c r="V625" s="18">
        <v>2</v>
      </c>
      <c r="W625" s="18">
        <v>0</v>
      </c>
      <c r="X625" s="18">
        <v>3</v>
      </c>
      <c r="Y625" s="12">
        <v>0</v>
      </c>
      <c r="Z625" s="18">
        <v>2000</v>
      </c>
      <c r="AA625" s="18">
        <v>0</v>
      </c>
      <c r="AB625" s="18">
        <v>0</v>
      </c>
      <c r="AC625" s="18">
        <v>0</v>
      </c>
      <c r="AD625" s="18">
        <v>0</v>
      </c>
      <c r="AE625" s="18">
        <v>0</v>
      </c>
      <c r="AF625" s="18">
        <v>10</v>
      </c>
      <c r="AG625" s="18">
        <v>2</v>
      </c>
      <c r="AH625" s="18" t="s">
        <v>1565</v>
      </c>
      <c r="AI625" s="12">
        <v>2</v>
      </c>
      <c r="AJ625" s="12">
        <v>3</v>
      </c>
      <c r="AK625" s="12">
        <v>0</v>
      </c>
      <c r="AL625" s="12">
        <v>3</v>
      </c>
      <c r="AM625" s="18">
        <v>0</v>
      </c>
      <c r="AN625" s="18">
        <v>0</v>
      </c>
      <c r="AO625" s="18">
        <v>0</v>
      </c>
      <c r="AP625" s="18">
        <v>0.25</v>
      </c>
      <c r="AQ625" s="18">
        <v>3000</v>
      </c>
      <c r="AR625" s="18">
        <v>0.1</v>
      </c>
      <c r="AS625" s="18">
        <v>0</v>
      </c>
      <c r="AT625" s="12">
        <v>0</v>
      </c>
      <c r="AU625" s="349" t="s">
        <v>1566</v>
      </c>
      <c r="AV625" s="18"/>
      <c r="AW625" s="19" t="s">
        <v>256</v>
      </c>
      <c r="AX625" s="18" t="s">
        <v>545</v>
      </c>
      <c r="AY625" s="18">
        <v>10001007</v>
      </c>
      <c r="AZ625" s="18">
        <v>21010030</v>
      </c>
      <c r="BA625" s="19" t="s">
        <v>200</v>
      </c>
      <c r="BB625" s="19">
        <v>0</v>
      </c>
      <c r="BC625" s="27">
        <v>0</v>
      </c>
      <c r="BD625" s="27">
        <v>0</v>
      </c>
      <c r="BE625" s="183" t="str">
        <f t="shared" si="31"/>
        <v>立即对目标范围内的怪物造成300%攻击伤害+2000点固定伤害,并使目标冰冻1秒,使其受到伤害额外提升20%</v>
      </c>
      <c r="BF625" s="183" t="s">
        <v>1569</v>
      </c>
      <c r="BG625" s="18">
        <v>0</v>
      </c>
      <c r="BH625" s="16">
        <v>0</v>
      </c>
      <c r="BI625" s="18">
        <v>0</v>
      </c>
      <c r="BJ625" s="18">
        <v>0</v>
      </c>
      <c r="BK625" s="18">
        <v>0</v>
      </c>
      <c r="BL625" s="18">
        <v>0</v>
      </c>
      <c r="BM625" s="15">
        <v>0</v>
      </c>
      <c r="BN625" s="12">
        <v>0</v>
      </c>
      <c r="BO625" s="12">
        <v>0</v>
      </c>
      <c r="BP625" s="12">
        <v>0</v>
      </c>
      <c r="BQ625" s="12">
        <v>0</v>
      </c>
      <c r="BR625" s="12">
        <v>0</v>
      </c>
      <c r="BS625" s="12">
        <v>0</v>
      </c>
      <c r="BT625" s="12">
        <v>0</v>
      </c>
      <c r="BU625" s="47">
        <v>0</v>
      </c>
      <c r="BV625" s="47"/>
      <c r="BW625" s="47"/>
    </row>
    <row r="626" spans="3:75" ht="19.5" customHeight="1">
      <c r="C626" s="18">
        <v>61021305</v>
      </c>
      <c r="D626" s="19" t="s">
        <v>1563</v>
      </c>
      <c r="E626" s="19" t="s">
        <v>1564</v>
      </c>
      <c r="F626" s="16">
        <v>4</v>
      </c>
      <c r="G626" s="18">
        <v>61021301</v>
      </c>
      <c r="H626" s="16">
        <v>0</v>
      </c>
      <c r="I626" s="27">
        <v>0</v>
      </c>
      <c r="J626" s="18">
        <v>0</v>
      </c>
      <c r="K626" s="18">
        <v>0</v>
      </c>
      <c r="L626" s="16">
        <v>0</v>
      </c>
      <c r="M626" s="18">
        <v>0</v>
      </c>
      <c r="N626" s="18">
        <v>0</v>
      </c>
      <c r="O626" s="18">
        <v>1</v>
      </c>
      <c r="P626" s="18">
        <v>0</v>
      </c>
      <c r="Q626" s="18">
        <v>0</v>
      </c>
      <c r="R626" s="18">
        <v>0</v>
      </c>
      <c r="S626" s="12">
        <v>0</v>
      </c>
      <c r="T626" s="27">
        <v>0</v>
      </c>
      <c r="U626" s="16">
        <v>1</v>
      </c>
      <c r="V626" s="18">
        <v>2</v>
      </c>
      <c r="W626" s="18">
        <v>0</v>
      </c>
      <c r="X626" s="18">
        <v>3.25</v>
      </c>
      <c r="Y626" s="12">
        <v>0</v>
      </c>
      <c r="Z626" s="18">
        <v>2750</v>
      </c>
      <c r="AA626" s="18">
        <v>0</v>
      </c>
      <c r="AB626" s="18">
        <v>0</v>
      </c>
      <c r="AC626" s="18">
        <v>0</v>
      </c>
      <c r="AD626" s="18">
        <v>0</v>
      </c>
      <c r="AE626" s="18">
        <v>0</v>
      </c>
      <c r="AF626" s="18">
        <v>10</v>
      </c>
      <c r="AG626" s="18">
        <v>2</v>
      </c>
      <c r="AH626" s="18" t="s">
        <v>1565</v>
      </c>
      <c r="AI626" s="12">
        <v>2</v>
      </c>
      <c r="AJ626" s="12">
        <v>3</v>
      </c>
      <c r="AK626" s="12">
        <v>0</v>
      </c>
      <c r="AL626" s="12">
        <v>3</v>
      </c>
      <c r="AM626" s="18">
        <v>0</v>
      </c>
      <c r="AN626" s="18">
        <v>0</v>
      </c>
      <c r="AO626" s="18">
        <v>0</v>
      </c>
      <c r="AP626" s="18">
        <v>0.25</v>
      </c>
      <c r="AQ626" s="18">
        <v>3000</v>
      </c>
      <c r="AR626" s="18">
        <v>0.1</v>
      </c>
      <c r="AS626" s="18">
        <v>0</v>
      </c>
      <c r="AT626" s="12">
        <v>0</v>
      </c>
      <c r="AU626" s="349" t="s">
        <v>1566</v>
      </c>
      <c r="AV626" s="18"/>
      <c r="AW626" s="19" t="s">
        <v>256</v>
      </c>
      <c r="AX626" s="18" t="s">
        <v>545</v>
      </c>
      <c r="AY626" s="18">
        <v>10001007</v>
      </c>
      <c r="AZ626" s="18">
        <v>21010030</v>
      </c>
      <c r="BA626" s="19" t="s">
        <v>200</v>
      </c>
      <c r="BB626" s="19">
        <v>0</v>
      </c>
      <c r="BC626" s="27">
        <v>0</v>
      </c>
      <c r="BD626" s="27">
        <v>0</v>
      </c>
      <c r="BE626" s="183" t="str">
        <f t="shared" si="31"/>
        <v>立即对目标范围内的怪物造成325%攻击伤害+2750点固定伤害,并使目标冰冻1秒,使其受到伤害额外提升20%</v>
      </c>
      <c r="BF626" s="183" t="s">
        <v>1570</v>
      </c>
      <c r="BG626" s="18">
        <v>0</v>
      </c>
      <c r="BH626" s="16">
        <v>0</v>
      </c>
      <c r="BI626" s="18">
        <v>0</v>
      </c>
      <c r="BJ626" s="18">
        <v>0</v>
      </c>
      <c r="BK626" s="18">
        <v>0</v>
      </c>
      <c r="BL626" s="18">
        <v>0</v>
      </c>
      <c r="BM626" s="15">
        <v>0</v>
      </c>
      <c r="BN626" s="12">
        <v>0</v>
      </c>
      <c r="BO626" s="12">
        <v>0</v>
      </c>
      <c r="BP626" s="12">
        <v>0</v>
      </c>
      <c r="BQ626" s="12">
        <v>0</v>
      </c>
      <c r="BR626" s="12">
        <v>0</v>
      </c>
      <c r="BS626" s="12">
        <v>0</v>
      </c>
      <c r="BT626" s="12">
        <v>0</v>
      </c>
      <c r="BU626" s="47">
        <v>0</v>
      </c>
      <c r="BV626" s="47"/>
      <c r="BW626" s="47"/>
    </row>
    <row r="627" spans="3:75" ht="19.5" customHeight="1">
      <c r="C627" s="18">
        <v>61021306</v>
      </c>
      <c r="D627" s="19" t="s">
        <v>1563</v>
      </c>
      <c r="E627" s="19" t="s">
        <v>1564</v>
      </c>
      <c r="F627" s="16">
        <v>5</v>
      </c>
      <c r="G627" s="18">
        <v>61021301</v>
      </c>
      <c r="H627" s="16">
        <v>0</v>
      </c>
      <c r="I627" s="27">
        <v>0</v>
      </c>
      <c r="J627" s="18">
        <v>0</v>
      </c>
      <c r="K627" s="18">
        <v>0</v>
      </c>
      <c r="L627" s="16">
        <v>0</v>
      </c>
      <c r="M627" s="18">
        <v>0</v>
      </c>
      <c r="N627" s="18">
        <v>0</v>
      </c>
      <c r="O627" s="18">
        <v>1</v>
      </c>
      <c r="P627" s="18">
        <v>0</v>
      </c>
      <c r="Q627" s="18">
        <v>0</v>
      </c>
      <c r="R627" s="18">
        <v>0</v>
      </c>
      <c r="S627" s="12">
        <v>0</v>
      </c>
      <c r="T627" s="27">
        <v>0</v>
      </c>
      <c r="U627" s="16">
        <v>1</v>
      </c>
      <c r="V627" s="18">
        <v>2</v>
      </c>
      <c r="W627" s="18">
        <v>0</v>
      </c>
      <c r="X627" s="18">
        <v>3.5</v>
      </c>
      <c r="Y627" s="12">
        <v>0</v>
      </c>
      <c r="Z627" s="18">
        <v>3500</v>
      </c>
      <c r="AA627" s="18">
        <v>0</v>
      </c>
      <c r="AB627" s="18">
        <v>0</v>
      </c>
      <c r="AC627" s="18">
        <v>0</v>
      </c>
      <c r="AD627" s="18">
        <v>0</v>
      </c>
      <c r="AE627" s="18">
        <v>0</v>
      </c>
      <c r="AF627" s="18">
        <v>10</v>
      </c>
      <c r="AG627" s="18">
        <v>2</v>
      </c>
      <c r="AH627" s="18" t="s">
        <v>1565</v>
      </c>
      <c r="AI627" s="12">
        <v>2</v>
      </c>
      <c r="AJ627" s="12">
        <v>3</v>
      </c>
      <c r="AK627" s="12">
        <v>0</v>
      </c>
      <c r="AL627" s="12">
        <v>3</v>
      </c>
      <c r="AM627" s="18">
        <v>0</v>
      </c>
      <c r="AN627" s="18">
        <v>0</v>
      </c>
      <c r="AO627" s="18">
        <v>0</v>
      </c>
      <c r="AP627" s="18">
        <v>0.25</v>
      </c>
      <c r="AQ627" s="18">
        <v>3000</v>
      </c>
      <c r="AR627" s="18">
        <v>0.1</v>
      </c>
      <c r="AS627" s="18">
        <v>0</v>
      </c>
      <c r="AT627" s="12">
        <v>0</v>
      </c>
      <c r="AU627" s="349" t="s">
        <v>1566</v>
      </c>
      <c r="AV627" s="18"/>
      <c r="AW627" s="19" t="s">
        <v>256</v>
      </c>
      <c r="AX627" s="18" t="s">
        <v>545</v>
      </c>
      <c r="AY627" s="18">
        <v>10001007</v>
      </c>
      <c r="AZ627" s="18">
        <v>21010030</v>
      </c>
      <c r="BA627" s="19" t="s">
        <v>200</v>
      </c>
      <c r="BB627" s="19">
        <v>0</v>
      </c>
      <c r="BC627" s="27">
        <v>0</v>
      </c>
      <c r="BD627" s="27">
        <v>0</v>
      </c>
      <c r="BE627" s="183" t="str">
        <f t="shared" si="31"/>
        <v>立即对目标范围内的怪物造成350%攻击伤害+3500点固定伤害,并使目标冰冻1秒,使其受到伤害额外提升20%</v>
      </c>
      <c r="BF627" s="183" t="s">
        <v>1571</v>
      </c>
      <c r="BG627" s="18">
        <v>0</v>
      </c>
      <c r="BH627" s="16">
        <v>0</v>
      </c>
      <c r="BI627" s="18">
        <v>0</v>
      </c>
      <c r="BJ627" s="18">
        <v>0</v>
      </c>
      <c r="BK627" s="18">
        <v>0</v>
      </c>
      <c r="BL627" s="18">
        <v>0</v>
      </c>
      <c r="BM627" s="15">
        <v>0</v>
      </c>
      <c r="BN627" s="12">
        <v>0</v>
      </c>
      <c r="BO627" s="12">
        <v>0</v>
      </c>
      <c r="BP627" s="12">
        <v>0</v>
      </c>
      <c r="BQ627" s="12">
        <v>0</v>
      </c>
      <c r="BR627" s="12">
        <v>0</v>
      </c>
      <c r="BS627" s="12">
        <v>0</v>
      </c>
      <c r="BT627" s="12">
        <v>0</v>
      </c>
      <c r="BU627" s="47">
        <v>0</v>
      </c>
      <c r="BV627" s="47"/>
      <c r="BW627" s="47"/>
    </row>
    <row r="628" spans="3:75" ht="20.100000000000001" customHeight="1">
      <c r="C628" s="12">
        <v>61021401</v>
      </c>
      <c r="D628" s="13" t="s">
        <v>1572</v>
      </c>
      <c r="E628" s="13" t="s">
        <v>1573</v>
      </c>
      <c r="F628" s="12">
        <v>0</v>
      </c>
      <c r="G628" s="12">
        <v>61021402</v>
      </c>
      <c r="H628" s="12">
        <v>61021402</v>
      </c>
      <c r="I628" s="12">
        <v>0</v>
      </c>
      <c r="J628" s="12">
        <v>35</v>
      </c>
      <c r="K628" s="12">
        <v>5</v>
      </c>
      <c r="L628" s="12">
        <v>0</v>
      </c>
      <c r="M628" s="12">
        <v>0</v>
      </c>
      <c r="N628" s="12">
        <v>0</v>
      </c>
      <c r="O628" s="12">
        <v>1</v>
      </c>
      <c r="P628" s="12">
        <v>0</v>
      </c>
      <c r="Q628" s="12">
        <v>0</v>
      </c>
      <c r="R628" s="12">
        <v>0</v>
      </c>
      <c r="S628" s="12">
        <v>0</v>
      </c>
      <c r="T628" s="12">
        <v>0</v>
      </c>
      <c r="U628" s="12">
        <v>1</v>
      </c>
      <c r="V628" s="12">
        <v>2</v>
      </c>
      <c r="W628" s="12">
        <v>0</v>
      </c>
      <c r="X628" s="12">
        <v>2.5</v>
      </c>
      <c r="Y628" s="12">
        <v>0</v>
      </c>
      <c r="Z628" s="12">
        <v>1000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120%攻击伤害+"&amp;BR628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8" s="184" t="s">
        <v>1575</v>
      </c>
      <c r="BG628" s="12">
        <v>0</v>
      </c>
      <c r="BH628" s="12">
        <v>0</v>
      </c>
      <c r="BI628" s="12">
        <v>0</v>
      </c>
      <c r="BJ628" s="12">
        <v>0</v>
      </c>
      <c r="BK628" s="12">
        <v>0</v>
      </c>
      <c r="BL628" s="12">
        <v>0</v>
      </c>
      <c r="BM628" s="185">
        <v>0</v>
      </c>
      <c r="BN628" s="12">
        <v>0</v>
      </c>
      <c r="BO628" s="12">
        <v>0</v>
      </c>
      <c r="BP628" s="12">
        <v>1000</v>
      </c>
      <c r="BQ628" s="12">
        <v>1.2</v>
      </c>
      <c r="BR628" s="12">
        <v>500</v>
      </c>
      <c r="BS628" s="12">
        <v>0</v>
      </c>
      <c r="BT628" s="12">
        <v>0</v>
      </c>
      <c r="BU628" s="47">
        <v>0</v>
      </c>
      <c r="BV628" s="47"/>
      <c r="BW628" s="47"/>
    </row>
    <row r="629" spans="3:75" ht="20.100000000000001" customHeight="1">
      <c r="C629" s="12">
        <v>61021402</v>
      </c>
      <c r="D629" s="13" t="s">
        <v>1572</v>
      </c>
      <c r="E629" s="13" t="s">
        <v>1573</v>
      </c>
      <c r="F629" s="12">
        <v>1</v>
      </c>
      <c r="G629" s="12">
        <v>61021402</v>
      </c>
      <c r="H629" s="12">
        <v>61021403</v>
      </c>
      <c r="I629" s="12">
        <v>0</v>
      </c>
      <c r="J629" s="12">
        <v>42</v>
      </c>
      <c r="K629" s="12">
        <v>2</v>
      </c>
      <c r="L629" s="12">
        <v>0</v>
      </c>
      <c r="M629" s="12">
        <v>0</v>
      </c>
      <c r="N629" s="12">
        <v>0</v>
      </c>
      <c r="O629" s="12">
        <v>1</v>
      </c>
      <c r="P629" s="12">
        <v>0</v>
      </c>
      <c r="Q629" s="12">
        <v>0</v>
      </c>
      <c r="R629" s="12">
        <v>0</v>
      </c>
      <c r="S629" s="12">
        <v>0</v>
      </c>
      <c r="T629" s="12">
        <v>0</v>
      </c>
      <c r="U629" s="12">
        <v>1</v>
      </c>
      <c r="V629" s="12">
        <v>2</v>
      </c>
      <c r="W629" s="12">
        <v>0</v>
      </c>
      <c r="X629" s="12">
        <v>2.5</v>
      </c>
      <c r="Y629" s="12">
        <v>0</v>
      </c>
      <c r="Z629" s="12">
        <v>1000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120%攻击伤害+"&amp;BR629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9" s="184" t="s">
        <v>1575</v>
      </c>
      <c r="BG629" s="12">
        <v>0</v>
      </c>
      <c r="BH629" s="12">
        <v>0</v>
      </c>
      <c r="BI629" s="12">
        <v>0</v>
      </c>
      <c r="BJ629" s="12">
        <v>0</v>
      </c>
      <c r="BK629" s="12">
        <v>0</v>
      </c>
      <c r="BL629" s="12">
        <v>0</v>
      </c>
      <c r="BM629" s="185">
        <v>0</v>
      </c>
      <c r="BN629" s="12">
        <v>0</v>
      </c>
      <c r="BO629" s="12">
        <v>0</v>
      </c>
      <c r="BP629" s="12">
        <v>1000</v>
      </c>
      <c r="BQ629" s="12">
        <v>1.2</v>
      </c>
      <c r="BR629" s="12">
        <v>500</v>
      </c>
      <c r="BS629" s="12">
        <v>0</v>
      </c>
      <c r="BT629" s="12">
        <v>0</v>
      </c>
      <c r="BU629" s="47">
        <v>0</v>
      </c>
      <c r="BV629" s="47"/>
      <c r="BW629" s="47"/>
    </row>
    <row r="630" spans="3:75" ht="20.100000000000001" customHeight="1">
      <c r="C630" s="12">
        <v>61021403</v>
      </c>
      <c r="D630" s="13" t="s">
        <v>1572</v>
      </c>
      <c r="E630" s="13" t="s">
        <v>1573</v>
      </c>
      <c r="F630" s="12">
        <v>2</v>
      </c>
      <c r="G630" s="12">
        <v>61021402</v>
      </c>
      <c r="H630" s="12">
        <v>61021404</v>
      </c>
      <c r="I630" s="12">
        <v>0</v>
      </c>
      <c r="J630" s="12">
        <v>47</v>
      </c>
      <c r="K630" s="12">
        <v>2</v>
      </c>
      <c r="L630" s="12">
        <v>0</v>
      </c>
      <c r="M630" s="12">
        <v>0</v>
      </c>
      <c r="N630" s="12">
        <v>0</v>
      </c>
      <c r="O630" s="12">
        <v>1</v>
      </c>
      <c r="P630" s="12">
        <v>0</v>
      </c>
      <c r="Q630" s="12">
        <v>0</v>
      </c>
      <c r="R630" s="12">
        <v>0</v>
      </c>
      <c r="S630" s="12">
        <v>0</v>
      </c>
      <c r="T630" s="12">
        <v>0</v>
      </c>
      <c r="U630" s="12">
        <v>1</v>
      </c>
      <c r="V630" s="12">
        <v>2</v>
      </c>
      <c r="W630" s="12">
        <v>0</v>
      </c>
      <c r="X630" s="12">
        <v>2.75</v>
      </c>
      <c r="Y630" s="12">
        <v>0</v>
      </c>
      <c r="Z630" s="12">
        <v>1500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140%攻击伤害+"&amp;BR630&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30" s="184" t="s">
        <v>1576</v>
      </c>
      <c r="BG630" s="12">
        <v>0</v>
      </c>
      <c r="BH630" s="12">
        <v>0</v>
      </c>
      <c r="BI630" s="12">
        <v>0</v>
      </c>
      <c r="BJ630" s="12">
        <v>0</v>
      </c>
      <c r="BK630" s="12">
        <v>0</v>
      </c>
      <c r="BL630" s="12">
        <v>0</v>
      </c>
      <c r="BM630" s="185">
        <v>0</v>
      </c>
      <c r="BN630" s="12">
        <v>0</v>
      </c>
      <c r="BO630" s="12">
        <v>0</v>
      </c>
      <c r="BP630" s="12">
        <v>1000</v>
      </c>
      <c r="BQ630" s="12">
        <v>1.4</v>
      </c>
      <c r="BR630" s="12">
        <v>1000</v>
      </c>
      <c r="BS630" s="12">
        <v>0</v>
      </c>
      <c r="BT630" s="12">
        <v>0</v>
      </c>
      <c r="BU630" s="47">
        <v>0</v>
      </c>
      <c r="BV630" s="47"/>
      <c r="BW630" s="47"/>
    </row>
    <row r="631" spans="3:75" ht="20.100000000000001" customHeight="1">
      <c r="C631" s="12">
        <v>61021404</v>
      </c>
      <c r="D631" s="13" t="s">
        <v>1572</v>
      </c>
      <c r="E631" s="13" t="s">
        <v>1573</v>
      </c>
      <c r="F631" s="12">
        <v>3</v>
      </c>
      <c r="G631" s="12">
        <v>61021402</v>
      </c>
      <c r="H631" s="12">
        <v>0</v>
      </c>
      <c r="I631" s="12">
        <v>0</v>
      </c>
      <c r="J631" s="12">
        <v>0</v>
      </c>
      <c r="K631" s="12">
        <v>0</v>
      </c>
      <c r="L631" s="12">
        <v>0</v>
      </c>
      <c r="M631" s="12">
        <v>0</v>
      </c>
      <c r="N631" s="12">
        <v>0</v>
      </c>
      <c r="O631" s="12">
        <v>1</v>
      </c>
      <c r="P631" s="12">
        <v>0</v>
      </c>
      <c r="Q631" s="12">
        <v>0</v>
      </c>
      <c r="R631" s="12">
        <v>0</v>
      </c>
      <c r="S631" s="12">
        <v>0</v>
      </c>
      <c r="T631" s="12">
        <v>0</v>
      </c>
      <c r="U631" s="12">
        <v>1</v>
      </c>
      <c r="V631" s="12">
        <v>2</v>
      </c>
      <c r="W631" s="12">
        <v>0</v>
      </c>
      <c r="X631" s="12">
        <v>3</v>
      </c>
      <c r="Y631" s="12">
        <v>0</v>
      </c>
      <c r="Z631" s="12">
        <v>2000</v>
      </c>
      <c r="AA631" s="12">
        <v>1</v>
      </c>
      <c r="AB631" s="12">
        <v>0</v>
      </c>
      <c r="AC631" s="12">
        <v>0</v>
      </c>
      <c r="AD631" s="12">
        <v>0</v>
      </c>
      <c r="AE631" s="12">
        <v>0</v>
      </c>
      <c r="AF631" s="12">
        <v>18</v>
      </c>
      <c r="AG631" s="12">
        <v>1</v>
      </c>
      <c r="AH631" s="68">
        <v>4</v>
      </c>
      <c r="AI631" s="12">
        <v>2</v>
      </c>
      <c r="AJ631" s="12">
        <v>1</v>
      </c>
      <c r="AK631" s="12">
        <v>0</v>
      </c>
      <c r="AL631" s="12">
        <v>7</v>
      </c>
      <c r="AM631" s="12">
        <v>0</v>
      </c>
      <c r="AN631" s="12">
        <v>0</v>
      </c>
      <c r="AO631" s="12">
        <v>0</v>
      </c>
      <c r="AP631" s="12">
        <v>0.5</v>
      </c>
      <c r="AQ631" s="12">
        <v>6000</v>
      </c>
      <c r="AR631" s="12">
        <v>0.2</v>
      </c>
      <c r="AS631" s="12">
        <v>0</v>
      </c>
      <c r="AT631" s="12">
        <v>0</v>
      </c>
      <c r="AU631" s="12">
        <v>90001030</v>
      </c>
      <c r="AV631" s="12"/>
      <c r="AW631" s="13" t="s">
        <v>617</v>
      </c>
      <c r="AX631" s="12" t="s">
        <v>1041</v>
      </c>
      <c r="AY631" s="12">
        <v>10000007</v>
      </c>
      <c r="AZ631" s="12">
        <v>21010050</v>
      </c>
      <c r="BA631" s="13" t="s">
        <v>1574</v>
      </c>
      <c r="BB631" s="12">
        <v>0</v>
      </c>
      <c r="BC631" s="12">
        <v>0</v>
      </c>
      <c r="BD631" s="12">
        <v>0</v>
      </c>
      <c r="BE631" s="184" t="str">
        <f>"对目标区域释放一个引力场,引力场会不断牵附近怪物进入引力场,并对怪物造成"&amp;X631*100&amp;"%攻击伤害+"&amp;Z631&amp;"点固定伤害,随后在技能范围中的敌人每秒受到160%攻击伤害+"&amp;BR631&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31" s="184" t="s">
        <v>1577</v>
      </c>
      <c r="BG631" s="12">
        <v>0</v>
      </c>
      <c r="BH631" s="12">
        <v>0</v>
      </c>
      <c r="BI631" s="12">
        <v>0</v>
      </c>
      <c r="BJ631" s="12">
        <v>0</v>
      </c>
      <c r="BK631" s="12">
        <v>0</v>
      </c>
      <c r="BL631" s="12">
        <v>0</v>
      </c>
      <c r="BM631" s="185">
        <v>0</v>
      </c>
      <c r="BN631" s="12">
        <v>0</v>
      </c>
      <c r="BO631" s="12">
        <v>0</v>
      </c>
      <c r="BP631" s="12">
        <v>1000</v>
      </c>
      <c r="BQ631" s="12">
        <v>1.6</v>
      </c>
      <c r="BR631" s="12">
        <v>1500</v>
      </c>
      <c r="BS631" s="12">
        <v>0</v>
      </c>
      <c r="BT631" s="12">
        <v>0</v>
      </c>
      <c r="BU631" s="47">
        <v>0</v>
      </c>
      <c r="BV631" s="47"/>
      <c r="BW631" s="47"/>
    </row>
    <row r="632" spans="3:75" ht="20.100000000000001" customHeight="1">
      <c r="C632" s="12">
        <v>61021405</v>
      </c>
      <c r="D632" s="13" t="s">
        <v>1572</v>
      </c>
      <c r="E632" s="13" t="s">
        <v>1573</v>
      </c>
      <c r="F632" s="12">
        <v>4</v>
      </c>
      <c r="G632" s="12">
        <v>61021402</v>
      </c>
      <c r="H632" s="12">
        <v>0</v>
      </c>
      <c r="I632" s="12">
        <v>0</v>
      </c>
      <c r="J632" s="12">
        <v>0</v>
      </c>
      <c r="K632" s="12">
        <v>0</v>
      </c>
      <c r="L632" s="12">
        <v>0</v>
      </c>
      <c r="M632" s="12">
        <v>0</v>
      </c>
      <c r="N632" s="12">
        <v>0</v>
      </c>
      <c r="O632" s="12">
        <v>1</v>
      </c>
      <c r="P632" s="12">
        <v>0</v>
      </c>
      <c r="Q632" s="12">
        <v>0</v>
      </c>
      <c r="R632" s="12">
        <v>0</v>
      </c>
      <c r="S632" s="12">
        <v>0</v>
      </c>
      <c r="T632" s="12">
        <v>0</v>
      </c>
      <c r="U632" s="12">
        <v>1</v>
      </c>
      <c r="V632" s="12">
        <v>2</v>
      </c>
      <c r="W632" s="12">
        <v>0</v>
      </c>
      <c r="X632" s="12">
        <v>3.25</v>
      </c>
      <c r="Y632" s="12">
        <v>0</v>
      </c>
      <c r="Z632" s="12">
        <v>2750</v>
      </c>
      <c r="AA632" s="12">
        <v>1</v>
      </c>
      <c r="AB632" s="12">
        <v>0</v>
      </c>
      <c r="AC632" s="12">
        <v>0</v>
      </c>
      <c r="AD632" s="12">
        <v>0</v>
      </c>
      <c r="AE632" s="12">
        <v>0</v>
      </c>
      <c r="AF632" s="12">
        <v>18</v>
      </c>
      <c r="AG632" s="12">
        <v>1</v>
      </c>
      <c r="AH632" s="68">
        <v>4</v>
      </c>
      <c r="AI632" s="12">
        <v>2</v>
      </c>
      <c r="AJ632" s="12">
        <v>1</v>
      </c>
      <c r="AK632" s="12">
        <v>0</v>
      </c>
      <c r="AL632" s="12">
        <v>7</v>
      </c>
      <c r="AM632" s="12">
        <v>0</v>
      </c>
      <c r="AN632" s="12">
        <v>0</v>
      </c>
      <c r="AO632" s="12">
        <v>0</v>
      </c>
      <c r="AP632" s="12">
        <v>0.5</v>
      </c>
      <c r="AQ632" s="12">
        <v>6000</v>
      </c>
      <c r="AR632" s="12">
        <v>0.2</v>
      </c>
      <c r="AS632" s="12">
        <v>0</v>
      </c>
      <c r="AT632" s="12">
        <v>0</v>
      </c>
      <c r="AU632" s="12">
        <v>90001030</v>
      </c>
      <c r="AV632" s="12"/>
      <c r="AW632" s="13" t="s">
        <v>617</v>
      </c>
      <c r="AX632" s="12" t="s">
        <v>1041</v>
      </c>
      <c r="AY632" s="12">
        <v>10000007</v>
      </c>
      <c r="AZ632" s="12">
        <v>21010050</v>
      </c>
      <c r="BA632" s="13" t="s">
        <v>1574</v>
      </c>
      <c r="BB632" s="12">
        <v>0</v>
      </c>
      <c r="BC632" s="12">
        <v>0</v>
      </c>
      <c r="BD632" s="12">
        <v>0</v>
      </c>
      <c r="BE632" s="184" t="str">
        <f>"对目标区域释放一个引力场,引力场会不断牵附近怪物进入引力场,并对怪物造成"&amp;X632*100&amp;"%攻击伤害+"&amp;Z632&amp;"点固定伤害,随后在技能范围中的敌人每秒受到180%攻击伤害+"&amp;BR632&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32" s="184" t="s">
        <v>1578</v>
      </c>
      <c r="BG632" s="12">
        <v>0</v>
      </c>
      <c r="BH632" s="12">
        <v>0</v>
      </c>
      <c r="BI632" s="12">
        <v>0</v>
      </c>
      <c r="BJ632" s="12">
        <v>0</v>
      </c>
      <c r="BK632" s="12">
        <v>0</v>
      </c>
      <c r="BL632" s="12">
        <v>0</v>
      </c>
      <c r="BM632" s="185">
        <v>0</v>
      </c>
      <c r="BN632" s="12">
        <v>0</v>
      </c>
      <c r="BO632" s="12">
        <v>0</v>
      </c>
      <c r="BP632" s="12">
        <v>1000</v>
      </c>
      <c r="BQ632" s="12">
        <v>1.8</v>
      </c>
      <c r="BR632" s="12">
        <v>2000</v>
      </c>
      <c r="BS632" s="12">
        <v>0</v>
      </c>
      <c r="BT632" s="12">
        <v>0</v>
      </c>
      <c r="BU632" s="47">
        <v>0</v>
      </c>
      <c r="BV632" s="47"/>
      <c r="BW632" s="47"/>
    </row>
    <row r="633" spans="3:75" ht="20.100000000000001" customHeight="1">
      <c r="C633" s="12">
        <v>61021406</v>
      </c>
      <c r="D633" s="13" t="s">
        <v>1572</v>
      </c>
      <c r="E633" s="13" t="s">
        <v>1573</v>
      </c>
      <c r="F633" s="12">
        <v>5</v>
      </c>
      <c r="G633" s="12">
        <v>61021402</v>
      </c>
      <c r="H633" s="12">
        <v>0</v>
      </c>
      <c r="I633" s="12">
        <v>0</v>
      </c>
      <c r="J633" s="12">
        <v>0</v>
      </c>
      <c r="K633" s="12">
        <v>0</v>
      </c>
      <c r="L633" s="12">
        <v>0</v>
      </c>
      <c r="M633" s="12">
        <v>0</v>
      </c>
      <c r="N633" s="12">
        <v>0</v>
      </c>
      <c r="O633" s="12">
        <v>1</v>
      </c>
      <c r="P633" s="12">
        <v>0</v>
      </c>
      <c r="Q633" s="12">
        <v>0</v>
      </c>
      <c r="R633" s="12">
        <v>0</v>
      </c>
      <c r="S633" s="12">
        <v>0</v>
      </c>
      <c r="T633" s="12">
        <v>0</v>
      </c>
      <c r="U633" s="12">
        <v>1</v>
      </c>
      <c r="V633" s="12">
        <v>2</v>
      </c>
      <c r="W633" s="12">
        <v>0</v>
      </c>
      <c r="X633" s="12">
        <v>3.5</v>
      </c>
      <c r="Y633" s="12">
        <v>0</v>
      </c>
      <c r="Z633" s="12">
        <v>3500</v>
      </c>
      <c r="AA633" s="12">
        <v>1</v>
      </c>
      <c r="AB633" s="12">
        <v>0</v>
      </c>
      <c r="AC633" s="12">
        <v>0</v>
      </c>
      <c r="AD633" s="12">
        <v>0</v>
      </c>
      <c r="AE633" s="12">
        <v>0</v>
      </c>
      <c r="AF633" s="12">
        <v>18</v>
      </c>
      <c r="AG633" s="12">
        <v>1</v>
      </c>
      <c r="AH633" s="68">
        <v>4</v>
      </c>
      <c r="AI633" s="12">
        <v>2</v>
      </c>
      <c r="AJ633" s="12">
        <v>1</v>
      </c>
      <c r="AK633" s="12">
        <v>0</v>
      </c>
      <c r="AL633" s="12">
        <v>7</v>
      </c>
      <c r="AM633" s="12">
        <v>0</v>
      </c>
      <c r="AN633" s="12">
        <v>0</v>
      </c>
      <c r="AO633" s="12">
        <v>0</v>
      </c>
      <c r="AP633" s="12">
        <v>0.5</v>
      </c>
      <c r="AQ633" s="12">
        <v>6000</v>
      </c>
      <c r="AR633" s="12">
        <v>0.2</v>
      </c>
      <c r="AS633" s="12">
        <v>0</v>
      </c>
      <c r="AT633" s="12">
        <v>0</v>
      </c>
      <c r="AU633" s="12">
        <v>90001030</v>
      </c>
      <c r="AV633" s="12"/>
      <c r="AW633" s="13" t="s">
        <v>617</v>
      </c>
      <c r="AX633" s="12" t="s">
        <v>1041</v>
      </c>
      <c r="AY633" s="12">
        <v>10000007</v>
      </c>
      <c r="AZ633" s="12">
        <v>21010050</v>
      </c>
      <c r="BA633" s="13" t="s">
        <v>1574</v>
      </c>
      <c r="BB633" s="12">
        <v>0</v>
      </c>
      <c r="BC633" s="12">
        <v>0</v>
      </c>
      <c r="BD633" s="12">
        <v>0</v>
      </c>
      <c r="BE633" s="184" t="str">
        <f>"对目标区域释放一个引力场,引力场会不断牵附近怪物进入引力场,并对怪物造成"&amp;X633*100&amp;"%攻击伤害+"&amp;Z633&amp;"点固定伤害,随后在技能范围中的敌人每秒受到200%攻击伤害+"&amp;BR633&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3" s="184" t="s">
        <v>1579</v>
      </c>
      <c r="BG633" s="12">
        <v>0</v>
      </c>
      <c r="BH633" s="12">
        <v>0</v>
      </c>
      <c r="BI633" s="12">
        <v>0</v>
      </c>
      <c r="BJ633" s="12">
        <v>0</v>
      </c>
      <c r="BK633" s="12">
        <v>0</v>
      </c>
      <c r="BL633" s="12">
        <v>0</v>
      </c>
      <c r="BM633" s="185">
        <v>0</v>
      </c>
      <c r="BN633" s="12">
        <v>0</v>
      </c>
      <c r="BO633" s="12">
        <v>0</v>
      </c>
      <c r="BP633" s="12">
        <v>1000</v>
      </c>
      <c r="BQ633" s="12">
        <v>2</v>
      </c>
      <c r="BR633" s="12">
        <v>2500</v>
      </c>
      <c r="BS633" s="12">
        <v>0</v>
      </c>
      <c r="BT633" s="12">
        <v>0</v>
      </c>
      <c r="BU633" s="47">
        <v>0</v>
      </c>
      <c r="BV633" s="47"/>
      <c r="BW633" s="47"/>
    </row>
    <row r="634" spans="3:75" ht="19.5" customHeight="1">
      <c r="C634" s="18">
        <v>61022101</v>
      </c>
      <c r="D634" s="19" t="s">
        <v>1580</v>
      </c>
      <c r="E634" s="19" t="s">
        <v>1581</v>
      </c>
      <c r="F634" s="16">
        <v>0</v>
      </c>
      <c r="G634" s="18">
        <v>61022101</v>
      </c>
      <c r="H634" s="18">
        <f>C635</f>
        <v>61022102</v>
      </c>
      <c r="I634" s="27">
        <v>0</v>
      </c>
      <c r="J634" s="16">
        <v>18</v>
      </c>
      <c r="K634" s="16">
        <v>5</v>
      </c>
      <c r="L634" s="16">
        <v>0</v>
      </c>
      <c r="M634" s="18">
        <v>0</v>
      </c>
      <c r="N634" s="18">
        <v>0</v>
      </c>
      <c r="O634" s="18">
        <v>1</v>
      </c>
      <c r="P634" s="18">
        <v>0</v>
      </c>
      <c r="Q634" s="18">
        <v>0</v>
      </c>
      <c r="R634" s="18">
        <v>0</v>
      </c>
      <c r="S634" s="12">
        <v>0</v>
      </c>
      <c r="T634" s="27">
        <v>0</v>
      </c>
      <c r="U634" s="16">
        <v>1</v>
      </c>
      <c r="V634" s="18">
        <v>2</v>
      </c>
      <c r="W634" s="18">
        <v>0</v>
      </c>
      <c r="X634" s="18">
        <v>7</v>
      </c>
      <c r="Y634" s="12">
        <v>0</v>
      </c>
      <c r="Z634" s="18">
        <v>1850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9" t="s">
        <v>1582</v>
      </c>
      <c r="AV634" s="18"/>
      <c r="AW634" s="19" t="s">
        <v>617</v>
      </c>
      <c r="AX634" s="18" t="s">
        <v>545</v>
      </c>
      <c r="AY634" s="18">
        <v>10001005</v>
      </c>
      <c r="AZ634" s="18">
        <v>21020010</v>
      </c>
      <c r="BA634" s="19" t="s">
        <v>200</v>
      </c>
      <c r="BB634" s="19">
        <v>0</v>
      </c>
      <c r="BC634" s="27">
        <v>0</v>
      </c>
      <c r="BD634" s="27">
        <v>0</v>
      </c>
      <c r="BE634" s="183" t="str">
        <f>"霸体状态下蓄力1秒,立即对目标范围内的怪物造成"&amp;X634*100&amp;"%攻击伤害+"&amp;Z634&amp;"点固定伤害,并对目标造成易损状态,使其每秒损失50%伤害,持续5秒,并使其受到伤害额外提升25%。"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4" s="183" t="s">
        <v>1583</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61022102</v>
      </c>
      <c r="D635" s="19" t="s">
        <v>1580</v>
      </c>
      <c r="E635" s="19" t="s">
        <v>1581</v>
      </c>
      <c r="F635" s="16">
        <v>1</v>
      </c>
      <c r="G635" s="18">
        <v>61022101</v>
      </c>
      <c r="H635" s="18">
        <f t="shared" ref="H635:H636" si="32">C636</f>
        <v>61022103</v>
      </c>
      <c r="I635" s="27">
        <v>0</v>
      </c>
      <c r="J635" s="16">
        <v>27</v>
      </c>
      <c r="K635" s="16">
        <v>2</v>
      </c>
      <c r="L635" s="16">
        <v>0</v>
      </c>
      <c r="M635" s="18">
        <v>0</v>
      </c>
      <c r="N635" s="18">
        <v>0</v>
      </c>
      <c r="O635" s="18">
        <v>1</v>
      </c>
      <c r="P635" s="18">
        <v>0</v>
      </c>
      <c r="Q635" s="18">
        <v>0</v>
      </c>
      <c r="R635" s="18">
        <v>0</v>
      </c>
      <c r="S635" s="12">
        <v>0</v>
      </c>
      <c r="T635" s="27">
        <v>0</v>
      </c>
      <c r="U635" s="16">
        <v>1</v>
      </c>
      <c r="V635" s="18">
        <v>2</v>
      </c>
      <c r="W635" s="18">
        <v>0</v>
      </c>
      <c r="X635" s="18">
        <v>7</v>
      </c>
      <c r="Y635" s="12">
        <v>0</v>
      </c>
      <c r="Z635" s="18">
        <v>1850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9" t="s">
        <v>1582</v>
      </c>
      <c r="AV635" s="18"/>
      <c r="AW635" s="19" t="s">
        <v>617</v>
      </c>
      <c r="AX635" s="18" t="s">
        <v>545</v>
      </c>
      <c r="AY635" s="18">
        <v>10001005</v>
      </c>
      <c r="AZ635" s="18">
        <v>21020010</v>
      </c>
      <c r="BA635" s="19" t="s">
        <v>200</v>
      </c>
      <c r="BB635" s="19">
        <v>0</v>
      </c>
      <c r="BC635" s="27">
        <v>0</v>
      </c>
      <c r="BD635" s="27">
        <v>0</v>
      </c>
      <c r="BE635" s="183" t="str">
        <f t="shared" ref="BE635:BE639" si="33">"霸体状态下蓄力1秒,立即对目标范围内的怪物造成"&amp;X635*100&amp;"%攻击伤害+"&amp;Z635&amp;"点固定伤害,并对目标造成易损状态,使其每秒损失50%伤害,持续5秒,并使其受到伤害额外提升25%。"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5" s="183" t="s">
        <v>1583</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61022103</v>
      </c>
      <c r="D636" s="19" t="s">
        <v>1580</v>
      </c>
      <c r="E636" s="19" t="s">
        <v>1581</v>
      </c>
      <c r="F636" s="16">
        <v>2</v>
      </c>
      <c r="G636" s="18">
        <v>61022101</v>
      </c>
      <c r="H636" s="18">
        <f t="shared" si="32"/>
        <v>61022104</v>
      </c>
      <c r="I636" s="27">
        <v>0</v>
      </c>
      <c r="J636" s="16">
        <v>32</v>
      </c>
      <c r="K636" s="16">
        <v>2</v>
      </c>
      <c r="L636" s="16">
        <v>0</v>
      </c>
      <c r="M636" s="18">
        <v>0</v>
      </c>
      <c r="N636" s="18">
        <v>0</v>
      </c>
      <c r="O636" s="18">
        <v>1</v>
      </c>
      <c r="P636" s="18">
        <v>0</v>
      </c>
      <c r="Q636" s="18">
        <v>0</v>
      </c>
      <c r="R636" s="18">
        <v>0</v>
      </c>
      <c r="S636" s="12">
        <v>0</v>
      </c>
      <c r="T636" s="27">
        <v>0</v>
      </c>
      <c r="U636" s="16">
        <v>1</v>
      </c>
      <c r="V636" s="18">
        <v>2</v>
      </c>
      <c r="W636" s="18">
        <v>0</v>
      </c>
      <c r="X636" s="18">
        <v>7.75</v>
      </c>
      <c r="Y636" s="12">
        <v>0</v>
      </c>
      <c r="Z636" s="18">
        <v>3200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9"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霸体状态下蓄力1秒,立即对目标范围内的怪物造成775%攻击伤害+3200点固定伤害,并对目标造成易损状态,使其每秒损失50%伤害,持续5秒,并使其受到伤害额外提升25%。</v>
      </c>
      <c r="BF636" s="183" t="s">
        <v>1584</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8">
        <v>61022104</v>
      </c>
      <c r="D637" s="19" t="s">
        <v>1580</v>
      </c>
      <c r="E637" s="19" t="s">
        <v>1581</v>
      </c>
      <c r="F637" s="16">
        <v>3</v>
      </c>
      <c r="G637" s="18">
        <v>61022101</v>
      </c>
      <c r="H637" s="16">
        <v>0</v>
      </c>
      <c r="I637" s="27">
        <v>0</v>
      </c>
      <c r="J637" s="16">
        <v>0</v>
      </c>
      <c r="K637" s="179">
        <v>0</v>
      </c>
      <c r="L637" s="16">
        <v>0</v>
      </c>
      <c r="M637" s="18">
        <v>0</v>
      </c>
      <c r="N637" s="18">
        <v>0</v>
      </c>
      <c r="O637" s="18">
        <v>1</v>
      </c>
      <c r="P637" s="18">
        <v>0</v>
      </c>
      <c r="Q637" s="18">
        <v>0</v>
      </c>
      <c r="R637" s="18">
        <v>0</v>
      </c>
      <c r="S637" s="12">
        <v>0</v>
      </c>
      <c r="T637" s="27">
        <v>0</v>
      </c>
      <c r="U637" s="16">
        <v>1</v>
      </c>
      <c r="V637" s="18">
        <v>2</v>
      </c>
      <c r="W637" s="18">
        <v>0</v>
      </c>
      <c r="X637" s="18">
        <v>8.5</v>
      </c>
      <c r="Y637" s="12">
        <v>0</v>
      </c>
      <c r="Z637" s="18">
        <v>4700</v>
      </c>
      <c r="AA637" s="18">
        <v>1</v>
      </c>
      <c r="AB637" s="18">
        <v>0</v>
      </c>
      <c r="AC637" s="18">
        <v>0</v>
      </c>
      <c r="AD637" s="18">
        <v>0</v>
      </c>
      <c r="AE637" s="18">
        <v>0</v>
      </c>
      <c r="AF637" s="18">
        <v>9</v>
      </c>
      <c r="AG637" s="18">
        <v>1</v>
      </c>
      <c r="AH637" s="18">
        <v>8</v>
      </c>
      <c r="AI637" s="12">
        <v>0</v>
      </c>
      <c r="AJ637" s="12">
        <v>0</v>
      </c>
      <c r="AK637" s="12">
        <v>0</v>
      </c>
      <c r="AL637" s="12">
        <v>5</v>
      </c>
      <c r="AM637" s="18">
        <v>0</v>
      </c>
      <c r="AN637" s="18">
        <v>1</v>
      </c>
      <c r="AO637" s="18">
        <v>0</v>
      </c>
      <c r="AP637" s="18">
        <v>0</v>
      </c>
      <c r="AQ637" s="18">
        <v>2000</v>
      </c>
      <c r="AR637" s="18">
        <v>0.2</v>
      </c>
      <c r="AS637" s="18">
        <v>0</v>
      </c>
      <c r="AT637" s="12">
        <v>0</v>
      </c>
      <c r="AU637" s="349" t="s">
        <v>1582</v>
      </c>
      <c r="AV637" s="18"/>
      <c r="AW637" s="19" t="s">
        <v>617</v>
      </c>
      <c r="AX637" s="18" t="s">
        <v>545</v>
      </c>
      <c r="AY637" s="18">
        <v>10001005</v>
      </c>
      <c r="AZ637" s="18">
        <v>21020010</v>
      </c>
      <c r="BA637" s="19" t="s">
        <v>200</v>
      </c>
      <c r="BB637" s="19">
        <v>0</v>
      </c>
      <c r="BC637" s="27">
        <v>0</v>
      </c>
      <c r="BD637" s="27">
        <v>0</v>
      </c>
      <c r="BE637" s="183" t="str">
        <f t="shared" si="33"/>
        <v>霸体状态下蓄力1秒,立即对目标范围内的怪物造成850%攻击伤害+4700点固定伤害,并对目标造成易损状态,使其每秒损失50%伤害,持续5秒,并使其受到伤害额外提升25%。</v>
      </c>
      <c r="BF637" s="183" t="s">
        <v>1585</v>
      </c>
      <c r="BG637" s="18">
        <v>0</v>
      </c>
      <c r="BH637" s="16">
        <v>0</v>
      </c>
      <c r="BI637" s="18">
        <v>0</v>
      </c>
      <c r="BJ637" s="18">
        <v>0</v>
      </c>
      <c r="BK637" s="18">
        <v>0</v>
      </c>
      <c r="BL637" s="18">
        <v>0</v>
      </c>
      <c r="BM637" s="15">
        <v>0</v>
      </c>
      <c r="BN637" s="12">
        <v>0</v>
      </c>
      <c r="BO637" s="12">
        <v>0</v>
      </c>
      <c r="BP637" s="12">
        <v>0</v>
      </c>
      <c r="BQ637" s="12">
        <v>0</v>
      </c>
      <c r="BR637" s="12">
        <v>0</v>
      </c>
      <c r="BS637" s="12">
        <v>0</v>
      </c>
      <c r="BT637" s="12">
        <v>0</v>
      </c>
      <c r="BU637" s="47">
        <v>0</v>
      </c>
      <c r="BV637" s="47"/>
      <c r="BW637" s="47"/>
    </row>
    <row r="638" spans="3:75" ht="20.100000000000001" customHeight="1">
      <c r="C638" s="18">
        <v>61022105</v>
      </c>
      <c r="D638" s="19" t="s">
        <v>1580</v>
      </c>
      <c r="E638" s="19" t="s">
        <v>1581</v>
      </c>
      <c r="F638" s="16">
        <v>4</v>
      </c>
      <c r="G638" s="18">
        <v>61022101</v>
      </c>
      <c r="H638" s="16">
        <v>0</v>
      </c>
      <c r="I638" s="27">
        <v>0</v>
      </c>
      <c r="J638" s="16">
        <v>0</v>
      </c>
      <c r="K638" s="16">
        <v>0</v>
      </c>
      <c r="L638" s="16">
        <v>0</v>
      </c>
      <c r="M638" s="18">
        <v>0</v>
      </c>
      <c r="N638" s="18">
        <v>0</v>
      </c>
      <c r="O638" s="18">
        <v>1</v>
      </c>
      <c r="P638" s="18">
        <v>0</v>
      </c>
      <c r="Q638" s="18">
        <v>0</v>
      </c>
      <c r="R638" s="18">
        <v>0</v>
      </c>
      <c r="S638" s="12">
        <v>0</v>
      </c>
      <c r="T638" s="27">
        <v>0</v>
      </c>
      <c r="U638" s="16">
        <v>1</v>
      </c>
      <c r="V638" s="18">
        <v>2</v>
      </c>
      <c r="W638" s="18">
        <v>0</v>
      </c>
      <c r="X638" s="18">
        <v>9.25</v>
      </c>
      <c r="Y638" s="12">
        <v>0</v>
      </c>
      <c r="Z638" s="18">
        <v>6500</v>
      </c>
      <c r="AA638" s="18">
        <v>1</v>
      </c>
      <c r="AB638" s="18">
        <v>0</v>
      </c>
      <c r="AC638" s="18">
        <v>0</v>
      </c>
      <c r="AD638" s="18">
        <v>0</v>
      </c>
      <c r="AE638" s="18">
        <v>0</v>
      </c>
      <c r="AF638" s="18">
        <v>9</v>
      </c>
      <c r="AG638" s="18">
        <v>1</v>
      </c>
      <c r="AH638" s="18">
        <v>8</v>
      </c>
      <c r="AI638" s="12">
        <v>0</v>
      </c>
      <c r="AJ638" s="12">
        <v>0</v>
      </c>
      <c r="AK638" s="12">
        <v>0</v>
      </c>
      <c r="AL638" s="12">
        <v>5</v>
      </c>
      <c r="AM638" s="18">
        <v>0</v>
      </c>
      <c r="AN638" s="18">
        <v>1</v>
      </c>
      <c r="AO638" s="18">
        <v>0</v>
      </c>
      <c r="AP638" s="18">
        <v>0</v>
      </c>
      <c r="AQ638" s="18">
        <v>2000</v>
      </c>
      <c r="AR638" s="18">
        <v>0.2</v>
      </c>
      <c r="AS638" s="18">
        <v>0</v>
      </c>
      <c r="AT638" s="12">
        <v>0</v>
      </c>
      <c r="AU638" s="349" t="s">
        <v>1582</v>
      </c>
      <c r="AV638" s="18"/>
      <c r="AW638" s="19" t="s">
        <v>617</v>
      </c>
      <c r="AX638" s="18" t="s">
        <v>545</v>
      </c>
      <c r="AY638" s="18">
        <v>10001005</v>
      </c>
      <c r="AZ638" s="18">
        <v>21020010</v>
      </c>
      <c r="BA638" s="19" t="s">
        <v>200</v>
      </c>
      <c r="BB638" s="19">
        <v>0</v>
      </c>
      <c r="BC638" s="27">
        <v>0</v>
      </c>
      <c r="BD638" s="27">
        <v>0</v>
      </c>
      <c r="BE638" s="183" t="str">
        <f t="shared" si="33"/>
        <v>霸体状态下蓄力1秒,立即对目标范围内的怪物造成925%攻击伤害+6500点固定伤害,并对目标造成易损状态,使其每秒损失50%伤害,持续5秒,并使其受到伤害额外提升25%。</v>
      </c>
      <c r="BF638" s="183" t="s">
        <v>1586</v>
      </c>
      <c r="BG638" s="18">
        <v>0</v>
      </c>
      <c r="BH638" s="16">
        <v>0</v>
      </c>
      <c r="BI638" s="18">
        <v>0</v>
      </c>
      <c r="BJ638" s="18">
        <v>0</v>
      </c>
      <c r="BK638" s="18">
        <v>0</v>
      </c>
      <c r="BL638" s="18">
        <v>0</v>
      </c>
      <c r="BM638" s="15">
        <v>0</v>
      </c>
      <c r="BN638" s="12">
        <v>0</v>
      </c>
      <c r="BO638" s="12">
        <v>0</v>
      </c>
      <c r="BP638" s="12">
        <v>0</v>
      </c>
      <c r="BQ638" s="12">
        <v>0</v>
      </c>
      <c r="BR638" s="12">
        <v>0</v>
      </c>
      <c r="BS638" s="12">
        <v>0</v>
      </c>
      <c r="BT638" s="12">
        <v>0</v>
      </c>
      <c r="BU638" s="47">
        <v>0</v>
      </c>
      <c r="BV638" s="47"/>
      <c r="BW638" s="47"/>
    </row>
    <row r="639" spans="3:75" ht="20.100000000000001" customHeight="1">
      <c r="C639" s="18">
        <v>61022106</v>
      </c>
      <c r="D639" s="19" t="s">
        <v>1580</v>
      </c>
      <c r="E639" s="19" t="s">
        <v>1581</v>
      </c>
      <c r="F639" s="16">
        <v>5</v>
      </c>
      <c r="G639" s="18">
        <v>61022101</v>
      </c>
      <c r="H639" s="16">
        <v>0</v>
      </c>
      <c r="I639" s="27">
        <v>0</v>
      </c>
      <c r="J639" s="16">
        <v>0</v>
      </c>
      <c r="K639" s="16">
        <v>0</v>
      </c>
      <c r="L639" s="16">
        <v>0</v>
      </c>
      <c r="M639" s="18">
        <v>0</v>
      </c>
      <c r="N639" s="18">
        <v>0</v>
      </c>
      <c r="O639" s="18">
        <v>1</v>
      </c>
      <c r="P639" s="18">
        <v>0</v>
      </c>
      <c r="Q639" s="18">
        <v>0</v>
      </c>
      <c r="R639" s="18">
        <v>0</v>
      </c>
      <c r="S639" s="12">
        <v>0</v>
      </c>
      <c r="T639" s="27">
        <v>0</v>
      </c>
      <c r="U639" s="16">
        <v>1</v>
      </c>
      <c r="V639" s="18">
        <v>2</v>
      </c>
      <c r="W639" s="18">
        <v>0</v>
      </c>
      <c r="X639" s="18">
        <v>10</v>
      </c>
      <c r="Y639" s="12">
        <v>0</v>
      </c>
      <c r="Z639" s="18">
        <v>8300</v>
      </c>
      <c r="AA639" s="18">
        <v>1</v>
      </c>
      <c r="AB639" s="18">
        <v>0</v>
      </c>
      <c r="AC639" s="18">
        <v>0</v>
      </c>
      <c r="AD639" s="18">
        <v>0</v>
      </c>
      <c r="AE639" s="18">
        <v>0</v>
      </c>
      <c r="AF639" s="18">
        <v>9</v>
      </c>
      <c r="AG639" s="18">
        <v>1</v>
      </c>
      <c r="AH639" s="18">
        <v>8</v>
      </c>
      <c r="AI639" s="12">
        <v>0</v>
      </c>
      <c r="AJ639" s="12">
        <v>0</v>
      </c>
      <c r="AK639" s="12">
        <v>0</v>
      </c>
      <c r="AL639" s="12">
        <v>5</v>
      </c>
      <c r="AM639" s="18">
        <v>0</v>
      </c>
      <c r="AN639" s="18">
        <v>1</v>
      </c>
      <c r="AO639" s="18">
        <v>0</v>
      </c>
      <c r="AP639" s="18">
        <v>0</v>
      </c>
      <c r="AQ639" s="18">
        <v>2000</v>
      </c>
      <c r="AR639" s="18">
        <v>0.2</v>
      </c>
      <c r="AS639" s="18">
        <v>0</v>
      </c>
      <c r="AT639" s="12">
        <v>0</v>
      </c>
      <c r="AU639" s="349" t="s">
        <v>1582</v>
      </c>
      <c r="AV639" s="18"/>
      <c r="AW639" s="19" t="s">
        <v>617</v>
      </c>
      <c r="AX639" s="18" t="s">
        <v>545</v>
      </c>
      <c r="AY639" s="18">
        <v>10001005</v>
      </c>
      <c r="AZ639" s="18">
        <v>21020010</v>
      </c>
      <c r="BA639" s="19" t="s">
        <v>200</v>
      </c>
      <c r="BB639" s="19">
        <v>0</v>
      </c>
      <c r="BC639" s="27">
        <v>0</v>
      </c>
      <c r="BD639" s="27">
        <v>0</v>
      </c>
      <c r="BE639" s="183" t="str">
        <f t="shared" si="33"/>
        <v>霸体状态下蓄力1秒,立即对目标范围内的怪物造成1000%攻击伤害+8300点固定伤害,并对目标造成易损状态,使其每秒损失50%伤害,持续5秒,并使其受到伤害额外提升25%。</v>
      </c>
      <c r="BF639" s="183" t="s">
        <v>1587</v>
      </c>
      <c r="BG639" s="18">
        <v>0</v>
      </c>
      <c r="BH639" s="16">
        <v>0</v>
      </c>
      <c r="BI639" s="18">
        <v>0</v>
      </c>
      <c r="BJ639" s="18">
        <v>0</v>
      </c>
      <c r="BK639" s="18">
        <v>0</v>
      </c>
      <c r="BL639" s="18">
        <v>0</v>
      </c>
      <c r="BM639" s="15">
        <v>0</v>
      </c>
      <c r="BN639" s="12">
        <v>0</v>
      </c>
      <c r="BO639" s="12">
        <v>0</v>
      </c>
      <c r="BP639" s="12">
        <v>0</v>
      </c>
      <c r="BQ639" s="12">
        <v>0</v>
      </c>
      <c r="BR639" s="12">
        <v>0</v>
      </c>
      <c r="BS639" s="12">
        <v>0</v>
      </c>
      <c r="BT639" s="12">
        <v>0</v>
      </c>
      <c r="BU639" s="47">
        <v>0</v>
      </c>
      <c r="BV639" s="47"/>
      <c r="BW639" s="47"/>
    </row>
    <row r="640" spans="3:75" ht="20.100000000000001" customHeight="1">
      <c r="C640" s="12">
        <v>61022201</v>
      </c>
      <c r="D640" s="13" t="s">
        <v>1588</v>
      </c>
      <c r="E640" s="13" t="s">
        <v>1589</v>
      </c>
      <c r="F640" s="12">
        <v>0</v>
      </c>
      <c r="G640" s="12">
        <v>61022201</v>
      </c>
      <c r="H640" s="12">
        <f>C641</f>
        <v>61022202</v>
      </c>
      <c r="I640" s="12">
        <v>0</v>
      </c>
      <c r="J640" s="12">
        <v>25</v>
      </c>
      <c r="K640" s="12">
        <v>5</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1" t="s">
        <v>1590</v>
      </c>
      <c r="AU640" s="12" t="s">
        <v>198</v>
      </c>
      <c r="AV640" s="12"/>
      <c r="AW640" s="13" t="s">
        <v>199</v>
      </c>
      <c r="AX640" s="12" t="s">
        <v>1408</v>
      </c>
      <c r="AY640" s="12">
        <v>0</v>
      </c>
      <c r="AZ640" s="12">
        <v>21020020</v>
      </c>
      <c r="BA640" s="13" t="s">
        <v>200</v>
      </c>
      <c r="BB640" s="13">
        <v>0</v>
      </c>
      <c r="BC640" s="12">
        <v>0</v>
      </c>
      <c r="BD640" s="12">
        <v>0</v>
      </c>
      <c r="BE640" s="184" t="s">
        <v>1591</v>
      </c>
      <c r="BF640" s="184" t="s">
        <v>1592</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61022202</v>
      </c>
      <c r="D641" s="13" t="s">
        <v>1588</v>
      </c>
      <c r="E641" s="13" t="s">
        <v>1589</v>
      </c>
      <c r="F641" s="12">
        <v>1</v>
      </c>
      <c r="G641" s="12">
        <v>61022201</v>
      </c>
      <c r="H641" s="12">
        <f t="shared" ref="H641:H642" si="34">C642</f>
        <v>61022203</v>
      </c>
      <c r="I641" s="12">
        <v>0</v>
      </c>
      <c r="J641" s="12">
        <v>32</v>
      </c>
      <c r="K641" s="12">
        <v>2</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1" t="s">
        <v>1590</v>
      </c>
      <c r="AU641" s="12" t="s">
        <v>198</v>
      </c>
      <c r="AV641" s="12"/>
      <c r="AW641" s="13" t="s">
        <v>199</v>
      </c>
      <c r="AX641" s="12" t="s">
        <v>1408</v>
      </c>
      <c r="AY641" s="12">
        <v>0</v>
      </c>
      <c r="AZ641" s="12">
        <v>21020020</v>
      </c>
      <c r="BA641" s="13" t="s">
        <v>200</v>
      </c>
      <c r="BB641" s="13">
        <v>0</v>
      </c>
      <c r="BC641" s="12">
        <v>0</v>
      </c>
      <c r="BD641" s="12">
        <v>0</v>
      </c>
      <c r="BE641" s="184" t="s">
        <v>1591</v>
      </c>
      <c r="BF641" s="184" t="s">
        <v>1592</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61022203</v>
      </c>
      <c r="D642" s="13" t="s">
        <v>1588</v>
      </c>
      <c r="E642" s="13" t="s">
        <v>1589</v>
      </c>
      <c r="F642" s="12">
        <v>2</v>
      </c>
      <c r="G642" s="12">
        <v>61022201</v>
      </c>
      <c r="H642" s="12">
        <f t="shared" si="34"/>
        <v>61022204</v>
      </c>
      <c r="I642" s="12">
        <v>0</v>
      </c>
      <c r="J642" s="12">
        <v>37</v>
      </c>
      <c r="K642" s="12">
        <v>2</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1" t="s">
        <v>1593</v>
      </c>
      <c r="AU642" s="12" t="s">
        <v>198</v>
      </c>
      <c r="AV642" s="12"/>
      <c r="AW642" s="13" t="s">
        <v>199</v>
      </c>
      <c r="AX642" s="12" t="s">
        <v>1408</v>
      </c>
      <c r="AY642" s="12">
        <v>0</v>
      </c>
      <c r="AZ642" s="12">
        <v>21020020</v>
      </c>
      <c r="BA642" s="13" t="s">
        <v>200</v>
      </c>
      <c r="BB642" s="13">
        <v>0</v>
      </c>
      <c r="BC642" s="12">
        <v>0</v>
      </c>
      <c r="BD642" s="12">
        <v>0</v>
      </c>
      <c r="BE642" s="184" t="s">
        <v>1594</v>
      </c>
      <c r="BF642" s="184" t="s">
        <v>1595</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2">
        <v>61022204</v>
      </c>
      <c r="D643" s="13" t="s">
        <v>1588</v>
      </c>
      <c r="E643" s="13" t="s">
        <v>1589</v>
      </c>
      <c r="F643" s="12">
        <v>3</v>
      </c>
      <c r="G643" s="12">
        <v>61022201</v>
      </c>
      <c r="H643" s="12">
        <v>0</v>
      </c>
      <c r="I643" s="12">
        <v>0</v>
      </c>
      <c r="J643" s="12">
        <v>0</v>
      </c>
      <c r="K643" s="12">
        <v>0</v>
      </c>
      <c r="L643" s="12">
        <v>0</v>
      </c>
      <c r="M643" s="12">
        <v>0</v>
      </c>
      <c r="N643" s="12">
        <v>0</v>
      </c>
      <c r="O643" s="12">
        <v>1</v>
      </c>
      <c r="P643" s="12">
        <v>0</v>
      </c>
      <c r="Q643" s="12">
        <v>0</v>
      </c>
      <c r="R643" s="12">
        <v>0</v>
      </c>
      <c r="S643" s="12">
        <v>0</v>
      </c>
      <c r="T643" s="12">
        <v>0</v>
      </c>
      <c r="U643" s="12">
        <v>1</v>
      </c>
      <c r="V643" s="12">
        <v>2</v>
      </c>
      <c r="W643" s="12">
        <v>0</v>
      </c>
      <c r="X643" s="12">
        <v>0</v>
      </c>
      <c r="Y643" s="12">
        <v>0</v>
      </c>
      <c r="Z643" s="12">
        <v>0</v>
      </c>
      <c r="AA643" s="12">
        <v>0</v>
      </c>
      <c r="AB643" s="12">
        <v>0</v>
      </c>
      <c r="AC643" s="12">
        <v>0</v>
      </c>
      <c r="AD643" s="12">
        <v>0</v>
      </c>
      <c r="AE643" s="12">
        <v>0</v>
      </c>
      <c r="AF643" s="12">
        <v>30</v>
      </c>
      <c r="AG643" s="12">
        <v>0</v>
      </c>
      <c r="AH643" s="12">
        <v>0</v>
      </c>
      <c r="AI643" s="12">
        <v>0</v>
      </c>
      <c r="AJ643" s="12">
        <v>0</v>
      </c>
      <c r="AK643" s="12">
        <v>0</v>
      </c>
      <c r="AL643" s="12">
        <v>0</v>
      </c>
      <c r="AM643" s="12">
        <v>0</v>
      </c>
      <c r="AN643" s="12">
        <v>0</v>
      </c>
      <c r="AO643" s="12">
        <v>0</v>
      </c>
      <c r="AP643" s="12">
        <v>0.2</v>
      </c>
      <c r="AQ643" s="12">
        <v>3000</v>
      </c>
      <c r="AR643" s="12">
        <v>0.5</v>
      </c>
      <c r="AS643" s="12">
        <v>0</v>
      </c>
      <c r="AT643" s="341" t="s">
        <v>1596</v>
      </c>
      <c r="AU643" s="12" t="s">
        <v>198</v>
      </c>
      <c r="AV643" s="12"/>
      <c r="AW643" s="13" t="s">
        <v>199</v>
      </c>
      <c r="AX643" s="12" t="s">
        <v>1408</v>
      </c>
      <c r="AY643" s="12">
        <v>0</v>
      </c>
      <c r="AZ643" s="12">
        <v>21020020</v>
      </c>
      <c r="BA643" s="13" t="s">
        <v>200</v>
      </c>
      <c r="BB643" s="13">
        <v>0</v>
      </c>
      <c r="BC643" s="12">
        <v>0</v>
      </c>
      <c r="BD643" s="12">
        <v>0</v>
      </c>
      <c r="BE643" s="184" t="s">
        <v>1597</v>
      </c>
      <c r="BF643" s="184" t="s">
        <v>1598</v>
      </c>
      <c r="BG643" s="12">
        <v>0</v>
      </c>
      <c r="BH643" s="12">
        <v>0</v>
      </c>
      <c r="BI643" s="12">
        <v>0</v>
      </c>
      <c r="BJ643" s="12">
        <v>0</v>
      </c>
      <c r="BK643" s="12">
        <v>0</v>
      </c>
      <c r="BL643" s="12">
        <v>0</v>
      </c>
      <c r="BM643" s="185">
        <v>0</v>
      </c>
      <c r="BN643" s="12">
        <v>1</v>
      </c>
      <c r="BO643" s="12">
        <v>0</v>
      </c>
      <c r="BP643" s="12">
        <v>0</v>
      </c>
      <c r="BQ643" s="12">
        <v>0</v>
      </c>
      <c r="BR643" s="12">
        <v>0</v>
      </c>
      <c r="BS643" s="12">
        <v>0</v>
      </c>
      <c r="BT643" s="12">
        <v>0</v>
      </c>
      <c r="BU643" s="47">
        <v>0</v>
      </c>
      <c r="BV643" s="47"/>
      <c r="BW643" s="47"/>
    </row>
    <row r="644" spans="3:75" ht="20.100000000000001" customHeight="1">
      <c r="C644" s="12">
        <v>61022205</v>
      </c>
      <c r="D644" s="13" t="s">
        <v>1588</v>
      </c>
      <c r="E644" s="13" t="s">
        <v>1589</v>
      </c>
      <c r="F644" s="12">
        <v>4</v>
      </c>
      <c r="G644" s="12">
        <v>61022201</v>
      </c>
      <c r="H644" s="12">
        <v>0</v>
      </c>
      <c r="I644" s="12">
        <v>0</v>
      </c>
      <c r="J644" s="12">
        <v>0</v>
      </c>
      <c r="K644" s="12">
        <v>0</v>
      </c>
      <c r="L644" s="12">
        <v>0</v>
      </c>
      <c r="M644" s="12">
        <v>0</v>
      </c>
      <c r="N644" s="12">
        <v>0</v>
      </c>
      <c r="O644" s="12">
        <v>1</v>
      </c>
      <c r="P644" s="12">
        <v>0</v>
      </c>
      <c r="Q644" s="12">
        <v>0</v>
      </c>
      <c r="R644" s="12">
        <v>0</v>
      </c>
      <c r="S644" s="12">
        <v>0</v>
      </c>
      <c r="T644" s="12">
        <v>0</v>
      </c>
      <c r="U644" s="12">
        <v>1</v>
      </c>
      <c r="V644" s="12">
        <v>2</v>
      </c>
      <c r="W644" s="12">
        <v>0</v>
      </c>
      <c r="X644" s="12">
        <v>0</v>
      </c>
      <c r="Y644" s="12">
        <v>0</v>
      </c>
      <c r="Z644" s="12">
        <v>0</v>
      </c>
      <c r="AA644" s="12">
        <v>0</v>
      </c>
      <c r="AB644" s="12">
        <v>0</v>
      </c>
      <c r="AC644" s="12">
        <v>0</v>
      </c>
      <c r="AD644" s="12">
        <v>0</v>
      </c>
      <c r="AE644" s="12">
        <v>0</v>
      </c>
      <c r="AF644" s="12">
        <v>30</v>
      </c>
      <c r="AG644" s="12">
        <v>0</v>
      </c>
      <c r="AH644" s="12">
        <v>0</v>
      </c>
      <c r="AI644" s="12">
        <v>0</v>
      </c>
      <c r="AJ644" s="12">
        <v>0</v>
      </c>
      <c r="AK644" s="12">
        <v>0</v>
      </c>
      <c r="AL644" s="12">
        <v>0</v>
      </c>
      <c r="AM644" s="12">
        <v>0</v>
      </c>
      <c r="AN644" s="12">
        <v>0</v>
      </c>
      <c r="AO644" s="12">
        <v>0</v>
      </c>
      <c r="AP644" s="12">
        <v>0.2</v>
      </c>
      <c r="AQ644" s="12">
        <v>3000</v>
      </c>
      <c r="AR644" s="12">
        <v>0.5</v>
      </c>
      <c r="AS644" s="12">
        <v>0</v>
      </c>
      <c r="AT644" s="341" t="s">
        <v>1599</v>
      </c>
      <c r="AU644" s="12" t="s">
        <v>198</v>
      </c>
      <c r="AV644" s="12"/>
      <c r="AW644" s="13" t="s">
        <v>199</v>
      </c>
      <c r="AX644" s="12" t="s">
        <v>1408</v>
      </c>
      <c r="AY644" s="12">
        <v>0</v>
      </c>
      <c r="AZ644" s="12">
        <v>21020020</v>
      </c>
      <c r="BA644" s="13" t="s">
        <v>200</v>
      </c>
      <c r="BB644" s="13">
        <v>0</v>
      </c>
      <c r="BC644" s="12">
        <v>0</v>
      </c>
      <c r="BD644" s="12">
        <v>0</v>
      </c>
      <c r="BE644" s="184" t="s">
        <v>1600</v>
      </c>
      <c r="BF644" s="184" t="s">
        <v>1601</v>
      </c>
      <c r="BG644" s="12">
        <v>0</v>
      </c>
      <c r="BH644" s="12">
        <v>0</v>
      </c>
      <c r="BI644" s="12">
        <v>0</v>
      </c>
      <c r="BJ644" s="12">
        <v>0</v>
      </c>
      <c r="BK644" s="12">
        <v>0</v>
      </c>
      <c r="BL644" s="12">
        <v>0</v>
      </c>
      <c r="BM644" s="185">
        <v>0</v>
      </c>
      <c r="BN644" s="12">
        <v>1</v>
      </c>
      <c r="BO644" s="12">
        <v>0</v>
      </c>
      <c r="BP644" s="12">
        <v>0</v>
      </c>
      <c r="BQ644" s="12">
        <v>0</v>
      </c>
      <c r="BR644" s="12">
        <v>0</v>
      </c>
      <c r="BS644" s="12">
        <v>0</v>
      </c>
      <c r="BT644" s="12">
        <v>0</v>
      </c>
      <c r="BU644" s="47">
        <v>0</v>
      </c>
      <c r="BV644" s="47"/>
      <c r="BW644" s="47"/>
    </row>
    <row r="645" spans="3:75" ht="20.100000000000001" customHeight="1">
      <c r="C645" s="12">
        <v>61022206</v>
      </c>
      <c r="D645" s="13" t="s">
        <v>1588</v>
      </c>
      <c r="E645" s="13" t="s">
        <v>1589</v>
      </c>
      <c r="F645" s="12">
        <v>5</v>
      </c>
      <c r="G645" s="12">
        <v>61022201</v>
      </c>
      <c r="H645" s="12">
        <v>0</v>
      </c>
      <c r="I645" s="12">
        <v>0</v>
      </c>
      <c r="J645" s="12">
        <v>0</v>
      </c>
      <c r="K645" s="12">
        <v>0</v>
      </c>
      <c r="L645" s="12">
        <v>0</v>
      </c>
      <c r="M645" s="12">
        <v>0</v>
      </c>
      <c r="N645" s="12">
        <v>0</v>
      </c>
      <c r="O645" s="12">
        <v>1</v>
      </c>
      <c r="P645" s="12">
        <v>0</v>
      </c>
      <c r="Q645" s="12">
        <v>0</v>
      </c>
      <c r="R645" s="12">
        <v>0</v>
      </c>
      <c r="S645" s="12">
        <v>0</v>
      </c>
      <c r="T645" s="12">
        <v>0</v>
      </c>
      <c r="U645" s="12">
        <v>1</v>
      </c>
      <c r="V645" s="12">
        <v>2</v>
      </c>
      <c r="W645" s="12">
        <v>0</v>
      </c>
      <c r="X645" s="12">
        <v>0</v>
      </c>
      <c r="Y645" s="12">
        <v>0</v>
      </c>
      <c r="Z645" s="12">
        <v>0</v>
      </c>
      <c r="AA645" s="12">
        <v>0</v>
      </c>
      <c r="AB645" s="12">
        <v>0</v>
      </c>
      <c r="AC645" s="12">
        <v>0</v>
      </c>
      <c r="AD645" s="12">
        <v>0</v>
      </c>
      <c r="AE645" s="12">
        <v>0</v>
      </c>
      <c r="AF645" s="12">
        <v>30</v>
      </c>
      <c r="AG645" s="12">
        <v>0</v>
      </c>
      <c r="AH645" s="12">
        <v>0</v>
      </c>
      <c r="AI645" s="12">
        <v>0</v>
      </c>
      <c r="AJ645" s="12">
        <v>0</v>
      </c>
      <c r="AK645" s="12">
        <v>0</v>
      </c>
      <c r="AL645" s="12">
        <v>0</v>
      </c>
      <c r="AM645" s="12">
        <v>0</v>
      </c>
      <c r="AN645" s="12">
        <v>0</v>
      </c>
      <c r="AO645" s="12">
        <v>0</v>
      </c>
      <c r="AP645" s="12">
        <v>0.2</v>
      </c>
      <c r="AQ645" s="12">
        <v>3000</v>
      </c>
      <c r="AR645" s="12">
        <v>0.5</v>
      </c>
      <c r="AS645" s="12">
        <v>0</v>
      </c>
      <c r="AT645" s="341" t="s">
        <v>1602</v>
      </c>
      <c r="AU645" s="12" t="s">
        <v>198</v>
      </c>
      <c r="AV645" s="12"/>
      <c r="AW645" s="13" t="s">
        <v>199</v>
      </c>
      <c r="AX645" s="12" t="s">
        <v>1408</v>
      </c>
      <c r="AY645" s="12">
        <v>0</v>
      </c>
      <c r="AZ645" s="12">
        <v>21020020</v>
      </c>
      <c r="BA645" s="13" t="s">
        <v>200</v>
      </c>
      <c r="BB645" s="13">
        <v>0</v>
      </c>
      <c r="BC645" s="12">
        <v>0</v>
      </c>
      <c r="BD645" s="12">
        <v>0</v>
      </c>
      <c r="BE645" s="184" t="s">
        <v>1603</v>
      </c>
      <c r="BF645" s="184" t="s">
        <v>1604</v>
      </c>
      <c r="BG645" s="12">
        <v>0</v>
      </c>
      <c r="BH645" s="12">
        <v>0</v>
      </c>
      <c r="BI645" s="12">
        <v>0</v>
      </c>
      <c r="BJ645" s="12">
        <v>0</v>
      </c>
      <c r="BK645" s="12">
        <v>0</v>
      </c>
      <c r="BL645" s="12">
        <v>0</v>
      </c>
      <c r="BM645" s="185">
        <v>0</v>
      </c>
      <c r="BN645" s="12">
        <v>1</v>
      </c>
      <c r="BO645" s="12">
        <v>0</v>
      </c>
      <c r="BP645" s="12">
        <v>0</v>
      </c>
      <c r="BQ645" s="12">
        <v>0</v>
      </c>
      <c r="BR645" s="12">
        <v>0</v>
      </c>
      <c r="BS645" s="12">
        <v>0</v>
      </c>
      <c r="BT645" s="12">
        <v>0</v>
      </c>
      <c r="BU645" s="47">
        <v>0</v>
      </c>
      <c r="BV645" s="47"/>
      <c r="BW645" s="47"/>
    </row>
    <row r="646" spans="3:75" ht="20.100000000000001" customHeight="1">
      <c r="C646" s="18">
        <v>61022211</v>
      </c>
      <c r="D646" s="19" t="s">
        <v>1605</v>
      </c>
      <c r="E646" s="19" t="s">
        <v>1606</v>
      </c>
      <c r="F646" s="18">
        <v>1</v>
      </c>
      <c r="G646" s="15">
        <v>0</v>
      </c>
      <c r="H646" s="18">
        <v>0</v>
      </c>
      <c r="I646" s="27">
        <v>0</v>
      </c>
      <c r="J646" s="18">
        <v>1</v>
      </c>
      <c r="K646" s="18">
        <v>0</v>
      </c>
      <c r="L646" s="18">
        <v>0</v>
      </c>
      <c r="M646" s="18">
        <v>0</v>
      </c>
      <c r="N646" s="18">
        <v>0</v>
      </c>
      <c r="O646" s="18">
        <v>2</v>
      </c>
      <c r="P646" s="18">
        <v>1</v>
      </c>
      <c r="Q646" s="18">
        <v>0.2</v>
      </c>
      <c r="R646" s="18">
        <v>0</v>
      </c>
      <c r="S646" s="12">
        <v>0</v>
      </c>
      <c r="T646" s="27">
        <v>0</v>
      </c>
      <c r="U646" s="16">
        <v>1</v>
      </c>
      <c r="V646" s="18">
        <v>1</v>
      </c>
      <c r="W646" s="18">
        <v>0</v>
      </c>
      <c r="X646" s="18">
        <v>2.5</v>
      </c>
      <c r="Y646" s="12">
        <v>0</v>
      </c>
      <c r="Z646" s="18">
        <v>0</v>
      </c>
      <c r="AA646" s="18">
        <v>0</v>
      </c>
      <c r="AB646" s="18">
        <v>0</v>
      </c>
      <c r="AC646" s="18">
        <v>0</v>
      </c>
      <c r="AD646" s="18">
        <v>1</v>
      </c>
      <c r="AE646" s="18">
        <v>0</v>
      </c>
      <c r="AF646" s="18">
        <v>5</v>
      </c>
      <c r="AG646" s="18">
        <v>1</v>
      </c>
      <c r="AH646" s="18">
        <v>3</v>
      </c>
      <c r="AI646" s="12">
        <v>2</v>
      </c>
      <c r="AJ646" s="12">
        <v>1</v>
      </c>
      <c r="AK646" s="12">
        <v>0</v>
      </c>
      <c r="AL646" s="12">
        <v>6</v>
      </c>
      <c r="AM646" s="18">
        <v>0</v>
      </c>
      <c r="AN646" s="18">
        <v>0</v>
      </c>
      <c r="AO646" s="18">
        <v>0</v>
      </c>
      <c r="AP646" s="18">
        <v>0</v>
      </c>
      <c r="AQ646" s="18">
        <v>5000</v>
      </c>
      <c r="AR646" s="18">
        <v>0.2</v>
      </c>
      <c r="AS646" s="18">
        <v>0</v>
      </c>
      <c r="AT646" s="186">
        <v>0</v>
      </c>
      <c r="AU646" s="349" t="s">
        <v>1607</v>
      </c>
      <c r="AV646" s="18"/>
      <c r="AW646" s="19" t="s">
        <v>198</v>
      </c>
      <c r="AX646" s="18" t="s">
        <v>1608</v>
      </c>
      <c r="AY646" s="18">
        <v>10000006</v>
      </c>
      <c r="AZ646" s="26">
        <v>60000004</v>
      </c>
      <c r="BA646" s="19" t="s">
        <v>1609</v>
      </c>
      <c r="BB646" s="19" t="s">
        <v>198</v>
      </c>
      <c r="BC646" s="27">
        <v>0</v>
      </c>
      <c r="BD646" s="27">
        <v>0</v>
      </c>
      <c r="BE646" s="87"/>
      <c r="BF646" s="87"/>
      <c r="BG646" s="18">
        <v>0</v>
      </c>
      <c r="BH646" s="16">
        <v>0</v>
      </c>
      <c r="BI646" s="18">
        <v>0</v>
      </c>
      <c r="BJ646" s="18">
        <v>0</v>
      </c>
      <c r="BK646" s="18">
        <v>0</v>
      </c>
      <c r="BL646" s="18">
        <v>0</v>
      </c>
      <c r="BM646" s="15">
        <v>0</v>
      </c>
      <c r="BN646" s="12">
        <v>1</v>
      </c>
      <c r="BO646" s="12">
        <v>0</v>
      </c>
      <c r="BP646" s="12">
        <v>0</v>
      </c>
      <c r="BQ646" s="12">
        <v>0</v>
      </c>
      <c r="BR646" s="12">
        <v>0</v>
      </c>
      <c r="BS646" s="12">
        <v>0</v>
      </c>
      <c r="BT646" s="12">
        <v>0</v>
      </c>
      <c r="BU646" s="47">
        <v>0</v>
      </c>
      <c r="BV646" s="47"/>
      <c r="BW646" s="47"/>
    </row>
    <row r="647" spans="3:75" ht="19.5" customHeight="1">
      <c r="C647" s="18">
        <v>61022301</v>
      </c>
      <c r="D647" s="19" t="s">
        <v>1610</v>
      </c>
      <c r="E647" s="19" t="s">
        <v>1611</v>
      </c>
      <c r="F647" s="16">
        <v>0</v>
      </c>
      <c r="G647" s="18">
        <v>61022301</v>
      </c>
      <c r="H647" s="18">
        <f>C648</f>
        <v>61022302</v>
      </c>
      <c r="I647" s="27">
        <v>0</v>
      </c>
      <c r="J647" s="16">
        <v>30</v>
      </c>
      <c r="K647" s="18">
        <v>5</v>
      </c>
      <c r="L647" s="16">
        <v>0</v>
      </c>
      <c r="M647" s="18">
        <v>0</v>
      </c>
      <c r="N647" s="18">
        <v>0</v>
      </c>
      <c r="O647" s="18">
        <v>1</v>
      </c>
      <c r="P647" s="18">
        <v>0</v>
      </c>
      <c r="Q647" s="18">
        <v>0</v>
      </c>
      <c r="R647" s="18">
        <v>0</v>
      </c>
      <c r="S647" s="12">
        <v>0</v>
      </c>
      <c r="T647" s="27">
        <v>0</v>
      </c>
      <c r="U647" s="16">
        <v>1</v>
      </c>
      <c r="V647" s="18">
        <v>2</v>
      </c>
      <c r="W647" s="18">
        <v>0</v>
      </c>
      <c r="X647" s="18">
        <v>1.1000000000000001</v>
      </c>
      <c r="Y647" s="12">
        <v>0</v>
      </c>
      <c r="Z647" s="18">
        <v>500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"立即对目标范围内的怪物每秒多次造成"&amp;X647*100&amp;"%攻击伤害+"&amp;Z647&amp;"点固定伤害,并使目标眩晕,持续2秒"</f>
        <v>立即对目标范围内的怪物每秒多次造成110%攻击伤害+500点固定伤害,并使目标眩晕,持续2秒</v>
      </c>
      <c r="BF647" s="183" t="s">
        <v>1616</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61022302</v>
      </c>
      <c r="D648" s="19" t="s">
        <v>1610</v>
      </c>
      <c r="E648" s="19" t="s">
        <v>1611</v>
      </c>
      <c r="F648" s="16">
        <v>1</v>
      </c>
      <c r="G648" s="18">
        <v>61022301</v>
      </c>
      <c r="H648" s="18">
        <f t="shared" ref="H648:H649" si="35">C649</f>
        <v>61022303</v>
      </c>
      <c r="I648" s="27">
        <v>0</v>
      </c>
      <c r="J648" s="16">
        <v>37</v>
      </c>
      <c r="K648" s="18">
        <v>2</v>
      </c>
      <c r="L648" s="16">
        <v>0</v>
      </c>
      <c r="M648" s="18">
        <v>0</v>
      </c>
      <c r="N648" s="18">
        <v>0</v>
      </c>
      <c r="O648" s="18">
        <v>1</v>
      </c>
      <c r="P648" s="18">
        <v>0</v>
      </c>
      <c r="Q648" s="18">
        <v>0</v>
      </c>
      <c r="R648" s="18">
        <v>0</v>
      </c>
      <c r="S648" s="12">
        <v>0</v>
      </c>
      <c r="T648" s="27">
        <v>0</v>
      </c>
      <c r="U648" s="16">
        <v>1</v>
      </c>
      <c r="V648" s="18">
        <v>2</v>
      </c>
      <c r="W648" s="18">
        <v>0</v>
      </c>
      <c r="X648" s="18">
        <v>1.1000000000000001</v>
      </c>
      <c r="Y648" s="12">
        <v>0</v>
      </c>
      <c r="Z648" s="18">
        <v>500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ref="BE648:BE652" si="36">"立即对目标范围内的怪物每秒多次造成"&amp;X648*100&amp;"%攻击伤害+"&amp;Z648&amp;"点固定伤害,并使目标眩晕,持续2秒"</f>
        <v>立即对目标范围内的怪物每秒多次造成110%攻击伤害+500点固定伤害,并使目标眩晕,持续2秒</v>
      </c>
      <c r="BF648" s="183" t="s">
        <v>1616</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61022303</v>
      </c>
      <c r="D649" s="19" t="s">
        <v>1610</v>
      </c>
      <c r="E649" s="19" t="s">
        <v>1611</v>
      </c>
      <c r="F649" s="16">
        <v>2</v>
      </c>
      <c r="G649" s="18">
        <v>61022301</v>
      </c>
      <c r="H649" s="18">
        <f t="shared" si="35"/>
        <v>61022304</v>
      </c>
      <c r="I649" s="27">
        <v>0</v>
      </c>
      <c r="J649" s="16">
        <v>42</v>
      </c>
      <c r="K649" s="18">
        <v>2</v>
      </c>
      <c r="L649" s="16">
        <v>0</v>
      </c>
      <c r="M649" s="18">
        <v>0</v>
      </c>
      <c r="N649" s="18">
        <v>0</v>
      </c>
      <c r="O649" s="18">
        <v>1</v>
      </c>
      <c r="P649" s="18">
        <v>0</v>
      </c>
      <c r="Q649" s="18">
        <v>0</v>
      </c>
      <c r="R649" s="18">
        <v>0</v>
      </c>
      <c r="S649" s="12">
        <v>0</v>
      </c>
      <c r="T649" s="27">
        <v>0</v>
      </c>
      <c r="U649" s="16">
        <v>1</v>
      </c>
      <c r="V649" s="18">
        <v>2</v>
      </c>
      <c r="W649" s="18">
        <v>0</v>
      </c>
      <c r="X649" s="18">
        <v>1.2</v>
      </c>
      <c r="Y649" s="12">
        <v>0</v>
      </c>
      <c r="Z649" s="18">
        <v>800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立即对目标范围内的怪物每秒多次造成120%攻击伤害+800点固定伤害,并使目标眩晕,持续2秒</v>
      </c>
      <c r="BF649" s="183" t="s">
        <v>1617</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20.100000000000001" customHeight="1">
      <c r="C650" s="18">
        <v>61022304</v>
      </c>
      <c r="D650" s="19" t="s">
        <v>1610</v>
      </c>
      <c r="E650" s="19" t="s">
        <v>1611</v>
      </c>
      <c r="F650" s="16">
        <v>3</v>
      </c>
      <c r="G650" s="18">
        <v>61022301</v>
      </c>
      <c r="H650" s="16">
        <v>0</v>
      </c>
      <c r="I650" s="27">
        <v>0</v>
      </c>
      <c r="J650" s="18">
        <v>0</v>
      </c>
      <c r="K650" s="18">
        <v>0</v>
      </c>
      <c r="L650" s="16">
        <v>0</v>
      </c>
      <c r="M650" s="18">
        <v>0</v>
      </c>
      <c r="N650" s="18">
        <v>0</v>
      </c>
      <c r="O650" s="18">
        <v>1</v>
      </c>
      <c r="P650" s="18">
        <v>0</v>
      </c>
      <c r="Q650" s="18">
        <v>0</v>
      </c>
      <c r="R650" s="18">
        <v>0</v>
      </c>
      <c r="S650" s="12">
        <v>0</v>
      </c>
      <c r="T650" s="27">
        <v>0</v>
      </c>
      <c r="U650" s="16">
        <v>1</v>
      </c>
      <c r="V650" s="18">
        <v>2</v>
      </c>
      <c r="W650" s="18">
        <v>0</v>
      </c>
      <c r="X650" s="18">
        <v>1.3</v>
      </c>
      <c r="Y650" s="12">
        <v>0</v>
      </c>
      <c r="Z650" s="18">
        <v>1150</v>
      </c>
      <c r="AA650" s="18">
        <v>1</v>
      </c>
      <c r="AB650" s="18">
        <v>0</v>
      </c>
      <c r="AC650" s="18">
        <v>0</v>
      </c>
      <c r="AD650" s="18">
        <v>0</v>
      </c>
      <c r="AE650" s="18">
        <v>0</v>
      </c>
      <c r="AF650" s="18">
        <v>12</v>
      </c>
      <c r="AG650" s="18">
        <v>2</v>
      </c>
      <c r="AH650" s="18" t="s">
        <v>1612</v>
      </c>
      <c r="AI650" s="12">
        <v>2</v>
      </c>
      <c r="AJ650" s="12">
        <v>4</v>
      </c>
      <c r="AK650" s="12">
        <v>0</v>
      </c>
      <c r="AL650" s="12">
        <v>2</v>
      </c>
      <c r="AM650" s="18">
        <v>0</v>
      </c>
      <c r="AN650" s="18">
        <v>0</v>
      </c>
      <c r="AO650" s="18">
        <v>0</v>
      </c>
      <c r="AP650" s="18">
        <v>2.1</v>
      </c>
      <c r="AQ650" s="18">
        <v>2000</v>
      </c>
      <c r="AR650" s="18">
        <v>0.5</v>
      </c>
      <c r="AS650" s="18">
        <v>0</v>
      </c>
      <c r="AT650" s="12">
        <v>0</v>
      </c>
      <c r="AU650" s="18">
        <v>90001021</v>
      </c>
      <c r="AV650" s="18"/>
      <c r="AW650" s="17" t="s">
        <v>1613</v>
      </c>
      <c r="AX650" s="18" t="s">
        <v>1614</v>
      </c>
      <c r="AY650" s="18">
        <v>10001006</v>
      </c>
      <c r="AZ650" s="18">
        <v>21020030</v>
      </c>
      <c r="BA650" s="19" t="s">
        <v>315</v>
      </c>
      <c r="BB650" s="19" t="s">
        <v>1615</v>
      </c>
      <c r="BC650" s="27">
        <v>0</v>
      </c>
      <c r="BD650" s="27">
        <v>0</v>
      </c>
      <c r="BE650" s="183" t="str">
        <f t="shared" si="36"/>
        <v>立即对目标范围内的怪物每秒多次造成130%攻击伤害+1150点固定伤害,并使目标眩晕,持续2秒</v>
      </c>
      <c r="BF650" s="183" t="s">
        <v>1618</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20.100000000000001" customHeight="1">
      <c r="C651" s="18">
        <v>61022305</v>
      </c>
      <c r="D651" s="19" t="s">
        <v>1610</v>
      </c>
      <c r="E651" s="19" t="s">
        <v>1611</v>
      </c>
      <c r="F651" s="16">
        <v>4</v>
      </c>
      <c r="G651" s="18">
        <v>61022301</v>
      </c>
      <c r="H651" s="16">
        <v>0</v>
      </c>
      <c r="I651" s="27">
        <v>0</v>
      </c>
      <c r="J651" s="18">
        <v>0</v>
      </c>
      <c r="K651" s="18">
        <v>0</v>
      </c>
      <c r="L651" s="16">
        <v>0</v>
      </c>
      <c r="M651" s="18">
        <v>0</v>
      </c>
      <c r="N651" s="18">
        <v>0</v>
      </c>
      <c r="O651" s="18">
        <v>1</v>
      </c>
      <c r="P651" s="18">
        <v>0</v>
      </c>
      <c r="Q651" s="18">
        <v>0</v>
      </c>
      <c r="R651" s="18">
        <v>0</v>
      </c>
      <c r="S651" s="12">
        <v>0</v>
      </c>
      <c r="T651" s="27">
        <v>0</v>
      </c>
      <c r="U651" s="16">
        <v>1</v>
      </c>
      <c r="V651" s="18">
        <v>2</v>
      </c>
      <c r="W651" s="18">
        <v>0</v>
      </c>
      <c r="X651" s="18">
        <v>1.4</v>
      </c>
      <c r="Y651" s="12">
        <v>0</v>
      </c>
      <c r="Z651" s="18">
        <v>1550</v>
      </c>
      <c r="AA651" s="18">
        <v>1</v>
      </c>
      <c r="AB651" s="18">
        <v>0</v>
      </c>
      <c r="AC651" s="18">
        <v>0</v>
      </c>
      <c r="AD651" s="18">
        <v>0</v>
      </c>
      <c r="AE651" s="18">
        <v>0</v>
      </c>
      <c r="AF651" s="18">
        <v>12</v>
      </c>
      <c r="AG651" s="18">
        <v>2</v>
      </c>
      <c r="AH651" s="18" t="s">
        <v>1612</v>
      </c>
      <c r="AI651" s="12">
        <v>2</v>
      </c>
      <c r="AJ651" s="12">
        <v>4</v>
      </c>
      <c r="AK651" s="12">
        <v>0</v>
      </c>
      <c r="AL651" s="12">
        <v>2</v>
      </c>
      <c r="AM651" s="18">
        <v>0</v>
      </c>
      <c r="AN651" s="18">
        <v>0</v>
      </c>
      <c r="AO651" s="18">
        <v>0</v>
      </c>
      <c r="AP651" s="18">
        <v>2.1</v>
      </c>
      <c r="AQ651" s="18">
        <v>2000</v>
      </c>
      <c r="AR651" s="18">
        <v>0.5</v>
      </c>
      <c r="AS651" s="18">
        <v>0</v>
      </c>
      <c r="AT651" s="12">
        <v>0</v>
      </c>
      <c r="AU651" s="18">
        <v>90001021</v>
      </c>
      <c r="AV651" s="18"/>
      <c r="AW651" s="17" t="s">
        <v>1613</v>
      </c>
      <c r="AX651" s="18" t="s">
        <v>1614</v>
      </c>
      <c r="AY651" s="18">
        <v>10001006</v>
      </c>
      <c r="AZ651" s="18">
        <v>21020030</v>
      </c>
      <c r="BA651" s="19" t="s">
        <v>315</v>
      </c>
      <c r="BB651" s="19" t="s">
        <v>1615</v>
      </c>
      <c r="BC651" s="27">
        <v>0</v>
      </c>
      <c r="BD651" s="27">
        <v>0</v>
      </c>
      <c r="BE651" s="183" t="str">
        <f t="shared" si="36"/>
        <v>立即对目标范围内的怪物每秒多次造成140%攻击伤害+1550点固定伤害,并使目标眩晕,持续2秒</v>
      </c>
      <c r="BF651" s="183" t="s">
        <v>1619</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20.100000000000001" customHeight="1">
      <c r="C652" s="18">
        <v>61022306</v>
      </c>
      <c r="D652" s="19" t="s">
        <v>1610</v>
      </c>
      <c r="E652" s="19" t="s">
        <v>1611</v>
      </c>
      <c r="F652" s="16">
        <v>5</v>
      </c>
      <c r="G652" s="18">
        <v>61022301</v>
      </c>
      <c r="H652" s="16">
        <v>0</v>
      </c>
      <c r="I652" s="27">
        <v>0</v>
      </c>
      <c r="J652" s="18">
        <v>0</v>
      </c>
      <c r="K652" s="18">
        <v>0</v>
      </c>
      <c r="L652" s="16">
        <v>0</v>
      </c>
      <c r="M652" s="18">
        <v>0</v>
      </c>
      <c r="N652" s="18">
        <v>0</v>
      </c>
      <c r="O652" s="18">
        <v>1</v>
      </c>
      <c r="P652" s="18">
        <v>0</v>
      </c>
      <c r="Q652" s="18">
        <v>0</v>
      </c>
      <c r="R652" s="18">
        <v>0</v>
      </c>
      <c r="S652" s="12">
        <v>0</v>
      </c>
      <c r="T652" s="27">
        <v>0</v>
      </c>
      <c r="U652" s="16">
        <v>1</v>
      </c>
      <c r="V652" s="18">
        <v>2</v>
      </c>
      <c r="W652" s="18">
        <v>0</v>
      </c>
      <c r="X652" s="18">
        <v>1.5</v>
      </c>
      <c r="Y652" s="12">
        <v>0</v>
      </c>
      <c r="Z652" s="18">
        <v>2050</v>
      </c>
      <c r="AA652" s="18">
        <v>1</v>
      </c>
      <c r="AB652" s="18">
        <v>0</v>
      </c>
      <c r="AC652" s="18">
        <v>0</v>
      </c>
      <c r="AD652" s="18">
        <v>0</v>
      </c>
      <c r="AE652" s="18">
        <v>0</v>
      </c>
      <c r="AF652" s="18">
        <v>12</v>
      </c>
      <c r="AG652" s="18">
        <v>2</v>
      </c>
      <c r="AH652" s="18" t="s">
        <v>1612</v>
      </c>
      <c r="AI652" s="12">
        <v>2</v>
      </c>
      <c r="AJ652" s="12">
        <v>4</v>
      </c>
      <c r="AK652" s="12">
        <v>0</v>
      </c>
      <c r="AL652" s="12">
        <v>2</v>
      </c>
      <c r="AM652" s="18">
        <v>0</v>
      </c>
      <c r="AN652" s="18">
        <v>0</v>
      </c>
      <c r="AO652" s="18">
        <v>0</v>
      </c>
      <c r="AP652" s="18">
        <v>2.1</v>
      </c>
      <c r="AQ652" s="18">
        <v>2000</v>
      </c>
      <c r="AR652" s="18">
        <v>0.5</v>
      </c>
      <c r="AS652" s="18">
        <v>0</v>
      </c>
      <c r="AT652" s="12">
        <v>0</v>
      </c>
      <c r="AU652" s="18">
        <v>90001021</v>
      </c>
      <c r="AV652" s="18"/>
      <c r="AW652" s="17" t="s">
        <v>1613</v>
      </c>
      <c r="AX652" s="18" t="s">
        <v>1614</v>
      </c>
      <c r="AY652" s="18">
        <v>10001006</v>
      </c>
      <c r="AZ652" s="18">
        <v>21020030</v>
      </c>
      <c r="BA652" s="19" t="s">
        <v>315</v>
      </c>
      <c r="BB652" s="19" t="s">
        <v>1615</v>
      </c>
      <c r="BC652" s="27">
        <v>0</v>
      </c>
      <c r="BD652" s="27">
        <v>0</v>
      </c>
      <c r="BE652" s="183" t="str">
        <f t="shared" si="36"/>
        <v>立即对目标范围内的怪物每秒多次造成150%攻击伤害+2050点固定伤害,并使目标眩晕,持续2秒</v>
      </c>
      <c r="BF652" s="183" t="s">
        <v>1620</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61022401</v>
      </c>
      <c r="D653" s="19" t="s">
        <v>1621</v>
      </c>
      <c r="E653" s="19" t="s">
        <v>1581</v>
      </c>
      <c r="F653" s="16">
        <v>0</v>
      </c>
      <c r="G653" s="18">
        <v>61022401</v>
      </c>
      <c r="H653" s="18">
        <f>C654</f>
        <v>61022402</v>
      </c>
      <c r="I653" s="27">
        <v>0</v>
      </c>
      <c r="J653" s="16">
        <v>35</v>
      </c>
      <c r="K653" s="16">
        <v>5</v>
      </c>
      <c r="L653" s="16">
        <v>0</v>
      </c>
      <c r="M653" s="18">
        <v>0</v>
      </c>
      <c r="N653" s="18">
        <v>0</v>
      </c>
      <c r="O653" s="18">
        <v>1</v>
      </c>
      <c r="P653" s="18">
        <v>0</v>
      </c>
      <c r="Q653" s="18">
        <v>0</v>
      </c>
      <c r="R653" s="18">
        <v>0</v>
      </c>
      <c r="S653" s="12">
        <v>0</v>
      </c>
      <c r="T653" s="27">
        <v>0</v>
      </c>
      <c r="U653" s="16">
        <v>1</v>
      </c>
      <c r="V653" s="18">
        <v>2</v>
      </c>
      <c r="W653" s="18">
        <v>0</v>
      </c>
      <c r="X653" s="18">
        <v>3</v>
      </c>
      <c r="Y653" s="12">
        <v>0</v>
      </c>
      <c r="Z653" s="18">
        <v>900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0" t="s">
        <v>1622</v>
      </c>
      <c r="AV653" s="16"/>
      <c r="AW653" s="17" t="s">
        <v>1613</v>
      </c>
      <c r="AX653" s="16" t="s">
        <v>215</v>
      </c>
      <c r="AY653" s="18">
        <v>10001007</v>
      </c>
      <c r="AZ653" s="18">
        <v>21020040</v>
      </c>
      <c r="BA653" s="17" t="s">
        <v>216</v>
      </c>
      <c r="BB653" s="19">
        <v>0</v>
      </c>
      <c r="BC653" s="27">
        <v>0</v>
      </c>
      <c r="BD653" s="27">
        <v>0</v>
      </c>
      <c r="BE653" s="183" t="str">
        <f>"对目标快速突击,所经过的直线区域造成"&amp;X653*100&amp;"%伤害+"&amp;Z653&amp;"点固定伤害并眩晕1秒,如果目标是怪物,则对其造成易伤状态,使其受到伤害额外提升20%,持续10秒"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3" s="183" t="s">
        <v>1623</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61022402</v>
      </c>
      <c r="D654" s="19" t="s">
        <v>1621</v>
      </c>
      <c r="E654" s="19" t="s">
        <v>1581</v>
      </c>
      <c r="F654" s="16">
        <v>1</v>
      </c>
      <c r="G654" s="18">
        <v>61022401</v>
      </c>
      <c r="H654" s="18">
        <f t="shared" ref="H654:H655" si="37">C655</f>
        <v>61022403</v>
      </c>
      <c r="I654" s="27">
        <v>0</v>
      </c>
      <c r="J654" s="16">
        <v>42</v>
      </c>
      <c r="K654" s="16">
        <v>2</v>
      </c>
      <c r="L654" s="16">
        <v>0</v>
      </c>
      <c r="M654" s="18">
        <v>0</v>
      </c>
      <c r="N654" s="18">
        <v>0</v>
      </c>
      <c r="O654" s="18">
        <v>1</v>
      </c>
      <c r="P654" s="18">
        <v>0</v>
      </c>
      <c r="Q654" s="18">
        <v>0</v>
      </c>
      <c r="R654" s="18">
        <v>0</v>
      </c>
      <c r="S654" s="12">
        <v>0</v>
      </c>
      <c r="T654" s="27">
        <v>0</v>
      </c>
      <c r="U654" s="16">
        <v>1</v>
      </c>
      <c r="V654" s="18">
        <v>2</v>
      </c>
      <c r="W654" s="18">
        <v>0</v>
      </c>
      <c r="X654" s="18">
        <v>3</v>
      </c>
      <c r="Y654" s="12">
        <v>0</v>
      </c>
      <c r="Z654" s="18">
        <v>900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0" t="s">
        <v>1622</v>
      </c>
      <c r="AV654" s="16"/>
      <c r="AW654" s="17" t="s">
        <v>1613</v>
      </c>
      <c r="AX654" s="16" t="s">
        <v>215</v>
      </c>
      <c r="AY654" s="18">
        <v>10001007</v>
      </c>
      <c r="AZ654" s="18">
        <v>21020040</v>
      </c>
      <c r="BA654" s="17" t="s">
        <v>216</v>
      </c>
      <c r="BB654" s="19">
        <v>0</v>
      </c>
      <c r="BC654" s="27">
        <v>0</v>
      </c>
      <c r="BD654" s="27">
        <v>0</v>
      </c>
      <c r="BE654" s="183" t="str">
        <f t="shared" ref="BE654:BE658" si="38">"对目标快速突击,所经过的直线区域造成"&amp;X654*100&amp;"%伤害+"&amp;Z654&amp;"点固定伤害并眩晕1秒,如果目标是怪物,则对其造成易伤状态,使其受到伤害额外提升20%,持续10秒"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4" s="183" t="s">
        <v>1623</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61022403</v>
      </c>
      <c r="D655" s="19" t="s">
        <v>1621</v>
      </c>
      <c r="E655" s="19" t="s">
        <v>1581</v>
      </c>
      <c r="F655" s="16">
        <v>2</v>
      </c>
      <c r="G655" s="18">
        <v>61022401</v>
      </c>
      <c r="H655" s="18">
        <f t="shared" si="37"/>
        <v>61022404</v>
      </c>
      <c r="I655" s="27">
        <v>0</v>
      </c>
      <c r="J655" s="16">
        <v>47</v>
      </c>
      <c r="K655" s="16">
        <v>2</v>
      </c>
      <c r="L655" s="16">
        <v>0</v>
      </c>
      <c r="M655" s="18">
        <v>0</v>
      </c>
      <c r="N655" s="18">
        <v>0</v>
      </c>
      <c r="O655" s="18">
        <v>1</v>
      </c>
      <c r="P655" s="18">
        <v>0</v>
      </c>
      <c r="Q655" s="18">
        <v>0</v>
      </c>
      <c r="R655" s="18">
        <v>0</v>
      </c>
      <c r="S655" s="12">
        <v>0</v>
      </c>
      <c r="T655" s="27">
        <v>0</v>
      </c>
      <c r="U655" s="16">
        <v>1</v>
      </c>
      <c r="V655" s="18">
        <v>2</v>
      </c>
      <c r="W655" s="18">
        <v>0</v>
      </c>
      <c r="X655" s="18">
        <v>3.25</v>
      </c>
      <c r="Y655" s="12">
        <v>0</v>
      </c>
      <c r="Z655" s="18">
        <v>1800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0"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对目标快速突击,所经过的直线区域造成325%伤害+1800点固定伤害并眩晕1秒,如果目标是怪物,则对其造成易伤状态,使其受到伤害额外提升20%,持续10秒</v>
      </c>
      <c r="BF655" s="183" t="s">
        <v>1624</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19.5" customHeight="1">
      <c r="C656" s="18">
        <v>61022404</v>
      </c>
      <c r="D656" s="19" t="s">
        <v>1621</v>
      </c>
      <c r="E656" s="19" t="s">
        <v>1581</v>
      </c>
      <c r="F656" s="16">
        <v>3</v>
      </c>
      <c r="G656" s="18">
        <v>61022401</v>
      </c>
      <c r="H656" s="16">
        <v>0</v>
      </c>
      <c r="I656" s="27">
        <v>0</v>
      </c>
      <c r="J656" s="18">
        <v>0</v>
      </c>
      <c r="K656" s="179">
        <v>0</v>
      </c>
      <c r="L656" s="16">
        <v>0</v>
      </c>
      <c r="M656" s="18">
        <v>0</v>
      </c>
      <c r="N656" s="18">
        <v>0</v>
      </c>
      <c r="O656" s="18">
        <v>1</v>
      </c>
      <c r="P656" s="18">
        <v>0</v>
      </c>
      <c r="Q656" s="18">
        <v>0</v>
      </c>
      <c r="R656" s="18">
        <v>0</v>
      </c>
      <c r="S656" s="12">
        <v>0</v>
      </c>
      <c r="T656" s="27">
        <v>0</v>
      </c>
      <c r="U656" s="16">
        <v>1</v>
      </c>
      <c r="V656" s="18">
        <v>2</v>
      </c>
      <c r="W656" s="18">
        <v>0</v>
      </c>
      <c r="X656" s="18">
        <v>3.5</v>
      </c>
      <c r="Y656" s="12">
        <v>0</v>
      </c>
      <c r="Z656" s="18">
        <v>2800</v>
      </c>
      <c r="AA656" s="18">
        <v>0</v>
      </c>
      <c r="AB656" s="18">
        <v>0</v>
      </c>
      <c r="AC656" s="18">
        <v>0</v>
      </c>
      <c r="AD656" s="18">
        <v>0</v>
      </c>
      <c r="AE656" s="18">
        <v>0</v>
      </c>
      <c r="AF656" s="18">
        <v>15</v>
      </c>
      <c r="AG656" s="18">
        <v>2</v>
      </c>
      <c r="AH656" s="18" t="s">
        <v>932</v>
      </c>
      <c r="AI656" s="12">
        <v>2</v>
      </c>
      <c r="AJ656" s="12">
        <v>2</v>
      </c>
      <c r="AK656" s="12">
        <v>0</v>
      </c>
      <c r="AL656" s="12">
        <v>3</v>
      </c>
      <c r="AM656" s="18">
        <v>0</v>
      </c>
      <c r="AN656" s="18">
        <v>0</v>
      </c>
      <c r="AO656" s="18">
        <v>0</v>
      </c>
      <c r="AP656" s="16">
        <v>0.2</v>
      </c>
      <c r="AQ656" s="16">
        <v>200</v>
      </c>
      <c r="AR656" s="16">
        <v>0</v>
      </c>
      <c r="AS656" s="16">
        <v>50</v>
      </c>
      <c r="AT656" s="12">
        <v>0</v>
      </c>
      <c r="AU656" s="350" t="s">
        <v>1622</v>
      </c>
      <c r="AV656" s="16"/>
      <c r="AW656" s="17" t="s">
        <v>1613</v>
      </c>
      <c r="AX656" s="16" t="s">
        <v>215</v>
      </c>
      <c r="AY656" s="18">
        <v>10001007</v>
      </c>
      <c r="AZ656" s="18">
        <v>21020040</v>
      </c>
      <c r="BA656" s="17" t="s">
        <v>216</v>
      </c>
      <c r="BB656" s="19">
        <v>0</v>
      </c>
      <c r="BC656" s="27">
        <v>0</v>
      </c>
      <c r="BD656" s="27">
        <v>0</v>
      </c>
      <c r="BE656" s="183" t="str">
        <f t="shared" si="38"/>
        <v>对目标快速突击,所经过的直线区域造成350%伤害+2800点固定伤害并眩晕1秒,如果目标是怪物,则对其造成易伤状态,使其受到伤害额外提升20%,持续10秒</v>
      </c>
      <c r="BF656" s="183" t="s">
        <v>1625</v>
      </c>
      <c r="BG656" s="18">
        <v>0</v>
      </c>
      <c r="BH656" s="16">
        <v>0</v>
      </c>
      <c r="BI656" s="18">
        <v>0</v>
      </c>
      <c r="BJ656" s="18">
        <v>0</v>
      </c>
      <c r="BK656" s="18">
        <v>0</v>
      </c>
      <c r="BL656" s="18">
        <v>0</v>
      </c>
      <c r="BM656" s="15">
        <v>0</v>
      </c>
      <c r="BN656" s="12">
        <v>0</v>
      </c>
      <c r="BO656" s="12">
        <v>0</v>
      </c>
      <c r="BP656" s="12">
        <v>0</v>
      </c>
      <c r="BQ656" s="12">
        <v>0</v>
      </c>
      <c r="BR656" s="12">
        <v>0</v>
      </c>
      <c r="BS656" s="12">
        <v>0</v>
      </c>
      <c r="BT656" s="12">
        <v>0</v>
      </c>
      <c r="BU656" s="47">
        <v>0</v>
      </c>
      <c r="BV656" s="47"/>
      <c r="BW656" s="47"/>
    </row>
    <row r="657" spans="3:75" ht="19.5" customHeight="1">
      <c r="C657" s="18">
        <v>61022405</v>
      </c>
      <c r="D657" s="19" t="s">
        <v>1621</v>
      </c>
      <c r="E657" s="19" t="s">
        <v>1581</v>
      </c>
      <c r="F657" s="16">
        <v>4</v>
      </c>
      <c r="G657" s="18">
        <v>61022401</v>
      </c>
      <c r="H657" s="16">
        <v>0</v>
      </c>
      <c r="I657" s="27">
        <v>0</v>
      </c>
      <c r="J657" s="18">
        <v>0</v>
      </c>
      <c r="K657" s="16">
        <v>0</v>
      </c>
      <c r="L657" s="16">
        <v>0</v>
      </c>
      <c r="M657" s="18">
        <v>0</v>
      </c>
      <c r="N657" s="18">
        <v>0</v>
      </c>
      <c r="O657" s="18">
        <v>1</v>
      </c>
      <c r="P657" s="18">
        <v>0</v>
      </c>
      <c r="Q657" s="18">
        <v>0</v>
      </c>
      <c r="R657" s="18">
        <v>0</v>
      </c>
      <c r="S657" s="12">
        <v>0</v>
      </c>
      <c r="T657" s="27">
        <v>0</v>
      </c>
      <c r="U657" s="16">
        <v>1</v>
      </c>
      <c r="V657" s="18">
        <v>2</v>
      </c>
      <c r="W657" s="18">
        <v>0</v>
      </c>
      <c r="X657" s="18">
        <v>3.75</v>
      </c>
      <c r="Y657" s="12">
        <v>0</v>
      </c>
      <c r="Z657" s="18">
        <v>4000</v>
      </c>
      <c r="AA657" s="18">
        <v>0</v>
      </c>
      <c r="AB657" s="18">
        <v>0</v>
      </c>
      <c r="AC657" s="18">
        <v>0</v>
      </c>
      <c r="AD657" s="18">
        <v>0</v>
      </c>
      <c r="AE657" s="18">
        <v>0</v>
      </c>
      <c r="AF657" s="18">
        <v>15</v>
      </c>
      <c r="AG657" s="18">
        <v>2</v>
      </c>
      <c r="AH657" s="18" t="s">
        <v>932</v>
      </c>
      <c r="AI657" s="12">
        <v>2</v>
      </c>
      <c r="AJ657" s="12">
        <v>2</v>
      </c>
      <c r="AK657" s="12">
        <v>0</v>
      </c>
      <c r="AL657" s="12">
        <v>3</v>
      </c>
      <c r="AM657" s="18">
        <v>0</v>
      </c>
      <c r="AN657" s="18">
        <v>0</v>
      </c>
      <c r="AO657" s="18">
        <v>0</v>
      </c>
      <c r="AP657" s="16">
        <v>0.2</v>
      </c>
      <c r="AQ657" s="16">
        <v>200</v>
      </c>
      <c r="AR657" s="16">
        <v>0</v>
      </c>
      <c r="AS657" s="16">
        <v>50</v>
      </c>
      <c r="AT657" s="12">
        <v>0</v>
      </c>
      <c r="AU657" s="350" t="s">
        <v>1622</v>
      </c>
      <c r="AV657" s="16"/>
      <c r="AW657" s="17" t="s">
        <v>1613</v>
      </c>
      <c r="AX657" s="16" t="s">
        <v>215</v>
      </c>
      <c r="AY657" s="18">
        <v>10001007</v>
      </c>
      <c r="AZ657" s="18">
        <v>21020040</v>
      </c>
      <c r="BA657" s="17" t="s">
        <v>216</v>
      </c>
      <c r="BB657" s="19">
        <v>0</v>
      </c>
      <c r="BC657" s="27">
        <v>0</v>
      </c>
      <c r="BD657" s="27">
        <v>0</v>
      </c>
      <c r="BE657" s="183" t="str">
        <f t="shared" si="38"/>
        <v>对目标快速突击,所经过的直线区域造成375%伤害+4000点固定伤害并眩晕1秒,如果目标是怪物,则对其造成易伤状态,使其受到伤害额外提升20%,持续10秒</v>
      </c>
      <c r="BF657" s="183" t="s">
        <v>1626</v>
      </c>
      <c r="BG657" s="18">
        <v>0</v>
      </c>
      <c r="BH657" s="16">
        <v>0</v>
      </c>
      <c r="BI657" s="18">
        <v>0</v>
      </c>
      <c r="BJ657" s="18">
        <v>0</v>
      </c>
      <c r="BK657" s="18">
        <v>0</v>
      </c>
      <c r="BL657" s="18">
        <v>0</v>
      </c>
      <c r="BM657" s="15">
        <v>0</v>
      </c>
      <c r="BN657" s="12">
        <v>0</v>
      </c>
      <c r="BO657" s="12">
        <v>0</v>
      </c>
      <c r="BP657" s="12">
        <v>0</v>
      </c>
      <c r="BQ657" s="12">
        <v>0</v>
      </c>
      <c r="BR657" s="12">
        <v>0</v>
      </c>
      <c r="BS657" s="12">
        <v>0</v>
      </c>
      <c r="BT657" s="12">
        <v>0</v>
      </c>
      <c r="BU657" s="47">
        <v>0</v>
      </c>
      <c r="BV657" s="47"/>
      <c r="BW657" s="47"/>
    </row>
    <row r="658" spans="3:75" ht="19.5" customHeight="1">
      <c r="C658" s="18">
        <v>61022406</v>
      </c>
      <c r="D658" s="19" t="s">
        <v>1621</v>
      </c>
      <c r="E658" s="19" t="s">
        <v>1581</v>
      </c>
      <c r="F658" s="16">
        <v>5</v>
      </c>
      <c r="G658" s="18">
        <v>61022401</v>
      </c>
      <c r="H658" s="16">
        <v>0</v>
      </c>
      <c r="I658" s="27">
        <v>0</v>
      </c>
      <c r="J658" s="18">
        <v>0</v>
      </c>
      <c r="K658" s="16">
        <v>0</v>
      </c>
      <c r="L658" s="16">
        <v>0</v>
      </c>
      <c r="M658" s="18">
        <v>0</v>
      </c>
      <c r="N658" s="18">
        <v>0</v>
      </c>
      <c r="O658" s="18">
        <v>1</v>
      </c>
      <c r="P658" s="18">
        <v>0</v>
      </c>
      <c r="Q658" s="18">
        <v>0</v>
      </c>
      <c r="R658" s="18">
        <v>0</v>
      </c>
      <c r="S658" s="12">
        <v>0</v>
      </c>
      <c r="T658" s="27">
        <v>0</v>
      </c>
      <c r="U658" s="16">
        <v>1</v>
      </c>
      <c r="V658" s="18">
        <v>2</v>
      </c>
      <c r="W658" s="18">
        <v>0</v>
      </c>
      <c r="X658" s="18">
        <v>4</v>
      </c>
      <c r="Y658" s="12">
        <v>0</v>
      </c>
      <c r="Z658" s="18">
        <v>5200</v>
      </c>
      <c r="AA658" s="18">
        <v>0</v>
      </c>
      <c r="AB658" s="18">
        <v>0</v>
      </c>
      <c r="AC658" s="18">
        <v>0</v>
      </c>
      <c r="AD658" s="18">
        <v>0</v>
      </c>
      <c r="AE658" s="18">
        <v>0</v>
      </c>
      <c r="AF658" s="18">
        <v>15</v>
      </c>
      <c r="AG658" s="18">
        <v>2</v>
      </c>
      <c r="AH658" s="18" t="s">
        <v>932</v>
      </c>
      <c r="AI658" s="12">
        <v>2</v>
      </c>
      <c r="AJ658" s="12">
        <v>2</v>
      </c>
      <c r="AK658" s="12">
        <v>0</v>
      </c>
      <c r="AL658" s="12">
        <v>3</v>
      </c>
      <c r="AM658" s="18">
        <v>0</v>
      </c>
      <c r="AN658" s="18">
        <v>0</v>
      </c>
      <c r="AO658" s="18">
        <v>0</v>
      </c>
      <c r="AP658" s="16">
        <v>0.2</v>
      </c>
      <c r="AQ658" s="16">
        <v>200</v>
      </c>
      <c r="AR658" s="16">
        <v>0</v>
      </c>
      <c r="AS658" s="16">
        <v>50</v>
      </c>
      <c r="AT658" s="12">
        <v>0</v>
      </c>
      <c r="AU658" s="350" t="s">
        <v>1622</v>
      </c>
      <c r="AV658" s="16"/>
      <c r="AW658" s="17" t="s">
        <v>1613</v>
      </c>
      <c r="AX658" s="16" t="s">
        <v>215</v>
      </c>
      <c r="AY658" s="18">
        <v>10001007</v>
      </c>
      <c r="AZ658" s="18">
        <v>21020040</v>
      </c>
      <c r="BA658" s="17" t="s">
        <v>216</v>
      </c>
      <c r="BB658" s="19">
        <v>0</v>
      </c>
      <c r="BC658" s="27">
        <v>0</v>
      </c>
      <c r="BD658" s="27">
        <v>0</v>
      </c>
      <c r="BE658" s="183" t="str">
        <f t="shared" si="38"/>
        <v>对目标快速突击,所经过的直线区域造成400%伤害+5200点固定伤害并眩晕1秒,如果目标是怪物,则对其造成易伤状态,使其受到伤害额外提升20%,持续10秒</v>
      </c>
      <c r="BF658" s="183" t="s">
        <v>1627</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row>
    <row r="659" spans="3:75" ht="20.100000000000001" customHeight="1">
      <c r="C659" s="30">
        <v>61022501</v>
      </c>
      <c r="D659" s="38" t="s">
        <v>1628</v>
      </c>
      <c r="E659" s="38" t="s">
        <v>1629</v>
      </c>
      <c r="F659" s="30">
        <v>0</v>
      </c>
      <c r="G659" s="30">
        <v>61023101</v>
      </c>
      <c r="H659" s="30">
        <v>0</v>
      </c>
      <c r="I659" s="30">
        <v>0</v>
      </c>
      <c r="J659" s="30">
        <v>20</v>
      </c>
      <c r="K659" s="30">
        <v>5</v>
      </c>
      <c r="L659" s="30">
        <v>0</v>
      </c>
      <c r="M659" s="30">
        <v>0</v>
      </c>
      <c r="N659" s="30">
        <v>0</v>
      </c>
      <c r="O659" s="30">
        <v>1</v>
      </c>
      <c r="P659" s="30">
        <v>0</v>
      </c>
      <c r="Q659" s="30">
        <v>0</v>
      </c>
      <c r="R659" s="30">
        <v>0</v>
      </c>
      <c r="S659" s="30">
        <v>0</v>
      </c>
      <c r="T659" s="30">
        <v>0</v>
      </c>
      <c r="U659" s="30">
        <v>1</v>
      </c>
      <c r="V659" s="30">
        <v>2</v>
      </c>
      <c r="W659" s="30">
        <v>0</v>
      </c>
      <c r="X659" s="30">
        <v>2.5</v>
      </c>
      <c r="Y659" s="12">
        <v>0</v>
      </c>
      <c r="Z659" s="30">
        <v>1500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ref="BE659:BE664" si="39">"立即对目标范围内的怪物造成"&amp;X659*100&amp;"%攻击伤害+"&amp;Z659&amp;"点固定伤害,并附带1秒眩晕效果"</f>
        <v>立即对目标范围内的怪物造成250%攻击伤害+1500点固定伤害,并附带1秒眩晕效果</v>
      </c>
      <c r="BF659" s="182" t="s">
        <v>1632</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61022502</v>
      </c>
      <c r="D660" s="38" t="s">
        <v>1628</v>
      </c>
      <c r="E660" s="38" t="s">
        <v>1629</v>
      </c>
      <c r="F660" s="30">
        <v>1</v>
      </c>
      <c r="G660" s="30">
        <v>61023101</v>
      </c>
      <c r="H660" s="30">
        <v>0</v>
      </c>
      <c r="I660" s="30">
        <v>0</v>
      </c>
      <c r="J660" s="30">
        <v>27</v>
      </c>
      <c r="K660" s="30">
        <v>2</v>
      </c>
      <c r="L660" s="30">
        <v>0</v>
      </c>
      <c r="M660" s="30">
        <v>0</v>
      </c>
      <c r="N660" s="30">
        <v>0</v>
      </c>
      <c r="O660" s="30">
        <v>1</v>
      </c>
      <c r="P660" s="30">
        <v>0</v>
      </c>
      <c r="Q660" s="30">
        <v>0</v>
      </c>
      <c r="R660" s="30">
        <v>0</v>
      </c>
      <c r="S660" s="30">
        <v>0</v>
      </c>
      <c r="T660" s="30">
        <v>0</v>
      </c>
      <c r="U660" s="30">
        <v>1</v>
      </c>
      <c r="V660" s="30">
        <v>2</v>
      </c>
      <c r="W660" s="30">
        <v>0</v>
      </c>
      <c r="X660" s="30">
        <v>2.5</v>
      </c>
      <c r="Y660" s="12">
        <v>0</v>
      </c>
      <c r="Z660" s="30">
        <v>1500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立即对目标范围内的怪物造成250%攻击伤害+1500点固定伤害,并附带1秒眩晕效果</v>
      </c>
      <c r="BF660" s="182" t="s">
        <v>1632</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61022503</v>
      </c>
      <c r="D661" s="38" t="s">
        <v>1628</v>
      </c>
      <c r="E661" s="38" t="s">
        <v>1629</v>
      </c>
      <c r="F661" s="30">
        <v>2</v>
      </c>
      <c r="G661" s="30">
        <v>61023101</v>
      </c>
      <c r="H661" s="30">
        <v>0</v>
      </c>
      <c r="I661" s="30">
        <v>0</v>
      </c>
      <c r="J661" s="30">
        <v>32</v>
      </c>
      <c r="K661" s="30">
        <v>2</v>
      </c>
      <c r="L661" s="30">
        <v>0</v>
      </c>
      <c r="M661" s="30">
        <v>0</v>
      </c>
      <c r="N661" s="30">
        <v>0</v>
      </c>
      <c r="O661" s="30">
        <v>1</v>
      </c>
      <c r="P661" s="30">
        <v>0</v>
      </c>
      <c r="Q661" s="30">
        <v>0</v>
      </c>
      <c r="R661" s="30">
        <v>0</v>
      </c>
      <c r="S661" s="30">
        <v>0</v>
      </c>
      <c r="T661" s="30">
        <v>0</v>
      </c>
      <c r="U661" s="30">
        <v>1</v>
      </c>
      <c r="V661" s="30">
        <v>2</v>
      </c>
      <c r="W661" s="30">
        <v>0</v>
      </c>
      <c r="X661" s="30">
        <v>2.5</v>
      </c>
      <c r="Y661" s="12">
        <v>0</v>
      </c>
      <c r="Z661" s="30">
        <v>2000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立即对目标范围内的怪物造成250%攻击伤害+2000点固定伤害,并附带1秒眩晕效果</v>
      </c>
      <c r="BF661" s="182" t="s">
        <v>1633</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30">
        <v>61022504</v>
      </c>
      <c r="D662" s="38" t="s">
        <v>1628</v>
      </c>
      <c r="E662" s="38" t="s">
        <v>1629</v>
      </c>
      <c r="F662" s="30">
        <v>3</v>
      </c>
      <c r="G662" s="30">
        <v>61023101</v>
      </c>
      <c r="H662" s="30">
        <v>0</v>
      </c>
      <c r="I662" s="30">
        <v>0</v>
      </c>
      <c r="J662" s="30">
        <v>0</v>
      </c>
      <c r="K662" s="181">
        <v>0</v>
      </c>
      <c r="L662" s="30">
        <v>0</v>
      </c>
      <c r="M662" s="30">
        <v>0</v>
      </c>
      <c r="N662" s="30">
        <v>0</v>
      </c>
      <c r="O662" s="30">
        <v>1</v>
      </c>
      <c r="P662" s="30">
        <v>0</v>
      </c>
      <c r="Q662" s="30">
        <v>0</v>
      </c>
      <c r="R662" s="30">
        <v>0</v>
      </c>
      <c r="S662" s="30">
        <v>0</v>
      </c>
      <c r="T662" s="30">
        <v>0</v>
      </c>
      <c r="U662" s="30">
        <v>1</v>
      </c>
      <c r="V662" s="30">
        <v>2</v>
      </c>
      <c r="W662" s="30">
        <v>0</v>
      </c>
      <c r="X662" s="30">
        <v>2.5</v>
      </c>
      <c r="Y662" s="12">
        <v>0</v>
      </c>
      <c r="Z662" s="30">
        <v>2500</v>
      </c>
      <c r="AA662" s="30">
        <v>0</v>
      </c>
      <c r="AB662" s="30">
        <v>0</v>
      </c>
      <c r="AC662" s="30">
        <v>0</v>
      </c>
      <c r="AD662" s="30">
        <v>0</v>
      </c>
      <c r="AE662" s="30">
        <v>0</v>
      </c>
      <c r="AF662" s="30">
        <v>9</v>
      </c>
      <c r="AG662" s="30">
        <v>1</v>
      </c>
      <c r="AH662" s="30">
        <v>3.5</v>
      </c>
      <c r="AI662" s="30">
        <v>0</v>
      </c>
      <c r="AJ662" s="30">
        <v>0</v>
      </c>
      <c r="AK662" s="30">
        <v>0</v>
      </c>
      <c r="AL662" s="30">
        <v>3</v>
      </c>
      <c r="AM662" s="30">
        <v>0</v>
      </c>
      <c r="AN662" s="30">
        <v>0</v>
      </c>
      <c r="AO662" s="30">
        <v>0</v>
      </c>
      <c r="AP662" s="30">
        <v>0.3</v>
      </c>
      <c r="AQ662" s="30">
        <v>3000</v>
      </c>
      <c r="AR662" s="30">
        <v>0.5</v>
      </c>
      <c r="AS662" s="30">
        <v>0</v>
      </c>
      <c r="AT662" s="38" t="s">
        <v>1630</v>
      </c>
      <c r="AU662" s="38" t="s">
        <v>198</v>
      </c>
      <c r="AV662" s="38"/>
      <c r="AW662" s="38" t="s">
        <v>1547</v>
      </c>
      <c r="AX662" s="30" t="s">
        <v>1614</v>
      </c>
      <c r="AY662" s="30">
        <v>10000009</v>
      </c>
      <c r="AZ662" s="30">
        <v>21020050</v>
      </c>
      <c r="BA662" s="38" t="s">
        <v>1631</v>
      </c>
      <c r="BB662" s="38">
        <v>0</v>
      </c>
      <c r="BC662" s="30">
        <v>0</v>
      </c>
      <c r="BD662" s="30">
        <v>0</v>
      </c>
      <c r="BE662" s="182" t="str">
        <f t="shared" si="39"/>
        <v>立即对目标范围内的怪物造成250%攻击伤害+2500点固定伤害,并附带1秒眩晕效果</v>
      </c>
      <c r="BF662" s="182" t="s">
        <v>1634</v>
      </c>
      <c r="BG662" s="30">
        <v>0</v>
      </c>
      <c r="BH662" s="30">
        <v>0</v>
      </c>
      <c r="BI662" s="30">
        <v>0</v>
      </c>
      <c r="BJ662" s="30">
        <v>0</v>
      </c>
      <c r="BK662" s="30">
        <v>0</v>
      </c>
      <c r="BL662" s="30">
        <v>0</v>
      </c>
      <c r="BM662" s="21">
        <v>0</v>
      </c>
      <c r="BN662" s="30">
        <v>1</v>
      </c>
      <c r="BO662" s="30">
        <v>0</v>
      </c>
      <c r="BP662" s="30">
        <v>500</v>
      </c>
      <c r="BQ662" s="30">
        <v>0</v>
      </c>
      <c r="BR662" s="30">
        <v>0</v>
      </c>
      <c r="BS662" s="30">
        <v>0</v>
      </c>
      <c r="BT662" s="12">
        <v>0</v>
      </c>
      <c r="BU662" s="47">
        <v>0</v>
      </c>
      <c r="BV662" s="47"/>
      <c r="BW662" s="47"/>
    </row>
    <row r="663" spans="3:75" ht="20.100000000000001" customHeight="1">
      <c r="C663" s="30">
        <v>61022505</v>
      </c>
      <c r="D663" s="38" t="s">
        <v>1628</v>
      </c>
      <c r="E663" s="38" t="s">
        <v>1629</v>
      </c>
      <c r="F663" s="30">
        <v>4</v>
      </c>
      <c r="G663" s="30">
        <v>61023101</v>
      </c>
      <c r="H663" s="30">
        <v>0</v>
      </c>
      <c r="I663" s="30">
        <v>0</v>
      </c>
      <c r="J663" s="30">
        <v>0</v>
      </c>
      <c r="K663" s="30">
        <v>0</v>
      </c>
      <c r="L663" s="30">
        <v>0</v>
      </c>
      <c r="M663" s="30">
        <v>0</v>
      </c>
      <c r="N663" s="30">
        <v>0</v>
      </c>
      <c r="O663" s="30">
        <v>1</v>
      </c>
      <c r="P663" s="30">
        <v>0</v>
      </c>
      <c r="Q663" s="30">
        <v>0</v>
      </c>
      <c r="R663" s="30">
        <v>0</v>
      </c>
      <c r="S663" s="30">
        <v>0</v>
      </c>
      <c r="T663" s="30">
        <v>0</v>
      </c>
      <c r="U663" s="30">
        <v>1</v>
      </c>
      <c r="V663" s="30">
        <v>2</v>
      </c>
      <c r="W663" s="30">
        <v>0</v>
      </c>
      <c r="X663" s="30">
        <v>2.5</v>
      </c>
      <c r="Y663" s="12">
        <v>0</v>
      </c>
      <c r="Z663" s="30">
        <v>3000</v>
      </c>
      <c r="AA663" s="30">
        <v>0</v>
      </c>
      <c r="AB663" s="30">
        <v>0</v>
      </c>
      <c r="AC663" s="30">
        <v>0</v>
      </c>
      <c r="AD663" s="30">
        <v>0</v>
      </c>
      <c r="AE663" s="30">
        <v>0</v>
      </c>
      <c r="AF663" s="30">
        <v>9</v>
      </c>
      <c r="AG663" s="30">
        <v>1</v>
      </c>
      <c r="AH663" s="30">
        <v>3.5</v>
      </c>
      <c r="AI663" s="30">
        <v>0</v>
      </c>
      <c r="AJ663" s="30">
        <v>0</v>
      </c>
      <c r="AK663" s="30">
        <v>0</v>
      </c>
      <c r="AL663" s="30">
        <v>3</v>
      </c>
      <c r="AM663" s="30">
        <v>0</v>
      </c>
      <c r="AN663" s="30">
        <v>0</v>
      </c>
      <c r="AO663" s="30">
        <v>0</v>
      </c>
      <c r="AP663" s="30">
        <v>0.3</v>
      </c>
      <c r="AQ663" s="30">
        <v>3000</v>
      </c>
      <c r="AR663" s="30">
        <v>0.5</v>
      </c>
      <c r="AS663" s="30">
        <v>0</v>
      </c>
      <c r="AT663" s="38" t="s">
        <v>1630</v>
      </c>
      <c r="AU663" s="38" t="s">
        <v>198</v>
      </c>
      <c r="AV663" s="38"/>
      <c r="AW663" s="38" t="s">
        <v>1547</v>
      </c>
      <c r="AX663" s="30" t="s">
        <v>1614</v>
      </c>
      <c r="AY663" s="30">
        <v>10000009</v>
      </c>
      <c r="AZ663" s="30">
        <v>21020050</v>
      </c>
      <c r="BA663" s="38" t="s">
        <v>1631</v>
      </c>
      <c r="BB663" s="38">
        <v>0</v>
      </c>
      <c r="BC663" s="30">
        <v>0</v>
      </c>
      <c r="BD663" s="30">
        <v>0</v>
      </c>
      <c r="BE663" s="182" t="str">
        <f t="shared" si="39"/>
        <v>立即对目标范围内的怪物造成250%攻击伤害+3000点固定伤害,并附带1秒眩晕效果</v>
      </c>
      <c r="BF663" s="182" t="s">
        <v>1635</v>
      </c>
      <c r="BG663" s="30">
        <v>0</v>
      </c>
      <c r="BH663" s="30">
        <v>0</v>
      </c>
      <c r="BI663" s="30">
        <v>0</v>
      </c>
      <c r="BJ663" s="30">
        <v>0</v>
      </c>
      <c r="BK663" s="30">
        <v>0</v>
      </c>
      <c r="BL663" s="30">
        <v>0</v>
      </c>
      <c r="BM663" s="21">
        <v>0</v>
      </c>
      <c r="BN663" s="30">
        <v>1</v>
      </c>
      <c r="BO663" s="30">
        <v>0</v>
      </c>
      <c r="BP663" s="30">
        <v>500</v>
      </c>
      <c r="BQ663" s="30">
        <v>0</v>
      </c>
      <c r="BR663" s="30">
        <v>0</v>
      </c>
      <c r="BS663" s="30">
        <v>0</v>
      </c>
      <c r="BT663" s="12">
        <v>0</v>
      </c>
      <c r="BU663" s="47">
        <v>0</v>
      </c>
      <c r="BV663" s="47"/>
      <c r="BW663" s="47"/>
    </row>
    <row r="664" spans="3:75" ht="20.100000000000001" customHeight="1">
      <c r="C664" s="30">
        <v>61022506</v>
      </c>
      <c r="D664" s="38" t="s">
        <v>1628</v>
      </c>
      <c r="E664" s="38" t="s">
        <v>1629</v>
      </c>
      <c r="F664" s="30">
        <v>5</v>
      </c>
      <c r="G664" s="30">
        <v>61023101</v>
      </c>
      <c r="H664" s="30">
        <v>0</v>
      </c>
      <c r="I664" s="30">
        <v>0</v>
      </c>
      <c r="J664" s="30">
        <v>0</v>
      </c>
      <c r="K664" s="30">
        <v>0</v>
      </c>
      <c r="L664" s="30">
        <v>0</v>
      </c>
      <c r="M664" s="30">
        <v>0</v>
      </c>
      <c r="N664" s="30">
        <v>0</v>
      </c>
      <c r="O664" s="30">
        <v>1</v>
      </c>
      <c r="P664" s="30">
        <v>0</v>
      </c>
      <c r="Q664" s="30">
        <v>0</v>
      </c>
      <c r="R664" s="30">
        <v>0</v>
      </c>
      <c r="S664" s="30">
        <v>0</v>
      </c>
      <c r="T664" s="30">
        <v>0</v>
      </c>
      <c r="U664" s="30">
        <v>1</v>
      </c>
      <c r="V664" s="30">
        <v>2</v>
      </c>
      <c r="W664" s="30">
        <v>0</v>
      </c>
      <c r="X664" s="30">
        <v>2.5</v>
      </c>
      <c r="Y664" s="12">
        <v>0</v>
      </c>
      <c r="Z664" s="30">
        <v>3500</v>
      </c>
      <c r="AA664" s="30">
        <v>0</v>
      </c>
      <c r="AB664" s="30">
        <v>0</v>
      </c>
      <c r="AC664" s="30">
        <v>0</v>
      </c>
      <c r="AD664" s="30">
        <v>0</v>
      </c>
      <c r="AE664" s="30">
        <v>0</v>
      </c>
      <c r="AF664" s="30">
        <v>9</v>
      </c>
      <c r="AG664" s="30">
        <v>1</v>
      </c>
      <c r="AH664" s="30">
        <v>3.5</v>
      </c>
      <c r="AI664" s="30">
        <v>0</v>
      </c>
      <c r="AJ664" s="30">
        <v>0</v>
      </c>
      <c r="AK664" s="30">
        <v>0</v>
      </c>
      <c r="AL664" s="30">
        <v>3</v>
      </c>
      <c r="AM664" s="30">
        <v>0</v>
      </c>
      <c r="AN664" s="30">
        <v>0</v>
      </c>
      <c r="AO664" s="30">
        <v>0</v>
      </c>
      <c r="AP664" s="30">
        <v>0.3</v>
      </c>
      <c r="AQ664" s="30">
        <v>3000</v>
      </c>
      <c r="AR664" s="30">
        <v>0.5</v>
      </c>
      <c r="AS664" s="30">
        <v>0</v>
      </c>
      <c r="AT664" s="38" t="s">
        <v>1630</v>
      </c>
      <c r="AU664" s="38" t="s">
        <v>198</v>
      </c>
      <c r="AV664" s="38"/>
      <c r="AW664" s="38" t="s">
        <v>1547</v>
      </c>
      <c r="AX664" s="30" t="s">
        <v>1614</v>
      </c>
      <c r="AY664" s="30">
        <v>10000009</v>
      </c>
      <c r="AZ664" s="30">
        <v>21020050</v>
      </c>
      <c r="BA664" s="38" t="s">
        <v>1631</v>
      </c>
      <c r="BB664" s="38">
        <v>0</v>
      </c>
      <c r="BC664" s="30">
        <v>0</v>
      </c>
      <c r="BD664" s="30">
        <v>0</v>
      </c>
      <c r="BE664" s="182" t="str">
        <f t="shared" si="39"/>
        <v>立即对目标范围内的怪物造成250%攻击伤害+3500点固定伤害,并附带1秒眩晕效果</v>
      </c>
      <c r="BF664" s="182" t="s">
        <v>1636</v>
      </c>
      <c r="BG664" s="30">
        <v>0</v>
      </c>
      <c r="BH664" s="30">
        <v>0</v>
      </c>
      <c r="BI664" s="30">
        <v>0</v>
      </c>
      <c r="BJ664" s="30">
        <v>0</v>
      </c>
      <c r="BK664" s="30">
        <v>0</v>
      </c>
      <c r="BL664" s="30">
        <v>0</v>
      </c>
      <c r="BM664" s="21">
        <v>0</v>
      </c>
      <c r="BN664" s="30">
        <v>1</v>
      </c>
      <c r="BO664" s="30">
        <v>0</v>
      </c>
      <c r="BP664" s="30">
        <v>500</v>
      </c>
      <c r="BQ664" s="30">
        <v>0</v>
      </c>
      <c r="BR664" s="30">
        <v>0</v>
      </c>
      <c r="BS664" s="30">
        <v>0</v>
      </c>
      <c r="BT664" s="12">
        <v>0</v>
      </c>
      <c r="BU664" s="47">
        <v>0</v>
      </c>
      <c r="BV664" s="47"/>
      <c r="BW664" s="47"/>
    </row>
    <row r="665" spans="3:75" ht="20.100000000000001" customHeight="1">
      <c r="C665" s="18">
        <v>61023101</v>
      </c>
      <c r="D665" s="19" t="s">
        <v>1637</v>
      </c>
      <c r="E665" s="19" t="s">
        <v>1638</v>
      </c>
      <c r="F665" s="16">
        <v>0</v>
      </c>
      <c r="G665" s="18">
        <v>61023101</v>
      </c>
      <c r="H665" s="18">
        <f>C666</f>
        <v>61023102</v>
      </c>
      <c r="I665" s="27">
        <v>0</v>
      </c>
      <c r="J665" s="16">
        <v>18</v>
      </c>
      <c r="K665" s="16">
        <v>5</v>
      </c>
      <c r="L665" s="16">
        <v>0</v>
      </c>
      <c r="M665" s="18">
        <v>0</v>
      </c>
      <c r="N665" s="18">
        <v>0</v>
      </c>
      <c r="O665" s="18">
        <v>1</v>
      </c>
      <c r="P665" s="18">
        <v>0</v>
      </c>
      <c r="Q665" s="18">
        <v>0</v>
      </c>
      <c r="R665" s="18">
        <v>0</v>
      </c>
      <c r="S665" s="12">
        <v>0</v>
      </c>
      <c r="T665" s="27">
        <v>0</v>
      </c>
      <c r="U665" s="16">
        <v>1</v>
      </c>
      <c r="V665" s="18">
        <v>2</v>
      </c>
      <c r="W665" s="18">
        <v>0</v>
      </c>
      <c r="X665" s="18">
        <v>2.5</v>
      </c>
      <c r="Y665" s="12">
        <v>0</v>
      </c>
      <c r="Z665" s="18">
        <v>900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9" t="s">
        <v>1639</v>
      </c>
      <c r="AV665" s="18"/>
      <c r="AW665" s="19" t="s">
        <v>1547</v>
      </c>
      <c r="AX665" s="18" t="s">
        <v>534</v>
      </c>
      <c r="AY665" s="18">
        <v>10000009</v>
      </c>
      <c r="AZ665" s="18">
        <v>21020050</v>
      </c>
      <c r="BA665" s="17" t="s">
        <v>1549</v>
      </c>
      <c r="BB665" s="19">
        <v>0</v>
      </c>
      <c r="BC665" s="27">
        <v>0</v>
      </c>
      <c r="BD665" s="27">
        <v>0</v>
      </c>
      <c r="BE665" s="183" t="str">
        <f>"立即对目标范围内的怪物造成"&amp;X665*100&amp;"%攻击伤害+"&amp;Z665&amp;"点固定伤害,并附带1秒眩晕效果,对怪物将怪立即拉近至自身攻击范围并将眩晕效果将提升至2秒"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5" s="183" t="s">
        <v>1640</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61023102</v>
      </c>
      <c r="D666" s="19" t="s">
        <v>1637</v>
      </c>
      <c r="E666" s="19" t="s">
        <v>1638</v>
      </c>
      <c r="F666" s="16">
        <v>1</v>
      </c>
      <c r="G666" s="18">
        <v>61023101</v>
      </c>
      <c r="H666" s="18">
        <f t="shared" ref="H666:H667" si="40">C667</f>
        <v>61023103</v>
      </c>
      <c r="I666" s="27">
        <v>0</v>
      </c>
      <c r="J666" s="16">
        <v>27</v>
      </c>
      <c r="K666" s="16">
        <v>2</v>
      </c>
      <c r="L666" s="16">
        <v>0</v>
      </c>
      <c r="M666" s="18">
        <v>0</v>
      </c>
      <c r="N666" s="18">
        <v>0</v>
      </c>
      <c r="O666" s="18">
        <v>1</v>
      </c>
      <c r="P666" s="18">
        <v>0</v>
      </c>
      <c r="Q666" s="18">
        <v>0</v>
      </c>
      <c r="R666" s="18">
        <v>0</v>
      </c>
      <c r="S666" s="12">
        <v>0</v>
      </c>
      <c r="T666" s="27">
        <v>0</v>
      </c>
      <c r="U666" s="16">
        <v>1</v>
      </c>
      <c r="V666" s="18">
        <v>2</v>
      </c>
      <c r="W666" s="18">
        <v>0</v>
      </c>
      <c r="X666" s="18">
        <v>2.5</v>
      </c>
      <c r="Y666" s="12">
        <v>0</v>
      </c>
      <c r="Z666" s="18">
        <v>900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9" t="s">
        <v>1639</v>
      </c>
      <c r="AV666" s="18"/>
      <c r="AW666" s="19" t="s">
        <v>1547</v>
      </c>
      <c r="AX666" s="18" t="s">
        <v>534</v>
      </c>
      <c r="AY666" s="18">
        <v>10000009</v>
      </c>
      <c r="AZ666" s="18">
        <v>21030010</v>
      </c>
      <c r="BA666" s="17" t="s">
        <v>1549</v>
      </c>
      <c r="BB666" s="19">
        <v>0</v>
      </c>
      <c r="BC666" s="27">
        <v>0</v>
      </c>
      <c r="BD666" s="27">
        <v>0</v>
      </c>
      <c r="BE666" s="183" t="str">
        <f t="shared" ref="BE666:BE670" si="41">"立即对目标范围内的怪物造成"&amp;X666*100&amp;"%攻击伤害+"&amp;Z666&amp;"点固定伤害,并附带1秒眩晕效果,对怪物将怪立即拉近至自身攻击范围并将眩晕效果将提升至2秒"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6" s="183" t="s">
        <v>1640</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61023103</v>
      </c>
      <c r="D667" s="19" t="s">
        <v>1637</v>
      </c>
      <c r="E667" s="19" t="s">
        <v>1638</v>
      </c>
      <c r="F667" s="16">
        <v>2</v>
      </c>
      <c r="G667" s="18">
        <v>61023101</v>
      </c>
      <c r="H667" s="18">
        <f t="shared" si="40"/>
        <v>61023104</v>
      </c>
      <c r="I667" s="27">
        <v>0</v>
      </c>
      <c r="J667" s="16">
        <v>32</v>
      </c>
      <c r="K667" s="16">
        <v>2</v>
      </c>
      <c r="L667" s="16">
        <v>0</v>
      </c>
      <c r="M667" s="18">
        <v>0</v>
      </c>
      <c r="N667" s="18">
        <v>0</v>
      </c>
      <c r="O667" s="18">
        <v>1</v>
      </c>
      <c r="P667" s="18">
        <v>0</v>
      </c>
      <c r="Q667" s="18">
        <v>0</v>
      </c>
      <c r="R667" s="18">
        <v>0</v>
      </c>
      <c r="S667" s="12">
        <v>0</v>
      </c>
      <c r="T667" s="27">
        <v>0</v>
      </c>
      <c r="U667" s="16">
        <v>1</v>
      </c>
      <c r="V667" s="18">
        <v>2</v>
      </c>
      <c r="W667" s="18">
        <v>0</v>
      </c>
      <c r="X667" s="18">
        <v>2.75</v>
      </c>
      <c r="Y667" s="12">
        <v>0</v>
      </c>
      <c r="Z667" s="18">
        <v>1800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9"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立即对目标范围内的怪物造成275%攻击伤害+1800点固定伤害,并附带1秒眩晕效果,对怪物将怪立即拉近至自身攻击范围并将眩晕效果将提升至2秒</v>
      </c>
      <c r="BF667" s="183" t="s">
        <v>1641</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8">
        <v>61023104</v>
      </c>
      <c r="D668" s="19" t="s">
        <v>1637</v>
      </c>
      <c r="E668" s="19" t="s">
        <v>1638</v>
      </c>
      <c r="F668" s="16">
        <v>3</v>
      </c>
      <c r="G668" s="18">
        <v>61023101</v>
      </c>
      <c r="H668" s="16">
        <v>0</v>
      </c>
      <c r="I668" s="27">
        <v>0</v>
      </c>
      <c r="J668" s="16">
        <v>0</v>
      </c>
      <c r="K668" s="179">
        <v>0</v>
      </c>
      <c r="L668" s="16">
        <v>0</v>
      </c>
      <c r="M668" s="18">
        <v>0</v>
      </c>
      <c r="N668" s="18">
        <v>0</v>
      </c>
      <c r="O668" s="18">
        <v>1</v>
      </c>
      <c r="P668" s="18">
        <v>0</v>
      </c>
      <c r="Q668" s="18">
        <v>0</v>
      </c>
      <c r="R668" s="18">
        <v>0</v>
      </c>
      <c r="S668" s="12">
        <v>0</v>
      </c>
      <c r="T668" s="27">
        <v>0</v>
      </c>
      <c r="U668" s="16">
        <v>1</v>
      </c>
      <c r="V668" s="18">
        <v>2</v>
      </c>
      <c r="W668" s="18">
        <v>0</v>
      </c>
      <c r="X668" s="18">
        <v>3</v>
      </c>
      <c r="Y668" s="12">
        <v>0</v>
      </c>
      <c r="Z668" s="18">
        <v>2800</v>
      </c>
      <c r="AA668" s="18">
        <v>1</v>
      </c>
      <c r="AB668" s="18">
        <v>0</v>
      </c>
      <c r="AC668" s="18">
        <v>0</v>
      </c>
      <c r="AD668" s="18">
        <v>0</v>
      </c>
      <c r="AE668" s="18">
        <v>0</v>
      </c>
      <c r="AF668" s="18">
        <v>9</v>
      </c>
      <c r="AG668" s="18">
        <v>1</v>
      </c>
      <c r="AH668" s="18">
        <v>3.5</v>
      </c>
      <c r="AI668" s="12">
        <v>0</v>
      </c>
      <c r="AJ668" s="12">
        <v>0</v>
      </c>
      <c r="AK668" s="12">
        <v>0</v>
      </c>
      <c r="AL668" s="12">
        <v>3</v>
      </c>
      <c r="AM668" s="18">
        <v>0</v>
      </c>
      <c r="AN668" s="18">
        <v>0</v>
      </c>
      <c r="AO668" s="18">
        <v>0</v>
      </c>
      <c r="AP668" s="18">
        <v>0.3</v>
      </c>
      <c r="AQ668" s="18">
        <v>2000</v>
      </c>
      <c r="AR668" s="18">
        <v>0.5</v>
      </c>
      <c r="AS668" s="18">
        <v>0</v>
      </c>
      <c r="AT668" s="12">
        <v>0</v>
      </c>
      <c r="AU668" s="349" t="s">
        <v>1639</v>
      </c>
      <c r="AV668" s="18"/>
      <c r="AW668" s="19" t="s">
        <v>1547</v>
      </c>
      <c r="AX668" s="18" t="s">
        <v>534</v>
      </c>
      <c r="AY668" s="18">
        <v>10000009</v>
      </c>
      <c r="AZ668" s="18">
        <v>21030010</v>
      </c>
      <c r="BA668" s="17" t="s">
        <v>1549</v>
      </c>
      <c r="BB668" s="19">
        <v>0</v>
      </c>
      <c r="BC668" s="27">
        <v>0</v>
      </c>
      <c r="BD668" s="27">
        <v>0</v>
      </c>
      <c r="BE668" s="183" t="str">
        <f t="shared" si="41"/>
        <v>立即对目标范围内的怪物造成300%攻击伤害+2800点固定伤害,并附带1秒眩晕效果,对怪物将怪立即拉近至自身攻击范围并将眩晕效果将提升至2秒</v>
      </c>
      <c r="BF668" s="183" t="s">
        <v>1642</v>
      </c>
      <c r="BG668" s="18">
        <v>0</v>
      </c>
      <c r="BH668" s="16">
        <v>0</v>
      </c>
      <c r="BI668" s="18">
        <v>0</v>
      </c>
      <c r="BJ668" s="18">
        <v>0</v>
      </c>
      <c r="BK668" s="18">
        <v>0</v>
      </c>
      <c r="BL668" s="18">
        <v>0</v>
      </c>
      <c r="BM668" s="15">
        <v>0</v>
      </c>
      <c r="BN668" s="12">
        <v>1</v>
      </c>
      <c r="BO668" s="12">
        <v>0</v>
      </c>
      <c r="BP668" s="12">
        <v>0</v>
      </c>
      <c r="BQ668" s="12">
        <v>0</v>
      </c>
      <c r="BR668" s="12">
        <v>0</v>
      </c>
      <c r="BS668" s="12">
        <v>0</v>
      </c>
      <c r="BT668" s="12">
        <v>0</v>
      </c>
      <c r="BU668" s="47">
        <v>0</v>
      </c>
      <c r="BV668" s="47"/>
      <c r="BW668" s="47"/>
    </row>
    <row r="669" spans="3:75" ht="20.100000000000001" customHeight="1">
      <c r="C669" s="18">
        <v>61023105</v>
      </c>
      <c r="D669" s="19" t="s">
        <v>1637</v>
      </c>
      <c r="E669" s="19" t="s">
        <v>1638</v>
      </c>
      <c r="F669" s="16">
        <v>4</v>
      </c>
      <c r="G669" s="18">
        <v>61023101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8">
        <v>3.25</v>
      </c>
      <c r="Y669" s="12">
        <v>0</v>
      </c>
      <c r="Z669" s="18">
        <v>4000</v>
      </c>
      <c r="AA669" s="18">
        <v>1</v>
      </c>
      <c r="AB669" s="18">
        <v>0</v>
      </c>
      <c r="AC669" s="18">
        <v>0</v>
      </c>
      <c r="AD669" s="18">
        <v>0</v>
      </c>
      <c r="AE669" s="18">
        <v>0</v>
      </c>
      <c r="AF669" s="18">
        <v>9</v>
      </c>
      <c r="AG669" s="18">
        <v>1</v>
      </c>
      <c r="AH669" s="18">
        <v>3.5</v>
      </c>
      <c r="AI669" s="12">
        <v>0</v>
      </c>
      <c r="AJ669" s="12">
        <v>0</v>
      </c>
      <c r="AK669" s="12">
        <v>0</v>
      </c>
      <c r="AL669" s="12">
        <v>3</v>
      </c>
      <c r="AM669" s="18">
        <v>0</v>
      </c>
      <c r="AN669" s="18">
        <v>0</v>
      </c>
      <c r="AO669" s="18">
        <v>0</v>
      </c>
      <c r="AP669" s="18">
        <v>0.3</v>
      </c>
      <c r="AQ669" s="18">
        <v>2000</v>
      </c>
      <c r="AR669" s="18">
        <v>0.5</v>
      </c>
      <c r="AS669" s="18">
        <v>0</v>
      </c>
      <c r="AT669" s="12">
        <v>0</v>
      </c>
      <c r="AU669" s="349" t="s">
        <v>1639</v>
      </c>
      <c r="AV669" s="18"/>
      <c r="AW669" s="19" t="s">
        <v>1547</v>
      </c>
      <c r="AX669" s="18" t="s">
        <v>534</v>
      </c>
      <c r="AY669" s="18">
        <v>10000009</v>
      </c>
      <c r="AZ669" s="18">
        <v>21030010</v>
      </c>
      <c r="BA669" s="17" t="s">
        <v>1549</v>
      </c>
      <c r="BB669" s="19">
        <v>0</v>
      </c>
      <c r="BC669" s="27">
        <v>0</v>
      </c>
      <c r="BD669" s="27">
        <v>0</v>
      </c>
      <c r="BE669" s="183" t="str">
        <f t="shared" si="41"/>
        <v>立即对目标范围内的怪物造成325%攻击伤害+4000点固定伤害,并附带1秒眩晕效果,对怪物将怪立即拉近至自身攻击范围并将眩晕效果将提升至2秒</v>
      </c>
      <c r="BF669" s="183" t="s">
        <v>1643</v>
      </c>
      <c r="BG669" s="18">
        <v>0</v>
      </c>
      <c r="BH669" s="16">
        <v>0</v>
      </c>
      <c r="BI669" s="18">
        <v>0</v>
      </c>
      <c r="BJ669" s="18">
        <v>0</v>
      </c>
      <c r="BK669" s="18">
        <v>0</v>
      </c>
      <c r="BL669" s="18">
        <v>0</v>
      </c>
      <c r="BM669" s="15">
        <v>0</v>
      </c>
      <c r="BN669" s="12">
        <v>1</v>
      </c>
      <c r="BO669" s="12">
        <v>0</v>
      </c>
      <c r="BP669" s="12">
        <v>0</v>
      </c>
      <c r="BQ669" s="12">
        <v>0</v>
      </c>
      <c r="BR669" s="12">
        <v>0</v>
      </c>
      <c r="BS669" s="12">
        <v>0</v>
      </c>
      <c r="BT669" s="12">
        <v>0</v>
      </c>
      <c r="BU669" s="47">
        <v>0</v>
      </c>
      <c r="BV669" s="47"/>
      <c r="BW669" s="47"/>
    </row>
    <row r="670" spans="3:75" ht="20.100000000000001" customHeight="1">
      <c r="C670" s="18">
        <v>61023106</v>
      </c>
      <c r="D670" s="19" t="s">
        <v>1637</v>
      </c>
      <c r="E670" s="19" t="s">
        <v>1638</v>
      </c>
      <c r="F670" s="16">
        <v>5</v>
      </c>
      <c r="G670" s="18">
        <v>61023101</v>
      </c>
      <c r="H670" s="16">
        <v>0</v>
      </c>
      <c r="I670" s="27">
        <v>0</v>
      </c>
      <c r="J670" s="16">
        <v>0</v>
      </c>
      <c r="K670" s="16">
        <v>0</v>
      </c>
      <c r="L670" s="16">
        <v>0</v>
      </c>
      <c r="M670" s="18">
        <v>0</v>
      </c>
      <c r="N670" s="18">
        <v>0</v>
      </c>
      <c r="O670" s="18">
        <v>1</v>
      </c>
      <c r="P670" s="18">
        <v>0</v>
      </c>
      <c r="Q670" s="18">
        <v>0</v>
      </c>
      <c r="R670" s="18">
        <v>0</v>
      </c>
      <c r="S670" s="12">
        <v>0</v>
      </c>
      <c r="T670" s="27">
        <v>0</v>
      </c>
      <c r="U670" s="16">
        <v>1</v>
      </c>
      <c r="V670" s="18">
        <v>2</v>
      </c>
      <c r="W670" s="18">
        <v>0</v>
      </c>
      <c r="X670" s="18">
        <v>3.5</v>
      </c>
      <c r="Y670" s="12">
        <v>0</v>
      </c>
      <c r="Z670" s="18">
        <v>5200</v>
      </c>
      <c r="AA670" s="18">
        <v>1</v>
      </c>
      <c r="AB670" s="18">
        <v>0</v>
      </c>
      <c r="AC670" s="18">
        <v>0</v>
      </c>
      <c r="AD670" s="18">
        <v>0</v>
      </c>
      <c r="AE670" s="18">
        <v>0</v>
      </c>
      <c r="AF670" s="18">
        <v>9</v>
      </c>
      <c r="AG670" s="18">
        <v>1</v>
      </c>
      <c r="AH670" s="18">
        <v>3.5</v>
      </c>
      <c r="AI670" s="12">
        <v>0</v>
      </c>
      <c r="AJ670" s="12">
        <v>0</v>
      </c>
      <c r="AK670" s="12">
        <v>0</v>
      </c>
      <c r="AL670" s="12">
        <v>3</v>
      </c>
      <c r="AM670" s="18">
        <v>0</v>
      </c>
      <c r="AN670" s="18">
        <v>0</v>
      </c>
      <c r="AO670" s="18">
        <v>0</v>
      </c>
      <c r="AP670" s="18">
        <v>0.3</v>
      </c>
      <c r="AQ670" s="18">
        <v>2000</v>
      </c>
      <c r="AR670" s="18">
        <v>0.5</v>
      </c>
      <c r="AS670" s="18">
        <v>0</v>
      </c>
      <c r="AT670" s="12">
        <v>0</v>
      </c>
      <c r="AU670" s="349" t="s">
        <v>1639</v>
      </c>
      <c r="AV670" s="18"/>
      <c r="AW670" s="19" t="s">
        <v>1547</v>
      </c>
      <c r="AX670" s="18" t="s">
        <v>534</v>
      </c>
      <c r="AY670" s="18">
        <v>10000009</v>
      </c>
      <c r="AZ670" s="18">
        <v>21030010</v>
      </c>
      <c r="BA670" s="17" t="s">
        <v>1549</v>
      </c>
      <c r="BB670" s="19">
        <v>0</v>
      </c>
      <c r="BC670" s="27">
        <v>0</v>
      </c>
      <c r="BD670" s="27">
        <v>0</v>
      </c>
      <c r="BE670" s="183" t="str">
        <f t="shared" si="41"/>
        <v>立即对目标范围内的怪物造成350%攻击伤害+5200点固定伤害,并附带1秒眩晕效果,对怪物将怪立即拉近至自身攻击范围并将眩晕效果将提升至2秒</v>
      </c>
      <c r="BF670" s="183" t="s">
        <v>1644</v>
      </c>
      <c r="BG670" s="18">
        <v>0</v>
      </c>
      <c r="BH670" s="16">
        <v>0</v>
      </c>
      <c r="BI670" s="18">
        <v>0</v>
      </c>
      <c r="BJ670" s="18">
        <v>0</v>
      </c>
      <c r="BK670" s="18">
        <v>0</v>
      </c>
      <c r="BL670" s="18">
        <v>0</v>
      </c>
      <c r="BM670" s="15">
        <v>0</v>
      </c>
      <c r="BN670" s="12">
        <v>1</v>
      </c>
      <c r="BO670" s="12">
        <v>0</v>
      </c>
      <c r="BP670" s="12">
        <v>0</v>
      </c>
      <c r="BQ670" s="12">
        <v>0</v>
      </c>
      <c r="BR670" s="12">
        <v>0</v>
      </c>
      <c r="BS670" s="12">
        <v>0</v>
      </c>
      <c r="BT670" s="12">
        <v>0</v>
      </c>
      <c r="BU670" s="47">
        <v>0</v>
      </c>
      <c r="BV670" s="47"/>
      <c r="BW670" s="47"/>
    </row>
    <row r="671" spans="3:75" ht="20.100000000000001" customHeight="1">
      <c r="C671" s="12">
        <v>61023201</v>
      </c>
      <c r="D671" s="13" t="s">
        <v>1645</v>
      </c>
      <c r="E671" s="13" t="s">
        <v>1646</v>
      </c>
      <c r="F671" s="12">
        <v>0</v>
      </c>
      <c r="G671" s="12">
        <v>61023201</v>
      </c>
      <c r="H671" s="12">
        <f>C672</f>
        <v>61023202</v>
      </c>
      <c r="I671" s="12">
        <v>0</v>
      </c>
      <c r="J671" s="12">
        <v>25</v>
      </c>
      <c r="K671" s="12">
        <v>5</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1" t="s">
        <v>1647</v>
      </c>
      <c r="AU671" s="12" t="s">
        <v>198</v>
      </c>
      <c r="AV671" s="12"/>
      <c r="AW671" s="13" t="s">
        <v>1648</v>
      </c>
      <c r="AX671" s="12" t="s">
        <v>1408</v>
      </c>
      <c r="AY671" s="12">
        <v>0</v>
      </c>
      <c r="AZ671" s="12">
        <v>21030020</v>
      </c>
      <c r="BA671" s="13" t="s">
        <v>200</v>
      </c>
      <c r="BB671" s="13" t="s">
        <v>198</v>
      </c>
      <c r="BC671" s="12">
        <v>0</v>
      </c>
      <c r="BD671" s="12">
        <v>0</v>
      </c>
      <c r="BE671" s="184" t="s">
        <v>1649</v>
      </c>
      <c r="BF671" s="184" t="s">
        <v>1650</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61023202</v>
      </c>
      <c r="D672" s="13" t="s">
        <v>1645</v>
      </c>
      <c r="E672" s="13" t="s">
        <v>1646</v>
      </c>
      <c r="F672" s="12">
        <v>1</v>
      </c>
      <c r="G672" s="12">
        <v>61023201</v>
      </c>
      <c r="H672" s="12">
        <f t="shared" ref="H672:H673" si="42">C673</f>
        <v>61023203</v>
      </c>
      <c r="I672" s="12">
        <v>0</v>
      </c>
      <c r="J672" s="12">
        <v>32</v>
      </c>
      <c r="K672" s="12">
        <v>2</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1" t="s">
        <v>1651</v>
      </c>
      <c r="AU672" s="12" t="s">
        <v>198</v>
      </c>
      <c r="AV672" s="12"/>
      <c r="AW672" s="13" t="s">
        <v>1648</v>
      </c>
      <c r="AX672" s="12" t="s">
        <v>1408</v>
      </c>
      <c r="AY672" s="12">
        <v>0</v>
      </c>
      <c r="AZ672" s="12">
        <v>21030020</v>
      </c>
      <c r="BA672" s="13" t="s">
        <v>200</v>
      </c>
      <c r="BB672" s="13" t="s">
        <v>198</v>
      </c>
      <c r="BC672" s="12">
        <v>0</v>
      </c>
      <c r="BD672" s="12">
        <v>0</v>
      </c>
      <c r="BE672" s="184" t="s">
        <v>1652</v>
      </c>
      <c r="BF672" s="184" t="s">
        <v>1653</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61023203</v>
      </c>
      <c r="D673" s="13" t="s">
        <v>1645</v>
      </c>
      <c r="E673" s="13" t="s">
        <v>1646</v>
      </c>
      <c r="F673" s="12">
        <v>2</v>
      </c>
      <c r="G673" s="12">
        <v>61023201</v>
      </c>
      <c r="H673" s="12">
        <f t="shared" si="42"/>
        <v>61023204</v>
      </c>
      <c r="I673" s="12">
        <v>0</v>
      </c>
      <c r="J673" s="12">
        <v>37</v>
      </c>
      <c r="K673" s="12">
        <v>2</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1" t="s">
        <v>1654</v>
      </c>
      <c r="AU673" s="12" t="s">
        <v>198</v>
      </c>
      <c r="AV673" s="12"/>
      <c r="AW673" s="13" t="s">
        <v>1648</v>
      </c>
      <c r="AX673" s="12" t="s">
        <v>1408</v>
      </c>
      <c r="AY673" s="12">
        <v>0</v>
      </c>
      <c r="AZ673" s="12">
        <v>21030020</v>
      </c>
      <c r="BA673" s="13" t="s">
        <v>200</v>
      </c>
      <c r="BB673" s="13" t="s">
        <v>198</v>
      </c>
      <c r="BC673" s="12">
        <v>0</v>
      </c>
      <c r="BD673" s="12">
        <v>0</v>
      </c>
      <c r="BE673" s="184" t="s">
        <v>1655</v>
      </c>
      <c r="BF673" s="184" t="s">
        <v>1656</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2">
        <v>61023204</v>
      </c>
      <c r="D674" s="13" t="s">
        <v>1645</v>
      </c>
      <c r="E674" s="13" t="s">
        <v>1646</v>
      </c>
      <c r="F674" s="12">
        <v>3</v>
      </c>
      <c r="G674" s="12">
        <v>61023201</v>
      </c>
      <c r="H674" s="12">
        <v>0</v>
      </c>
      <c r="I674" s="12">
        <v>0</v>
      </c>
      <c r="J674" s="12">
        <v>0</v>
      </c>
      <c r="K674" s="12">
        <v>0</v>
      </c>
      <c r="L674" s="12">
        <v>0</v>
      </c>
      <c r="M674" s="12">
        <v>1</v>
      </c>
      <c r="N674" s="12">
        <v>0</v>
      </c>
      <c r="O674" s="12">
        <v>1</v>
      </c>
      <c r="P674" s="12">
        <v>0</v>
      </c>
      <c r="Q674" s="12">
        <v>0</v>
      </c>
      <c r="R674" s="12">
        <v>0</v>
      </c>
      <c r="S674" s="12">
        <v>0</v>
      </c>
      <c r="T674" s="12">
        <v>0</v>
      </c>
      <c r="U674" s="12">
        <v>1</v>
      </c>
      <c r="V674" s="12">
        <v>2</v>
      </c>
      <c r="W674" s="12">
        <v>0</v>
      </c>
      <c r="X674" s="12">
        <v>0</v>
      </c>
      <c r="Y674" s="12">
        <v>0</v>
      </c>
      <c r="Z674" s="12">
        <v>0</v>
      </c>
      <c r="AA674" s="12">
        <v>0</v>
      </c>
      <c r="AB674" s="12">
        <v>0</v>
      </c>
      <c r="AC674" s="12">
        <v>0</v>
      </c>
      <c r="AD674" s="12">
        <v>0</v>
      </c>
      <c r="AE674" s="12">
        <v>0</v>
      </c>
      <c r="AF674" s="12">
        <v>18</v>
      </c>
      <c r="AG674" s="12">
        <v>0</v>
      </c>
      <c r="AH674" s="12">
        <v>0</v>
      </c>
      <c r="AI674" s="12">
        <v>2</v>
      </c>
      <c r="AJ674" s="12">
        <v>0</v>
      </c>
      <c r="AK674" s="12">
        <v>0</v>
      </c>
      <c r="AL674" s="12">
        <v>0</v>
      </c>
      <c r="AM674" s="12">
        <v>0</v>
      </c>
      <c r="AN674" s="12">
        <v>0</v>
      </c>
      <c r="AO674" s="12">
        <v>0</v>
      </c>
      <c r="AP674" s="12">
        <v>0</v>
      </c>
      <c r="AQ674" s="12">
        <v>1000</v>
      </c>
      <c r="AR674" s="12">
        <v>0</v>
      </c>
      <c r="AS674" s="12">
        <v>0</v>
      </c>
      <c r="AT674" s="341" t="s">
        <v>1657</v>
      </c>
      <c r="AU674" s="12" t="s">
        <v>198</v>
      </c>
      <c r="AV674" s="12"/>
      <c r="AW674" s="13" t="s">
        <v>1648</v>
      </c>
      <c r="AX674" s="12" t="s">
        <v>1408</v>
      </c>
      <c r="AY674" s="12">
        <v>0</v>
      </c>
      <c r="AZ674" s="12">
        <v>21030020</v>
      </c>
      <c r="BA674" s="13" t="s">
        <v>200</v>
      </c>
      <c r="BB674" s="13" t="s">
        <v>198</v>
      </c>
      <c r="BC674" s="12">
        <v>0</v>
      </c>
      <c r="BD674" s="12">
        <v>0</v>
      </c>
      <c r="BE674" s="184" t="s">
        <v>1658</v>
      </c>
      <c r="BF674" s="184" t="s">
        <v>1659</v>
      </c>
      <c r="BG674" s="12">
        <v>0</v>
      </c>
      <c r="BH674" s="12">
        <v>0</v>
      </c>
      <c r="BI674" s="12">
        <v>0</v>
      </c>
      <c r="BJ674" s="12">
        <v>0</v>
      </c>
      <c r="BK674" s="12">
        <v>0</v>
      </c>
      <c r="BL674" s="12">
        <v>0</v>
      </c>
      <c r="BM674" s="185">
        <v>0</v>
      </c>
      <c r="BN674" s="12">
        <v>0</v>
      </c>
      <c r="BO674" s="12">
        <v>0</v>
      </c>
      <c r="BP674" s="12">
        <v>0</v>
      </c>
      <c r="BQ674" s="12">
        <v>0</v>
      </c>
      <c r="BR674" s="12">
        <v>0</v>
      </c>
      <c r="BS674" s="12">
        <v>0</v>
      </c>
      <c r="BT674" s="12">
        <v>0</v>
      </c>
      <c r="BU674" s="47">
        <v>0</v>
      </c>
      <c r="BV674" s="47"/>
      <c r="BW674" s="47"/>
    </row>
    <row r="675" spans="3:75" ht="20.100000000000001" customHeight="1">
      <c r="C675" s="12">
        <v>61023205</v>
      </c>
      <c r="D675" s="13" t="s">
        <v>1645</v>
      </c>
      <c r="E675" s="13" t="s">
        <v>1646</v>
      </c>
      <c r="F675" s="12">
        <v>4</v>
      </c>
      <c r="G675" s="12">
        <v>61023201</v>
      </c>
      <c r="H675" s="12">
        <v>0</v>
      </c>
      <c r="I675" s="12">
        <v>0</v>
      </c>
      <c r="J675" s="12">
        <v>0</v>
      </c>
      <c r="K675" s="12">
        <v>0</v>
      </c>
      <c r="L675" s="12">
        <v>0</v>
      </c>
      <c r="M675" s="12">
        <v>1</v>
      </c>
      <c r="N675" s="12">
        <v>0</v>
      </c>
      <c r="O675" s="12">
        <v>1</v>
      </c>
      <c r="P675" s="12">
        <v>0</v>
      </c>
      <c r="Q675" s="12">
        <v>0</v>
      </c>
      <c r="R675" s="12">
        <v>0</v>
      </c>
      <c r="S675" s="12">
        <v>0</v>
      </c>
      <c r="T675" s="12">
        <v>0</v>
      </c>
      <c r="U675" s="12">
        <v>1</v>
      </c>
      <c r="V675" s="12">
        <v>2</v>
      </c>
      <c r="W675" s="12">
        <v>0</v>
      </c>
      <c r="X675" s="12">
        <v>0</v>
      </c>
      <c r="Y675" s="12">
        <v>0</v>
      </c>
      <c r="Z675" s="12">
        <v>0</v>
      </c>
      <c r="AA675" s="12">
        <v>0</v>
      </c>
      <c r="AB675" s="12">
        <v>0</v>
      </c>
      <c r="AC675" s="12">
        <v>0</v>
      </c>
      <c r="AD675" s="12">
        <v>0</v>
      </c>
      <c r="AE675" s="12">
        <v>0</v>
      </c>
      <c r="AF675" s="12">
        <v>18</v>
      </c>
      <c r="AG675" s="12">
        <v>0</v>
      </c>
      <c r="AH675" s="12">
        <v>0</v>
      </c>
      <c r="AI675" s="12">
        <v>2</v>
      </c>
      <c r="AJ675" s="12">
        <v>0</v>
      </c>
      <c r="AK675" s="12">
        <v>0</v>
      </c>
      <c r="AL675" s="12">
        <v>0</v>
      </c>
      <c r="AM675" s="12">
        <v>0</v>
      </c>
      <c r="AN675" s="12">
        <v>0</v>
      </c>
      <c r="AO675" s="12">
        <v>0</v>
      </c>
      <c r="AP675" s="12">
        <v>0</v>
      </c>
      <c r="AQ675" s="12">
        <v>1000</v>
      </c>
      <c r="AR675" s="12">
        <v>0</v>
      </c>
      <c r="AS675" s="12">
        <v>0</v>
      </c>
      <c r="AT675" s="341" t="s">
        <v>1660</v>
      </c>
      <c r="AU675" s="12" t="s">
        <v>198</v>
      </c>
      <c r="AV675" s="12"/>
      <c r="AW675" s="13" t="s">
        <v>1648</v>
      </c>
      <c r="AX675" s="12" t="s">
        <v>1408</v>
      </c>
      <c r="AY675" s="12">
        <v>0</v>
      </c>
      <c r="AZ675" s="12">
        <v>21030020</v>
      </c>
      <c r="BA675" s="13" t="s">
        <v>200</v>
      </c>
      <c r="BB675" s="13" t="s">
        <v>198</v>
      </c>
      <c r="BC675" s="12">
        <v>0</v>
      </c>
      <c r="BD675" s="12">
        <v>0</v>
      </c>
      <c r="BE675" s="184" t="s">
        <v>1661</v>
      </c>
      <c r="BF675" s="184" t="s">
        <v>1662</v>
      </c>
      <c r="BG675" s="12">
        <v>0</v>
      </c>
      <c r="BH675" s="12">
        <v>0</v>
      </c>
      <c r="BI675" s="12">
        <v>0</v>
      </c>
      <c r="BJ675" s="12">
        <v>0</v>
      </c>
      <c r="BK675" s="12">
        <v>0</v>
      </c>
      <c r="BL675" s="12">
        <v>0</v>
      </c>
      <c r="BM675" s="185">
        <v>0</v>
      </c>
      <c r="BN675" s="12">
        <v>0</v>
      </c>
      <c r="BO675" s="12">
        <v>0</v>
      </c>
      <c r="BP675" s="12">
        <v>0</v>
      </c>
      <c r="BQ675" s="12">
        <v>0</v>
      </c>
      <c r="BR675" s="12">
        <v>0</v>
      </c>
      <c r="BS675" s="12">
        <v>0</v>
      </c>
      <c r="BT675" s="12">
        <v>0</v>
      </c>
      <c r="BU675" s="47">
        <v>0</v>
      </c>
      <c r="BV675" s="47"/>
      <c r="BW675" s="47"/>
    </row>
    <row r="676" spans="3:75" ht="20.100000000000001" customHeight="1">
      <c r="C676" s="12">
        <v>61023206</v>
      </c>
      <c r="D676" s="13" t="s">
        <v>1645</v>
      </c>
      <c r="E676" s="13" t="s">
        <v>1646</v>
      </c>
      <c r="F676" s="12">
        <v>5</v>
      </c>
      <c r="G676" s="12">
        <v>61023201</v>
      </c>
      <c r="H676" s="12">
        <v>0</v>
      </c>
      <c r="I676" s="12">
        <v>0</v>
      </c>
      <c r="J676" s="12">
        <v>0</v>
      </c>
      <c r="K676" s="12">
        <v>0</v>
      </c>
      <c r="L676" s="12">
        <v>0</v>
      </c>
      <c r="M676" s="12">
        <v>1</v>
      </c>
      <c r="N676" s="12">
        <v>0</v>
      </c>
      <c r="O676" s="12">
        <v>1</v>
      </c>
      <c r="P676" s="12">
        <v>0</v>
      </c>
      <c r="Q676" s="12">
        <v>0</v>
      </c>
      <c r="R676" s="12">
        <v>0</v>
      </c>
      <c r="S676" s="12">
        <v>0</v>
      </c>
      <c r="T676" s="12">
        <v>0</v>
      </c>
      <c r="U676" s="12">
        <v>1</v>
      </c>
      <c r="V676" s="12">
        <v>2</v>
      </c>
      <c r="W676" s="12">
        <v>0</v>
      </c>
      <c r="X676" s="12">
        <v>0</v>
      </c>
      <c r="Y676" s="12">
        <v>0</v>
      </c>
      <c r="Z676" s="12">
        <v>0</v>
      </c>
      <c r="AA676" s="12">
        <v>0</v>
      </c>
      <c r="AB676" s="12">
        <v>0</v>
      </c>
      <c r="AC676" s="12">
        <v>0</v>
      </c>
      <c r="AD676" s="12">
        <v>0</v>
      </c>
      <c r="AE676" s="12">
        <v>0</v>
      </c>
      <c r="AF676" s="12">
        <v>18</v>
      </c>
      <c r="AG676" s="12">
        <v>0</v>
      </c>
      <c r="AH676" s="12">
        <v>0</v>
      </c>
      <c r="AI676" s="12">
        <v>2</v>
      </c>
      <c r="AJ676" s="12">
        <v>0</v>
      </c>
      <c r="AK676" s="12">
        <v>0</v>
      </c>
      <c r="AL676" s="12">
        <v>0</v>
      </c>
      <c r="AM676" s="12">
        <v>0</v>
      </c>
      <c r="AN676" s="12">
        <v>0</v>
      </c>
      <c r="AO676" s="12">
        <v>0</v>
      </c>
      <c r="AP676" s="12">
        <v>0</v>
      </c>
      <c r="AQ676" s="12">
        <v>1000</v>
      </c>
      <c r="AR676" s="12">
        <v>0</v>
      </c>
      <c r="AS676" s="12">
        <v>0</v>
      </c>
      <c r="AT676" s="341" t="s">
        <v>1663</v>
      </c>
      <c r="AU676" s="12" t="s">
        <v>198</v>
      </c>
      <c r="AV676" s="12"/>
      <c r="AW676" s="13" t="s">
        <v>1648</v>
      </c>
      <c r="AX676" s="12" t="s">
        <v>1408</v>
      </c>
      <c r="AY676" s="12">
        <v>0</v>
      </c>
      <c r="AZ676" s="12">
        <v>21030020</v>
      </c>
      <c r="BA676" s="13" t="s">
        <v>200</v>
      </c>
      <c r="BB676" s="13" t="s">
        <v>198</v>
      </c>
      <c r="BC676" s="12">
        <v>0</v>
      </c>
      <c r="BD676" s="12">
        <v>0</v>
      </c>
      <c r="BE676" s="184" t="s">
        <v>1664</v>
      </c>
      <c r="BF676" s="184" t="s">
        <v>1665</v>
      </c>
      <c r="BG676" s="12">
        <v>0</v>
      </c>
      <c r="BH676" s="12">
        <v>0</v>
      </c>
      <c r="BI676" s="12">
        <v>0</v>
      </c>
      <c r="BJ676" s="12">
        <v>0</v>
      </c>
      <c r="BK676" s="12">
        <v>0</v>
      </c>
      <c r="BL676" s="12">
        <v>0</v>
      </c>
      <c r="BM676" s="185">
        <v>0</v>
      </c>
      <c r="BN676" s="12">
        <v>0</v>
      </c>
      <c r="BO676" s="12">
        <v>0</v>
      </c>
      <c r="BP676" s="12">
        <v>0</v>
      </c>
      <c r="BQ676" s="12">
        <v>0</v>
      </c>
      <c r="BR676" s="12">
        <v>0</v>
      </c>
      <c r="BS676" s="12">
        <v>0</v>
      </c>
      <c r="BT676" s="12">
        <v>0</v>
      </c>
      <c r="BU676" s="47">
        <v>0</v>
      </c>
      <c r="BV676" s="47"/>
      <c r="BW676" s="47"/>
    </row>
    <row r="677" spans="3:75" ht="20.100000000000001" customHeight="1">
      <c r="C677" s="18">
        <v>61023301</v>
      </c>
      <c r="D677" s="19" t="s">
        <v>1666</v>
      </c>
      <c r="E677" s="19" t="s">
        <v>1667</v>
      </c>
      <c r="F677" s="16">
        <v>0</v>
      </c>
      <c r="G677" s="18">
        <v>61023301</v>
      </c>
      <c r="H677" s="18">
        <f>C678</f>
        <v>61023302</v>
      </c>
      <c r="I677" s="27">
        <v>0</v>
      </c>
      <c r="J677" s="16">
        <v>30</v>
      </c>
      <c r="K677" s="18">
        <v>5</v>
      </c>
      <c r="L677" s="16">
        <v>0</v>
      </c>
      <c r="M677" s="18">
        <v>0</v>
      </c>
      <c r="N677" s="18">
        <v>0</v>
      </c>
      <c r="O677" s="18">
        <v>1</v>
      </c>
      <c r="P677" s="18">
        <v>0</v>
      </c>
      <c r="Q677" s="18">
        <v>0</v>
      </c>
      <c r="R677" s="18">
        <v>0</v>
      </c>
      <c r="S677" s="12">
        <v>0</v>
      </c>
      <c r="T677" s="27">
        <v>0</v>
      </c>
      <c r="U677" s="16">
        <v>1</v>
      </c>
      <c r="V677" s="18">
        <v>2</v>
      </c>
      <c r="W677" s="18">
        <v>0</v>
      </c>
      <c r="X677" s="18">
        <v>1.2</v>
      </c>
      <c r="Y677" s="12">
        <v>0</v>
      </c>
      <c r="Z677" s="18">
        <v>900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9" t="s">
        <v>1668</v>
      </c>
      <c r="AV677" s="18">
        <v>90001079</v>
      </c>
      <c r="AW677" s="19" t="s">
        <v>199</v>
      </c>
      <c r="AX677" s="18" t="s">
        <v>1041</v>
      </c>
      <c r="AY677" s="18">
        <v>10004004</v>
      </c>
      <c r="AZ677" s="18">
        <v>21030030</v>
      </c>
      <c r="BA677" s="19" t="s">
        <v>1669</v>
      </c>
      <c r="BB677" s="19" t="s">
        <v>861</v>
      </c>
      <c r="BC677" s="27">
        <v>0</v>
      </c>
      <c r="BD677" s="27">
        <v>0</v>
      </c>
      <c r="BE677" s="183" t="str">
        <f>"释放出3个法球,释放时对附近单位造成1秒眩晕,并持续对周围造成每秒造成"&amp;X677*100&amp;"%攻击伤害+"&amp;Z677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7" s="183" t="s">
        <v>1670</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61023302</v>
      </c>
      <c r="D678" s="19" t="s">
        <v>1666</v>
      </c>
      <c r="E678" s="19" t="s">
        <v>1667</v>
      </c>
      <c r="F678" s="16">
        <v>1</v>
      </c>
      <c r="G678" s="18">
        <v>61023301</v>
      </c>
      <c r="H678" s="18">
        <f t="shared" ref="H678:H679" si="43">C679</f>
        <v>61023303</v>
      </c>
      <c r="I678" s="27">
        <v>0</v>
      </c>
      <c r="J678" s="16">
        <v>37</v>
      </c>
      <c r="K678" s="18">
        <v>2</v>
      </c>
      <c r="L678" s="16">
        <v>0</v>
      </c>
      <c r="M678" s="18">
        <v>0</v>
      </c>
      <c r="N678" s="18">
        <v>0</v>
      </c>
      <c r="O678" s="18">
        <v>1</v>
      </c>
      <c r="P678" s="18">
        <v>0</v>
      </c>
      <c r="Q678" s="18">
        <v>0</v>
      </c>
      <c r="R678" s="18">
        <v>0</v>
      </c>
      <c r="S678" s="12">
        <v>0</v>
      </c>
      <c r="T678" s="27">
        <v>0</v>
      </c>
      <c r="U678" s="16">
        <v>1</v>
      </c>
      <c r="V678" s="18">
        <v>2</v>
      </c>
      <c r="W678" s="18">
        <v>0</v>
      </c>
      <c r="X678" s="18">
        <v>1.2</v>
      </c>
      <c r="Y678" s="12">
        <v>0</v>
      </c>
      <c r="Z678" s="18">
        <v>900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9" t="s">
        <v>1668</v>
      </c>
      <c r="AV678" s="18">
        <v>90001079</v>
      </c>
      <c r="AW678" s="19" t="s">
        <v>199</v>
      </c>
      <c r="AX678" s="18" t="s">
        <v>1041</v>
      </c>
      <c r="AY678" s="18">
        <v>10004004</v>
      </c>
      <c r="AZ678" s="18">
        <v>21030030</v>
      </c>
      <c r="BA678" s="19" t="s">
        <v>1669</v>
      </c>
      <c r="BB678" s="19" t="s">
        <v>861</v>
      </c>
      <c r="BC678" s="27">
        <v>0</v>
      </c>
      <c r="BD678" s="27">
        <v>0</v>
      </c>
      <c r="BE678" s="183" t="str">
        <f t="shared" ref="BE678:BE682" si="44">"释放出3个法球,释放时对附近单位造成1秒眩晕,并持续对周围造成每秒造成"&amp;X678*100&amp;"%攻击伤害+"&amp;Z678&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8" s="183" t="s">
        <v>1670</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61023303</v>
      </c>
      <c r="D679" s="19" t="s">
        <v>1666</v>
      </c>
      <c r="E679" s="19" t="s">
        <v>1667</v>
      </c>
      <c r="F679" s="16">
        <v>2</v>
      </c>
      <c r="G679" s="18">
        <v>61023301</v>
      </c>
      <c r="H679" s="18">
        <f t="shared" si="43"/>
        <v>61023304</v>
      </c>
      <c r="I679" s="27">
        <v>0</v>
      </c>
      <c r="J679" s="16">
        <v>42</v>
      </c>
      <c r="K679" s="18">
        <v>2</v>
      </c>
      <c r="L679" s="16">
        <v>0</v>
      </c>
      <c r="M679" s="18">
        <v>0</v>
      </c>
      <c r="N679" s="18">
        <v>0</v>
      </c>
      <c r="O679" s="18">
        <v>1</v>
      </c>
      <c r="P679" s="18">
        <v>0</v>
      </c>
      <c r="Q679" s="18">
        <v>0</v>
      </c>
      <c r="R679" s="18">
        <v>0</v>
      </c>
      <c r="S679" s="12">
        <v>0</v>
      </c>
      <c r="T679" s="27">
        <v>0</v>
      </c>
      <c r="U679" s="16">
        <v>1</v>
      </c>
      <c r="V679" s="18">
        <v>2</v>
      </c>
      <c r="W679" s="18">
        <v>0</v>
      </c>
      <c r="X679" s="18">
        <v>1.35</v>
      </c>
      <c r="Y679" s="12">
        <v>0</v>
      </c>
      <c r="Z679" s="18">
        <v>1800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9"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9" s="183" t="s">
        <v>1671</v>
      </c>
      <c r="BG679" s="18">
        <v>0</v>
      </c>
      <c r="BH679" s="16">
        <v>0</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61023304</v>
      </c>
      <c r="D680" s="19" t="s">
        <v>1666</v>
      </c>
      <c r="E680" s="19" t="s">
        <v>1667</v>
      </c>
      <c r="F680" s="16">
        <v>3</v>
      </c>
      <c r="G680" s="18">
        <v>61023301</v>
      </c>
      <c r="H680" s="16">
        <v>0</v>
      </c>
      <c r="I680" s="27">
        <v>0</v>
      </c>
      <c r="J680" s="18">
        <v>0</v>
      </c>
      <c r="K680" s="18">
        <v>0</v>
      </c>
      <c r="L680" s="16">
        <v>0</v>
      </c>
      <c r="M680" s="18">
        <v>0</v>
      </c>
      <c r="N680" s="18">
        <v>0</v>
      </c>
      <c r="O680" s="18">
        <v>1</v>
      </c>
      <c r="P680" s="18">
        <v>0</v>
      </c>
      <c r="Q680" s="18">
        <v>0</v>
      </c>
      <c r="R680" s="18">
        <v>0</v>
      </c>
      <c r="S680" s="12">
        <v>0</v>
      </c>
      <c r="T680" s="27">
        <v>0</v>
      </c>
      <c r="U680" s="16">
        <v>1</v>
      </c>
      <c r="V680" s="18">
        <v>2</v>
      </c>
      <c r="W680" s="18">
        <v>0</v>
      </c>
      <c r="X680" s="18">
        <v>1.5</v>
      </c>
      <c r="Y680" s="12">
        <v>0</v>
      </c>
      <c r="Z680" s="18">
        <v>2800</v>
      </c>
      <c r="AA680" s="18">
        <v>0</v>
      </c>
      <c r="AB680" s="18">
        <v>0</v>
      </c>
      <c r="AC680" s="18">
        <v>0</v>
      </c>
      <c r="AD680" s="18">
        <v>0</v>
      </c>
      <c r="AE680" s="18">
        <v>0</v>
      </c>
      <c r="AF680" s="18">
        <v>12</v>
      </c>
      <c r="AG680" s="18">
        <v>1</v>
      </c>
      <c r="AH680" s="18">
        <v>2</v>
      </c>
      <c r="AI680" s="12">
        <v>2</v>
      </c>
      <c r="AJ680" s="12">
        <v>0</v>
      </c>
      <c r="AK680" s="12">
        <v>0</v>
      </c>
      <c r="AL680" s="12">
        <v>2</v>
      </c>
      <c r="AM680" s="18">
        <v>0</v>
      </c>
      <c r="AN680" s="18">
        <v>0</v>
      </c>
      <c r="AO680" s="18">
        <v>0</v>
      </c>
      <c r="AP680" s="18">
        <v>0.5</v>
      </c>
      <c r="AQ680" s="18">
        <v>10000</v>
      </c>
      <c r="AR680" s="18">
        <v>0.5</v>
      </c>
      <c r="AS680" s="18">
        <v>100</v>
      </c>
      <c r="AT680" s="12">
        <v>0</v>
      </c>
      <c r="AU680" s="349" t="s">
        <v>1668</v>
      </c>
      <c r="AV680" s="18">
        <v>90001079</v>
      </c>
      <c r="AW680" s="19" t="s">
        <v>199</v>
      </c>
      <c r="AX680" s="18" t="s">
        <v>1041</v>
      </c>
      <c r="AY680" s="18">
        <v>10004004</v>
      </c>
      <c r="AZ680" s="18">
        <v>21030030</v>
      </c>
      <c r="BA680" s="19" t="s">
        <v>1669</v>
      </c>
      <c r="BB680" s="19" t="s">
        <v>861</v>
      </c>
      <c r="BC680" s="27">
        <v>0</v>
      </c>
      <c r="BD680" s="27">
        <v>0</v>
      </c>
      <c r="BE680"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80" s="183" t="s">
        <v>1672</v>
      </c>
      <c r="BG680" s="18">
        <v>0</v>
      </c>
      <c r="BH680" s="16">
        <v>0</v>
      </c>
      <c r="BI680" s="18">
        <v>0</v>
      </c>
      <c r="BJ680" s="18">
        <v>0</v>
      </c>
      <c r="BK680" s="18">
        <v>0</v>
      </c>
      <c r="BL680" s="18">
        <v>0</v>
      </c>
      <c r="BM680" s="185">
        <v>61023311</v>
      </c>
      <c r="BN680" s="12">
        <v>0</v>
      </c>
      <c r="BO680" s="12">
        <v>0</v>
      </c>
      <c r="BP680" s="12">
        <v>0</v>
      </c>
      <c r="BQ680" s="12">
        <v>0</v>
      </c>
      <c r="BR680" s="12">
        <v>0</v>
      </c>
      <c r="BS680" s="12">
        <v>0</v>
      </c>
      <c r="BT680" s="12">
        <v>0</v>
      </c>
      <c r="BU680" s="47">
        <v>0</v>
      </c>
      <c r="BV680" s="47"/>
      <c r="BW680" s="47"/>
    </row>
    <row r="681" spans="3:75" ht="20.100000000000001" customHeight="1">
      <c r="C681" s="18">
        <v>61023305</v>
      </c>
      <c r="D681" s="19" t="s">
        <v>1666</v>
      </c>
      <c r="E681" s="19" t="s">
        <v>1667</v>
      </c>
      <c r="F681" s="16">
        <v>4</v>
      </c>
      <c r="G681" s="18">
        <v>61023301</v>
      </c>
      <c r="H681" s="16">
        <v>0</v>
      </c>
      <c r="I681" s="27">
        <v>0</v>
      </c>
      <c r="J681" s="18">
        <v>0</v>
      </c>
      <c r="K681" s="18">
        <v>0</v>
      </c>
      <c r="L681" s="16">
        <v>0</v>
      </c>
      <c r="M681" s="18">
        <v>0</v>
      </c>
      <c r="N681" s="18">
        <v>0</v>
      </c>
      <c r="O681" s="18">
        <v>1</v>
      </c>
      <c r="P681" s="18">
        <v>0</v>
      </c>
      <c r="Q681" s="18">
        <v>0</v>
      </c>
      <c r="R681" s="18">
        <v>0</v>
      </c>
      <c r="S681" s="12">
        <v>0</v>
      </c>
      <c r="T681" s="27">
        <v>0</v>
      </c>
      <c r="U681" s="16">
        <v>1</v>
      </c>
      <c r="V681" s="18">
        <v>2</v>
      </c>
      <c r="W681" s="18">
        <v>0</v>
      </c>
      <c r="X681" s="18">
        <v>1.65</v>
      </c>
      <c r="Y681" s="12">
        <v>0</v>
      </c>
      <c r="Z681" s="18">
        <v>4000</v>
      </c>
      <c r="AA681" s="18">
        <v>0</v>
      </c>
      <c r="AB681" s="18">
        <v>0</v>
      </c>
      <c r="AC681" s="18">
        <v>0</v>
      </c>
      <c r="AD681" s="18">
        <v>0</v>
      </c>
      <c r="AE681" s="18">
        <v>0</v>
      </c>
      <c r="AF681" s="18">
        <v>12</v>
      </c>
      <c r="AG681" s="18">
        <v>1</v>
      </c>
      <c r="AH681" s="18">
        <v>2</v>
      </c>
      <c r="AI681" s="12">
        <v>2</v>
      </c>
      <c r="AJ681" s="12">
        <v>0</v>
      </c>
      <c r="AK681" s="12">
        <v>0</v>
      </c>
      <c r="AL681" s="12">
        <v>2</v>
      </c>
      <c r="AM681" s="18">
        <v>0</v>
      </c>
      <c r="AN681" s="18">
        <v>0</v>
      </c>
      <c r="AO681" s="18">
        <v>0</v>
      </c>
      <c r="AP681" s="18">
        <v>0.5</v>
      </c>
      <c r="AQ681" s="18">
        <v>10000</v>
      </c>
      <c r="AR681" s="18">
        <v>0.5</v>
      </c>
      <c r="AS681" s="18">
        <v>100</v>
      </c>
      <c r="AT681" s="12">
        <v>0</v>
      </c>
      <c r="AU681" s="349" t="s">
        <v>1668</v>
      </c>
      <c r="AV681" s="18">
        <v>90001079</v>
      </c>
      <c r="AW681" s="19" t="s">
        <v>199</v>
      </c>
      <c r="AX681" s="18" t="s">
        <v>1041</v>
      </c>
      <c r="AY681" s="18">
        <v>10004004</v>
      </c>
      <c r="AZ681" s="18">
        <v>21030030</v>
      </c>
      <c r="BA681" s="19" t="s">
        <v>1669</v>
      </c>
      <c r="BB681" s="19" t="s">
        <v>861</v>
      </c>
      <c r="BC681" s="27">
        <v>0</v>
      </c>
      <c r="BD681" s="27">
        <v>0</v>
      </c>
      <c r="BE681"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81" s="183" t="s">
        <v>1673</v>
      </c>
      <c r="BG681" s="18">
        <v>0</v>
      </c>
      <c r="BH681" s="16">
        <v>0</v>
      </c>
      <c r="BI681" s="18">
        <v>0</v>
      </c>
      <c r="BJ681" s="18">
        <v>0</v>
      </c>
      <c r="BK681" s="18">
        <v>0</v>
      </c>
      <c r="BL681" s="18">
        <v>0</v>
      </c>
      <c r="BM681" s="185">
        <v>61023311</v>
      </c>
      <c r="BN681" s="12">
        <v>0</v>
      </c>
      <c r="BO681" s="12">
        <v>0</v>
      </c>
      <c r="BP681" s="12">
        <v>0</v>
      </c>
      <c r="BQ681" s="12">
        <v>0</v>
      </c>
      <c r="BR681" s="12">
        <v>0</v>
      </c>
      <c r="BS681" s="12">
        <v>0</v>
      </c>
      <c r="BT681" s="12">
        <v>0</v>
      </c>
      <c r="BU681" s="47">
        <v>0</v>
      </c>
      <c r="BV681" s="47"/>
      <c r="BW681" s="47"/>
    </row>
    <row r="682" spans="3:75" ht="20.100000000000001" customHeight="1">
      <c r="C682" s="18">
        <v>61023306</v>
      </c>
      <c r="D682" s="19" t="s">
        <v>1666</v>
      </c>
      <c r="E682" s="19" t="s">
        <v>1667</v>
      </c>
      <c r="F682" s="16">
        <v>5</v>
      </c>
      <c r="G682" s="18">
        <v>61023301</v>
      </c>
      <c r="H682" s="16">
        <v>0</v>
      </c>
      <c r="I682" s="27">
        <v>0</v>
      </c>
      <c r="J682" s="18">
        <v>0</v>
      </c>
      <c r="K682" s="18">
        <v>0</v>
      </c>
      <c r="L682" s="16">
        <v>0</v>
      </c>
      <c r="M682" s="18">
        <v>0</v>
      </c>
      <c r="N682" s="18">
        <v>0</v>
      </c>
      <c r="O682" s="18">
        <v>1</v>
      </c>
      <c r="P682" s="18">
        <v>0</v>
      </c>
      <c r="Q682" s="18">
        <v>0</v>
      </c>
      <c r="R682" s="18">
        <v>0</v>
      </c>
      <c r="S682" s="12">
        <v>0</v>
      </c>
      <c r="T682" s="27">
        <v>0</v>
      </c>
      <c r="U682" s="16">
        <v>1</v>
      </c>
      <c r="V682" s="18">
        <v>2</v>
      </c>
      <c r="W682" s="18">
        <v>0</v>
      </c>
      <c r="X682" s="18">
        <v>1.8</v>
      </c>
      <c r="Y682" s="12">
        <v>0</v>
      </c>
      <c r="Z682" s="18">
        <v>5200</v>
      </c>
      <c r="AA682" s="18">
        <v>0</v>
      </c>
      <c r="AB682" s="18">
        <v>0</v>
      </c>
      <c r="AC682" s="18">
        <v>0</v>
      </c>
      <c r="AD682" s="18">
        <v>0</v>
      </c>
      <c r="AE682" s="18">
        <v>0</v>
      </c>
      <c r="AF682" s="18">
        <v>12</v>
      </c>
      <c r="AG682" s="18">
        <v>1</v>
      </c>
      <c r="AH682" s="18">
        <v>2</v>
      </c>
      <c r="AI682" s="12">
        <v>2</v>
      </c>
      <c r="AJ682" s="12">
        <v>0</v>
      </c>
      <c r="AK682" s="12">
        <v>0</v>
      </c>
      <c r="AL682" s="12">
        <v>2</v>
      </c>
      <c r="AM682" s="18">
        <v>0</v>
      </c>
      <c r="AN682" s="18">
        <v>0</v>
      </c>
      <c r="AO682" s="18">
        <v>0</v>
      </c>
      <c r="AP682" s="18">
        <v>0.5</v>
      </c>
      <c r="AQ682" s="18">
        <v>10000</v>
      </c>
      <c r="AR682" s="18">
        <v>0.5</v>
      </c>
      <c r="AS682" s="18">
        <v>100</v>
      </c>
      <c r="AT682" s="12">
        <v>0</v>
      </c>
      <c r="AU682" s="349" t="s">
        <v>1668</v>
      </c>
      <c r="AV682" s="18">
        <v>90001079</v>
      </c>
      <c r="AW682" s="19" t="s">
        <v>199</v>
      </c>
      <c r="AX682" s="18" t="s">
        <v>1041</v>
      </c>
      <c r="AY682" s="18">
        <v>10004004</v>
      </c>
      <c r="AZ682" s="18">
        <v>21030030</v>
      </c>
      <c r="BA682" s="19" t="s">
        <v>1669</v>
      </c>
      <c r="BB682" s="19" t="s">
        <v>861</v>
      </c>
      <c r="BC682" s="27">
        <v>0</v>
      </c>
      <c r="BD682" s="27">
        <v>0</v>
      </c>
      <c r="BE682"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82" s="183" t="s">
        <v>1674</v>
      </c>
      <c r="BG682" s="18">
        <v>0</v>
      </c>
      <c r="BH682" s="16">
        <v>61023501</v>
      </c>
      <c r="BI682" s="18">
        <v>0</v>
      </c>
      <c r="BJ682" s="18">
        <v>0</v>
      </c>
      <c r="BK682" s="18">
        <v>0</v>
      </c>
      <c r="BL682" s="18">
        <v>0</v>
      </c>
      <c r="BM682" s="185">
        <v>61023311</v>
      </c>
      <c r="BN682" s="12">
        <v>0</v>
      </c>
      <c r="BO682" s="12">
        <v>0</v>
      </c>
      <c r="BP682" s="12">
        <v>0</v>
      </c>
      <c r="BQ682" s="12">
        <v>0</v>
      </c>
      <c r="BR682" s="12">
        <v>0</v>
      </c>
      <c r="BS682" s="12">
        <v>0</v>
      </c>
      <c r="BT682" s="12">
        <v>0</v>
      </c>
      <c r="BU682" s="47">
        <v>0</v>
      </c>
      <c r="BV682" s="47"/>
      <c r="BW682" s="47"/>
    </row>
    <row r="683" spans="3:75" ht="20.100000000000001" customHeight="1">
      <c r="C683" s="18">
        <v>61023311</v>
      </c>
      <c r="D683" s="19" t="s">
        <v>1637</v>
      </c>
      <c r="E683" s="19" t="s">
        <v>1638</v>
      </c>
      <c r="F683" s="16">
        <v>1</v>
      </c>
      <c r="G683" s="18">
        <v>61023101</v>
      </c>
      <c r="H683" s="18">
        <v>0</v>
      </c>
      <c r="I683" s="27">
        <v>0</v>
      </c>
      <c r="J683" s="16">
        <v>0</v>
      </c>
      <c r="K683" s="16">
        <v>0</v>
      </c>
      <c r="L683" s="16">
        <v>0</v>
      </c>
      <c r="M683" s="18">
        <v>0</v>
      </c>
      <c r="N683" s="18">
        <v>0</v>
      </c>
      <c r="O683" s="18">
        <v>1</v>
      </c>
      <c r="P683" s="18">
        <v>0</v>
      </c>
      <c r="Q683" s="18">
        <v>0</v>
      </c>
      <c r="R683" s="18">
        <v>0</v>
      </c>
      <c r="S683" s="12">
        <v>0</v>
      </c>
      <c r="T683" s="27">
        <v>0</v>
      </c>
      <c r="U683" s="16">
        <v>1</v>
      </c>
      <c r="V683" s="18">
        <v>2</v>
      </c>
      <c r="W683" s="18">
        <v>0</v>
      </c>
      <c r="X683" s="18">
        <v>0</v>
      </c>
      <c r="Y683" s="12">
        <v>0</v>
      </c>
      <c r="Z683" s="18">
        <v>0</v>
      </c>
      <c r="AA683" s="18">
        <v>1</v>
      </c>
      <c r="AB683" s="18">
        <v>0</v>
      </c>
      <c r="AC683" s="18">
        <v>0</v>
      </c>
      <c r="AD683" s="18">
        <v>0</v>
      </c>
      <c r="AE683" s="18">
        <v>0</v>
      </c>
      <c r="AF683" s="18">
        <v>9</v>
      </c>
      <c r="AG683" s="18">
        <v>1</v>
      </c>
      <c r="AH683" s="18">
        <v>3.5</v>
      </c>
      <c r="AI683" s="12">
        <v>0</v>
      </c>
      <c r="AJ683" s="12">
        <v>0</v>
      </c>
      <c r="AK683" s="12">
        <v>0</v>
      </c>
      <c r="AL683" s="12">
        <v>3</v>
      </c>
      <c r="AM683" s="18">
        <v>0</v>
      </c>
      <c r="AN683" s="18">
        <v>0</v>
      </c>
      <c r="AO683" s="18">
        <v>0</v>
      </c>
      <c r="AP683" s="18">
        <v>0.3</v>
      </c>
      <c r="AQ683" s="18">
        <v>2000</v>
      </c>
      <c r="AR683" s="18">
        <v>0.5</v>
      </c>
      <c r="AS683" s="18">
        <v>0</v>
      </c>
      <c r="AT683" s="12">
        <v>0</v>
      </c>
      <c r="AU683" s="349" t="s">
        <v>1675</v>
      </c>
      <c r="AV683" s="18"/>
      <c r="AW683" s="19" t="s">
        <v>198</v>
      </c>
      <c r="AX683" s="18">
        <v>0</v>
      </c>
      <c r="AY683" s="18">
        <v>0</v>
      </c>
      <c r="AZ683" s="18">
        <v>0</v>
      </c>
      <c r="BA683" s="19" t="s">
        <v>200</v>
      </c>
      <c r="BB683" s="19">
        <v>0</v>
      </c>
      <c r="BC683" s="27">
        <v>0</v>
      </c>
      <c r="BD683" s="27">
        <v>0</v>
      </c>
      <c r="BE683" s="183" t="s">
        <v>1676</v>
      </c>
      <c r="BF683" s="183" t="s">
        <v>1677</v>
      </c>
      <c r="BG683" s="18">
        <v>0</v>
      </c>
      <c r="BH683" s="16">
        <v>0</v>
      </c>
      <c r="BI683" s="18">
        <v>0</v>
      </c>
      <c r="BJ683" s="18">
        <v>0</v>
      </c>
      <c r="BK683" s="18">
        <v>0</v>
      </c>
      <c r="BL683" s="18">
        <v>0</v>
      </c>
      <c r="BM683" s="15">
        <v>0</v>
      </c>
      <c r="BN683" s="12">
        <v>1</v>
      </c>
      <c r="BO683" s="12">
        <v>0</v>
      </c>
      <c r="BP683" s="12">
        <v>0</v>
      </c>
      <c r="BQ683" s="12">
        <v>0</v>
      </c>
      <c r="BR683" s="12">
        <v>0</v>
      </c>
      <c r="BS683" s="12">
        <v>0</v>
      </c>
      <c r="BT683" s="12">
        <v>0</v>
      </c>
      <c r="BU683" s="47">
        <v>0</v>
      </c>
      <c r="BV683" s="47"/>
      <c r="BW683" s="47"/>
    </row>
    <row r="684" spans="3:75" ht="20.100000000000001" customHeight="1">
      <c r="C684" s="18">
        <v>61023401</v>
      </c>
      <c r="D684" s="19" t="s">
        <v>1678</v>
      </c>
      <c r="E684" s="19" t="s">
        <v>1679</v>
      </c>
      <c r="F684" s="16">
        <v>0</v>
      </c>
      <c r="G684" s="18">
        <v>61023401</v>
      </c>
      <c r="H684" s="18">
        <f>C685</f>
        <v>61023402</v>
      </c>
      <c r="I684" s="27">
        <v>0</v>
      </c>
      <c r="J684" s="16">
        <v>35</v>
      </c>
      <c r="K684" s="16">
        <v>5</v>
      </c>
      <c r="L684" s="16">
        <v>0</v>
      </c>
      <c r="M684" s="18">
        <v>0</v>
      </c>
      <c r="N684" s="18">
        <v>0</v>
      </c>
      <c r="O684" s="18">
        <v>1</v>
      </c>
      <c r="P684" s="18">
        <v>0</v>
      </c>
      <c r="Q684" s="18">
        <v>0</v>
      </c>
      <c r="R684" s="18">
        <v>0</v>
      </c>
      <c r="S684" s="12">
        <v>0</v>
      </c>
      <c r="T684" s="27">
        <v>0</v>
      </c>
      <c r="U684" s="16">
        <v>1</v>
      </c>
      <c r="V684" s="18">
        <v>2</v>
      </c>
      <c r="W684" s="18">
        <v>0</v>
      </c>
      <c r="X684" s="18">
        <v>1</v>
      </c>
      <c r="Y684" s="12">
        <v>0</v>
      </c>
      <c r="Z684" s="18">
        <v>500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9" t="s">
        <v>1680</v>
      </c>
      <c r="AV684" s="18"/>
      <c r="AW684" s="19" t="s">
        <v>1557</v>
      </c>
      <c r="AX684" s="18" t="s">
        <v>1408</v>
      </c>
      <c r="AY684" s="18">
        <v>10002001</v>
      </c>
      <c r="AZ684" s="18">
        <v>21030040</v>
      </c>
      <c r="BA684" s="19" t="s">
        <v>315</v>
      </c>
      <c r="BB684" s="19" t="s">
        <v>371</v>
      </c>
      <c r="BC684" s="27">
        <v>0</v>
      </c>
      <c r="BD684" s="27">
        <v>0</v>
      </c>
      <c r="BE684" s="183" t="str">
        <f>"在脚底下立即释放法术,在此范围内的目标每秒造成"&amp;X684*100&amp;"%攻击伤害+"&amp;Z684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4" s="183" t="s">
        <v>1681</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61023402</v>
      </c>
      <c r="D685" s="19" t="s">
        <v>1678</v>
      </c>
      <c r="E685" s="19" t="s">
        <v>1679</v>
      </c>
      <c r="F685" s="16">
        <v>1</v>
      </c>
      <c r="G685" s="18">
        <v>61023401</v>
      </c>
      <c r="H685" s="18">
        <f t="shared" ref="H685:H686" si="45">C686</f>
        <v>61023403</v>
      </c>
      <c r="I685" s="27">
        <v>0</v>
      </c>
      <c r="J685" s="16">
        <v>42</v>
      </c>
      <c r="K685" s="16">
        <v>2</v>
      </c>
      <c r="L685" s="16">
        <v>0</v>
      </c>
      <c r="M685" s="18">
        <v>0</v>
      </c>
      <c r="N685" s="18">
        <v>0</v>
      </c>
      <c r="O685" s="18">
        <v>1</v>
      </c>
      <c r="P685" s="18">
        <v>0</v>
      </c>
      <c r="Q685" s="18">
        <v>0</v>
      </c>
      <c r="R685" s="18">
        <v>0</v>
      </c>
      <c r="S685" s="12">
        <v>0</v>
      </c>
      <c r="T685" s="27">
        <v>0</v>
      </c>
      <c r="U685" s="16">
        <v>1</v>
      </c>
      <c r="V685" s="18">
        <v>2</v>
      </c>
      <c r="W685" s="18">
        <v>0</v>
      </c>
      <c r="X685" s="18">
        <v>1</v>
      </c>
      <c r="Y685" s="12">
        <v>0</v>
      </c>
      <c r="Z685" s="18">
        <v>500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9" t="s">
        <v>1680</v>
      </c>
      <c r="AV685" s="18"/>
      <c r="AW685" s="19" t="s">
        <v>1557</v>
      </c>
      <c r="AX685" s="18" t="s">
        <v>1408</v>
      </c>
      <c r="AY685" s="18">
        <v>10002001</v>
      </c>
      <c r="AZ685" s="18">
        <v>21030040</v>
      </c>
      <c r="BA685" s="19" t="s">
        <v>315</v>
      </c>
      <c r="BB685" s="19" t="s">
        <v>371</v>
      </c>
      <c r="BC685" s="27">
        <v>0</v>
      </c>
      <c r="BD685" s="27">
        <v>0</v>
      </c>
      <c r="BE685" s="183" t="str">
        <f t="shared" ref="BE685:BE689" si="46">"在脚底下立即释放法术,在此范围内的目标每秒造成"&amp;X685*100&amp;"%攻击伤害+"&amp;Z685&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5" s="183" t="s">
        <v>1681</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61023403</v>
      </c>
      <c r="D686" s="19" t="s">
        <v>1678</v>
      </c>
      <c r="E686" s="19" t="s">
        <v>1679</v>
      </c>
      <c r="F686" s="16">
        <v>2</v>
      </c>
      <c r="G686" s="18">
        <v>61023401</v>
      </c>
      <c r="H686" s="18">
        <f t="shared" si="45"/>
        <v>61023404</v>
      </c>
      <c r="I686" s="27">
        <v>0</v>
      </c>
      <c r="J686" s="16">
        <v>47</v>
      </c>
      <c r="K686" s="16">
        <v>2</v>
      </c>
      <c r="L686" s="16">
        <v>0</v>
      </c>
      <c r="M686" s="18">
        <v>0</v>
      </c>
      <c r="N686" s="18">
        <v>0</v>
      </c>
      <c r="O686" s="18">
        <v>1</v>
      </c>
      <c r="P686" s="18">
        <v>0</v>
      </c>
      <c r="Q686" s="18">
        <v>0</v>
      </c>
      <c r="R686" s="18">
        <v>0</v>
      </c>
      <c r="S686" s="12">
        <v>0</v>
      </c>
      <c r="T686" s="27">
        <v>0</v>
      </c>
      <c r="U686" s="16">
        <v>1</v>
      </c>
      <c r="V686" s="18">
        <v>2</v>
      </c>
      <c r="W686" s="18">
        <v>0</v>
      </c>
      <c r="X686" s="18">
        <v>1.1499999999999999</v>
      </c>
      <c r="Y686" s="12">
        <v>0</v>
      </c>
      <c r="Z686" s="18">
        <v>800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9" t="s">
        <v>1682</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6" s="183" t="s">
        <v>1683</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61023404</v>
      </c>
      <c r="D687" s="19" t="s">
        <v>1678</v>
      </c>
      <c r="E687" s="19" t="s">
        <v>1679</v>
      </c>
      <c r="F687" s="16">
        <v>3</v>
      </c>
      <c r="G687" s="18">
        <v>61023401</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1.3</v>
      </c>
      <c r="Y687" s="12">
        <v>0</v>
      </c>
      <c r="Z687" s="18">
        <v>1150</v>
      </c>
      <c r="AA687" s="18">
        <v>0</v>
      </c>
      <c r="AB687" s="18">
        <v>0</v>
      </c>
      <c r="AC687" s="18">
        <v>0</v>
      </c>
      <c r="AD687" s="18">
        <v>0</v>
      </c>
      <c r="AE687" s="18">
        <v>0</v>
      </c>
      <c r="AF687" s="18">
        <v>30</v>
      </c>
      <c r="AG687" s="18">
        <v>1</v>
      </c>
      <c r="AH687" s="18">
        <v>4</v>
      </c>
      <c r="AI687" s="12">
        <v>2</v>
      </c>
      <c r="AJ687" s="12">
        <v>0</v>
      </c>
      <c r="AK687" s="12">
        <v>0</v>
      </c>
      <c r="AL687" s="12">
        <v>1.5</v>
      </c>
      <c r="AM687" s="18">
        <v>0</v>
      </c>
      <c r="AN687" s="18">
        <v>0</v>
      </c>
      <c r="AO687" s="18">
        <v>0</v>
      </c>
      <c r="AP687" s="18">
        <v>0.5</v>
      </c>
      <c r="AQ687" s="18">
        <v>15000</v>
      </c>
      <c r="AR687" s="18">
        <v>0.5</v>
      </c>
      <c r="AS687" s="18">
        <v>0</v>
      </c>
      <c r="AT687" s="12">
        <v>0</v>
      </c>
      <c r="AU687" s="349" t="s">
        <v>1684</v>
      </c>
      <c r="AV687" s="18"/>
      <c r="AW687" s="19" t="s">
        <v>1557</v>
      </c>
      <c r="AX687" s="18" t="s">
        <v>1408</v>
      </c>
      <c r="AY687" s="18">
        <v>10002001</v>
      </c>
      <c r="AZ687" s="18">
        <v>21030040</v>
      </c>
      <c r="BA687" s="19" t="s">
        <v>315</v>
      </c>
      <c r="BB687" s="19" t="s">
        <v>371</v>
      </c>
      <c r="BC687" s="27">
        <v>0</v>
      </c>
      <c r="BD687" s="27">
        <v>0</v>
      </c>
      <c r="BE687"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7" s="183" t="s">
        <v>1685</v>
      </c>
      <c r="BG687" s="18">
        <v>0</v>
      </c>
      <c r="BH687" s="16">
        <v>61023501</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20.100000000000001" customHeight="1">
      <c r="C688" s="18">
        <v>61023405</v>
      </c>
      <c r="D688" s="19" t="s">
        <v>1678</v>
      </c>
      <c r="E688" s="19" t="s">
        <v>1679</v>
      </c>
      <c r="F688" s="16">
        <v>4</v>
      </c>
      <c r="G688" s="18">
        <v>61023401</v>
      </c>
      <c r="H688" s="16">
        <v>0</v>
      </c>
      <c r="I688" s="27">
        <v>0</v>
      </c>
      <c r="J688" s="18">
        <v>0</v>
      </c>
      <c r="K688" s="16">
        <v>0</v>
      </c>
      <c r="L688" s="16">
        <v>0</v>
      </c>
      <c r="M688" s="18">
        <v>0</v>
      </c>
      <c r="N688" s="18">
        <v>0</v>
      </c>
      <c r="O688" s="18">
        <v>1</v>
      </c>
      <c r="P688" s="18">
        <v>0</v>
      </c>
      <c r="Q688" s="18">
        <v>0</v>
      </c>
      <c r="R688" s="18">
        <v>0</v>
      </c>
      <c r="S688" s="12">
        <v>0</v>
      </c>
      <c r="T688" s="27">
        <v>0</v>
      </c>
      <c r="U688" s="16">
        <v>1</v>
      </c>
      <c r="V688" s="18">
        <v>2</v>
      </c>
      <c r="W688" s="18">
        <v>0</v>
      </c>
      <c r="X688" s="18">
        <v>1.45</v>
      </c>
      <c r="Y688" s="12">
        <v>0</v>
      </c>
      <c r="Z688" s="18">
        <v>1550</v>
      </c>
      <c r="AA688" s="18">
        <v>0</v>
      </c>
      <c r="AB688" s="18">
        <v>0</v>
      </c>
      <c r="AC688" s="18">
        <v>0</v>
      </c>
      <c r="AD688" s="18">
        <v>0</v>
      </c>
      <c r="AE688" s="18">
        <v>0</v>
      </c>
      <c r="AF688" s="18">
        <v>30</v>
      </c>
      <c r="AG688" s="18">
        <v>1</v>
      </c>
      <c r="AH688" s="18">
        <v>4</v>
      </c>
      <c r="AI688" s="12">
        <v>2</v>
      </c>
      <c r="AJ688" s="12">
        <v>0</v>
      </c>
      <c r="AK688" s="12">
        <v>0</v>
      </c>
      <c r="AL688" s="12">
        <v>1.5</v>
      </c>
      <c r="AM688" s="18">
        <v>0</v>
      </c>
      <c r="AN688" s="18">
        <v>0</v>
      </c>
      <c r="AO688" s="18">
        <v>0</v>
      </c>
      <c r="AP688" s="18">
        <v>0.5</v>
      </c>
      <c r="AQ688" s="18">
        <v>15000</v>
      </c>
      <c r="AR688" s="18">
        <v>0.5</v>
      </c>
      <c r="AS688" s="18">
        <v>0</v>
      </c>
      <c r="AT688" s="12">
        <v>0</v>
      </c>
      <c r="AU688" s="349" t="s">
        <v>1686</v>
      </c>
      <c r="AV688" s="18"/>
      <c r="AW688" s="19" t="s">
        <v>1557</v>
      </c>
      <c r="AX688" s="18" t="s">
        <v>1408</v>
      </c>
      <c r="AY688" s="18">
        <v>10002001</v>
      </c>
      <c r="AZ688" s="18">
        <v>21030040</v>
      </c>
      <c r="BA688" s="19" t="s">
        <v>315</v>
      </c>
      <c r="BB688" s="19" t="s">
        <v>371</v>
      </c>
      <c r="BC688" s="27">
        <v>0</v>
      </c>
      <c r="BD688" s="27">
        <v>0</v>
      </c>
      <c r="BE688"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8" s="183" t="s">
        <v>1687</v>
      </c>
      <c r="BG688" s="18">
        <v>0</v>
      </c>
      <c r="BH688" s="16">
        <v>61023501</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20.100000000000001" customHeight="1">
      <c r="C689" s="18">
        <v>61023406</v>
      </c>
      <c r="D689" s="19" t="s">
        <v>1678</v>
      </c>
      <c r="E689" s="19" t="s">
        <v>1679</v>
      </c>
      <c r="F689" s="16">
        <v>5</v>
      </c>
      <c r="G689" s="18">
        <v>61023401</v>
      </c>
      <c r="H689" s="16">
        <v>0</v>
      </c>
      <c r="I689" s="27">
        <v>0</v>
      </c>
      <c r="J689" s="18">
        <v>0</v>
      </c>
      <c r="K689" s="16">
        <v>0</v>
      </c>
      <c r="L689" s="16">
        <v>0</v>
      </c>
      <c r="M689" s="18">
        <v>0</v>
      </c>
      <c r="N689" s="18">
        <v>0</v>
      </c>
      <c r="O689" s="18">
        <v>1</v>
      </c>
      <c r="P689" s="18">
        <v>0</v>
      </c>
      <c r="Q689" s="18">
        <v>0</v>
      </c>
      <c r="R689" s="18">
        <v>0</v>
      </c>
      <c r="S689" s="12">
        <v>0</v>
      </c>
      <c r="T689" s="27">
        <v>0</v>
      </c>
      <c r="U689" s="16">
        <v>1</v>
      </c>
      <c r="V689" s="18">
        <v>2</v>
      </c>
      <c r="W689" s="18">
        <v>0</v>
      </c>
      <c r="X689" s="18">
        <v>1.6</v>
      </c>
      <c r="Y689" s="12">
        <v>0</v>
      </c>
      <c r="Z689" s="18">
        <v>2050</v>
      </c>
      <c r="AA689" s="18">
        <v>0</v>
      </c>
      <c r="AB689" s="18">
        <v>0</v>
      </c>
      <c r="AC689" s="18">
        <v>0</v>
      </c>
      <c r="AD689" s="18">
        <v>0</v>
      </c>
      <c r="AE689" s="18">
        <v>0</v>
      </c>
      <c r="AF689" s="18">
        <v>30</v>
      </c>
      <c r="AG689" s="18">
        <v>1</v>
      </c>
      <c r="AH689" s="18">
        <v>4</v>
      </c>
      <c r="AI689" s="12">
        <v>2</v>
      </c>
      <c r="AJ689" s="12">
        <v>0</v>
      </c>
      <c r="AK689" s="12">
        <v>0</v>
      </c>
      <c r="AL689" s="12">
        <v>1.5</v>
      </c>
      <c r="AM689" s="18">
        <v>0</v>
      </c>
      <c r="AN689" s="18">
        <v>0</v>
      </c>
      <c r="AO689" s="18">
        <v>0</v>
      </c>
      <c r="AP689" s="18">
        <v>0.5</v>
      </c>
      <c r="AQ689" s="18">
        <v>15000</v>
      </c>
      <c r="AR689" s="18">
        <v>0.5</v>
      </c>
      <c r="AS689" s="18">
        <v>0</v>
      </c>
      <c r="AT689" s="12">
        <v>0</v>
      </c>
      <c r="AU689" s="349" t="s">
        <v>1688</v>
      </c>
      <c r="AV689" s="18"/>
      <c r="AW689" s="19" t="s">
        <v>1557</v>
      </c>
      <c r="AX689" s="18" t="s">
        <v>1408</v>
      </c>
      <c r="AY689" s="18">
        <v>10002001</v>
      </c>
      <c r="AZ689" s="18">
        <v>21030040</v>
      </c>
      <c r="BA689" s="19" t="s">
        <v>315</v>
      </c>
      <c r="BB689" s="19" t="s">
        <v>371</v>
      </c>
      <c r="BC689" s="27">
        <v>0</v>
      </c>
      <c r="BD689" s="27">
        <v>0</v>
      </c>
      <c r="BE689"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9" s="183" t="s">
        <v>1689</v>
      </c>
      <c r="BG689" s="18">
        <v>0</v>
      </c>
      <c r="BH689" s="16">
        <v>61023501</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20.100000000000001" customHeight="1">
      <c r="C690" s="18">
        <v>61023501</v>
      </c>
      <c r="D690" s="19" t="s">
        <v>1690</v>
      </c>
      <c r="E690" s="19" t="s">
        <v>1691</v>
      </c>
      <c r="F690" s="16">
        <v>0</v>
      </c>
      <c r="G690" s="18">
        <v>0</v>
      </c>
      <c r="H690" s="16">
        <v>0</v>
      </c>
      <c r="I690" s="27">
        <v>0</v>
      </c>
      <c r="J690" s="18">
        <v>0</v>
      </c>
      <c r="K690" s="16">
        <v>0</v>
      </c>
      <c r="L690" s="16">
        <v>0</v>
      </c>
      <c r="M690" s="18">
        <v>0</v>
      </c>
      <c r="N690" s="18">
        <v>0</v>
      </c>
      <c r="O690" s="18">
        <v>1</v>
      </c>
      <c r="P690" s="18">
        <v>0</v>
      </c>
      <c r="Q690" s="18">
        <v>0</v>
      </c>
      <c r="R690" s="18">
        <v>0</v>
      </c>
      <c r="S690" s="12">
        <v>0</v>
      </c>
      <c r="T690" s="27">
        <v>0</v>
      </c>
      <c r="U690" s="16">
        <v>1</v>
      </c>
      <c r="V690" s="18">
        <v>2</v>
      </c>
      <c r="W690" s="18">
        <v>0</v>
      </c>
      <c r="X690" s="18">
        <v>0</v>
      </c>
      <c r="Y690" s="12">
        <v>0</v>
      </c>
      <c r="Z690" s="18">
        <v>0</v>
      </c>
      <c r="AA690" s="18">
        <v>0</v>
      </c>
      <c r="AB690" s="18">
        <v>0</v>
      </c>
      <c r="AC690" s="18">
        <v>0</v>
      </c>
      <c r="AD690" s="18">
        <v>0</v>
      </c>
      <c r="AE690" s="18">
        <v>0</v>
      </c>
      <c r="AF690" s="18">
        <v>30</v>
      </c>
      <c r="AG690" s="18">
        <v>1</v>
      </c>
      <c r="AH690" s="18">
        <v>3</v>
      </c>
      <c r="AI690" s="12">
        <v>2</v>
      </c>
      <c r="AJ690" s="12">
        <v>0</v>
      </c>
      <c r="AK690" s="12">
        <v>0</v>
      </c>
      <c r="AL690" s="12">
        <v>1.5</v>
      </c>
      <c r="AM690" s="18">
        <v>0</v>
      </c>
      <c r="AN690" s="18">
        <v>0</v>
      </c>
      <c r="AO690" s="18">
        <v>0</v>
      </c>
      <c r="AP690" s="18">
        <v>0.5</v>
      </c>
      <c r="AQ690" s="18">
        <v>15000</v>
      </c>
      <c r="AR690" s="18">
        <v>0.5</v>
      </c>
      <c r="AS690" s="18">
        <v>0</v>
      </c>
      <c r="AT690" s="12">
        <v>0</v>
      </c>
      <c r="AU690" s="18">
        <v>90001038</v>
      </c>
      <c r="AV690" s="18"/>
      <c r="AW690" s="19"/>
      <c r="AX690" s="18"/>
      <c r="AY690" s="18">
        <v>0</v>
      </c>
      <c r="AZ690" s="18">
        <v>0</v>
      </c>
      <c r="BA690" s="19" t="s">
        <v>200</v>
      </c>
      <c r="BB690" s="19" t="s">
        <v>371</v>
      </c>
      <c r="BC690" s="27">
        <v>0</v>
      </c>
      <c r="BD690" s="27">
        <v>0</v>
      </c>
      <c r="BE690" s="183" t="s">
        <v>1692</v>
      </c>
      <c r="BF690" s="183" t="s">
        <v>1693</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62011101</v>
      </c>
      <c r="D691" s="19" t="s">
        <v>1377</v>
      </c>
      <c r="E691" s="19" t="s">
        <v>1694</v>
      </c>
      <c r="F691" s="16">
        <v>0</v>
      </c>
      <c r="G691" s="18">
        <v>62011101</v>
      </c>
      <c r="H691" s="18">
        <f>C692</f>
        <v>62011102</v>
      </c>
      <c r="I691" s="27">
        <v>3</v>
      </c>
      <c r="J691" s="16">
        <v>1</v>
      </c>
      <c r="K691" s="16">
        <v>5</v>
      </c>
      <c r="L691" s="16">
        <v>0</v>
      </c>
      <c r="M691" s="18">
        <v>0</v>
      </c>
      <c r="N691" s="18">
        <v>0</v>
      </c>
      <c r="O691" s="18">
        <v>1</v>
      </c>
      <c r="P691" s="18">
        <v>0</v>
      </c>
      <c r="Q691" s="18">
        <v>0</v>
      </c>
      <c r="R691" s="18">
        <v>0</v>
      </c>
      <c r="S691" s="12">
        <v>0</v>
      </c>
      <c r="T691" s="27">
        <v>0</v>
      </c>
      <c r="U691" s="16">
        <v>1</v>
      </c>
      <c r="V691" s="18">
        <v>2</v>
      </c>
      <c r="W691" s="18">
        <v>0</v>
      </c>
      <c r="X691" s="18">
        <v>2.25</v>
      </c>
      <c r="Y691" s="12">
        <v>0</v>
      </c>
      <c r="Z691" s="18">
        <v>900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"立即对目标范围内的怪物造成"&amp;X691*100&amp;"%攻击伤害+"&amp;Z691&amp;"点固定伤害"</f>
        <v>立即对目标范围内的怪物造成225%攻击伤害+900点固定伤害</v>
      </c>
      <c r="BF691" s="183" t="s">
        <v>1696</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62011102</v>
      </c>
      <c r="D692" s="19" t="s">
        <v>1377</v>
      </c>
      <c r="E692" s="19" t="s">
        <v>1694</v>
      </c>
      <c r="F692" s="16">
        <v>1</v>
      </c>
      <c r="G692" s="18">
        <v>62011101</v>
      </c>
      <c r="H692" s="18">
        <f t="shared" ref="H692:H693" si="47">C693</f>
        <v>62011103</v>
      </c>
      <c r="I692" s="27">
        <v>3</v>
      </c>
      <c r="J692" s="16">
        <v>1</v>
      </c>
      <c r="K692" s="16">
        <v>2</v>
      </c>
      <c r="L692" s="16">
        <v>0</v>
      </c>
      <c r="M692" s="18">
        <v>0</v>
      </c>
      <c r="N692" s="18">
        <v>0</v>
      </c>
      <c r="O692" s="18">
        <v>1</v>
      </c>
      <c r="P692" s="18">
        <v>0</v>
      </c>
      <c r="Q692" s="18">
        <v>0</v>
      </c>
      <c r="R692" s="18">
        <v>0</v>
      </c>
      <c r="S692" s="12">
        <v>0</v>
      </c>
      <c r="T692" s="27">
        <v>0</v>
      </c>
      <c r="U692" s="16">
        <v>1</v>
      </c>
      <c r="V692" s="18">
        <v>2</v>
      </c>
      <c r="W692" s="18">
        <v>0</v>
      </c>
      <c r="X692" s="18">
        <v>2.25</v>
      </c>
      <c r="Y692" s="12">
        <v>0</v>
      </c>
      <c r="Z692" s="18">
        <v>900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ref="BE692:BE696" si="48">"立即对目标范围内的怪物造成"&amp;X692*100&amp;"%攻击伤害+"&amp;Z692&amp;"点固定伤害"</f>
        <v>立即对目标范围内的怪物造成225%攻击伤害+900点固定伤害</v>
      </c>
      <c r="BF692" s="183" t="s">
        <v>1696</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62011103</v>
      </c>
      <c r="D693" s="19" t="s">
        <v>1377</v>
      </c>
      <c r="E693" s="19" t="s">
        <v>1694</v>
      </c>
      <c r="F693" s="16">
        <v>2</v>
      </c>
      <c r="G693" s="18">
        <v>62011101</v>
      </c>
      <c r="H693" s="18">
        <f t="shared" si="47"/>
        <v>62011104</v>
      </c>
      <c r="I693" s="27">
        <v>3</v>
      </c>
      <c r="J693" s="16">
        <v>1</v>
      </c>
      <c r="K693" s="16">
        <v>2</v>
      </c>
      <c r="L693" s="16">
        <v>0</v>
      </c>
      <c r="M693" s="18">
        <v>0</v>
      </c>
      <c r="N693" s="18">
        <v>0</v>
      </c>
      <c r="O693" s="18">
        <v>1</v>
      </c>
      <c r="P693" s="18">
        <v>0</v>
      </c>
      <c r="Q693" s="18">
        <v>0</v>
      </c>
      <c r="R693" s="18">
        <v>0</v>
      </c>
      <c r="S693" s="12">
        <v>0</v>
      </c>
      <c r="T693" s="27">
        <v>0</v>
      </c>
      <c r="U693" s="16">
        <v>1</v>
      </c>
      <c r="V693" s="18">
        <v>2</v>
      </c>
      <c r="W693" s="18">
        <v>0</v>
      </c>
      <c r="X693" s="18">
        <v>2.5</v>
      </c>
      <c r="Y693" s="12">
        <v>0</v>
      </c>
      <c r="Z693" s="18">
        <v>1800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立即对目标范围内的怪物造成250%攻击伤害+1800点固定伤害</v>
      </c>
      <c r="BF693" s="183" t="s">
        <v>1697</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62011104</v>
      </c>
      <c r="D694" s="19" t="s">
        <v>1377</v>
      </c>
      <c r="E694" s="19" t="s">
        <v>1694</v>
      </c>
      <c r="F694" s="16">
        <v>3</v>
      </c>
      <c r="G694" s="18">
        <v>62011101</v>
      </c>
      <c r="H694" s="16">
        <v>0</v>
      </c>
      <c r="I694" s="27">
        <v>3</v>
      </c>
      <c r="J694" s="16">
        <v>1</v>
      </c>
      <c r="K694" s="16">
        <v>0</v>
      </c>
      <c r="L694" s="16">
        <v>0</v>
      </c>
      <c r="M694" s="18">
        <v>0</v>
      </c>
      <c r="N694" s="18">
        <v>0</v>
      </c>
      <c r="O694" s="18">
        <v>1</v>
      </c>
      <c r="P694" s="18">
        <v>0</v>
      </c>
      <c r="Q694" s="18">
        <v>0</v>
      </c>
      <c r="R694" s="18">
        <v>0</v>
      </c>
      <c r="S694" s="12">
        <v>0</v>
      </c>
      <c r="T694" s="27">
        <v>0</v>
      </c>
      <c r="U694" s="16">
        <v>1</v>
      </c>
      <c r="V694" s="18">
        <v>2</v>
      </c>
      <c r="W694" s="18">
        <v>0</v>
      </c>
      <c r="X694" s="18">
        <v>2.75</v>
      </c>
      <c r="Y694" s="12">
        <v>0</v>
      </c>
      <c r="Z694" s="18">
        <v>2800</v>
      </c>
      <c r="AA694" s="18">
        <v>0</v>
      </c>
      <c r="AB694" s="18">
        <v>0</v>
      </c>
      <c r="AC694" s="18">
        <v>0</v>
      </c>
      <c r="AD694" s="18">
        <v>0</v>
      </c>
      <c r="AE694" s="18">
        <v>0</v>
      </c>
      <c r="AF694" s="18">
        <v>7</v>
      </c>
      <c r="AG694" s="18">
        <v>1</v>
      </c>
      <c r="AH694" s="18">
        <v>3</v>
      </c>
      <c r="AI694" s="12">
        <v>2</v>
      </c>
      <c r="AJ694" s="12">
        <v>1</v>
      </c>
      <c r="AK694" s="12">
        <v>0</v>
      </c>
      <c r="AL694" s="12">
        <v>6</v>
      </c>
      <c r="AM694" s="18">
        <v>0</v>
      </c>
      <c r="AN694" s="18">
        <v>0</v>
      </c>
      <c r="AO694" s="18">
        <v>0</v>
      </c>
      <c r="AP694" s="18">
        <v>0.25</v>
      </c>
      <c r="AQ694" s="18">
        <v>2000</v>
      </c>
      <c r="AR694" s="18">
        <v>0.25</v>
      </c>
      <c r="AS694" s="18">
        <v>0</v>
      </c>
      <c r="AT694" s="12">
        <v>0</v>
      </c>
      <c r="AU694" s="18">
        <v>0</v>
      </c>
      <c r="AV694" s="18"/>
      <c r="AW694" s="19" t="s">
        <v>199</v>
      </c>
      <c r="AX694" s="18" t="s">
        <v>1695</v>
      </c>
      <c r="AY694" s="18">
        <v>10000006</v>
      </c>
      <c r="AZ694" s="18">
        <v>21100010</v>
      </c>
      <c r="BA694" s="19" t="s">
        <v>200</v>
      </c>
      <c r="BB694" s="19">
        <v>0</v>
      </c>
      <c r="BC694" s="27">
        <v>0</v>
      </c>
      <c r="BD694" s="27">
        <v>0</v>
      </c>
      <c r="BE694" s="183" t="str">
        <f t="shared" si="48"/>
        <v>立即对目标范围内的怪物造成275%攻击伤害+2800点固定伤害</v>
      </c>
      <c r="BF694" s="183" t="s">
        <v>1698</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62011105</v>
      </c>
      <c r="D695" s="19" t="s">
        <v>1377</v>
      </c>
      <c r="E695" s="19" t="s">
        <v>1694</v>
      </c>
      <c r="F695" s="16">
        <v>4</v>
      </c>
      <c r="G695" s="18">
        <v>62011101</v>
      </c>
      <c r="H695" s="16">
        <v>0</v>
      </c>
      <c r="I695" s="27">
        <v>3</v>
      </c>
      <c r="J695" s="16">
        <v>1</v>
      </c>
      <c r="K695" s="16">
        <v>0</v>
      </c>
      <c r="L695" s="16">
        <v>0</v>
      </c>
      <c r="M695" s="18">
        <v>0</v>
      </c>
      <c r="N695" s="18">
        <v>0</v>
      </c>
      <c r="O695" s="18">
        <v>1</v>
      </c>
      <c r="P695" s="18">
        <v>0</v>
      </c>
      <c r="Q695" s="18">
        <v>0</v>
      </c>
      <c r="R695" s="18">
        <v>0</v>
      </c>
      <c r="S695" s="12">
        <v>0</v>
      </c>
      <c r="T695" s="27">
        <v>0</v>
      </c>
      <c r="U695" s="16">
        <v>1</v>
      </c>
      <c r="V695" s="18">
        <v>2</v>
      </c>
      <c r="W695" s="18">
        <v>0</v>
      </c>
      <c r="X695" s="18">
        <v>3</v>
      </c>
      <c r="Y695" s="12">
        <v>0</v>
      </c>
      <c r="Z695" s="18">
        <v>4000</v>
      </c>
      <c r="AA695" s="18">
        <v>0</v>
      </c>
      <c r="AB695" s="18">
        <v>0</v>
      </c>
      <c r="AC695" s="18">
        <v>0</v>
      </c>
      <c r="AD695" s="18">
        <v>0</v>
      </c>
      <c r="AE695" s="18">
        <v>0</v>
      </c>
      <c r="AF695" s="18">
        <v>7</v>
      </c>
      <c r="AG695" s="18">
        <v>1</v>
      </c>
      <c r="AH695" s="18">
        <v>3</v>
      </c>
      <c r="AI695" s="12">
        <v>2</v>
      </c>
      <c r="AJ695" s="12">
        <v>1</v>
      </c>
      <c r="AK695" s="12">
        <v>0</v>
      </c>
      <c r="AL695" s="12">
        <v>6</v>
      </c>
      <c r="AM695" s="18">
        <v>0</v>
      </c>
      <c r="AN695" s="18">
        <v>0</v>
      </c>
      <c r="AO695" s="18">
        <v>0</v>
      </c>
      <c r="AP695" s="18">
        <v>0.25</v>
      </c>
      <c r="AQ695" s="18">
        <v>2000</v>
      </c>
      <c r="AR695" s="18">
        <v>0.25</v>
      </c>
      <c r="AS695" s="18">
        <v>0</v>
      </c>
      <c r="AT695" s="12">
        <v>0</v>
      </c>
      <c r="AU695" s="18">
        <v>0</v>
      </c>
      <c r="AV695" s="18"/>
      <c r="AW695" s="19" t="s">
        <v>199</v>
      </c>
      <c r="AX695" s="18" t="s">
        <v>1695</v>
      </c>
      <c r="AY695" s="18">
        <v>10000006</v>
      </c>
      <c r="AZ695" s="18">
        <v>21100010</v>
      </c>
      <c r="BA695" s="19" t="s">
        <v>200</v>
      </c>
      <c r="BB695" s="19">
        <v>0</v>
      </c>
      <c r="BC695" s="27">
        <v>0</v>
      </c>
      <c r="BD695" s="27">
        <v>0</v>
      </c>
      <c r="BE695" s="183" t="str">
        <f t="shared" si="48"/>
        <v>立即对目标范围内的怪物造成300%攻击伤害+4000点固定伤害</v>
      </c>
      <c r="BF695" s="183" t="s">
        <v>1699</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62011106</v>
      </c>
      <c r="D696" s="19" t="s">
        <v>1377</v>
      </c>
      <c r="E696" s="19" t="s">
        <v>1694</v>
      </c>
      <c r="F696" s="16">
        <v>5</v>
      </c>
      <c r="G696" s="18">
        <v>62011101</v>
      </c>
      <c r="H696" s="16">
        <v>0</v>
      </c>
      <c r="I696" s="27">
        <v>3</v>
      </c>
      <c r="J696" s="16">
        <v>1</v>
      </c>
      <c r="K696" s="16">
        <v>0</v>
      </c>
      <c r="L696" s="16">
        <v>0</v>
      </c>
      <c r="M696" s="18">
        <v>0</v>
      </c>
      <c r="N696" s="18">
        <v>0</v>
      </c>
      <c r="O696" s="18">
        <v>1</v>
      </c>
      <c r="P696" s="18">
        <v>0</v>
      </c>
      <c r="Q696" s="18">
        <v>0</v>
      </c>
      <c r="R696" s="18">
        <v>0</v>
      </c>
      <c r="S696" s="12">
        <v>0</v>
      </c>
      <c r="T696" s="27">
        <v>0</v>
      </c>
      <c r="U696" s="16">
        <v>1</v>
      </c>
      <c r="V696" s="18">
        <v>2</v>
      </c>
      <c r="W696" s="18">
        <v>0</v>
      </c>
      <c r="X696" s="18">
        <v>3.25</v>
      </c>
      <c r="Y696" s="12">
        <v>0</v>
      </c>
      <c r="Z696" s="18">
        <v>5200</v>
      </c>
      <c r="AA696" s="18">
        <v>0</v>
      </c>
      <c r="AB696" s="18">
        <v>0</v>
      </c>
      <c r="AC696" s="18">
        <v>0</v>
      </c>
      <c r="AD696" s="18">
        <v>0</v>
      </c>
      <c r="AE696" s="18">
        <v>0</v>
      </c>
      <c r="AF696" s="18">
        <v>7</v>
      </c>
      <c r="AG696" s="18">
        <v>1</v>
      </c>
      <c r="AH696" s="18">
        <v>3</v>
      </c>
      <c r="AI696" s="12">
        <v>2</v>
      </c>
      <c r="AJ696" s="12">
        <v>1</v>
      </c>
      <c r="AK696" s="12">
        <v>0</v>
      </c>
      <c r="AL696" s="12">
        <v>6</v>
      </c>
      <c r="AM696" s="18">
        <v>0</v>
      </c>
      <c r="AN696" s="18">
        <v>0</v>
      </c>
      <c r="AO696" s="18">
        <v>0</v>
      </c>
      <c r="AP696" s="18">
        <v>0.25</v>
      </c>
      <c r="AQ696" s="18">
        <v>2000</v>
      </c>
      <c r="AR696" s="18">
        <v>0.25</v>
      </c>
      <c r="AS696" s="18">
        <v>0</v>
      </c>
      <c r="AT696" s="12">
        <v>0</v>
      </c>
      <c r="AU696" s="18">
        <v>0</v>
      </c>
      <c r="AV696" s="18"/>
      <c r="AW696" s="19" t="s">
        <v>199</v>
      </c>
      <c r="AX696" s="18" t="s">
        <v>1695</v>
      </c>
      <c r="AY696" s="18">
        <v>10000006</v>
      </c>
      <c r="AZ696" s="18">
        <v>21100010</v>
      </c>
      <c r="BA696" s="19" t="s">
        <v>200</v>
      </c>
      <c r="BB696" s="19">
        <v>0</v>
      </c>
      <c r="BC696" s="27">
        <v>0</v>
      </c>
      <c r="BD696" s="27">
        <v>0</v>
      </c>
      <c r="BE696" s="183" t="str">
        <f t="shared" si="48"/>
        <v>立即对目标范围内的怪物造成325%攻击伤害+5200点固定伤害</v>
      </c>
      <c r="BF696" s="183" t="s">
        <v>1700</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62011201</v>
      </c>
      <c r="D697" s="19" t="s">
        <v>1701</v>
      </c>
      <c r="E697" s="19" t="s">
        <v>1702</v>
      </c>
      <c r="F697" s="16">
        <v>0</v>
      </c>
      <c r="G697" s="16">
        <v>62011201</v>
      </c>
      <c r="H697" s="18">
        <f>C698</f>
        <v>62011202</v>
      </c>
      <c r="I697" s="27">
        <v>4</v>
      </c>
      <c r="J697" s="16">
        <v>3</v>
      </c>
      <c r="K697" s="16">
        <v>5</v>
      </c>
      <c r="L697" s="16">
        <v>0</v>
      </c>
      <c r="M697" s="18">
        <v>0</v>
      </c>
      <c r="N697" s="18">
        <v>0</v>
      </c>
      <c r="O697" s="18">
        <v>1</v>
      </c>
      <c r="P697" s="18">
        <v>0</v>
      </c>
      <c r="Q697" s="18">
        <v>0</v>
      </c>
      <c r="R697" s="18">
        <v>0</v>
      </c>
      <c r="S697" s="12">
        <v>0</v>
      </c>
      <c r="T697" s="27">
        <v>0</v>
      </c>
      <c r="U697" s="16">
        <v>1</v>
      </c>
      <c r="V697" s="18">
        <v>2</v>
      </c>
      <c r="W697" s="18">
        <v>0</v>
      </c>
      <c r="X697" s="18">
        <v>2</v>
      </c>
      <c r="Y697" s="12">
        <v>0</v>
      </c>
      <c r="Z697" s="18">
        <v>750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"立即对目标范围内的怪物造成"&amp;X697*100&amp;"%攻击伤害+"&amp;Z697&amp;"点固定伤害"&amp;",并使目标移动速度降低50%,持续3秒"</f>
        <v>立即对目标范围内的怪物造成200%攻击伤害+750点固定伤害,并使目标移动速度降低50%,持续3秒</v>
      </c>
      <c r="BF697" s="183" t="s">
        <v>1704</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62011202</v>
      </c>
      <c r="D698" s="19" t="s">
        <v>1701</v>
      </c>
      <c r="E698" s="19" t="s">
        <v>1702</v>
      </c>
      <c r="F698" s="16">
        <v>1</v>
      </c>
      <c r="G698" s="16">
        <v>62011201</v>
      </c>
      <c r="H698" s="18">
        <f t="shared" ref="H698:H699" si="49">C699</f>
        <v>62011203</v>
      </c>
      <c r="I698" s="27">
        <v>4</v>
      </c>
      <c r="J698" s="16">
        <v>3</v>
      </c>
      <c r="K698" s="16">
        <v>2</v>
      </c>
      <c r="L698" s="16">
        <v>0</v>
      </c>
      <c r="M698" s="18">
        <v>0</v>
      </c>
      <c r="N698" s="18">
        <v>0</v>
      </c>
      <c r="O698" s="18">
        <v>1</v>
      </c>
      <c r="P698" s="18">
        <v>0</v>
      </c>
      <c r="Q698" s="18">
        <v>0</v>
      </c>
      <c r="R698" s="18">
        <v>0</v>
      </c>
      <c r="S698" s="12">
        <v>0</v>
      </c>
      <c r="T698" s="27">
        <v>0</v>
      </c>
      <c r="U698" s="16">
        <v>1</v>
      </c>
      <c r="V698" s="18">
        <v>2</v>
      </c>
      <c r="W698" s="18">
        <v>0</v>
      </c>
      <c r="X698" s="18">
        <v>2</v>
      </c>
      <c r="Y698" s="12">
        <v>0</v>
      </c>
      <c r="Z698" s="18">
        <v>750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ref="BE698:BE702" si="50">"立即对目标范围内的怪物造成"&amp;X698*100&amp;"%攻击伤害+"&amp;Z698&amp;"点固定伤害"&amp;",并使目标移动速度降低50%,持续3秒"</f>
        <v>立即对目标范围内的怪物造成200%攻击伤害+750点固定伤害,并使目标移动速度降低50%,持续3秒</v>
      </c>
      <c r="BF698" s="183" t="s">
        <v>1704</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62011203</v>
      </c>
      <c r="D699" s="19" t="s">
        <v>1701</v>
      </c>
      <c r="E699" s="19" t="s">
        <v>1702</v>
      </c>
      <c r="F699" s="16">
        <v>2</v>
      </c>
      <c r="G699" s="16">
        <v>62011201</v>
      </c>
      <c r="H699" s="18">
        <f t="shared" si="49"/>
        <v>62011204</v>
      </c>
      <c r="I699" s="27">
        <v>4</v>
      </c>
      <c r="J699" s="16">
        <v>3</v>
      </c>
      <c r="K699" s="16">
        <v>2</v>
      </c>
      <c r="L699" s="16">
        <v>0</v>
      </c>
      <c r="M699" s="18">
        <v>0</v>
      </c>
      <c r="N699" s="18">
        <v>0</v>
      </c>
      <c r="O699" s="18">
        <v>1</v>
      </c>
      <c r="P699" s="18">
        <v>0</v>
      </c>
      <c r="Q699" s="18">
        <v>0</v>
      </c>
      <c r="R699" s="18">
        <v>0</v>
      </c>
      <c r="S699" s="12">
        <v>0</v>
      </c>
      <c r="T699" s="27">
        <v>0</v>
      </c>
      <c r="U699" s="16">
        <v>1</v>
      </c>
      <c r="V699" s="18">
        <v>2</v>
      </c>
      <c r="W699" s="18">
        <v>0</v>
      </c>
      <c r="X699" s="18">
        <v>2.2000000000000002</v>
      </c>
      <c r="Y699" s="12">
        <v>0</v>
      </c>
      <c r="Z699" s="18">
        <v>1500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立即对目标范围内的怪物造成220%攻击伤害+1500点固定伤害,并使目标移动速度降低50%,持续3秒</v>
      </c>
      <c r="BF699" s="183" t="s">
        <v>1705</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62011204</v>
      </c>
      <c r="D700" s="19" t="s">
        <v>1701</v>
      </c>
      <c r="E700" s="19" t="s">
        <v>1702</v>
      </c>
      <c r="F700" s="16">
        <v>3</v>
      </c>
      <c r="G700" s="16">
        <v>62011201</v>
      </c>
      <c r="H700" s="18">
        <v>0</v>
      </c>
      <c r="I700" s="27">
        <v>4</v>
      </c>
      <c r="J700" s="16">
        <v>3</v>
      </c>
      <c r="K700" s="16">
        <v>0</v>
      </c>
      <c r="L700" s="16">
        <v>0</v>
      </c>
      <c r="M700" s="18">
        <v>0</v>
      </c>
      <c r="N700" s="18">
        <v>0</v>
      </c>
      <c r="O700" s="18">
        <v>1</v>
      </c>
      <c r="P700" s="18">
        <v>0</v>
      </c>
      <c r="Q700" s="18">
        <v>0</v>
      </c>
      <c r="R700" s="18">
        <v>0</v>
      </c>
      <c r="S700" s="12">
        <v>0</v>
      </c>
      <c r="T700" s="27">
        <v>0</v>
      </c>
      <c r="U700" s="16">
        <v>1</v>
      </c>
      <c r="V700" s="18">
        <v>2</v>
      </c>
      <c r="W700" s="18">
        <v>0</v>
      </c>
      <c r="X700" s="18">
        <v>2.4</v>
      </c>
      <c r="Y700" s="12">
        <v>0</v>
      </c>
      <c r="Z700" s="18">
        <v>2250</v>
      </c>
      <c r="AA700" s="18">
        <v>0</v>
      </c>
      <c r="AB700" s="18">
        <v>0</v>
      </c>
      <c r="AC700" s="18">
        <v>0</v>
      </c>
      <c r="AD700" s="18">
        <v>0</v>
      </c>
      <c r="AE700" s="18">
        <v>0</v>
      </c>
      <c r="AF700" s="18">
        <v>9</v>
      </c>
      <c r="AG700" s="18">
        <v>1</v>
      </c>
      <c r="AH700" s="18">
        <v>3</v>
      </c>
      <c r="AI700" s="12">
        <v>2</v>
      </c>
      <c r="AJ700" s="12">
        <v>2</v>
      </c>
      <c r="AK700" s="12">
        <v>0</v>
      </c>
      <c r="AL700" s="12">
        <v>4</v>
      </c>
      <c r="AM700" s="18">
        <v>0</v>
      </c>
      <c r="AN700" s="18">
        <v>0</v>
      </c>
      <c r="AO700" s="18">
        <v>0</v>
      </c>
      <c r="AP700" s="18">
        <v>0.25</v>
      </c>
      <c r="AQ700" s="18">
        <v>3000</v>
      </c>
      <c r="AR700" s="18">
        <v>0.25</v>
      </c>
      <c r="AS700" s="18">
        <v>10</v>
      </c>
      <c r="AT700" s="12">
        <v>0</v>
      </c>
      <c r="AU700" s="18">
        <v>92002001</v>
      </c>
      <c r="AV700" s="18"/>
      <c r="AW700" s="19" t="s">
        <v>199</v>
      </c>
      <c r="AX700" s="18" t="s">
        <v>1703</v>
      </c>
      <c r="AY700" s="18">
        <v>10003002</v>
      </c>
      <c r="AZ700" s="18">
        <v>21100020</v>
      </c>
      <c r="BA700" s="19" t="s">
        <v>586</v>
      </c>
      <c r="BB700" s="19">
        <v>0</v>
      </c>
      <c r="BC700" s="27">
        <v>0</v>
      </c>
      <c r="BD700" s="27">
        <v>0</v>
      </c>
      <c r="BE700" s="183" t="str">
        <f t="shared" si="50"/>
        <v>立即对目标范围内的怪物造成240%攻击伤害+2250点固定伤害,并使目标移动速度降低50%,持续3秒</v>
      </c>
      <c r="BF700" s="183" t="s">
        <v>1706</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62011205</v>
      </c>
      <c r="D701" s="19" t="s">
        <v>1701</v>
      </c>
      <c r="E701" s="19" t="s">
        <v>1702</v>
      </c>
      <c r="F701" s="16">
        <v>4</v>
      </c>
      <c r="G701" s="16">
        <v>62011201</v>
      </c>
      <c r="H701" s="18">
        <v>0</v>
      </c>
      <c r="I701" s="27">
        <v>4</v>
      </c>
      <c r="J701" s="16">
        <v>3</v>
      </c>
      <c r="K701" s="16">
        <v>0</v>
      </c>
      <c r="L701" s="16">
        <v>0</v>
      </c>
      <c r="M701" s="18">
        <v>0</v>
      </c>
      <c r="N701" s="18">
        <v>0</v>
      </c>
      <c r="O701" s="18">
        <v>1</v>
      </c>
      <c r="P701" s="18">
        <v>0</v>
      </c>
      <c r="Q701" s="18">
        <v>0</v>
      </c>
      <c r="R701" s="18">
        <v>0</v>
      </c>
      <c r="S701" s="12">
        <v>0</v>
      </c>
      <c r="T701" s="27">
        <v>0</v>
      </c>
      <c r="U701" s="16">
        <v>1</v>
      </c>
      <c r="V701" s="18">
        <v>2</v>
      </c>
      <c r="W701" s="18">
        <v>0</v>
      </c>
      <c r="X701" s="18">
        <v>2.6</v>
      </c>
      <c r="Y701" s="12">
        <v>0</v>
      </c>
      <c r="Z701" s="18">
        <v>3250</v>
      </c>
      <c r="AA701" s="18">
        <v>0</v>
      </c>
      <c r="AB701" s="18">
        <v>0</v>
      </c>
      <c r="AC701" s="18">
        <v>0</v>
      </c>
      <c r="AD701" s="18">
        <v>0</v>
      </c>
      <c r="AE701" s="18">
        <v>0</v>
      </c>
      <c r="AF701" s="18">
        <v>9</v>
      </c>
      <c r="AG701" s="18">
        <v>1</v>
      </c>
      <c r="AH701" s="18">
        <v>3</v>
      </c>
      <c r="AI701" s="12">
        <v>2</v>
      </c>
      <c r="AJ701" s="12">
        <v>2</v>
      </c>
      <c r="AK701" s="12">
        <v>0</v>
      </c>
      <c r="AL701" s="12">
        <v>4</v>
      </c>
      <c r="AM701" s="18">
        <v>0</v>
      </c>
      <c r="AN701" s="18">
        <v>0</v>
      </c>
      <c r="AO701" s="18">
        <v>0</v>
      </c>
      <c r="AP701" s="18">
        <v>0.25</v>
      </c>
      <c r="AQ701" s="18">
        <v>3000</v>
      </c>
      <c r="AR701" s="18">
        <v>0.25</v>
      </c>
      <c r="AS701" s="18">
        <v>10</v>
      </c>
      <c r="AT701" s="12">
        <v>0</v>
      </c>
      <c r="AU701" s="18">
        <v>92002001</v>
      </c>
      <c r="AV701" s="18"/>
      <c r="AW701" s="19" t="s">
        <v>199</v>
      </c>
      <c r="AX701" s="18" t="s">
        <v>1703</v>
      </c>
      <c r="AY701" s="18">
        <v>10003002</v>
      </c>
      <c r="AZ701" s="18">
        <v>21100020</v>
      </c>
      <c r="BA701" s="19" t="s">
        <v>586</v>
      </c>
      <c r="BB701" s="19">
        <v>0</v>
      </c>
      <c r="BC701" s="27">
        <v>0</v>
      </c>
      <c r="BD701" s="27">
        <v>0</v>
      </c>
      <c r="BE701" s="183" t="str">
        <f t="shared" si="50"/>
        <v>立即对目标范围内的怪物造成260%攻击伤害+3250点固定伤害,并使目标移动速度降低50%,持续3秒</v>
      </c>
      <c r="BF701" s="183" t="s">
        <v>1707</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62011206</v>
      </c>
      <c r="D702" s="19" t="s">
        <v>1701</v>
      </c>
      <c r="E702" s="19" t="s">
        <v>1702</v>
      </c>
      <c r="F702" s="16">
        <v>5</v>
      </c>
      <c r="G702" s="16">
        <v>62011201</v>
      </c>
      <c r="H702" s="18">
        <v>0</v>
      </c>
      <c r="I702" s="27">
        <v>4</v>
      </c>
      <c r="J702" s="16">
        <v>3</v>
      </c>
      <c r="K702" s="16">
        <v>0</v>
      </c>
      <c r="L702" s="16">
        <v>0</v>
      </c>
      <c r="M702" s="18">
        <v>0</v>
      </c>
      <c r="N702" s="18">
        <v>0</v>
      </c>
      <c r="O702" s="18">
        <v>1</v>
      </c>
      <c r="P702" s="18">
        <v>0</v>
      </c>
      <c r="Q702" s="18">
        <v>0</v>
      </c>
      <c r="R702" s="18">
        <v>0</v>
      </c>
      <c r="S702" s="12">
        <v>0</v>
      </c>
      <c r="T702" s="27">
        <v>0</v>
      </c>
      <c r="U702" s="16">
        <v>1</v>
      </c>
      <c r="V702" s="18">
        <v>2</v>
      </c>
      <c r="W702" s="18">
        <v>0</v>
      </c>
      <c r="X702" s="18">
        <v>2.8</v>
      </c>
      <c r="Y702" s="12">
        <v>0</v>
      </c>
      <c r="Z702" s="18">
        <v>4250</v>
      </c>
      <c r="AA702" s="18">
        <v>0</v>
      </c>
      <c r="AB702" s="18">
        <v>0</v>
      </c>
      <c r="AC702" s="18">
        <v>0</v>
      </c>
      <c r="AD702" s="18">
        <v>0</v>
      </c>
      <c r="AE702" s="18">
        <v>0</v>
      </c>
      <c r="AF702" s="18">
        <v>9</v>
      </c>
      <c r="AG702" s="18">
        <v>1</v>
      </c>
      <c r="AH702" s="18">
        <v>3</v>
      </c>
      <c r="AI702" s="12">
        <v>2</v>
      </c>
      <c r="AJ702" s="12">
        <v>2</v>
      </c>
      <c r="AK702" s="12">
        <v>0</v>
      </c>
      <c r="AL702" s="12">
        <v>4</v>
      </c>
      <c r="AM702" s="18">
        <v>0</v>
      </c>
      <c r="AN702" s="18">
        <v>0</v>
      </c>
      <c r="AO702" s="18">
        <v>0</v>
      </c>
      <c r="AP702" s="18">
        <v>0.25</v>
      </c>
      <c r="AQ702" s="18">
        <v>3000</v>
      </c>
      <c r="AR702" s="18">
        <v>0.25</v>
      </c>
      <c r="AS702" s="18">
        <v>10</v>
      </c>
      <c r="AT702" s="12">
        <v>0</v>
      </c>
      <c r="AU702" s="18">
        <v>92002001</v>
      </c>
      <c r="AV702" s="18"/>
      <c r="AW702" s="19" t="s">
        <v>199</v>
      </c>
      <c r="AX702" s="18" t="s">
        <v>1703</v>
      </c>
      <c r="AY702" s="18">
        <v>10003002</v>
      </c>
      <c r="AZ702" s="18">
        <v>21100020</v>
      </c>
      <c r="BA702" s="19" t="s">
        <v>586</v>
      </c>
      <c r="BB702" s="19">
        <v>0</v>
      </c>
      <c r="BC702" s="27">
        <v>0</v>
      </c>
      <c r="BD702" s="27">
        <v>0</v>
      </c>
      <c r="BE702" s="183" t="str">
        <f t="shared" si="50"/>
        <v>立即对目标范围内的怪物造成280%攻击伤害+4250点固定伤害,并使目标移动速度降低50%,持续3秒</v>
      </c>
      <c r="BF702" s="183" t="s">
        <v>1708</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62011301</v>
      </c>
      <c r="D703" s="19" t="s">
        <v>1384</v>
      </c>
      <c r="E703" s="19" t="s">
        <v>1709</v>
      </c>
      <c r="F703" s="16">
        <v>0</v>
      </c>
      <c r="G703" s="16">
        <v>62011301</v>
      </c>
      <c r="H703" s="18">
        <f>C704</f>
        <v>62011302</v>
      </c>
      <c r="I703" s="27">
        <v>3</v>
      </c>
      <c r="J703" s="16">
        <v>5</v>
      </c>
      <c r="K703" s="16">
        <v>5</v>
      </c>
      <c r="L703" s="16">
        <v>0</v>
      </c>
      <c r="M703" s="18">
        <v>0</v>
      </c>
      <c r="N703" s="18">
        <v>0</v>
      </c>
      <c r="O703" s="18">
        <v>1</v>
      </c>
      <c r="P703" s="18">
        <v>0</v>
      </c>
      <c r="Q703" s="18">
        <v>0</v>
      </c>
      <c r="R703" s="18">
        <v>0</v>
      </c>
      <c r="S703" s="12">
        <v>0</v>
      </c>
      <c r="T703" s="27">
        <v>0</v>
      </c>
      <c r="U703" s="16">
        <v>1</v>
      </c>
      <c r="V703" s="18">
        <v>2</v>
      </c>
      <c r="W703" s="18">
        <v>0</v>
      </c>
      <c r="X703" s="18">
        <v>2</v>
      </c>
      <c r="Y703" s="12">
        <v>0</v>
      </c>
      <c r="Z703" s="18">
        <v>750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"立即对目标范围内的怪物造成"&amp;X703*100&amp;"%攻击伤害+"&amp;Z703&amp;"点固定伤害"&amp;",并造成1秒眩晕效果"</f>
        <v>立即对目标范围内的怪物造成200%攻击伤害+750点固定伤害,并造成1秒眩晕效果</v>
      </c>
      <c r="BF703" s="183" t="s">
        <v>1710</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62011302</v>
      </c>
      <c r="D704" s="19" t="s">
        <v>1384</v>
      </c>
      <c r="E704" s="19" t="s">
        <v>1709</v>
      </c>
      <c r="F704" s="16">
        <v>1</v>
      </c>
      <c r="G704" s="16">
        <v>62011301</v>
      </c>
      <c r="H704" s="18">
        <f t="shared" ref="H704:H705" si="51">C705</f>
        <v>62011303</v>
      </c>
      <c r="I704" s="27">
        <v>3</v>
      </c>
      <c r="J704" s="16">
        <v>5</v>
      </c>
      <c r="K704" s="16">
        <v>2</v>
      </c>
      <c r="L704" s="16">
        <v>0</v>
      </c>
      <c r="M704" s="18">
        <v>0</v>
      </c>
      <c r="N704" s="18">
        <v>0</v>
      </c>
      <c r="O704" s="18">
        <v>1</v>
      </c>
      <c r="P704" s="18">
        <v>0</v>
      </c>
      <c r="Q704" s="18">
        <v>0</v>
      </c>
      <c r="R704" s="18">
        <v>0</v>
      </c>
      <c r="S704" s="12">
        <v>0</v>
      </c>
      <c r="T704" s="27">
        <v>0</v>
      </c>
      <c r="U704" s="16">
        <v>1</v>
      </c>
      <c r="V704" s="18">
        <v>2</v>
      </c>
      <c r="W704" s="18">
        <v>0</v>
      </c>
      <c r="X704" s="18">
        <v>2</v>
      </c>
      <c r="Y704" s="12">
        <v>0</v>
      </c>
      <c r="Z704" s="18">
        <v>750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ref="BE704:BE708" si="52">"立即对目标范围内的怪物造成"&amp;X704*100&amp;"%攻击伤害+"&amp;Z704&amp;"点固定伤害"&amp;",并造成1秒眩晕效果"</f>
        <v>立即对目标范围内的怪物造成200%攻击伤害+750点固定伤害,并造成1秒眩晕效果</v>
      </c>
      <c r="BF704" s="183" t="s">
        <v>1710</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62011303</v>
      </c>
      <c r="D705" s="19" t="s">
        <v>1384</v>
      </c>
      <c r="E705" s="19" t="s">
        <v>1709</v>
      </c>
      <c r="F705" s="16">
        <v>2</v>
      </c>
      <c r="G705" s="16">
        <v>62011301</v>
      </c>
      <c r="H705" s="18">
        <f t="shared" si="51"/>
        <v>62011304</v>
      </c>
      <c r="I705" s="27">
        <v>3</v>
      </c>
      <c r="J705" s="16">
        <v>5</v>
      </c>
      <c r="K705" s="16">
        <v>2</v>
      </c>
      <c r="L705" s="16">
        <v>0</v>
      </c>
      <c r="M705" s="18">
        <v>0</v>
      </c>
      <c r="N705" s="18">
        <v>0</v>
      </c>
      <c r="O705" s="18">
        <v>1</v>
      </c>
      <c r="P705" s="18">
        <v>0</v>
      </c>
      <c r="Q705" s="18">
        <v>0</v>
      </c>
      <c r="R705" s="18">
        <v>0</v>
      </c>
      <c r="S705" s="12">
        <v>0</v>
      </c>
      <c r="T705" s="27">
        <v>0</v>
      </c>
      <c r="U705" s="16">
        <v>1</v>
      </c>
      <c r="V705" s="18">
        <v>2</v>
      </c>
      <c r="W705" s="18">
        <v>0</v>
      </c>
      <c r="X705" s="18">
        <v>2.2000000000000002</v>
      </c>
      <c r="Y705" s="12">
        <v>0</v>
      </c>
      <c r="Z705" s="18">
        <v>1500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立即对目标范围内的怪物造成220%攻击伤害+1500点固定伤害,并造成1秒眩晕效果</v>
      </c>
      <c r="BF705" s="183" t="s">
        <v>1711</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19.5" customHeight="1">
      <c r="C706" s="16">
        <v>62011304</v>
      </c>
      <c r="D706" s="19" t="s">
        <v>1384</v>
      </c>
      <c r="E706" s="19" t="s">
        <v>1709</v>
      </c>
      <c r="F706" s="16">
        <v>3</v>
      </c>
      <c r="G706" s="16">
        <v>62011301</v>
      </c>
      <c r="H706" s="16">
        <v>0</v>
      </c>
      <c r="I706" s="27">
        <v>3</v>
      </c>
      <c r="J706" s="16">
        <v>5</v>
      </c>
      <c r="K706" s="16">
        <v>0</v>
      </c>
      <c r="L706" s="16">
        <v>0</v>
      </c>
      <c r="M706" s="18">
        <v>0</v>
      </c>
      <c r="N706" s="18">
        <v>0</v>
      </c>
      <c r="O706" s="18">
        <v>1</v>
      </c>
      <c r="P706" s="18">
        <v>0</v>
      </c>
      <c r="Q706" s="18">
        <v>0</v>
      </c>
      <c r="R706" s="18">
        <v>0</v>
      </c>
      <c r="S706" s="12">
        <v>0</v>
      </c>
      <c r="T706" s="27">
        <v>0</v>
      </c>
      <c r="U706" s="16">
        <v>1</v>
      </c>
      <c r="V706" s="18">
        <v>2</v>
      </c>
      <c r="W706" s="18">
        <v>0</v>
      </c>
      <c r="X706" s="18">
        <v>2.4</v>
      </c>
      <c r="Y706" s="12">
        <v>0</v>
      </c>
      <c r="Z706" s="18">
        <v>2250</v>
      </c>
      <c r="AA706" s="18">
        <v>0</v>
      </c>
      <c r="AB706" s="18">
        <v>0</v>
      </c>
      <c r="AC706" s="18">
        <v>0</v>
      </c>
      <c r="AD706" s="18">
        <v>0</v>
      </c>
      <c r="AE706" s="18">
        <v>0</v>
      </c>
      <c r="AF706" s="18">
        <v>9</v>
      </c>
      <c r="AG706" s="18">
        <v>1</v>
      </c>
      <c r="AH706" s="18">
        <v>3</v>
      </c>
      <c r="AI706" s="12">
        <v>2</v>
      </c>
      <c r="AJ706" s="12">
        <v>1</v>
      </c>
      <c r="AK706" s="12">
        <v>0</v>
      </c>
      <c r="AL706" s="12">
        <v>6</v>
      </c>
      <c r="AM706" s="18">
        <v>0</v>
      </c>
      <c r="AN706" s="18">
        <v>1</v>
      </c>
      <c r="AO706" s="18">
        <v>0</v>
      </c>
      <c r="AP706" s="18">
        <v>0.25</v>
      </c>
      <c r="AQ706" s="18">
        <v>2000</v>
      </c>
      <c r="AR706" s="18">
        <v>0.25</v>
      </c>
      <c r="AS706" s="18">
        <v>0</v>
      </c>
      <c r="AT706" s="12">
        <v>0</v>
      </c>
      <c r="AU706" s="18">
        <v>92003001</v>
      </c>
      <c r="AV706" s="18"/>
      <c r="AW706" s="19" t="s">
        <v>199</v>
      </c>
      <c r="AX706" s="18" t="s">
        <v>1041</v>
      </c>
      <c r="AY706" s="18">
        <v>10000006</v>
      </c>
      <c r="AZ706" s="18">
        <v>21100030</v>
      </c>
      <c r="BA706" s="19" t="s">
        <v>200</v>
      </c>
      <c r="BB706" s="19">
        <v>0</v>
      </c>
      <c r="BC706" s="27">
        <v>0</v>
      </c>
      <c r="BD706" s="27">
        <v>0</v>
      </c>
      <c r="BE706" s="183" t="str">
        <f t="shared" si="52"/>
        <v>立即对目标范围内的怪物造成240%攻击伤害+2250点固定伤害,并造成1秒眩晕效果</v>
      </c>
      <c r="BF706" s="183" t="s">
        <v>1712</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19.5" customHeight="1">
      <c r="C707" s="16">
        <v>62011305</v>
      </c>
      <c r="D707" s="19" t="s">
        <v>1384</v>
      </c>
      <c r="E707" s="19" t="s">
        <v>1709</v>
      </c>
      <c r="F707" s="16">
        <v>4</v>
      </c>
      <c r="G707" s="16">
        <v>62011301</v>
      </c>
      <c r="H707" s="16">
        <v>0</v>
      </c>
      <c r="I707" s="27">
        <v>3</v>
      </c>
      <c r="J707" s="16">
        <v>5</v>
      </c>
      <c r="K707" s="16">
        <v>0</v>
      </c>
      <c r="L707" s="16">
        <v>0</v>
      </c>
      <c r="M707" s="18">
        <v>0</v>
      </c>
      <c r="N707" s="18">
        <v>0</v>
      </c>
      <c r="O707" s="18">
        <v>1</v>
      </c>
      <c r="P707" s="18">
        <v>0</v>
      </c>
      <c r="Q707" s="18">
        <v>0</v>
      </c>
      <c r="R707" s="18">
        <v>0</v>
      </c>
      <c r="S707" s="12">
        <v>0</v>
      </c>
      <c r="T707" s="27">
        <v>0</v>
      </c>
      <c r="U707" s="16">
        <v>1</v>
      </c>
      <c r="V707" s="18">
        <v>2</v>
      </c>
      <c r="W707" s="18">
        <v>0</v>
      </c>
      <c r="X707" s="18">
        <v>2.6</v>
      </c>
      <c r="Y707" s="12">
        <v>0</v>
      </c>
      <c r="Z707" s="18">
        <v>3250</v>
      </c>
      <c r="AA707" s="18">
        <v>0</v>
      </c>
      <c r="AB707" s="18">
        <v>0</v>
      </c>
      <c r="AC707" s="18">
        <v>0</v>
      </c>
      <c r="AD707" s="18">
        <v>0</v>
      </c>
      <c r="AE707" s="18">
        <v>0</v>
      </c>
      <c r="AF707" s="18">
        <v>9</v>
      </c>
      <c r="AG707" s="18">
        <v>1</v>
      </c>
      <c r="AH707" s="18">
        <v>3</v>
      </c>
      <c r="AI707" s="12">
        <v>2</v>
      </c>
      <c r="AJ707" s="12">
        <v>1</v>
      </c>
      <c r="AK707" s="12">
        <v>0</v>
      </c>
      <c r="AL707" s="12">
        <v>6</v>
      </c>
      <c r="AM707" s="18">
        <v>0</v>
      </c>
      <c r="AN707" s="18">
        <v>1</v>
      </c>
      <c r="AO707" s="18">
        <v>0</v>
      </c>
      <c r="AP707" s="18">
        <v>0.25</v>
      </c>
      <c r="AQ707" s="18">
        <v>2000</v>
      </c>
      <c r="AR707" s="18">
        <v>0.25</v>
      </c>
      <c r="AS707" s="18">
        <v>0</v>
      </c>
      <c r="AT707" s="12">
        <v>0</v>
      </c>
      <c r="AU707" s="18">
        <v>92003001</v>
      </c>
      <c r="AV707" s="18"/>
      <c r="AW707" s="19" t="s">
        <v>199</v>
      </c>
      <c r="AX707" s="18" t="s">
        <v>1041</v>
      </c>
      <c r="AY707" s="18">
        <v>10000006</v>
      </c>
      <c r="AZ707" s="18">
        <v>21100030</v>
      </c>
      <c r="BA707" s="19" t="s">
        <v>200</v>
      </c>
      <c r="BB707" s="19">
        <v>0</v>
      </c>
      <c r="BC707" s="27">
        <v>0</v>
      </c>
      <c r="BD707" s="27">
        <v>0</v>
      </c>
      <c r="BE707" s="183" t="str">
        <f t="shared" si="52"/>
        <v>立即对目标范围内的怪物造成260%攻击伤害+3250点固定伤害,并造成1秒眩晕效果</v>
      </c>
      <c r="BF707" s="183" t="s">
        <v>1713</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19.5" customHeight="1">
      <c r="C708" s="16">
        <v>62011306</v>
      </c>
      <c r="D708" s="19" t="s">
        <v>1384</v>
      </c>
      <c r="E708" s="19" t="s">
        <v>1709</v>
      </c>
      <c r="F708" s="16">
        <v>5</v>
      </c>
      <c r="G708" s="16">
        <v>62011301</v>
      </c>
      <c r="H708" s="16">
        <v>0</v>
      </c>
      <c r="I708" s="27">
        <v>3</v>
      </c>
      <c r="J708" s="16">
        <v>5</v>
      </c>
      <c r="K708" s="16">
        <v>0</v>
      </c>
      <c r="L708" s="16">
        <v>0</v>
      </c>
      <c r="M708" s="18">
        <v>0</v>
      </c>
      <c r="N708" s="18">
        <v>0</v>
      </c>
      <c r="O708" s="18">
        <v>1</v>
      </c>
      <c r="P708" s="18">
        <v>0</v>
      </c>
      <c r="Q708" s="18">
        <v>0</v>
      </c>
      <c r="R708" s="18">
        <v>0</v>
      </c>
      <c r="S708" s="12">
        <v>0</v>
      </c>
      <c r="T708" s="27">
        <v>0</v>
      </c>
      <c r="U708" s="16">
        <v>1</v>
      </c>
      <c r="V708" s="18">
        <v>2</v>
      </c>
      <c r="W708" s="18">
        <v>0</v>
      </c>
      <c r="X708" s="18">
        <v>2.8</v>
      </c>
      <c r="Y708" s="12">
        <v>0</v>
      </c>
      <c r="Z708" s="18">
        <v>4250</v>
      </c>
      <c r="AA708" s="18">
        <v>0</v>
      </c>
      <c r="AB708" s="18">
        <v>0</v>
      </c>
      <c r="AC708" s="18">
        <v>0</v>
      </c>
      <c r="AD708" s="18">
        <v>0</v>
      </c>
      <c r="AE708" s="18">
        <v>0</v>
      </c>
      <c r="AF708" s="18">
        <v>9</v>
      </c>
      <c r="AG708" s="18">
        <v>1</v>
      </c>
      <c r="AH708" s="18">
        <v>3</v>
      </c>
      <c r="AI708" s="12">
        <v>2</v>
      </c>
      <c r="AJ708" s="12">
        <v>1</v>
      </c>
      <c r="AK708" s="12">
        <v>0</v>
      </c>
      <c r="AL708" s="12">
        <v>6</v>
      </c>
      <c r="AM708" s="18">
        <v>0</v>
      </c>
      <c r="AN708" s="18">
        <v>1</v>
      </c>
      <c r="AO708" s="18">
        <v>0</v>
      </c>
      <c r="AP708" s="18">
        <v>0.25</v>
      </c>
      <c r="AQ708" s="18">
        <v>2000</v>
      </c>
      <c r="AR708" s="18">
        <v>0.25</v>
      </c>
      <c r="AS708" s="18">
        <v>0</v>
      </c>
      <c r="AT708" s="12">
        <v>0</v>
      </c>
      <c r="AU708" s="18">
        <v>92003001</v>
      </c>
      <c r="AV708" s="18"/>
      <c r="AW708" s="19" t="s">
        <v>199</v>
      </c>
      <c r="AX708" s="18" t="s">
        <v>1041</v>
      </c>
      <c r="AY708" s="18">
        <v>10000006</v>
      </c>
      <c r="AZ708" s="18">
        <v>21100030</v>
      </c>
      <c r="BA708" s="19" t="s">
        <v>200</v>
      </c>
      <c r="BB708" s="19">
        <v>0</v>
      </c>
      <c r="BC708" s="27">
        <v>0</v>
      </c>
      <c r="BD708" s="27">
        <v>0</v>
      </c>
      <c r="BE708" s="183" t="str">
        <f t="shared" si="52"/>
        <v>立即对目标范围内的怪物造成280%攻击伤害+4250点固定伤害,并造成1秒眩晕效果</v>
      </c>
      <c r="BF708" s="183" t="s">
        <v>1714</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62012101</v>
      </c>
      <c r="D709" s="19" t="s">
        <v>1715</v>
      </c>
      <c r="E709" s="19" t="s">
        <v>1716</v>
      </c>
      <c r="F709" s="16">
        <v>0</v>
      </c>
      <c r="G709" s="18">
        <v>62012101</v>
      </c>
      <c r="H709" s="18">
        <f>C710</f>
        <v>62012102</v>
      </c>
      <c r="I709" s="27">
        <v>4</v>
      </c>
      <c r="J709" s="16">
        <v>1</v>
      </c>
      <c r="K709" s="16">
        <v>5</v>
      </c>
      <c r="L709" s="16">
        <v>0</v>
      </c>
      <c r="M709" s="18">
        <v>0</v>
      </c>
      <c r="N709" s="18">
        <v>0</v>
      </c>
      <c r="O709" s="18">
        <v>1</v>
      </c>
      <c r="P709" s="18">
        <v>0</v>
      </c>
      <c r="Q709" s="18">
        <v>0</v>
      </c>
      <c r="R709" s="18">
        <v>0</v>
      </c>
      <c r="S709" s="12">
        <v>0</v>
      </c>
      <c r="T709" s="27">
        <v>0</v>
      </c>
      <c r="U709" s="16">
        <v>1</v>
      </c>
      <c r="V709" s="18">
        <v>2</v>
      </c>
      <c r="W709" s="18">
        <v>0</v>
      </c>
      <c r="X709" s="18">
        <v>1</v>
      </c>
      <c r="Y709" s="12">
        <v>0</v>
      </c>
      <c r="Z709" s="18">
        <v>500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"对目标区域释放法术,在此范围内的目标每秒造成"&amp;X709*100&amp;"%攻击伤害+"&amp;Z709&amp;"点固定伤害,持续6秒"</f>
        <v>对目标区域释放法术,在此范围内的目标每秒造成100%攻击伤害+500点固定伤害,持续6秒</v>
      </c>
      <c r="BF709" s="183" t="s">
        <v>1717</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62012102</v>
      </c>
      <c r="D710" s="19" t="s">
        <v>1715</v>
      </c>
      <c r="E710" s="19" t="s">
        <v>1716</v>
      </c>
      <c r="F710" s="16">
        <v>1</v>
      </c>
      <c r="G710" s="18">
        <v>62012101</v>
      </c>
      <c r="H710" s="18">
        <f t="shared" ref="H710:H711" si="53">C711</f>
        <v>62012103</v>
      </c>
      <c r="I710" s="27">
        <v>4</v>
      </c>
      <c r="J710" s="16">
        <v>1</v>
      </c>
      <c r="K710" s="16">
        <v>2</v>
      </c>
      <c r="L710" s="16">
        <v>0</v>
      </c>
      <c r="M710" s="18">
        <v>0</v>
      </c>
      <c r="N710" s="18">
        <v>0</v>
      </c>
      <c r="O710" s="18">
        <v>1</v>
      </c>
      <c r="P710" s="18">
        <v>0</v>
      </c>
      <c r="Q710" s="18">
        <v>0</v>
      </c>
      <c r="R710" s="18">
        <v>0</v>
      </c>
      <c r="S710" s="12">
        <v>0</v>
      </c>
      <c r="T710" s="27">
        <v>0</v>
      </c>
      <c r="U710" s="16">
        <v>1</v>
      </c>
      <c r="V710" s="18">
        <v>2</v>
      </c>
      <c r="W710" s="18">
        <v>0</v>
      </c>
      <c r="X710" s="18">
        <v>1</v>
      </c>
      <c r="Y710" s="12">
        <v>0</v>
      </c>
      <c r="Z710" s="18">
        <v>500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ref="BE710:BE714" si="54">"对目标区域释放法术,在此范围内的目标每秒造成"&amp;X710*100&amp;"%攻击伤害+"&amp;Z710&amp;"点固定伤害,持续6秒"</f>
        <v>对目标区域释放法术,在此范围内的目标每秒造成100%攻击伤害+500点固定伤害,持续6秒</v>
      </c>
      <c r="BF710" s="183" t="s">
        <v>1717</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62012103</v>
      </c>
      <c r="D711" s="19" t="s">
        <v>1715</v>
      </c>
      <c r="E711" s="19" t="s">
        <v>1716</v>
      </c>
      <c r="F711" s="16">
        <v>2</v>
      </c>
      <c r="G711" s="18">
        <v>62012101</v>
      </c>
      <c r="H711" s="18">
        <f t="shared" si="53"/>
        <v>62012104</v>
      </c>
      <c r="I711" s="27">
        <v>4</v>
      </c>
      <c r="J711" s="16">
        <v>1</v>
      </c>
      <c r="K711" s="16">
        <v>2</v>
      </c>
      <c r="L711" s="16">
        <v>0</v>
      </c>
      <c r="M711" s="18">
        <v>0</v>
      </c>
      <c r="N711" s="18">
        <v>0</v>
      </c>
      <c r="O711" s="18">
        <v>1</v>
      </c>
      <c r="P711" s="18">
        <v>0</v>
      </c>
      <c r="Q711" s="18">
        <v>0</v>
      </c>
      <c r="R711" s="18">
        <v>0</v>
      </c>
      <c r="S711" s="12">
        <v>0</v>
      </c>
      <c r="T711" s="27">
        <v>0</v>
      </c>
      <c r="U711" s="16">
        <v>1</v>
      </c>
      <c r="V711" s="18">
        <v>2</v>
      </c>
      <c r="W711" s="18">
        <v>0</v>
      </c>
      <c r="X711" s="18">
        <v>1.1000000000000001</v>
      </c>
      <c r="Y711" s="12">
        <v>0</v>
      </c>
      <c r="Z711" s="18">
        <v>800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对目标区域释放法术,在此范围内的目标每秒造成110%攻击伤害+800点固定伤害,持续6秒</v>
      </c>
      <c r="BF711" s="183" t="s">
        <v>1718</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62012104</v>
      </c>
      <c r="D712" s="19" t="s">
        <v>1715</v>
      </c>
      <c r="E712" s="19" t="s">
        <v>1716</v>
      </c>
      <c r="F712" s="16">
        <v>3</v>
      </c>
      <c r="G712" s="18">
        <v>62012101</v>
      </c>
      <c r="H712" s="16">
        <v>0</v>
      </c>
      <c r="I712" s="27">
        <v>4</v>
      </c>
      <c r="J712" s="16">
        <v>1</v>
      </c>
      <c r="K712" s="16">
        <v>0</v>
      </c>
      <c r="L712" s="16">
        <v>0</v>
      </c>
      <c r="M712" s="18">
        <v>0</v>
      </c>
      <c r="N712" s="18">
        <v>0</v>
      </c>
      <c r="O712" s="18">
        <v>1</v>
      </c>
      <c r="P712" s="18">
        <v>0</v>
      </c>
      <c r="Q712" s="18">
        <v>0</v>
      </c>
      <c r="R712" s="18">
        <v>0</v>
      </c>
      <c r="S712" s="12">
        <v>0</v>
      </c>
      <c r="T712" s="27">
        <v>0</v>
      </c>
      <c r="U712" s="16">
        <v>1</v>
      </c>
      <c r="V712" s="18">
        <v>2</v>
      </c>
      <c r="W712" s="18">
        <v>0</v>
      </c>
      <c r="X712" s="18">
        <v>1.2</v>
      </c>
      <c r="Y712" s="12">
        <v>0</v>
      </c>
      <c r="Z712" s="18">
        <v>1150</v>
      </c>
      <c r="AA712" s="18">
        <v>0</v>
      </c>
      <c r="AB712" s="18">
        <v>0</v>
      </c>
      <c r="AC712" s="18">
        <v>0</v>
      </c>
      <c r="AD712" s="18">
        <v>0</v>
      </c>
      <c r="AE712" s="18">
        <v>0</v>
      </c>
      <c r="AF712" s="18">
        <v>7</v>
      </c>
      <c r="AG712" s="18">
        <v>1</v>
      </c>
      <c r="AH712" s="18">
        <v>3</v>
      </c>
      <c r="AI712" s="12">
        <v>2</v>
      </c>
      <c r="AJ712" s="12">
        <v>1</v>
      </c>
      <c r="AK712" s="12">
        <v>0</v>
      </c>
      <c r="AL712" s="12">
        <v>6</v>
      </c>
      <c r="AM712" s="18">
        <v>0</v>
      </c>
      <c r="AN712" s="18">
        <v>0</v>
      </c>
      <c r="AO712" s="18">
        <v>0</v>
      </c>
      <c r="AP712" s="18">
        <v>0.25</v>
      </c>
      <c r="AQ712" s="18">
        <v>6000</v>
      </c>
      <c r="AR712" s="18">
        <v>0.25</v>
      </c>
      <c r="AS712" s="18">
        <v>0</v>
      </c>
      <c r="AT712" s="12">
        <v>0</v>
      </c>
      <c r="AU712" s="18">
        <v>0</v>
      </c>
      <c r="AV712" s="18"/>
      <c r="AW712" s="19" t="s">
        <v>199</v>
      </c>
      <c r="AX712" s="18" t="s">
        <v>1408</v>
      </c>
      <c r="AY712" s="18">
        <v>10002001</v>
      </c>
      <c r="AZ712" s="18">
        <v>21100040</v>
      </c>
      <c r="BA712" s="19" t="s">
        <v>315</v>
      </c>
      <c r="BB712" s="19" t="s">
        <v>371</v>
      </c>
      <c r="BC712" s="27">
        <v>0</v>
      </c>
      <c r="BD712" s="27">
        <v>0</v>
      </c>
      <c r="BE712" s="183" t="str">
        <f t="shared" si="54"/>
        <v>对目标区域释放法术,在此范围内的目标每秒造成120%攻击伤害+1150点固定伤害,持续6秒</v>
      </c>
      <c r="BF712" s="183" t="s">
        <v>1719</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62012105</v>
      </c>
      <c r="D713" s="19" t="s">
        <v>1715</v>
      </c>
      <c r="E713" s="19" t="s">
        <v>1716</v>
      </c>
      <c r="F713" s="16">
        <v>4</v>
      </c>
      <c r="G713" s="18">
        <v>62012101</v>
      </c>
      <c r="H713" s="16">
        <v>0</v>
      </c>
      <c r="I713" s="27">
        <v>4</v>
      </c>
      <c r="J713" s="16">
        <v>1</v>
      </c>
      <c r="K713" s="16">
        <v>0</v>
      </c>
      <c r="L713" s="16">
        <v>0</v>
      </c>
      <c r="M713" s="18">
        <v>0</v>
      </c>
      <c r="N713" s="18">
        <v>0</v>
      </c>
      <c r="O713" s="18">
        <v>1</v>
      </c>
      <c r="P713" s="18">
        <v>0</v>
      </c>
      <c r="Q713" s="18">
        <v>0</v>
      </c>
      <c r="R713" s="18">
        <v>0</v>
      </c>
      <c r="S713" s="12">
        <v>0</v>
      </c>
      <c r="T713" s="27">
        <v>0</v>
      </c>
      <c r="U713" s="16">
        <v>1</v>
      </c>
      <c r="V713" s="18">
        <v>2</v>
      </c>
      <c r="W713" s="18">
        <v>0</v>
      </c>
      <c r="X713" s="18">
        <v>1.3</v>
      </c>
      <c r="Y713" s="12">
        <v>0</v>
      </c>
      <c r="Z713" s="18">
        <v>1550</v>
      </c>
      <c r="AA713" s="18">
        <v>0</v>
      </c>
      <c r="AB713" s="18">
        <v>0</v>
      </c>
      <c r="AC713" s="18">
        <v>0</v>
      </c>
      <c r="AD713" s="18">
        <v>0</v>
      </c>
      <c r="AE713" s="18">
        <v>0</v>
      </c>
      <c r="AF713" s="18">
        <v>7</v>
      </c>
      <c r="AG713" s="18">
        <v>1</v>
      </c>
      <c r="AH713" s="18">
        <v>3</v>
      </c>
      <c r="AI713" s="12">
        <v>2</v>
      </c>
      <c r="AJ713" s="12">
        <v>1</v>
      </c>
      <c r="AK713" s="12">
        <v>0</v>
      </c>
      <c r="AL713" s="12">
        <v>6</v>
      </c>
      <c r="AM713" s="18">
        <v>0</v>
      </c>
      <c r="AN713" s="18">
        <v>0</v>
      </c>
      <c r="AO713" s="18">
        <v>0</v>
      </c>
      <c r="AP713" s="18">
        <v>0.25</v>
      </c>
      <c r="AQ713" s="18">
        <v>6000</v>
      </c>
      <c r="AR713" s="18">
        <v>0.25</v>
      </c>
      <c r="AS713" s="18">
        <v>0</v>
      </c>
      <c r="AT713" s="12">
        <v>0</v>
      </c>
      <c r="AU713" s="18">
        <v>0</v>
      </c>
      <c r="AV713" s="18"/>
      <c r="AW713" s="19" t="s">
        <v>199</v>
      </c>
      <c r="AX713" s="18" t="s">
        <v>1408</v>
      </c>
      <c r="AY713" s="18">
        <v>10002001</v>
      </c>
      <c r="AZ713" s="18">
        <v>21100040</v>
      </c>
      <c r="BA713" s="19" t="s">
        <v>315</v>
      </c>
      <c r="BB713" s="19" t="s">
        <v>371</v>
      </c>
      <c r="BC713" s="27">
        <v>0</v>
      </c>
      <c r="BD713" s="27">
        <v>0</v>
      </c>
      <c r="BE713" s="183" t="str">
        <f t="shared" si="54"/>
        <v>对目标区域释放法术,在此范围内的目标每秒造成130%攻击伤害+1550点固定伤害,持续6秒</v>
      </c>
      <c r="BF713" s="183" t="s">
        <v>1720</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62012106</v>
      </c>
      <c r="D714" s="19" t="s">
        <v>1715</v>
      </c>
      <c r="E714" s="19" t="s">
        <v>1716</v>
      </c>
      <c r="F714" s="16">
        <v>5</v>
      </c>
      <c r="G714" s="18">
        <v>62012101</v>
      </c>
      <c r="H714" s="16">
        <v>0</v>
      </c>
      <c r="I714" s="27">
        <v>4</v>
      </c>
      <c r="J714" s="16">
        <v>1</v>
      </c>
      <c r="K714" s="16">
        <v>0</v>
      </c>
      <c r="L714" s="16">
        <v>0</v>
      </c>
      <c r="M714" s="18">
        <v>0</v>
      </c>
      <c r="N714" s="18">
        <v>0</v>
      </c>
      <c r="O714" s="18">
        <v>1</v>
      </c>
      <c r="P714" s="18">
        <v>0</v>
      </c>
      <c r="Q714" s="18">
        <v>0</v>
      </c>
      <c r="R714" s="18">
        <v>0</v>
      </c>
      <c r="S714" s="12">
        <v>0</v>
      </c>
      <c r="T714" s="27">
        <v>0</v>
      </c>
      <c r="U714" s="16">
        <v>1</v>
      </c>
      <c r="V714" s="18">
        <v>2</v>
      </c>
      <c r="W714" s="18">
        <v>0</v>
      </c>
      <c r="X714" s="18">
        <v>1.4</v>
      </c>
      <c r="Y714" s="12">
        <v>0</v>
      </c>
      <c r="Z714" s="18">
        <v>2050</v>
      </c>
      <c r="AA714" s="18">
        <v>0</v>
      </c>
      <c r="AB714" s="18">
        <v>0</v>
      </c>
      <c r="AC714" s="18">
        <v>0</v>
      </c>
      <c r="AD714" s="18">
        <v>0</v>
      </c>
      <c r="AE714" s="18">
        <v>0</v>
      </c>
      <c r="AF714" s="18">
        <v>7</v>
      </c>
      <c r="AG714" s="18">
        <v>1</v>
      </c>
      <c r="AH714" s="18">
        <v>3</v>
      </c>
      <c r="AI714" s="12">
        <v>2</v>
      </c>
      <c r="AJ714" s="12">
        <v>1</v>
      </c>
      <c r="AK714" s="12">
        <v>0</v>
      </c>
      <c r="AL714" s="12">
        <v>6</v>
      </c>
      <c r="AM714" s="18">
        <v>0</v>
      </c>
      <c r="AN714" s="18">
        <v>0</v>
      </c>
      <c r="AO714" s="18">
        <v>0</v>
      </c>
      <c r="AP714" s="18">
        <v>0.25</v>
      </c>
      <c r="AQ714" s="18">
        <v>6000</v>
      </c>
      <c r="AR714" s="18">
        <v>0.25</v>
      </c>
      <c r="AS714" s="18">
        <v>0</v>
      </c>
      <c r="AT714" s="12">
        <v>0</v>
      </c>
      <c r="AU714" s="18">
        <v>0</v>
      </c>
      <c r="AV714" s="18"/>
      <c r="AW714" s="19" t="s">
        <v>199</v>
      </c>
      <c r="AX714" s="18" t="s">
        <v>1408</v>
      </c>
      <c r="AY714" s="18">
        <v>10002001</v>
      </c>
      <c r="AZ714" s="18">
        <v>21100040</v>
      </c>
      <c r="BA714" s="19" t="s">
        <v>315</v>
      </c>
      <c r="BB714" s="19" t="s">
        <v>371</v>
      </c>
      <c r="BC714" s="27">
        <v>0</v>
      </c>
      <c r="BD714" s="27">
        <v>0</v>
      </c>
      <c r="BE714" s="183" t="str">
        <f t="shared" si="54"/>
        <v>对目标区域释放法术,在此范围内的目标每秒造成140%攻击伤害+2050点固定伤害,持续6秒</v>
      </c>
      <c r="BF714" s="183" t="s">
        <v>1721</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62012201</v>
      </c>
      <c r="D715" s="19" t="s">
        <v>1391</v>
      </c>
      <c r="E715" s="19" t="s">
        <v>1392</v>
      </c>
      <c r="F715" s="16">
        <v>0</v>
      </c>
      <c r="G715" s="18">
        <v>62012201</v>
      </c>
      <c r="H715" s="18">
        <f>C716</f>
        <v>62012202</v>
      </c>
      <c r="I715" s="27">
        <v>3</v>
      </c>
      <c r="J715" s="16">
        <v>3</v>
      </c>
      <c r="K715" s="16">
        <v>5</v>
      </c>
      <c r="L715" s="16">
        <v>0</v>
      </c>
      <c r="M715" s="18">
        <v>0</v>
      </c>
      <c r="N715" s="18">
        <v>0</v>
      </c>
      <c r="O715" s="18">
        <v>1</v>
      </c>
      <c r="P715" s="18">
        <v>0</v>
      </c>
      <c r="Q715" s="18">
        <v>0</v>
      </c>
      <c r="R715" s="18">
        <v>0</v>
      </c>
      <c r="S715" s="12">
        <v>0</v>
      </c>
      <c r="T715" s="27">
        <v>0</v>
      </c>
      <c r="U715" s="16">
        <v>1</v>
      </c>
      <c r="V715" s="18">
        <v>2</v>
      </c>
      <c r="W715" s="18">
        <v>0</v>
      </c>
      <c r="X715" s="18">
        <v>3.25</v>
      </c>
      <c r="Y715" s="12">
        <v>0</v>
      </c>
      <c r="Z715" s="18">
        <v>750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9" t="s">
        <v>1722</v>
      </c>
      <c r="AV715" s="18"/>
      <c r="AW715" s="19" t="s">
        <v>199</v>
      </c>
      <c r="AX715" s="18" t="s">
        <v>534</v>
      </c>
      <c r="AY715" s="18">
        <v>10000009</v>
      </c>
      <c r="AZ715" s="18">
        <v>21100050</v>
      </c>
      <c r="BA715" s="19" t="s">
        <v>200</v>
      </c>
      <c r="BB715" s="19">
        <v>0</v>
      </c>
      <c r="BC715" s="27">
        <v>0</v>
      </c>
      <c r="BD715" s="27">
        <v>0</v>
      </c>
      <c r="BE715" s="183" t="str">
        <f>"立即对目标范围内的怪物造成"&amp;X715*100&amp;"%攻击伤害+"&amp;Z715&amp;",并击退周围附近敌方目标,此技能为必中技能无视对方闪避属性,并使目标造成1秒眩晕效果"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5" s="183" t="s">
        <v>1723</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62012202</v>
      </c>
      <c r="D716" s="19" t="s">
        <v>1391</v>
      </c>
      <c r="E716" s="19" t="s">
        <v>1392</v>
      </c>
      <c r="F716" s="16">
        <v>1</v>
      </c>
      <c r="G716" s="18">
        <v>62012201</v>
      </c>
      <c r="H716" s="18">
        <f t="shared" ref="H716:H717" si="55">C717</f>
        <v>62012203</v>
      </c>
      <c r="I716" s="27">
        <v>3</v>
      </c>
      <c r="J716" s="16">
        <v>3</v>
      </c>
      <c r="K716" s="16">
        <v>2</v>
      </c>
      <c r="L716" s="16">
        <v>0</v>
      </c>
      <c r="M716" s="18">
        <v>0</v>
      </c>
      <c r="N716" s="18">
        <v>0</v>
      </c>
      <c r="O716" s="18">
        <v>1</v>
      </c>
      <c r="P716" s="18">
        <v>0</v>
      </c>
      <c r="Q716" s="18">
        <v>0</v>
      </c>
      <c r="R716" s="18">
        <v>0</v>
      </c>
      <c r="S716" s="12">
        <v>0</v>
      </c>
      <c r="T716" s="27">
        <v>0</v>
      </c>
      <c r="U716" s="16">
        <v>1</v>
      </c>
      <c r="V716" s="18">
        <v>2</v>
      </c>
      <c r="W716" s="18">
        <v>0</v>
      </c>
      <c r="X716" s="18">
        <v>3.25</v>
      </c>
      <c r="Y716" s="12">
        <v>0</v>
      </c>
      <c r="Z716" s="18">
        <v>750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9" t="s">
        <v>1722</v>
      </c>
      <c r="AV716" s="18"/>
      <c r="AW716" s="19" t="s">
        <v>199</v>
      </c>
      <c r="AX716" s="18" t="s">
        <v>534</v>
      </c>
      <c r="AY716" s="18">
        <v>10000009</v>
      </c>
      <c r="AZ716" s="18">
        <v>21100050</v>
      </c>
      <c r="BA716" s="19" t="s">
        <v>200</v>
      </c>
      <c r="BB716" s="19">
        <v>0</v>
      </c>
      <c r="BC716" s="27">
        <v>0</v>
      </c>
      <c r="BD716" s="27">
        <v>0</v>
      </c>
      <c r="BE716" s="183" t="str">
        <f t="shared" ref="BE716:BE720" si="56">"立即对目标范围内的怪物造成"&amp;X716*100&amp;"%攻击伤害+"&amp;Z716&amp;",并击退周围附近敌方目标,此技能为必中技能无视对方闪避属性,并使目标造成1秒眩晕效果"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6" s="183" t="s">
        <v>1723</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62012203</v>
      </c>
      <c r="D717" s="19" t="s">
        <v>1391</v>
      </c>
      <c r="E717" s="19" t="s">
        <v>1392</v>
      </c>
      <c r="F717" s="16">
        <v>2</v>
      </c>
      <c r="G717" s="18">
        <v>62012201</v>
      </c>
      <c r="H717" s="18">
        <f t="shared" si="55"/>
        <v>62012204</v>
      </c>
      <c r="I717" s="27">
        <v>3</v>
      </c>
      <c r="J717" s="16">
        <v>3</v>
      </c>
      <c r="K717" s="16">
        <v>2</v>
      </c>
      <c r="L717" s="16">
        <v>0</v>
      </c>
      <c r="M717" s="18">
        <v>0</v>
      </c>
      <c r="N717" s="18">
        <v>0</v>
      </c>
      <c r="O717" s="18">
        <v>1</v>
      </c>
      <c r="P717" s="18">
        <v>0</v>
      </c>
      <c r="Q717" s="18">
        <v>0</v>
      </c>
      <c r="R717" s="18">
        <v>0</v>
      </c>
      <c r="S717" s="12">
        <v>0</v>
      </c>
      <c r="T717" s="27">
        <v>0</v>
      </c>
      <c r="U717" s="16">
        <v>1</v>
      </c>
      <c r="V717" s="18">
        <v>2</v>
      </c>
      <c r="W717" s="18">
        <v>0</v>
      </c>
      <c r="X717" s="18">
        <v>3.5</v>
      </c>
      <c r="Y717" s="12">
        <v>0</v>
      </c>
      <c r="Z717" s="18">
        <v>1500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9"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立即对目标范围内的怪物造成350%攻击伤害+1500,并击退周围附近敌方目标,此技能为必中技能无视对方闪避属性,并使目标造成1秒眩晕效果</v>
      </c>
      <c r="BF717" s="183" t="s">
        <v>1724</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20.100000000000001" customHeight="1">
      <c r="C718" s="16">
        <v>62012204</v>
      </c>
      <c r="D718" s="19" t="s">
        <v>1391</v>
      </c>
      <c r="E718" s="19" t="s">
        <v>1392</v>
      </c>
      <c r="F718" s="16">
        <v>3</v>
      </c>
      <c r="G718" s="18">
        <v>62012201</v>
      </c>
      <c r="H718" s="16">
        <v>0</v>
      </c>
      <c r="I718" s="27">
        <v>3</v>
      </c>
      <c r="J718" s="16">
        <v>3</v>
      </c>
      <c r="K718" s="16">
        <v>0</v>
      </c>
      <c r="L718" s="16">
        <v>0</v>
      </c>
      <c r="M718" s="18">
        <v>0</v>
      </c>
      <c r="N718" s="18">
        <v>0</v>
      </c>
      <c r="O718" s="18">
        <v>1</v>
      </c>
      <c r="P718" s="18">
        <v>0</v>
      </c>
      <c r="Q718" s="18">
        <v>0</v>
      </c>
      <c r="R718" s="18">
        <v>0</v>
      </c>
      <c r="S718" s="12">
        <v>0</v>
      </c>
      <c r="T718" s="27">
        <v>0</v>
      </c>
      <c r="U718" s="16">
        <v>1</v>
      </c>
      <c r="V718" s="18">
        <v>2</v>
      </c>
      <c r="W718" s="18">
        <v>0</v>
      </c>
      <c r="X718" s="18">
        <v>3.75</v>
      </c>
      <c r="Y718" s="12">
        <v>0</v>
      </c>
      <c r="Z718" s="18">
        <v>2250</v>
      </c>
      <c r="AA718" s="18">
        <v>1</v>
      </c>
      <c r="AB718" s="18">
        <v>0</v>
      </c>
      <c r="AC718" s="18">
        <v>0</v>
      </c>
      <c r="AD718" s="18">
        <v>0</v>
      </c>
      <c r="AE718" s="18">
        <v>0</v>
      </c>
      <c r="AF718" s="18">
        <v>12</v>
      </c>
      <c r="AG718" s="18">
        <v>1</v>
      </c>
      <c r="AH718" s="18">
        <v>3.5</v>
      </c>
      <c r="AI718" s="12">
        <v>0</v>
      </c>
      <c r="AJ718" s="12">
        <v>0</v>
      </c>
      <c r="AK718" s="12">
        <v>0</v>
      </c>
      <c r="AL718" s="12">
        <v>4</v>
      </c>
      <c r="AM718" s="18">
        <v>0</v>
      </c>
      <c r="AN718" s="18">
        <v>0</v>
      </c>
      <c r="AO718" s="18">
        <v>0</v>
      </c>
      <c r="AP718" s="18">
        <v>0.25</v>
      </c>
      <c r="AQ718" s="18">
        <v>2000</v>
      </c>
      <c r="AR718" s="18">
        <v>0</v>
      </c>
      <c r="AS718" s="18">
        <v>0</v>
      </c>
      <c r="AT718" s="12">
        <v>0</v>
      </c>
      <c r="AU718" s="349" t="s">
        <v>1722</v>
      </c>
      <c r="AV718" s="18"/>
      <c r="AW718" s="19" t="s">
        <v>199</v>
      </c>
      <c r="AX718" s="18" t="s">
        <v>534</v>
      </c>
      <c r="AY718" s="18">
        <v>10000009</v>
      </c>
      <c r="AZ718" s="18">
        <v>21100050</v>
      </c>
      <c r="BA718" s="19" t="s">
        <v>200</v>
      </c>
      <c r="BB718" s="19">
        <v>0</v>
      </c>
      <c r="BC718" s="27">
        <v>0</v>
      </c>
      <c r="BD718" s="27">
        <v>0</v>
      </c>
      <c r="BE718" s="183" t="str">
        <f t="shared" si="56"/>
        <v>立即对目标范围内的怪物造成375%攻击伤害+2250,并击退周围附近敌方目标,此技能为必中技能无视对方闪避属性,并使目标造成1秒眩晕效果</v>
      </c>
      <c r="BF718" s="183" t="s">
        <v>1725</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20.100000000000001" customHeight="1">
      <c r="C719" s="16">
        <v>62012205</v>
      </c>
      <c r="D719" s="19" t="s">
        <v>1391</v>
      </c>
      <c r="E719" s="19" t="s">
        <v>1392</v>
      </c>
      <c r="F719" s="16">
        <v>4</v>
      </c>
      <c r="G719" s="18">
        <v>62012201</v>
      </c>
      <c r="H719" s="16">
        <v>0</v>
      </c>
      <c r="I719" s="27">
        <v>3</v>
      </c>
      <c r="J719" s="16">
        <v>3</v>
      </c>
      <c r="K719" s="16">
        <v>0</v>
      </c>
      <c r="L719" s="16">
        <v>0</v>
      </c>
      <c r="M719" s="18">
        <v>0</v>
      </c>
      <c r="N719" s="18">
        <v>0</v>
      </c>
      <c r="O719" s="18">
        <v>1</v>
      </c>
      <c r="P719" s="18">
        <v>0</v>
      </c>
      <c r="Q719" s="18">
        <v>0</v>
      </c>
      <c r="R719" s="18">
        <v>0</v>
      </c>
      <c r="S719" s="12">
        <v>0</v>
      </c>
      <c r="T719" s="27">
        <v>0</v>
      </c>
      <c r="U719" s="16">
        <v>1</v>
      </c>
      <c r="V719" s="18">
        <v>2</v>
      </c>
      <c r="W719" s="18">
        <v>0</v>
      </c>
      <c r="X719" s="18">
        <v>4</v>
      </c>
      <c r="Y719" s="12">
        <v>0</v>
      </c>
      <c r="Z719" s="18">
        <v>3250</v>
      </c>
      <c r="AA719" s="18">
        <v>1</v>
      </c>
      <c r="AB719" s="18">
        <v>0</v>
      </c>
      <c r="AC719" s="18">
        <v>0</v>
      </c>
      <c r="AD719" s="18">
        <v>0</v>
      </c>
      <c r="AE719" s="18">
        <v>0</v>
      </c>
      <c r="AF719" s="18">
        <v>12</v>
      </c>
      <c r="AG719" s="18">
        <v>1</v>
      </c>
      <c r="AH719" s="18">
        <v>3.5</v>
      </c>
      <c r="AI719" s="12">
        <v>0</v>
      </c>
      <c r="AJ719" s="12">
        <v>0</v>
      </c>
      <c r="AK719" s="12">
        <v>0</v>
      </c>
      <c r="AL719" s="12">
        <v>4</v>
      </c>
      <c r="AM719" s="18">
        <v>0</v>
      </c>
      <c r="AN719" s="18">
        <v>0</v>
      </c>
      <c r="AO719" s="18">
        <v>0</v>
      </c>
      <c r="AP719" s="18">
        <v>0.25</v>
      </c>
      <c r="AQ719" s="18">
        <v>2000</v>
      </c>
      <c r="AR719" s="18">
        <v>0</v>
      </c>
      <c r="AS719" s="18">
        <v>0</v>
      </c>
      <c r="AT719" s="12">
        <v>0</v>
      </c>
      <c r="AU719" s="349" t="s">
        <v>1722</v>
      </c>
      <c r="AV719" s="18"/>
      <c r="AW719" s="19" t="s">
        <v>199</v>
      </c>
      <c r="AX719" s="18" t="s">
        <v>534</v>
      </c>
      <c r="AY719" s="18">
        <v>10000009</v>
      </c>
      <c r="AZ719" s="18">
        <v>21100050</v>
      </c>
      <c r="BA719" s="19" t="s">
        <v>200</v>
      </c>
      <c r="BB719" s="19">
        <v>0</v>
      </c>
      <c r="BC719" s="27">
        <v>0</v>
      </c>
      <c r="BD719" s="27">
        <v>0</v>
      </c>
      <c r="BE719" s="183" t="str">
        <f t="shared" si="56"/>
        <v>立即对目标范围内的怪物造成400%攻击伤害+3250,并击退周围附近敌方目标,此技能为必中技能无视对方闪避属性,并使目标造成1秒眩晕效果</v>
      </c>
      <c r="BF719" s="183" t="s">
        <v>1726</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20.100000000000001" customHeight="1">
      <c r="C720" s="16">
        <v>62012206</v>
      </c>
      <c r="D720" s="19" t="s">
        <v>1391</v>
      </c>
      <c r="E720" s="19" t="s">
        <v>1392</v>
      </c>
      <c r="F720" s="16">
        <v>5</v>
      </c>
      <c r="G720" s="18">
        <v>62012201</v>
      </c>
      <c r="H720" s="16">
        <v>0</v>
      </c>
      <c r="I720" s="27">
        <v>3</v>
      </c>
      <c r="J720" s="16">
        <v>3</v>
      </c>
      <c r="K720" s="16">
        <v>0</v>
      </c>
      <c r="L720" s="16">
        <v>0</v>
      </c>
      <c r="M720" s="18">
        <v>0</v>
      </c>
      <c r="N720" s="18">
        <v>0</v>
      </c>
      <c r="O720" s="18">
        <v>1</v>
      </c>
      <c r="P720" s="18">
        <v>0</v>
      </c>
      <c r="Q720" s="18">
        <v>0</v>
      </c>
      <c r="R720" s="18">
        <v>0</v>
      </c>
      <c r="S720" s="12">
        <v>0</v>
      </c>
      <c r="T720" s="27">
        <v>0</v>
      </c>
      <c r="U720" s="16">
        <v>1</v>
      </c>
      <c r="V720" s="18">
        <v>2</v>
      </c>
      <c r="W720" s="18">
        <v>0</v>
      </c>
      <c r="X720" s="18">
        <v>4.25</v>
      </c>
      <c r="Y720" s="12">
        <v>0</v>
      </c>
      <c r="Z720" s="18">
        <v>4250</v>
      </c>
      <c r="AA720" s="18">
        <v>1</v>
      </c>
      <c r="AB720" s="18">
        <v>0</v>
      </c>
      <c r="AC720" s="18">
        <v>0</v>
      </c>
      <c r="AD720" s="18">
        <v>0</v>
      </c>
      <c r="AE720" s="18">
        <v>0</v>
      </c>
      <c r="AF720" s="18">
        <v>12</v>
      </c>
      <c r="AG720" s="18">
        <v>1</v>
      </c>
      <c r="AH720" s="18">
        <v>3.5</v>
      </c>
      <c r="AI720" s="12">
        <v>0</v>
      </c>
      <c r="AJ720" s="12">
        <v>0</v>
      </c>
      <c r="AK720" s="12">
        <v>0</v>
      </c>
      <c r="AL720" s="12">
        <v>4</v>
      </c>
      <c r="AM720" s="18">
        <v>0</v>
      </c>
      <c r="AN720" s="18">
        <v>0</v>
      </c>
      <c r="AO720" s="18">
        <v>0</v>
      </c>
      <c r="AP720" s="18">
        <v>0.25</v>
      </c>
      <c r="AQ720" s="18">
        <v>2000</v>
      </c>
      <c r="AR720" s="18">
        <v>0</v>
      </c>
      <c r="AS720" s="18">
        <v>0</v>
      </c>
      <c r="AT720" s="12">
        <v>0</v>
      </c>
      <c r="AU720" s="349" t="s">
        <v>1722</v>
      </c>
      <c r="AV720" s="18"/>
      <c r="AW720" s="19" t="s">
        <v>199</v>
      </c>
      <c r="AX720" s="18" t="s">
        <v>534</v>
      </c>
      <c r="AY720" s="18">
        <v>10000009</v>
      </c>
      <c r="AZ720" s="18">
        <v>21100050</v>
      </c>
      <c r="BA720" s="19" t="s">
        <v>200</v>
      </c>
      <c r="BB720" s="19">
        <v>0</v>
      </c>
      <c r="BC720" s="27">
        <v>0</v>
      </c>
      <c r="BD720" s="27">
        <v>0</v>
      </c>
      <c r="BE720" s="183" t="str">
        <f t="shared" si="56"/>
        <v>立即对目标范围内的怪物造成425%攻击伤害+4250,并击退周围附近敌方目标,此技能为必中技能无视对方闪避属性,并使目标造成1秒眩晕效果</v>
      </c>
      <c r="BF720" s="183" t="s">
        <v>1727</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62012301</v>
      </c>
      <c r="D721" s="19" t="s">
        <v>1728</v>
      </c>
      <c r="E721" s="19" t="s">
        <v>1729</v>
      </c>
      <c r="F721" s="16">
        <v>0</v>
      </c>
      <c r="G721" s="18">
        <v>62012301</v>
      </c>
      <c r="H721" s="18">
        <f>C722</f>
        <v>62012302</v>
      </c>
      <c r="I721" s="27">
        <v>4</v>
      </c>
      <c r="J721" s="16">
        <v>5</v>
      </c>
      <c r="K721" s="16">
        <v>5</v>
      </c>
      <c r="L721" s="16">
        <v>0</v>
      </c>
      <c r="M721" s="18">
        <v>0</v>
      </c>
      <c r="N721" s="18">
        <v>0</v>
      </c>
      <c r="O721" s="18">
        <v>1</v>
      </c>
      <c r="P721" s="18">
        <v>0</v>
      </c>
      <c r="Q721" s="18">
        <v>0</v>
      </c>
      <c r="R721" s="18">
        <v>0</v>
      </c>
      <c r="S721" s="12">
        <v>0</v>
      </c>
      <c r="T721" s="27">
        <v>0</v>
      </c>
      <c r="U721" s="16">
        <v>1</v>
      </c>
      <c r="V721" s="18">
        <v>2</v>
      </c>
      <c r="W721" s="18">
        <v>0</v>
      </c>
      <c r="X721" s="18">
        <v>3.25</v>
      </c>
      <c r="Y721" s="12">
        <v>0</v>
      </c>
      <c r="Z721" s="18">
        <v>1350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"立即对目标范围内的怪物造成"&amp;X721*100&amp;"%攻击伤害+"&amp;Z721&amp;"点固定伤害,并使目标产生冰封效果,使其2秒内无法进行移动"</f>
        <v>立即对目标范围内的怪物造成325%攻击伤害+1350点固定伤害,并使目标产生冰封效果,使其2秒内无法进行移动</v>
      </c>
      <c r="BF721" s="183" t="s">
        <v>1730</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62012302</v>
      </c>
      <c r="D722" s="19" t="s">
        <v>1728</v>
      </c>
      <c r="E722" s="19" t="s">
        <v>1729</v>
      </c>
      <c r="F722" s="16">
        <v>1</v>
      </c>
      <c r="G722" s="18">
        <v>62012301</v>
      </c>
      <c r="H722" s="18">
        <f t="shared" ref="H722:H723" si="57">C723</f>
        <v>62012303</v>
      </c>
      <c r="I722" s="27">
        <v>4</v>
      </c>
      <c r="J722" s="16">
        <v>5</v>
      </c>
      <c r="K722" s="16">
        <v>2</v>
      </c>
      <c r="L722" s="16">
        <v>0</v>
      </c>
      <c r="M722" s="18">
        <v>0</v>
      </c>
      <c r="N722" s="18">
        <v>0</v>
      </c>
      <c r="O722" s="18">
        <v>1</v>
      </c>
      <c r="P722" s="18">
        <v>0</v>
      </c>
      <c r="Q722" s="18">
        <v>0</v>
      </c>
      <c r="R722" s="18">
        <v>0</v>
      </c>
      <c r="S722" s="12">
        <v>0</v>
      </c>
      <c r="T722" s="27">
        <v>0</v>
      </c>
      <c r="U722" s="16">
        <v>1</v>
      </c>
      <c r="V722" s="18">
        <v>2</v>
      </c>
      <c r="W722" s="18">
        <v>0</v>
      </c>
      <c r="X722" s="18">
        <v>3.25</v>
      </c>
      <c r="Y722" s="12">
        <v>0</v>
      </c>
      <c r="Z722" s="18">
        <v>1350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ref="BE722:BE726" si="58">"立即对目标范围内的怪物造成"&amp;X722*100&amp;"%攻击伤害+"&amp;Z722&amp;"点固定伤害,并使目标产生冰封效果,使其2秒内无法进行移动"</f>
        <v>立即对目标范围内的怪物造成325%攻击伤害+1350点固定伤害,并使目标产生冰封效果,使其2秒内无法进行移动</v>
      </c>
      <c r="BF722" s="183" t="s">
        <v>1730</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62012303</v>
      </c>
      <c r="D723" s="19" t="s">
        <v>1728</v>
      </c>
      <c r="E723" s="19" t="s">
        <v>1729</v>
      </c>
      <c r="F723" s="16">
        <v>2</v>
      </c>
      <c r="G723" s="18">
        <v>62012301</v>
      </c>
      <c r="H723" s="18">
        <f t="shared" si="57"/>
        <v>62012304</v>
      </c>
      <c r="I723" s="27">
        <v>4</v>
      </c>
      <c r="J723" s="16">
        <v>5</v>
      </c>
      <c r="K723" s="16">
        <v>2</v>
      </c>
      <c r="L723" s="16">
        <v>0</v>
      </c>
      <c r="M723" s="18">
        <v>0</v>
      </c>
      <c r="N723" s="18">
        <v>0</v>
      </c>
      <c r="O723" s="18">
        <v>1</v>
      </c>
      <c r="P723" s="18">
        <v>0</v>
      </c>
      <c r="Q723" s="18">
        <v>0</v>
      </c>
      <c r="R723" s="18">
        <v>0</v>
      </c>
      <c r="S723" s="12">
        <v>0</v>
      </c>
      <c r="T723" s="27">
        <v>0</v>
      </c>
      <c r="U723" s="16">
        <v>1</v>
      </c>
      <c r="V723" s="18">
        <v>2</v>
      </c>
      <c r="W723" s="18">
        <v>0</v>
      </c>
      <c r="X723" s="18">
        <v>3.5</v>
      </c>
      <c r="Y723" s="12">
        <v>0</v>
      </c>
      <c r="Z723" s="18">
        <v>2700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立即对目标范围内的怪物造成350%攻击伤害+2700点固定伤害,并使目标产生冰封效果,使其2秒内无法进行移动</v>
      </c>
      <c r="BF723" s="183" t="s">
        <v>1731</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19.5" customHeight="1">
      <c r="C724" s="16">
        <v>62012304</v>
      </c>
      <c r="D724" s="19" t="s">
        <v>1728</v>
      </c>
      <c r="E724" s="19" t="s">
        <v>1729</v>
      </c>
      <c r="F724" s="16">
        <v>3</v>
      </c>
      <c r="G724" s="18">
        <v>62012301</v>
      </c>
      <c r="H724" s="18">
        <v>0</v>
      </c>
      <c r="I724" s="27">
        <v>4</v>
      </c>
      <c r="J724" s="16">
        <v>5</v>
      </c>
      <c r="K724" s="16">
        <v>0</v>
      </c>
      <c r="L724" s="16">
        <v>0</v>
      </c>
      <c r="M724" s="18">
        <v>0</v>
      </c>
      <c r="N724" s="18">
        <v>0</v>
      </c>
      <c r="O724" s="18">
        <v>1</v>
      </c>
      <c r="P724" s="18">
        <v>0</v>
      </c>
      <c r="Q724" s="18">
        <v>0</v>
      </c>
      <c r="R724" s="18">
        <v>0</v>
      </c>
      <c r="S724" s="12">
        <v>0</v>
      </c>
      <c r="T724" s="27">
        <v>0</v>
      </c>
      <c r="U724" s="16">
        <v>1</v>
      </c>
      <c r="V724" s="18">
        <v>2</v>
      </c>
      <c r="W724" s="18">
        <v>0</v>
      </c>
      <c r="X724" s="18">
        <v>3.75</v>
      </c>
      <c r="Y724" s="12">
        <v>0</v>
      </c>
      <c r="Z724" s="18">
        <v>4200</v>
      </c>
      <c r="AA724" s="18">
        <v>0</v>
      </c>
      <c r="AB724" s="18">
        <v>0</v>
      </c>
      <c r="AC724" s="18">
        <v>0</v>
      </c>
      <c r="AD724" s="18">
        <v>0</v>
      </c>
      <c r="AE724" s="18">
        <v>0</v>
      </c>
      <c r="AF724" s="18">
        <v>9</v>
      </c>
      <c r="AG724" s="18">
        <v>1</v>
      </c>
      <c r="AH724" s="18">
        <v>3</v>
      </c>
      <c r="AI724" s="12">
        <v>2</v>
      </c>
      <c r="AJ724" s="12">
        <v>1</v>
      </c>
      <c r="AK724" s="12">
        <v>0</v>
      </c>
      <c r="AL724" s="12">
        <v>6</v>
      </c>
      <c r="AM724" s="18">
        <v>0</v>
      </c>
      <c r="AN724" s="18">
        <v>1</v>
      </c>
      <c r="AO724" s="18">
        <v>0</v>
      </c>
      <c r="AP724" s="18">
        <v>0.25</v>
      </c>
      <c r="AQ724" s="18">
        <v>30000</v>
      </c>
      <c r="AR724" s="18">
        <v>0</v>
      </c>
      <c r="AS724" s="18">
        <v>0</v>
      </c>
      <c r="AT724" s="12">
        <v>0</v>
      </c>
      <c r="AU724" s="18">
        <v>92005003</v>
      </c>
      <c r="AV724" s="18"/>
      <c r="AW724" s="19" t="s">
        <v>199</v>
      </c>
      <c r="AX724" s="18" t="s">
        <v>534</v>
      </c>
      <c r="AY724" s="18">
        <v>10003002</v>
      </c>
      <c r="AZ724" s="18">
        <v>21100060</v>
      </c>
      <c r="BA724" s="19" t="s">
        <v>200</v>
      </c>
      <c r="BB724" s="19">
        <v>0</v>
      </c>
      <c r="BC724" s="27">
        <v>0</v>
      </c>
      <c r="BD724" s="27">
        <v>0</v>
      </c>
      <c r="BE724" s="183" t="str">
        <f t="shared" si="58"/>
        <v>立即对目标范围内的怪物造成375%攻击伤害+4200点固定伤害,并使目标产生冰封效果,使其2秒内无法进行移动</v>
      </c>
      <c r="BF724" s="183" t="s">
        <v>1732</v>
      </c>
      <c r="BG724" s="18">
        <v>0</v>
      </c>
      <c r="BH724" s="16">
        <v>0</v>
      </c>
      <c r="BI724" s="18">
        <v>0</v>
      </c>
      <c r="BJ724" s="18">
        <v>0</v>
      </c>
      <c r="BK724" s="18">
        <v>0</v>
      </c>
      <c r="BL724" s="18">
        <v>0</v>
      </c>
      <c r="BM724" s="15">
        <v>0</v>
      </c>
      <c r="BN724" s="12">
        <v>0</v>
      </c>
      <c r="BO724" s="12">
        <v>0</v>
      </c>
      <c r="BP724" s="12">
        <v>0</v>
      </c>
      <c r="BQ724" s="12">
        <v>0</v>
      </c>
      <c r="BR724" s="12">
        <v>0</v>
      </c>
      <c r="BS724" s="12">
        <v>0</v>
      </c>
      <c r="BT724" s="12">
        <v>0</v>
      </c>
      <c r="BU724" s="47">
        <v>0</v>
      </c>
      <c r="BV724" s="47"/>
      <c r="BW724" s="47"/>
    </row>
    <row r="725" spans="3:75" ht="19.5" customHeight="1">
      <c r="C725" s="16">
        <v>62012305</v>
      </c>
      <c r="D725" s="19" t="s">
        <v>1728</v>
      </c>
      <c r="E725" s="19" t="s">
        <v>1729</v>
      </c>
      <c r="F725" s="16">
        <v>4</v>
      </c>
      <c r="G725" s="18">
        <v>62012301</v>
      </c>
      <c r="H725" s="18">
        <v>0</v>
      </c>
      <c r="I725" s="27">
        <v>4</v>
      </c>
      <c r="J725" s="16">
        <v>5</v>
      </c>
      <c r="K725" s="16">
        <v>0</v>
      </c>
      <c r="L725" s="16">
        <v>0</v>
      </c>
      <c r="M725" s="18">
        <v>0</v>
      </c>
      <c r="N725" s="18">
        <v>0</v>
      </c>
      <c r="O725" s="18">
        <v>1</v>
      </c>
      <c r="P725" s="18">
        <v>0</v>
      </c>
      <c r="Q725" s="18">
        <v>0</v>
      </c>
      <c r="R725" s="18">
        <v>0</v>
      </c>
      <c r="S725" s="12">
        <v>0</v>
      </c>
      <c r="T725" s="27">
        <v>0</v>
      </c>
      <c r="U725" s="16">
        <v>1</v>
      </c>
      <c r="V725" s="18">
        <v>2</v>
      </c>
      <c r="W725" s="18">
        <v>0</v>
      </c>
      <c r="X725" s="18">
        <v>4</v>
      </c>
      <c r="Y725" s="12">
        <v>0</v>
      </c>
      <c r="Z725" s="18">
        <v>6000</v>
      </c>
      <c r="AA725" s="18">
        <v>0</v>
      </c>
      <c r="AB725" s="18">
        <v>0</v>
      </c>
      <c r="AC725" s="18">
        <v>0</v>
      </c>
      <c r="AD725" s="18">
        <v>0</v>
      </c>
      <c r="AE725" s="18">
        <v>0</v>
      </c>
      <c r="AF725" s="18">
        <v>9</v>
      </c>
      <c r="AG725" s="18">
        <v>1</v>
      </c>
      <c r="AH725" s="18">
        <v>3</v>
      </c>
      <c r="AI725" s="12">
        <v>2</v>
      </c>
      <c r="AJ725" s="12">
        <v>1</v>
      </c>
      <c r="AK725" s="12">
        <v>0</v>
      </c>
      <c r="AL725" s="12">
        <v>6</v>
      </c>
      <c r="AM725" s="18">
        <v>0</v>
      </c>
      <c r="AN725" s="18">
        <v>1</v>
      </c>
      <c r="AO725" s="18">
        <v>0</v>
      </c>
      <c r="AP725" s="18">
        <v>0.25</v>
      </c>
      <c r="AQ725" s="18">
        <v>30000</v>
      </c>
      <c r="AR725" s="18">
        <v>0</v>
      </c>
      <c r="AS725" s="18">
        <v>0</v>
      </c>
      <c r="AT725" s="12">
        <v>0</v>
      </c>
      <c r="AU725" s="18">
        <v>92005003</v>
      </c>
      <c r="AV725" s="18"/>
      <c r="AW725" s="19" t="s">
        <v>199</v>
      </c>
      <c r="AX725" s="18" t="s">
        <v>534</v>
      </c>
      <c r="AY725" s="18">
        <v>10003002</v>
      </c>
      <c r="AZ725" s="18">
        <v>21100060</v>
      </c>
      <c r="BA725" s="19" t="s">
        <v>200</v>
      </c>
      <c r="BB725" s="19">
        <v>0</v>
      </c>
      <c r="BC725" s="27">
        <v>0</v>
      </c>
      <c r="BD725" s="27">
        <v>0</v>
      </c>
      <c r="BE725" s="183" t="str">
        <f t="shared" si="58"/>
        <v>立即对目标范围内的怪物造成400%攻击伤害+6000点固定伤害,并使目标产生冰封效果,使其2秒内无法进行移动</v>
      </c>
      <c r="BF725" s="183" t="s">
        <v>1733</v>
      </c>
      <c r="BG725" s="18">
        <v>0</v>
      </c>
      <c r="BH725" s="16">
        <v>0</v>
      </c>
      <c r="BI725" s="18">
        <v>0</v>
      </c>
      <c r="BJ725" s="18">
        <v>0</v>
      </c>
      <c r="BK725" s="18">
        <v>0</v>
      </c>
      <c r="BL725" s="18">
        <v>0</v>
      </c>
      <c r="BM725" s="15">
        <v>0</v>
      </c>
      <c r="BN725" s="12">
        <v>0</v>
      </c>
      <c r="BO725" s="12">
        <v>0</v>
      </c>
      <c r="BP725" s="12">
        <v>0</v>
      </c>
      <c r="BQ725" s="12">
        <v>0</v>
      </c>
      <c r="BR725" s="12">
        <v>0</v>
      </c>
      <c r="BS725" s="12">
        <v>0</v>
      </c>
      <c r="BT725" s="12">
        <v>0</v>
      </c>
      <c r="BU725" s="47">
        <v>0</v>
      </c>
      <c r="BV725" s="47"/>
      <c r="BW725" s="47"/>
    </row>
    <row r="726" spans="3:75" ht="19.5" customHeight="1">
      <c r="C726" s="16">
        <v>62012306</v>
      </c>
      <c r="D726" s="19" t="s">
        <v>1728</v>
      </c>
      <c r="E726" s="19" t="s">
        <v>1729</v>
      </c>
      <c r="F726" s="16">
        <v>5</v>
      </c>
      <c r="G726" s="18">
        <v>62012301</v>
      </c>
      <c r="H726" s="18">
        <v>0</v>
      </c>
      <c r="I726" s="27">
        <v>4</v>
      </c>
      <c r="J726" s="16">
        <v>5</v>
      </c>
      <c r="K726" s="16">
        <v>0</v>
      </c>
      <c r="L726" s="16">
        <v>0</v>
      </c>
      <c r="M726" s="18">
        <v>0</v>
      </c>
      <c r="N726" s="18">
        <v>0</v>
      </c>
      <c r="O726" s="18">
        <v>1</v>
      </c>
      <c r="P726" s="18">
        <v>0</v>
      </c>
      <c r="Q726" s="18">
        <v>0</v>
      </c>
      <c r="R726" s="18">
        <v>0</v>
      </c>
      <c r="S726" s="12">
        <v>0</v>
      </c>
      <c r="T726" s="27">
        <v>0</v>
      </c>
      <c r="U726" s="16">
        <v>1</v>
      </c>
      <c r="V726" s="18">
        <v>2</v>
      </c>
      <c r="W726" s="18">
        <v>0</v>
      </c>
      <c r="X726" s="18">
        <v>4.25</v>
      </c>
      <c r="Y726" s="12">
        <v>0</v>
      </c>
      <c r="Z726" s="18">
        <v>7800</v>
      </c>
      <c r="AA726" s="18">
        <v>0</v>
      </c>
      <c r="AB726" s="18">
        <v>0</v>
      </c>
      <c r="AC726" s="18">
        <v>0</v>
      </c>
      <c r="AD726" s="18">
        <v>0</v>
      </c>
      <c r="AE726" s="18">
        <v>0</v>
      </c>
      <c r="AF726" s="18">
        <v>9</v>
      </c>
      <c r="AG726" s="18">
        <v>1</v>
      </c>
      <c r="AH726" s="18">
        <v>3</v>
      </c>
      <c r="AI726" s="12">
        <v>2</v>
      </c>
      <c r="AJ726" s="12">
        <v>1</v>
      </c>
      <c r="AK726" s="12">
        <v>0</v>
      </c>
      <c r="AL726" s="12">
        <v>6</v>
      </c>
      <c r="AM726" s="18">
        <v>0</v>
      </c>
      <c r="AN726" s="18">
        <v>1</v>
      </c>
      <c r="AO726" s="18">
        <v>0</v>
      </c>
      <c r="AP726" s="18">
        <v>0.25</v>
      </c>
      <c r="AQ726" s="18">
        <v>30000</v>
      </c>
      <c r="AR726" s="18">
        <v>0</v>
      </c>
      <c r="AS726" s="18">
        <v>0</v>
      </c>
      <c r="AT726" s="12">
        <v>0</v>
      </c>
      <c r="AU726" s="18">
        <v>92005003</v>
      </c>
      <c r="AV726" s="18"/>
      <c r="AW726" s="19" t="s">
        <v>199</v>
      </c>
      <c r="AX726" s="18" t="s">
        <v>534</v>
      </c>
      <c r="AY726" s="18">
        <v>10003002</v>
      </c>
      <c r="AZ726" s="18">
        <v>21100060</v>
      </c>
      <c r="BA726" s="19" t="s">
        <v>200</v>
      </c>
      <c r="BB726" s="19">
        <v>0</v>
      </c>
      <c r="BC726" s="27">
        <v>0</v>
      </c>
      <c r="BD726" s="27">
        <v>0</v>
      </c>
      <c r="BE726" s="183" t="str">
        <f t="shared" si="58"/>
        <v>立即对目标范围内的怪物造成425%攻击伤害+7800点固定伤害,并使目标产生冰封效果,使其2秒内无法进行移动</v>
      </c>
      <c r="BF726" s="183" t="s">
        <v>1734</v>
      </c>
      <c r="BG726" s="18">
        <v>0</v>
      </c>
      <c r="BH726" s="16">
        <v>0</v>
      </c>
      <c r="BI726" s="18">
        <v>0</v>
      </c>
      <c r="BJ726" s="18">
        <v>0</v>
      </c>
      <c r="BK726" s="18">
        <v>0</v>
      </c>
      <c r="BL726" s="18">
        <v>0</v>
      </c>
      <c r="BM726" s="15">
        <v>0</v>
      </c>
      <c r="BN726" s="12">
        <v>0</v>
      </c>
      <c r="BO726" s="12">
        <v>0</v>
      </c>
      <c r="BP726" s="12">
        <v>0</v>
      </c>
      <c r="BQ726" s="12">
        <v>0</v>
      </c>
      <c r="BR726" s="12">
        <v>0</v>
      </c>
      <c r="BS726" s="12">
        <v>0</v>
      </c>
      <c r="BT726" s="12">
        <v>0</v>
      </c>
      <c r="BU726" s="47">
        <v>0</v>
      </c>
      <c r="BV726" s="47"/>
      <c r="BW726" s="47"/>
    </row>
    <row r="727" spans="3:75" ht="20.100000000000001" customHeight="1">
      <c r="C727" s="30">
        <v>620211011</v>
      </c>
      <c r="D727" s="38" t="s">
        <v>1537</v>
      </c>
      <c r="E727" s="38" t="s">
        <v>1538</v>
      </c>
      <c r="F727" s="30">
        <v>0</v>
      </c>
      <c r="G727" s="30">
        <v>62021201</v>
      </c>
      <c r="H727" s="18">
        <v>0</v>
      </c>
      <c r="I727" s="30">
        <v>0</v>
      </c>
      <c r="J727" s="30">
        <v>30</v>
      </c>
      <c r="K727" s="30">
        <v>5</v>
      </c>
      <c r="L727" s="30">
        <v>0</v>
      </c>
      <c r="M727" s="30">
        <v>0</v>
      </c>
      <c r="N727" s="30">
        <v>0</v>
      </c>
      <c r="O727" s="30">
        <v>1</v>
      </c>
      <c r="P727" s="30">
        <v>0</v>
      </c>
      <c r="Q727" s="30">
        <v>0</v>
      </c>
      <c r="R727" s="30">
        <v>0</v>
      </c>
      <c r="S727" s="30">
        <v>0</v>
      </c>
      <c r="T727" s="30">
        <v>0</v>
      </c>
      <c r="U727" s="30">
        <v>1</v>
      </c>
      <c r="V727" s="30">
        <v>2</v>
      </c>
      <c r="W727" s="30">
        <v>0</v>
      </c>
      <c r="X727" s="30">
        <v>2</v>
      </c>
      <c r="Y727" s="12">
        <v>0</v>
      </c>
      <c r="Z727" s="30">
        <v>1050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"立即对当前脚下敌人目标造成"&amp;X727*100&amp;"%攻击伤害+"&amp;Z727&amp;"点固定伤害和使目标眩晕1秒,并迅速跳跃至目标区域"</f>
        <v>立即对当前脚下敌人目标造成200%攻击伤害+1050点固定伤害和使目标眩晕1秒,并迅速跳跃至目标区域</v>
      </c>
      <c r="BF727" s="182" t="s">
        <v>1539</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620211021</v>
      </c>
      <c r="D728" s="38" t="s">
        <v>1537</v>
      </c>
      <c r="E728" s="38" t="s">
        <v>1538</v>
      </c>
      <c r="F728" s="30">
        <v>1</v>
      </c>
      <c r="G728" s="30">
        <v>62021201</v>
      </c>
      <c r="H728" s="18">
        <v>0</v>
      </c>
      <c r="I728" s="30">
        <v>0</v>
      </c>
      <c r="J728" s="30">
        <v>37</v>
      </c>
      <c r="K728" s="30">
        <v>2</v>
      </c>
      <c r="L728" s="30">
        <v>0</v>
      </c>
      <c r="M728" s="30">
        <v>0</v>
      </c>
      <c r="N728" s="30">
        <v>0</v>
      </c>
      <c r="O728" s="30">
        <v>1</v>
      </c>
      <c r="P728" s="30">
        <v>0</v>
      </c>
      <c r="Q728" s="30">
        <v>0</v>
      </c>
      <c r="R728" s="30">
        <v>0</v>
      </c>
      <c r="S728" s="30">
        <v>0</v>
      </c>
      <c r="T728" s="30">
        <v>0</v>
      </c>
      <c r="U728" s="30">
        <v>1</v>
      </c>
      <c r="V728" s="30">
        <v>2</v>
      </c>
      <c r="W728" s="30">
        <v>0</v>
      </c>
      <c r="X728" s="30">
        <v>2</v>
      </c>
      <c r="Y728" s="12">
        <v>0</v>
      </c>
      <c r="Z728" s="30">
        <v>1050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ref="BE728:BE732" si="59">"立即对当前脚下敌人目标造成"&amp;X728*100&amp;"%攻击伤害+"&amp;Z728&amp;"点固定伤害和使目标眩晕1秒,并迅速跳跃至目标区域"</f>
        <v>立即对当前脚下敌人目标造成200%攻击伤害+1050点固定伤害和使目标眩晕1秒,并迅速跳跃至目标区域</v>
      </c>
      <c r="BF728" s="182" t="s">
        <v>1539</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620211031</v>
      </c>
      <c r="D729" s="38" t="s">
        <v>1537</v>
      </c>
      <c r="E729" s="38" t="s">
        <v>1538</v>
      </c>
      <c r="F729" s="30">
        <v>2</v>
      </c>
      <c r="G729" s="30">
        <v>62021201</v>
      </c>
      <c r="H729" s="18">
        <v>0</v>
      </c>
      <c r="I729" s="30">
        <v>0</v>
      </c>
      <c r="J729" s="30">
        <v>42</v>
      </c>
      <c r="K729" s="30">
        <v>2</v>
      </c>
      <c r="L729" s="30">
        <v>0</v>
      </c>
      <c r="M729" s="30">
        <v>0</v>
      </c>
      <c r="N729" s="30">
        <v>0</v>
      </c>
      <c r="O729" s="30">
        <v>1</v>
      </c>
      <c r="P729" s="30">
        <v>0</v>
      </c>
      <c r="Q729" s="30">
        <v>0</v>
      </c>
      <c r="R729" s="30">
        <v>0</v>
      </c>
      <c r="S729" s="30">
        <v>0</v>
      </c>
      <c r="T729" s="30">
        <v>0</v>
      </c>
      <c r="U729" s="30">
        <v>1</v>
      </c>
      <c r="V729" s="30">
        <v>2</v>
      </c>
      <c r="W729" s="30">
        <v>0</v>
      </c>
      <c r="X729" s="30">
        <v>2</v>
      </c>
      <c r="Y729" s="12">
        <v>0</v>
      </c>
      <c r="Z729" s="30">
        <v>1400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立即对当前脚下敌人目标造成200%攻击伤害+1400点固定伤害和使目标眩晕1秒,并迅速跳跃至目标区域</v>
      </c>
      <c r="BF729" s="182" t="s">
        <v>1540</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30">
        <v>620211041</v>
      </c>
      <c r="D730" s="38" t="s">
        <v>1537</v>
      </c>
      <c r="E730" s="38" t="s">
        <v>1538</v>
      </c>
      <c r="F730" s="30">
        <v>3</v>
      </c>
      <c r="G730" s="30">
        <v>62021201</v>
      </c>
      <c r="H730" s="18">
        <v>0</v>
      </c>
      <c r="I730" s="30">
        <v>0</v>
      </c>
      <c r="J730" s="30">
        <v>0</v>
      </c>
      <c r="K730" s="30">
        <v>0</v>
      </c>
      <c r="L730" s="30">
        <v>0</v>
      </c>
      <c r="M730" s="30">
        <v>0</v>
      </c>
      <c r="N730" s="30">
        <v>0</v>
      </c>
      <c r="O730" s="30">
        <v>1</v>
      </c>
      <c r="P730" s="30">
        <v>0</v>
      </c>
      <c r="Q730" s="30">
        <v>0</v>
      </c>
      <c r="R730" s="30">
        <v>0</v>
      </c>
      <c r="S730" s="30">
        <v>0</v>
      </c>
      <c r="T730" s="30">
        <v>0</v>
      </c>
      <c r="U730" s="30">
        <v>1</v>
      </c>
      <c r="V730" s="30">
        <v>2</v>
      </c>
      <c r="W730" s="30">
        <v>0</v>
      </c>
      <c r="X730" s="30">
        <v>2</v>
      </c>
      <c r="Y730" s="12">
        <v>0</v>
      </c>
      <c r="Z730" s="30">
        <v>1750</v>
      </c>
      <c r="AA730" s="30">
        <v>1</v>
      </c>
      <c r="AB730" s="30">
        <v>0</v>
      </c>
      <c r="AC730" s="30">
        <v>0</v>
      </c>
      <c r="AD730" s="30">
        <v>0</v>
      </c>
      <c r="AE730" s="30">
        <v>0</v>
      </c>
      <c r="AF730" s="30">
        <v>9</v>
      </c>
      <c r="AG730" s="30">
        <v>1</v>
      </c>
      <c r="AH730" s="30">
        <v>3</v>
      </c>
      <c r="AI730" s="30">
        <v>2</v>
      </c>
      <c r="AJ730" s="30">
        <v>1</v>
      </c>
      <c r="AK730" s="30">
        <v>2</v>
      </c>
      <c r="AL730" s="30">
        <v>8</v>
      </c>
      <c r="AM730" s="30">
        <v>0</v>
      </c>
      <c r="AN730" s="30">
        <v>0</v>
      </c>
      <c r="AO730" s="30">
        <v>0</v>
      </c>
      <c r="AP730" s="30">
        <v>0.5</v>
      </c>
      <c r="AQ730" s="30">
        <v>3000</v>
      </c>
      <c r="AR730" s="30">
        <v>0.4</v>
      </c>
      <c r="AS730" s="30">
        <v>0</v>
      </c>
      <c r="AT730" s="30">
        <v>92012001</v>
      </c>
      <c r="AU730" s="30" t="s">
        <v>1483</v>
      </c>
      <c r="AV730" s="30"/>
      <c r="AW730" s="38" t="s">
        <v>762</v>
      </c>
      <c r="AX730" s="30" t="s">
        <v>215</v>
      </c>
      <c r="AY730" s="30">
        <v>10000015</v>
      </c>
      <c r="AZ730" s="30">
        <v>21101021</v>
      </c>
      <c r="BA730" s="38" t="s">
        <v>1371</v>
      </c>
      <c r="BB730" s="30">
        <v>1</v>
      </c>
      <c r="BC730" s="30">
        <v>0</v>
      </c>
      <c r="BD730" s="30">
        <v>0</v>
      </c>
      <c r="BE730" s="182" t="str">
        <f t="shared" si="59"/>
        <v>立即对当前脚下敌人目标造成200%攻击伤害+1750点固定伤害和使目标眩晕1秒,并迅速跳跃至目标区域</v>
      </c>
      <c r="BF730" s="182" t="s">
        <v>1541</v>
      </c>
      <c r="BG730" s="30">
        <v>0</v>
      </c>
      <c r="BH730" s="30">
        <v>0</v>
      </c>
      <c r="BI730" s="30">
        <v>0</v>
      </c>
      <c r="BJ730" s="30">
        <v>0</v>
      </c>
      <c r="BK730" s="30">
        <v>0</v>
      </c>
      <c r="BL730" s="30">
        <v>0</v>
      </c>
      <c r="BM730" s="21">
        <v>0</v>
      </c>
      <c r="BN730" s="30">
        <v>0</v>
      </c>
      <c r="BO730" s="30">
        <v>0</v>
      </c>
      <c r="BP730" s="30">
        <v>0</v>
      </c>
      <c r="BQ730" s="30">
        <v>0</v>
      </c>
      <c r="BR730" s="30">
        <v>0</v>
      </c>
      <c r="BS730" s="30">
        <v>0</v>
      </c>
      <c r="BT730" s="12">
        <v>0</v>
      </c>
      <c r="BU730" s="47">
        <v>0</v>
      </c>
      <c r="BV730" s="47"/>
      <c r="BW730" s="47"/>
    </row>
    <row r="731" spans="3:75" ht="20.100000000000001" customHeight="1">
      <c r="C731" s="30">
        <v>620211051</v>
      </c>
      <c r="D731" s="38" t="s">
        <v>1537</v>
      </c>
      <c r="E731" s="38" t="s">
        <v>1538</v>
      </c>
      <c r="F731" s="30">
        <v>4</v>
      </c>
      <c r="G731" s="30">
        <v>62021201</v>
      </c>
      <c r="H731" s="30">
        <v>0</v>
      </c>
      <c r="I731" s="30">
        <v>0</v>
      </c>
      <c r="J731" s="30">
        <v>0</v>
      </c>
      <c r="K731" s="30">
        <v>0</v>
      </c>
      <c r="L731" s="30">
        <v>0</v>
      </c>
      <c r="M731" s="30">
        <v>0</v>
      </c>
      <c r="N731" s="30">
        <v>0</v>
      </c>
      <c r="O731" s="30">
        <v>1</v>
      </c>
      <c r="P731" s="30">
        <v>0</v>
      </c>
      <c r="Q731" s="30">
        <v>0</v>
      </c>
      <c r="R731" s="30">
        <v>0</v>
      </c>
      <c r="S731" s="30">
        <v>0</v>
      </c>
      <c r="T731" s="30">
        <v>0</v>
      </c>
      <c r="U731" s="30">
        <v>1</v>
      </c>
      <c r="V731" s="30">
        <v>2</v>
      </c>
      <c r="W731" s="30">
        <v>0</v>
      </c>
      <c r="X731" s="30">
        <v>2</v>
      </c>
      <c r="Y731" s="12">
        <v>0</v>
      </c>
      <c r="Z731" s="30">
        <v>2100</v>
      </c>
      <c r="AA731" s="30">
        <v>1</v>
      </c>
      <c r="AB731" s="30">
        <v>0</v>
      </c>
      <c r="AC731" s="30">
        <v>0</v>
      </c>
      <c r="AD731" s="30">
        <v>0</v>
      </c>
      <c r="AE731" s="30">
        <v>0</v>
      </c>
      <c r="AF731" s="30">
        <v>9</v>
      </c>
      <c r="AG731" s="30">
        <v>1</v>
      </c>
      <c r="AH731" s="30">
        <v>3</v>
      </c>
      <c r="AI731" s="30">
        <v>2</v>
      </c>
      <c r="AJ731" s="30">
        <v>1</v>
      </c>
      <c r="AK731" s="30">
        <v>2</v>
      </c>
      <c r="AL731" s="30">
        <v>8</v>
      </c>
      <c r="AM731" s="30">
        <v>0</v>
      </c>
      <c r="AN731" s="30">
        <v>0</v>
      </c>
      <c r="AO731" s="30">
        <v>0</v>
      </c>
      <c r="AP731" s="30">
        <v>0.5</v>
      </c>
      <c r="AQ731" s="30">
        <v>3000</v>
      </c>
      <c r="AR731" s="30">
        <v>0.4</v>
      </c>
      <c r="AS731" s="30">
        <v>0</v>
      </c>
      <c r="AT731" s="30">
        <v>92012001</v>
      </c>
      <c r="AU731" s="30" t="s">
        <v>1483</v>
      </c>
      <c r="AV731" s="30"/>
      <c r="AW731" s="38" t="s">
        <v>762</v>
      </c>
      <c r="AX731" s="30" t="s">
        <v>215</v>
      </c>
      <c r="AY731" s="30">
        <v>10000015</v>
      </c>
      <c r="AZ731" s="30">
        <v>21101021</v>
      </c>
      <c r="BA731" s="38" t="s">
        <v>1371</v>
      </c>
      <c r="BB731" s="30">
        <v>1</v>
      </c>
      <c r="BC731" s="30">
        <v>0</v>
      </c>
      <c r="BD731" s="30">
        <v>0</v>
      </c>
      <c r="BE731" s="182" t="str">
        <f t="shared" si="59"/>
        <v>立即对当前脚下敌人目标造成200%攻击伤害+2100点固定伤害和使目标眩晕1秒,并迅速跳跃至目标区域</v>
      </c>
      <c r="BF731" s="182" t="s">
        <v>1542</v>
      </c>
      <c r="BG731" s="30">
        <v>0</v>
      </c>
      <c r="BH731" s="30">
        <v>0</v>
      </c>
      <c r="BI731" s="30">
        <v>0</v>
      </c>
      <c r="BJ731" s="30">
        <v>0</v>
      </c>
      <c r="BK731" s="30">
        <v>0</v>
      </c>
      <c r="BL731" s="30">
        <v>0</v>
      </c>
      <c r="BM731" s="21">
        <v>0</v>
      </c>
      <c r="BN731" s="30">
        <v>0</v>
      </c>
      <c r="BO731" s="30">
        <v>0</v>
      </c>
      <c r="BP731" s="30">
        <v>0</v>
      </c>
      <c r="BQ731" s="30">
        <v>0</v>
      </c>
      <c r="BR731" s="30">
        <v>0</v>
      </c>
      <c r="BS731" s="30">
        <v>0</v>
      </c>
      <c r="BT731" s="12">
        <v>0</v>
      </c>
      <c r="BU731" s="47">
        <v>0</v>
      </c>
      <c r="BV731" s="47"/>
      <c r="BW731" s="47"/>
    </row>
    <row r="732" spans="3:75" ht="20.100000000000001" customHeight="1">
      <c r="C732" s="30">
        <v>620211061</v>
      </c>
      <c r="D732" s="38" t="s">
        <v>1537</v>
      </c>
      <c r="E732" s="38" t="s">
        <v>1538</v>
      </c>
      <c r="F732" s="30">
        <v>5</v>
      </c>
      <c r="G732" s="30">
        <v>62021201</v>
      </c>
      <c r="H732" s="30">
        <v>0</v>
      </c>
      <c r="I732" s="30">
        <v>0</v>
      </c>
      <c r="J732" s="30">
        <v>0</v>
      </c>
      <c r="K732" s="30">
        <v>0</v>
      </c>
      <c r="L732" s="30">
        <v>0</v>
      </c>
      <c r="M732" s="30">
        <v>0</v>
      </c>
      <c r="N732" s="30">
        <v>0</v>
      </c>
      <c r="O732" s="30">
        <v>1</v>
      </c>
      <c r="P732" s="30">
        <v>0</v>
      </c>
      <c r="Q732" s="30">
        <v>0</v>
      </c>
      <c r="R732" s="30">
        <v>0</v>
      </c>
      <c r="S732" s="30">
        <v>0</v>
      </c>
      <c r="T732" s="30">
        <v>0</v>
      </c>
      <c r="U732" s="30">
        <v>1</v>
      </c>
      <c r="V732" s="30">
        <v>2</v>
      </c>
      <c r="W732" s="30">
        <v>0</v>
      </c>
      <c r="X732" s="30">
        <v>2</v>
      </c>
      <c r="Y732" s="12">
        <v>0</v>
      </c>
      <c r="Z732" s="30">
        <v>2450</v>
      </c>
      <c r="AA732" s="30">
        <v>1</v>
      </c>
      <c r="AB732" s="30">
        <v>0</v>
      </c>
      <c r="AC732" s="30">
        <v>0</v>
      </c>
      <c r="AD732" s="30">
        <v>0</v>
      </c>
      <c r="AE732" s="30">
        <v>0</v>
      </c>
      <c r="AF732" s="30">
        <v>9</v>
      </c>
      <c r="AG732" s="30">
        <v>1</v>
      </c>
      <c r="AH732" s="30">
        <v>3</v>
      </c>
      <c r="AI732" s="30">
        <v>2</v>
      </c>
      <c r="AJ732" s="30">
        <v>1</v>
      </c>
      <c r="AK732" s="30">
        <v>2</v>
      </c>
      <c r="AL732" s="30">
        <v>8</v>
      </c>
      <c r="AM732" s="30">
        <v>0</v>
      </c>
      <c r="AN732" s="30">
        <v>0</v>
      </c>
      <c r="AO732" s="30">
        <v>0</v>
      </c>
      <c r="AP732" s="30">
        <v>0.5</v>
      </c>
      <c r="AQ732" s="30">
        <v>3000</v>
      </c>
      <c r="AR732" s="30">
        <v>0.4</v>
      </c>
      <c r="AS732" s="30">
        <v>0</v>
      </c>
      <c r="AT732" s="30">
        <v>92012001</v>
      </c>
      <c r="AU732" s="30" t="s">
        <v>1483</v>
      </c>
      <c r="AV732" s="30"/>
      <c r="AW732" s="38" t="s">
        <v>762</v>
      </c>
      <c r="AX732" s="30" t="s">
        <v>215</v>
      </c>
      <c r="AY732" s="30">
        <v>10000015</v>
      </c>
      <c r="AZ732" s="30">
        <v>21101021</v>
      </c>
      <c r="BA732" s="38" t="s">
        <v>1371</v>
      </c>
      <c r="BB732" s="30">
        <v>1</v>
      </c>
      <c r="BC732" s="30">
        <v>0</v>
      </c>
      <c r="BD732" s="30">
        <v>0</v>
      </c>
      <c r="BE732" s="182" t="str">
        <f t="shared" si="59"/>
        <v>立即对当前脚下敌人目标造成200%攻击伤害+2450点固定伤害和使目标眩晕1秒,并迅速跳跃至目标区域</v>
      </c>
      <c r="BF732" s="182" t="s">
        <v>1543</v>
      </c>
      <c r="BG732" s="30">
        <v>0</v>
      </c>
      <c r="BH732" s="30">
        <v>0</v>
      </c>
      <c r="BI732" s="30">
        <v>0</v>
      </c>
      <c r="BJ732" s="30">
        <v>0</v>
      </c>
      <c r="BK732" s="30">
        <v>0</v>
      </c>
      <c r="BL732" s="30">
        <v>0</v>
      </c>
      <c r="BM732" s="21">
        <v>0</v>
      </c>
      <c r="BN732" s="30">
        <v>0</v>
      </c>
      <c r="BO732" s="30">
        <v>0</v>
      </c>
      <c r="BP732" s="30">
        <v>0</v>
      </c>
      <c r="BQ732" s="30">
        <v>0</v>
      </c>
      <c r="BR732" s="30">
        <v>0</v>
      </c>
      <c r="BS732" s="30">
        <v>0</v>
      </c>
      <c r="BT732" s="12">
        <v>0</v>
      </c>
      <c r="BU732" s="47">
        <v>0</v>
      </c>
      <c r="BV732" s="47"/>
      <c r="BW732" s="47"/>
    </row>
    <row r="733" spans="3:75" ht="20.100000000000001" customHeight="1">
      <c r="C733" s="67">
        <v>620211111</v>
      </c>
      <c r="D733" s="67" t="s">
        <v>1735</v>
      </c>
      <c r="E733" s="67" t="s">
        <v>1736</v>
      </c>
      <c r="F733" s="67">
        <v>0</v>
      </c>
      <c r="G733" s="67">
        <v>61021101</v>
      </c>
      <c r="H733" s="30">
        <v>0</v>
      </c>
      <c r="I733" s="67">
        <v>0</v>
      </c>
      <c r="J733" s="67">
        <v>18</v>
      </c>
      <c r="K733" s="67">
        <v>5</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90002001</v>
      </c>
      <c r="AU733" s="67" t="s">
        <v>198</v>
      </c>
      <c r="AV733" s="67"/>
      <c r="AW733" s="67" t="s">
        <v>199</v>
      </c>
      <c r="AX733" s="67" t="s">
        <v>348</v>
      </c>
      <c r="AY733" s="67">
        <v>0</v>
      </c>
      <c r="AZ733" s="67">
        <v>0</v>
      </c>
      <c r="BA733" s="67" t="s">
        <v>200</v>
      </c>
      <c r="BB733" s="67" t="s">
        <v>198</v>
      </c>
      <c r="BC733" s="67">
        <v>0</v>
      </c>
      <c r="BD733" s="67">
        <v>0</v>
      </c>
      <c r="BE733" s="196" t="s">
        <v>1737</v>
      </c>
      <c r="BF733" s="196" t="s">
        <v>1738</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620211121</v>
      </c>
      <c r="D734" s="67" t="s">
        <v>1735</v>
      </c>
      <c r="E734" s="67" t="s">
        <v>1736</v>
      </c>
      <c r="F734" s="67">
        <v>1</v>
      </c>
      <c r="G734" s="67">
        <v>61021101</v>
      </c>
      <c r="H734" s="30">
        <v>0</v>
      </c>
      <c r="I734" s="67">
        <v>0</v>
      </c>
      <c r="J734" s="67">
        <v>27</v>
      </c>
      <c r="K734" s="67">
        <v>2</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90002001</v>
      </c>
      <c r="AU734" s="67" t="s">
        <v>198</v>
      </c>
      <c r="AV734" s="67"/>
      <c r="AW734" s="67" t="s">
        <v>199</v>
      </c>
      <c r="AX734" s="67" t="s">
        <v>348</v>
      </c>
      <c r="AY734" s="67">
        <v>0</v>
      </c>
      <c r="AZ734" s="67">
        <v>0</v>
      </c>
      <c r="BA734" s="67" t="s">
        <v>200</v>
      </c>
      <c r="BB734" s="67" t="s">
        <v>198</v>
      </c>
      <c r="BC734" s="67">
        <v>0</v>
      </c>
      <c r="BD734" s="67">
        <v>0</v>
      </c>
      <c r="BE734" s="196" t="s">
        <v>1737</v>
      </c>
      <c r="BF734" s="196" t="s">
        <v>1738</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620211131</v>
      </c>
      <c r="D735" s="67" t="s">
        <v>1735</v>
      </c>
      <c r="E735" s="67" t="s">
        <v>1736</v>
      </c>
      <c r="F735" s="67">
        <v>2</v>
      </c>
      <c r="G735" s="67">
        <v>61021101</v>
      </c>
      <c r="H735" s="30">
        <v>0</v>
      </c>
      <c r="I735" s="67">
        <v>0</v>
      </c>
      <c r="J735" s="67">
        <v>32</v>
      </c>
      <c r="K735" s="67">
        <v>2</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90002002</v>
      </c>
      <c r="AU735" s="67" t="s">
        <v>198</v>
      </c>
      <c r="AV735" s="67"/>
      <c r="AW735" s="67" t="s">
        <v>199</v>
      </c>
      <c r="AX735" s="67" t="s">
        <v>348</v>
      </c>
      <c r="AY735" s="67">
        <v>0</v>
      </c>
      <c r="AZ735" s="67">
        <v>0</v>
      </c>
      <c r="BA735" s="67" t="s">
        <v>200</v>
      </c>
      <c r="BB735" s="67" t="s">
        <v>198</v>
      </c>
      <c r="BC735" s="67">
        <v>0</v>
      </c>
      <c r="BD735" s="67">
        <v>0</v>
      </c>
      <c r="BE735" s="196" t="s">
        <v>1739</v>
      </c>
      <c r="BF735" s="196" t="s">
        <v>1740</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20.100000000000001" customHeight="1">
      <c r="C736" s="67">
        <v>620211141</v>
      </c>
      <c r="D736" s="67" t="s">
        <v>1735</v>
      </c>
      <c r="E736" s="67" t="s">
        <v>1736</v>
      </c>
      <c r="F736" s="67">
        <v>3</v>
      </c>
      <c r="G736" s="67">
        <v>61021101</v>
      </c>
      <c r="H736" s="67">
        <v>0</v>
      </c>
      <c r="I736" s="67">
        <v>0</v>
      </c>
      <c r="J736" s="67">
        <v>0</v>
      </c>
      <c r="K736" s="67">
        <v>0</v>
      </c>
      <c r="L736" s="67">
        <v>0</v>
      </c>
      <c r="M736" s="67">
        <v>0</v>
      </c>
      <c r="N736" s="67">
        <v>0</v>
      </c>
      <c r="O736" s="67">
        <v>1</v>
      </c>
      <c r="P736" s="67">
        <v>0</v>
      </c>
      <c r="Q736" s="67">
        <v>0</v>
      </c>
      <c r="R736" s="67">
        <v>0</v>
      </c>
      <c r="S736" s="67">
        <v>0</v>
      </c>
      <c r="T736" s="67">
        <v>0</v>
      </c>
      <c r="U736" s="67">
        <v>1</v>
      </c>
      <c r="V736" s="67">
        <v>2</v>
      </c>
      <c r="W736" s="67">
        <v>0</v>
      </c>
      <c r="X736" s="67">
        <v>0</v>
      </c>
      <c r="Y736" s="12">
        <v>0</v>
      </c>
      <c r="Z736" s="67">
        <v>0</v>
      </c>
      <c r="AA736" s="67">
        <v>0</v>
      </c>
      <c r="AB736" s="67">
        <v>0</v>
      </c>
      <c r="AC736" s="67">
        <v>0</v>
      </c>
      <c r="AD736" s="67">
        <v>0</v>
      </c>
      <c r="AE736" s="67">
        <v>0</v>
      </c>
      <c r="AF736" s="67">
        <v>30</v>
      </c>
      <c r="AG736" s="67">
        <v>0</v>
      </c>
      <c r="AH736" s="67">
        <v>0</v>
      </c>
      <c r="AI736" s="67">
        <v>2</v>
      </c>
      <c r="AJ736" s="67">
        <v>0</v>
      </c>
      <c r="AK736" s="67">
        <v>0</v>
      </c>
      <c r="AL736" s="67">
        <v>0</v>
      </c>
      <c r="AM736" s="67">
        <v>0</v>
      </c>
      <c r="AN736" s="67">
        <v>0</v>
      </c>
      <c r="AO736" s="67">
        <v>0</v>
      </c>
      <c r="AP736" s="67">
        <v>0</v>
      </c>
      <c r="AQ736" s="67">
        <v>1000</v>
      </c>
      <c r="AR736" s="67">
        <v>0</v>
      </c>
      <c r="AS736" s="67">
        <v>0</v>
      </c>
      <c r="AT736" s="67">
        <v>90002003</v>
      </c>
      <c r="AU736" s="67" t="s">
        <v>198</v>
      </c>
      <c r="AV736" s="67"/>
      <c r="AW736" s="67" t="s">
        <v>199</v>
      </c>
      <c r="AX736" s="67" t="s">
        <v>348</v>
      </c>
      <c r="AY736" s="67">
        <v>0</v>
      </c>
      <c r="AZ736" s="67">
        <v>0</v>
      </c>
      <c r="BA736" s="67" t="s">
        <v>200</v>
      </c>
      <c r="BB736" s="67" t="s">
        <v>198</v>
      </c>
      <c r="BC736" s="67">
        <v>0</v>
      </c>
      <c r="BD736" s="67">
        <v>0</v>
      </c>
      <c r="BE736" s="196" t="s">
        <v>1741</v>
      </c>
      <c r="BF736" s="196" t="s">
        <v>1742</v>
      </c>
      <c r="BG736" s="67">
        <v>0</v>
      </c>
      <c r="BH736" s="67">
        <v>0</v>
      </c>
      <c r="BI736" s="67">
        <v>0</v>
      </c>
      <c r="BJ736" s="67">
        <v>0</v>
      </c>
      <c r="BK736" s="67">
        <v>0</v>
      </c>
      <c r="BL736" s="67">
        <v>0</v>
      </c>
      <c r="BM736" s="67">
        <v>0</v>
      </c>
      <c r="BN736" s="67">
        <v>1</v>
      </c>
      <c r="BO736" s="67">
        <v>0</v>
      </c>
      <c r="BP736" s="67">
        <v>0</v>
      </c>
      <c r="BQ736" s="67">
        <v>0</v>
      </c>
      <c r="BR736" s="67">
        <v>0</v>
      </c>
      <c r="BS736" s="67">
        <v>0</v>
      </c>
      <c r="BT736" s="12">
        <v>0</v>
      </c>
      <c r="BU736" s="47">
        <v>0</v>
      </c>
      <c r="BV736" s="47"/>
      <c r="BW736" s="47"/>
    </row>
    <row r="737" spans="1:75" ht="20.100000000000001" customHeight="1">
      <c r="C737" s="67">
        <v>620211151</v>
      </c>
      <c r="D737" s="67" t="s">
        <v>1735</v>
      </c>
      <c r="E737" s="67" t="s">
        <v>1736</v>
      </c>
      <c r="F737" s="67">
        <v>4</v>
      </c>
      <c r="G737" s="67">
        <v>61021101</v>
      </c>
      <c r="H737" s="67">
        <v>0</v>
      </c>
      <c r="I737" s="67">
        <v>0</v>
      </c>
      <c r="J737" s="67">
        <v>0</v>
      </c>
      <c r="K737" s="67">
        <v>0</v>
      </c>
      <c r="L737" s="67">
        <v>0</v>
      </c>
      <c r="M737" s="67">
        <v>0</v>
      </c>
      <c r="N737" s="67">
        <v>0</v>
      </c>
      <c r="O737" s="67">
        <v>1</v>
      </c>
      <c r="P737" s="67">
        <v>0</v>
      </c>
      <c r="Q737" s="67">
        <v>0</v>
      </c>
      <c r="R737" s="67">
        <v>0</v>
      </c>
      <c r="S737" s="67">
        <v>0</v>
      </c>
      <c r="T737" s="67">
        <v>0</v>
      </c>
      <c r="U737" s="67">
        <v>1</v>
      </c>
      <c r="V737" s="67">
        <v>2</v>
      </c>
      <c r="W737" s="67">
        <v>0</v>
      </c>
      <c r="X737" s="67">
        <v>0</v>
      </c>
      <c r="Y737" s="12">
        <v>0</v>
      </c>
      <c r="Z737" s="67">
        <v>0</v>
      </c>
      <c r="AA737" s="67">
        <v>0</v>
      </c>
      <c r="AB737" s="67">
        <v>0</v>
      </c>
      <c r="AC737" s="67">
        <v>0</v>
      </c>
      <c r="AD737" s="67">
        <v>0</v>
      </c>
      <c r="AE737" s="67">
        <v>0</v>
      </c>
      <c r="AF737" s="67">
        <v>30</v>
      </c>
      <c r="AG737" s="67">
        <v>0</v>
      </c>
      <c r="AH737" s="67">
        <v>0</v>
      </c>
      <c r="AI737" s="67">
        <v>2</v>
      </c>
      <c r="AJ737" s="67">
        <v>0</v>
      </c>
      <c r="AK737" s="67">
        <v>0</v>
      </c>
      <c r="AL737" s="67">
        <v>0</v>
      </c>
      <c r="AM737" s="67">
        <v>0</v>
      </c>
      <c r="AN737" s="67">
        <v>0</v>
      </c>
      <c r="AO737" s="67">
        <v>0</v>
      </c>
      <c r="AP737" s="67">
        <v>0</v>
      </c>
      <c r="AQ737" s="67">
        <v>1000</v>
      </c>
      <c r="AR737" s="67">
        <v>0</v>
      </c>
      <c r="AS737" s="67">
        <v>0</v>
      </c>
      <c r="AT737" s="67">
        <v>90002004</v>
      </c>
      <c r="AU737" s="67" t="s">
        <v>198</v>
      </c>
      <c r="AV737" s="67"/>
      <c r="AW737" s="67" t="s">
        <v>199</v>
      </c>
      <c r="AX737" s="67" t="s">
        <v>348</v>
      </c>
      <c r="AY737" s="67">
        <v>0</v>
      </c>
      <c r="AZ737" s="67">
        <v>0</v>
      </c>
      <c r="BA737" s="67" t="s">
        <v>200</v>
      </c>
      <c r="BB737" s="67" t="s">
        <v>198</v>
      </c>
      <c r="BC737" s="67">
        <v>0</v>
      </c>
      <c r="BD737" s="67">
        <v>0</v>
      </c>
      <c r="BE737" s="196" t="s">
        <v>349</v>
      </c>
      <c r="BF737" s="196" t="s">
        <v>350</v>
      </c>
      <c r="BG737" s="67">
        <v>0</v>
      </c>
      <c r="BH737" s="67">
        <v>0</v>
      </c>
      <c r="BI737" s="67">
        <v>0</v>
      </c>
      <c r="BJ737" s="67">
        <v>0</v>
      </c>
      <c r="BK737" s="67">
        <v>0</v>
      </c>
      <c r="BL737" s="67">
        <v>0</v>
      </c>
      <c r="BM737" s="67">
        <v>0</v>
      </c>
      <c r="BN737" s="67">
        <v>1</v>
      </c>
      <c r="BO737" s="67">
        <v>0</v>
      </c>
      <c r="BP737" s="67">
        <v>0</v>
      </c>
      <c r="BQ737" s="67">
        <v>0</v>
      </c>
      <c r="BR737" s="67">
        <v>0</v>
      </c>
      <c r="BS737" s="67">
        <v>0</v>
      </c>
      <c r="BT737" s="12">
        <v>0</v>
      </c>
      <c r="BU737" s="47">
        <v>0</v>
      </c>
      <c r="BV737" s="47"/>
      <c r="BW737" s="47"/>
    </row>
    <row r="738" spans="1:75" ht="20.100000000000001" customHeight="1">
      <c r="C738" s="67">
        <v>620211161</v>
      </c>
      <c r="D738" s="67" t="s">
        <v>1735</v>
      </c>
      <c r="E738" s="67" t="s">
        <v>1736</v>
      </c>
      <c r="F738" s="67">
        <v>5</v>
      </c>
      <c r="G738" s="67">
        <v>61021101</v>
      </c>
      <c r="H738" s="67">
        <v>0</v>
      </c>
      <c r="I738" s="67">
        <v>0</v>
      </c>
      <c r="J738" s="67">
        <v>0</v>
      </c>
      <c r="K738" s="67">
        <v>0</v>
      </c>
      <c r="L738" s="67">
        <v>0</v>
      </c>
      <c r="M738" s="67">
        <v>0</v>
      </c>
      <c r="N738" s="67">
        <v>0</v>
      </c>
      <c r="O738" s="67">
        <v>1</v>
      </c>
      <c r="P738" s="67">
        <v>0</v>
      </c>
      <c r="Q738" s="67">
        <v>0</v>
      </c>
      <c r="R738" s="67">
        <v>0</v>
      </c>
      <c r="S738" s="67">
        <v>0</v>
      </c>
      <c r="T738" s="67">
        <v>0</v>
      </c>
      <c r="U738" s="67">
        <v>1</v>
      </c>
      <c r="V738" s="67">
        <v>2</v>
      </c>
      <c r="W738" s="67">
        <v>0</v>
      </c>
      <c r="X738" s="67">
        <v>0</v>
      </c>
      <c r="Y738" s="12">
        <v>0</v>
      </c>
      <c r="Z738" s="67">
        <v>0</v>
      </c>
      <c r="AA738" s="67">
        <v>0</v>
      </c>
      <c r="AB738" s="67">
        <v>0</v>
      </c>
      <c r="AC738" s="67">
        <v>0</v>
      </c>
      <c r="AD738" s="67">
        <v>0</v>
      </c>
      <c r="AE738" s="67">
        <v>0</v>
      </c>
      <c r="AF738" s="67">
        <v>30</v>
      </c>
      <c r="AG738" s="67">
        <v>0</v>
      </c>
      <c r="AH738" s="67">
        <v>0</v>
      </c>
      <c r="AI738" s="67">
        <v>2</v>
      </c>
      <c r="AJ738" s="67">
        <v>0</v>
      </c>
      <c r="AK738" s="67">
        <v>0</v>
      </c>
      <c r="AL738" s="67">
        <v>0</v>
      </c>
      <c r="AM738" s="67">
        <v>0</v>
      </c>
      <c r="AN738" s="67">
        <v>0</v>
      </c>
      <c r="AO738" s="67">
        <v>0</v>
      </c>
      <c r="AP738" s="67">
        <v>0</v>
      </c>
      <c r="AQ738" s="67">
        <v>1000</v>
      </c>
      <c r="AR738" s="67">
        <v>0</v>
      </c>
      <c r="AS738" s="67">
        <v>0</v>
      </c>
      <c r="AT738" s="67">
        <v>90002005</v>
      </c>
      <c r="AU738" s="67" t="s">
        <v>198</v>
      </c>
      <c r="AV738" s="67"/>
      <c r="AW738" s="67" t="s">
        <v>199</v>
      </c>
      <c r="AX738" s="67" t="s">
        <v>348</v>
      </c>
      <c r="AY738" s="67">
        <v>0</v>
      </c>
      <c r="AZ738" s="67">
        <v>0</v>
      </c>
      <c r="BA738" s="67" t="s">
        <v>200</v>
      </c>
      <c r="BB738" s="67" t="s">
        <v>198</v>
      </c>
      <c r="BC738" s="67">
        <v>0</v>
      </c>
      <c r="BD738" s="67">
        <v>0</v>
      </c>
      <c r="BE738" s="196" t="s">
        <v>1743</v>
      </c>
      <c r="BF738" s="196" t="s">
        <v>1744</v>
      </c>
      <c r="BG738" s="67">
        <v>0</v>
      </c>
      <c r="BH738" s="67">
        <v>0</v>
      </c>
      <c r="BI738" s="67">
        <v>0</v>
      </c>
      <c r="BJ738" s="67">
        <v>0</v>
      </c>
      <c r="BK738" s="67">
        <v>0</v>
      </c>
      <c r="BL738" s="67">
        <v>0</v>
      </c>
      <c r="BM738" s="67">
        <v>0</v>
      </c>
      <c r="BN738" s="67">
        <v>1</v>
      </c>
      <c r="BO738" s="67">
        <v>0</v>
      </c>
      <c r="BP738" s="67">
        <v>0</v>
      </c>
      <c r="BQ738" s="67">
        <v>0</v>
      </c>
      <c r="BR738" s="67">
        <v>0</v>
      </c>
      <c r="BS738" s="67">
        <v>0</v>
      </c>
      <c r="BT738" s="12">
        <v>0</v>
      </c>
      <c r="BU738" s="47">
        <v>0</v>
      </c>
      <c r="BV738" s="47"/>
      <c r="BW738" s="47"/>
    </row>
    <row r="739" spans="1:75" ht="19.5" customHeight="1">
      <c r="C739" s="16">
        <v>62021101</v>
      </c>
      <c r="D739" s="187" t="s">
        <v>1520</v>
      </c>
      <c r="E739" s="187" t="s">
        <v>1521</v>
      </c>
      <c r="F739" s="188">
        <v>0</v>
      </c>
      <c r="G739" s="30">
        <v>62021201</v>
      </c>
      <c r="H739" s="189">
        <v>62021102</v>
      </c>
      <c r="I739" s="191">
        <v>0</v>
      </c>
      <c r="J739" s="188">
        <v>18</v>
      </c>
      <c r="K739" s="188">
        <v>5</v>
      </c>
      <c r="L739" s="188">
        <v>0</v>
      </c>
      <c r="M739" s="192">
        <v>0</v>
      </c>
      <c r="N739" s="192">
        <v>0</v>
      </c>
      <c r="O739" s="192">
        <v>1</v>
      </c>
      <c r="P739" s="192">
        <v>0</v>
      </c>
      <c r="Q739" s="192">
        <v>0</v>
      </c>
      <c r="R739" s="192">
        <v>0</v>
      </c>
      <c r="S739" s="194">
        <v>0</v>
      </c>
      <c r="T739" s="191">
        <v>0</v>
      </c>
      <c r="U739" s="188">
        <v>1</v>
      </c>
      <c r="V739" s="192">
        <v>2</v>
      </c>
      <c r="W739" s="192">
        <v>0</v>
      </c>
      <c r="X739" s="192">
        <v>2.5</v>
      </c>
      <c r="Y739" s="12">
        <v>0</v>
      </c>
      <c r="Z739" s="188">
        <v>900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1" t="s">
        <v>1546</v>
      </c>
      <c r="AV739" s="192"/>
      <c r="AW739" s="187" t="s">
        <v>1547</v>
      </c>
      <c r="AX739" s="192" t="s">
        <v>1548</v>
      </c>
      <c r="AY739" s="192">
        <v>10000006</v>
      </c>
      <c r="AZ739" s="192">
        <v>21101022</v>
      </c>
      <c r="BA739" s="195" t="s">
        <v>1549</v>
      </c>
      <c r="BB739" s="187">
        <v>0</v>
      </c>
      <c r="BC739" s="191">
        <v>0</v>
      </c>
      <c r="BD739" s="191">
        <v>0</v>
      </c>
      <c r="BE739" s="197" t="str">
        <f>"立即将目标周围的怪物强制拉到技能范围中,并对目标范围内的怪物造成"&amp;X739*100&amp;"%攻击伤害+"&amp;Z739&amp;"点固定伤害"</f>
        <v>立即将目标周围的怪物强制拉到技能范围中,并对目标范围内的怪物造成250%攻击伤害+900点固定伤害</v>
      </c>
      <c r="BF739" s="197" t="s">
        <v>1745</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62021102</v>
      </c>
      <c r="D740" s="187" t="s">
        <v>1520</v>
      </c>
      <c r="E740" s="187" t="s">
        <v>1521</v>
      </c>
      <c r="F740" s="188">
        <v>1</v>
      </c>
      <c r="G740" s="30">
        <v>62021201</v>
      </c>
      <c r="H740" s="189">
        <v>62021103</v>
      </c>
      <c r="I740" s="191">
        <v>0</v>
      </c>
      <c r="J740" s="188">
        <v>27</v>
      </c>
      <c r="K740" s="188">
        <v>2</v>
      </c>
      <c r="L740" s="188">
        <v>0</v>
      </c>
      <c r="M740" s="192">
        <v>0</v>
      </c>
      <c r="N740" s="192">
        <v>0</v>
      </c>
      <c r="O740" s="192">
        <v>1</v>
      </c>
      <c r="P740" s="192">
        <v>0</v>
      </c>
      <c r="Q740" s="192">
        <v>0</v>
      </c>
      <c r="R740" s="192">
        <v>0</v>
      </c>
      <c r="S740" s="194">
        <v>0</v>
      </c>
      <c r="T740" s="191">
        <v>0</v>
      </c>
      <c r="U740" s="188">
        <v>1</v>
      </c>
      <c r="V740" s="192">
        <v>2</v>
      </c>
      <c r="W740" s="192">
        <v>0</v>
      </c>
      <c r="X740" s="192">
        <v>2.5</v>
      </c>
      <c r="Y740" s="12">
        <v>0</v>
      </c>
      <c r="Z740" s="188">
        <v>900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1" t="s">
        <v>1546</v>
      </c>
      <c r="AV740" s="192"/>
      <c r="AW740" s="187" t="s">
        <v>1547</v>
      </c>
      <c r="AX740" s="192" t="s">
        <v>1548</v>
      </c>
      <c r="AY740" s="192">
        <v>10000006</v>
      </c>
      <c r="AZ740" s="192">
        <v>21101022</v>
      </c>
      <c r="BA740" s="195" t="s">
        <v>1549</v>
      </c>
      <c r="BB740" s="187">
        <v>0</v>
      </c>
      <c r="BC740" s="191">
        <v>0</v>
      </c>
      <c r="BD740" s="191">
        <v>0</v>
      </c>
      <c r="BE740" s="197" t="str">
        <f t="shared" ref="BE740:BE744" si="60">"立即将目标周围的怪物强制拉到技能范围中,并对目标范围内的怪物造成"&amp;X740*100&amp;"%攻击伤害+"&amp;Z740&amp;"点固定伤害"</f>
        <v>立即将目标周围的怪物强制拉到技能范围中,并对目标范围内的怪物造成250%攻击伤害+900点固定伤害</v>
      </c>
      <c r="BF740" s="197" t="s">
        <v>1745</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62021103</v>
      </c>
      <c r="D741" s="187" t="s">
        <v>1520</v>
      </c>
      <c r="E741" s="187" t="s">
        <v>1521</v>
      </c>
      <c r="F741" s="188">
        <v>2</v>
      </c>
      <c r="G741" s="30">
        <v>62021201</v>
      </c>
      <c r="H741" s="189">
        <v>62021104</v>
      </c>
      <c r="I741" s="191">
        <v>0</v>
      </c>
      <c r="J741" s="188">
        <v>32</v>
      </c>
      <c r="K741" s="188">
        <v>2</v>
      </c>
      <c r="L741" s="188">
        <v>0</v>
      </c>
      <c r="M741" s="192">
        <v>0</v>
      </c>
      <c r="N741" s="192">
        <v>0</v>
      </c>
      <c r="O741" s="192">
        <v>1</v>
      </c>
      <c r="P741" s="192">
        <v>0</v>
      </c>
      <c r="Q741" s="192">
        <v>0</v>
      </c>
      <c r="R741" s="192">
        <v>0</v>
      </c>
      <c r="S741" s="194">
        <v>0</v>
      </c>
      <c r="T741" s="191">
        <v>0</v>
      </c>
      <c r="U741" s="188">
        <v>1</v>
      </c>
      <c r="V741" s="192">
        <v>2</v>
      </c>
      <c r="W741" s="192">
        <v>0</v>
      </c>
      <c r="X741" s="192">
        <v>2.75</v>
      </c>
      <c r="Y741" s="12">
        <v>0</v>
      </c>
      <c r="Z741" s="188">
        <v>1800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1"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立即将目标周围的怪物强制拉到技能范围中,并对目标范围内的怪物造成275%攻击伤害+1800点固定伤害</v>
      </c>
      <c r="BF741" s="197" t="s">
        <v>1746</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C742" s="16">
        <v>62021104</v>
      </c>
      <c r="D742" s="187" t="s">
        <v>1520</v>
      </c>
      <c r="E742" s="187" t="s">
        <v>1521</v>
      </c>
      <c r="F742" s="188">
        <v>3</v>
      </c>
      <c r="G742" s="30">
        <v>62021201</v>
      </c>
      <c r="H742" s="188">
        <v>0</v>
      </c>
      <c r="I742" s="191">
        <v>0</v>
      </c>
      <c r="J742" s="188">
        <v>0</v>
      </c>
      <c r="K742" s="193">
        <v>0</v>
      </c>
      <c r="L742" s="188">
        <v>0</v>
      </c>
      <c r="M742" s="192">
        <v>0</v>
      </c>
      <c r="N742" s="192">
        <v>0</v>
      </c>
      <c r="O742" s="192">
        <v>1</v>
      </c>
      <c r="P742" s="192">
        <v>0</v>
      </c>
      <c r="Q742" s="192">
        <v>0</v>
      </c>
      <c r="R742" s="192">
        <v>0</v>
      </c>
      <c r="S742" s="194">
        <v>0</v>
      </c>
      <c r="T742" s="191">
        <v>0</v>
      </c>
      <c r="U742" s="188">
        <v>1</v>
      </c>
      <c r="V742" s="192">
        <v>2</v>
      </c>
      <c r="W742" s="192">
        <v>0</v>
      </c>
      <c r="X742" s="192">
        <v>3</v>
      </c>
      <c r="Y742" s="12">
        <v>0</v>
      </c>
      <c r="Z742" s="188">
        <v>2800</v>
      </c>
      <c r="AA742" s="192">
        <v>0</v>
      </c>
      <c r="AB742" s="192">
        <v>0</v>
      </c>
      <c r="AC742" s="192">
        <v>0</v>
      </c>
      <c r="AD742" s="192">
        <v>0</v>
      </c>
      <c r="AE742" s="192">
        <v>0</v>
      </c>
      <c r="AF742" s="192">
        <v>7</v>
      </c>
      <c r="AG742" s="192">
        <v>1</v>
      </c>
      <c r="AH742" s="192">
        <v>4</v>
      </c>
      <c r="AI742" s="194">
        <v>2</v>
      </c>
      <c r="AJ742" s="194">
        <v>1</v>
      </c>
      <c r="AK742" s="194">
        <v>0</v>
      </c>
      <c r="AL742" s="194">
        <v>7</v>
      </c>
      <c r="AM742" s="192">
        <v>0</v>
      </c>
      <c r="AN742" s="192">
        <v>0</v>
      </c>
      <c r="AO742" s="192">
        <v>0</v>
      </c>
      <c r="AP742" s="192">
        <v>0.25</v>
      </c>
      <c r="AQ742" s="192">
        <v>2000</v>
      </c>
      <c r="AR742" s="192">
        <v>0.25</v>
      </c>
      <c r="AS742" s="192">
        <v>0</v>
      </c>
      <c r="AT742" s="194">
        <v>0</v>
      </c>
      <c r="AU742" s="351" t="s">
        <v>1546</v>
      </c>
      <c r="AV742" s="192"/>
      <c r="AW742" s="187" t="s">
        <v>1547</v>
      </c>
      <c r="AX742" s="192" t="s">
        <v>1548</v>
      </c>
      <c r="AY742" s="192">
        <v>10000006</v>
      </c>
      <c r="AZ742" s="192">
        <v>21101022</v>
      </c>
      <c r="BA742" s="195" t="s">
        <v>1549</v>
      </c>
      <c r="BB742" s="187">
        <v>0</v>
      </c>
      <c r="BC742" s="191">
        <v>0</v>
      </c>
      <c r="BD742" s="191">
        <v>0</v>
      </c>
      <c r="BE742" s="197" t="str">
        <f t="shared" si="60"/>
        <v>立即将目标周围的怪物强制拉到技能范围中,并对目标范围内的怪物造成300%攻击伤害+2800点固定伤害</v>
      </c>
      <c r="BF742" s="197" t="s">
        <v>1747</v>
      </c>
      <c r="BG742" s="192">
        <v>0</v>
      </c>
      <c r="BH742" s="188">
        <v>0</v>
      </c>
      <c r="BI742" s="192">
        <v>0</v>
      </c>
      <c r="BJ742" s="192">
        <v>0</v>
      </c>
      <c r="BK742" s="192">
        <v>0</v>
      </c>
      <c r="BL742" s="192">
        <v>0</v>
      </c>
      <c r="BM742" s="198">
        <v>0</v>
      </c>
      <c r="BN742" s="194">
        <v>0</v>
      </c>
      <c r="BO742" s="194">
        <v>0</v>
      </c>
      <c r="BP742" s="194">
        <v>0</v>
      </c>
      <c r="BQ742" s="194">
        <v>0</v>
      </c>
      <c r="BR742" s="194">
        <v>0</v>
      </c>
      <c r="BS742" s="194">
        <v>0</v>
      </c>
      <c r="BT742" s="12">
        <v>0</v>
      </c>
      <c r="BU742" s="47">
        <v>0</v>
      </c>
      <c r="BV742" s="47"/>
      <c r="BW742" s="47"/>
    </row>
    <row r="743" spans="1:75" ht="19.5" customHeight="1">
      <c r="C743" s="16">
        <v>62021105</v>
      </c>
      <c r="D743" s="187" t="s">
        <v>1520</v>
      </c>
      <c r="E743" s="187" t="s">
        <v>1521</v>
      </c>
      <c r="F743" s="188">
        <v>4</v>
      </c>
      <c r="G743" s="30">
        <v>62021201</v>
      </c>
      <c r="H743" s="188">
        <v>0</v>
      </c>
      <c r="I743" s="191">
        <v>0</v>
      </c>
      <c r="J743" s="188">
        <v>0</v>
      </c>
      <c r="K743" s="188">
        <v>0</v>
      </c>
      <c r="L743" s="188">
        <v>0</v>
      </c>
      <c r="M743" s="192">
        <v>0</v>
      </c>
      <c r="N743" s="192">
        <v>0</v>
      </c>
      <c r="O743" s="192">
        <v>1</v>
      </c>
      <c r="P743" s="192">
        <v>0</v>
      </c>
      <c r="Q743" s="192">
        <v>0</v>
      </c>
      <c r="R743" s="192">
        <v>0</v>
      </c>
      <c r="S743" s="194">
        <v>0</v>
      </c>
      <c r="T743" s="191">
        <v>0</v>
      </c>
      <c r="U743" s="188">
        <v>1</v>
      </c>
      <c r="V743" s="192">
        <v>2</v>
      </c>
      <c r="W743" s="192">
        <v>0</v>
      </c>
      <c r="X743" s="192">
        <v>3.25</v>
      </c>
      <c r="Y743" s="12">
        <v>0</v>
      </c>
      <c r="Z743" s="188">
        <v>4000</v>
      </c>
      <c r="AA743" s="192">
        <v>0</v>
      </c>
      <c r="AB743" s="192">
        <v>0</v>
      </c>
      <c r="AC743" s="192">
        <v>0</v>
      </c>
      <c r="AD743" s="192">
        <v>0</v>
      </c>
      <c r="AE743" s="192">
        <v>0</v>
      </c>
      <c r="AF743" s="192">
        <v>7</v>
      </c>
      <c r="AG743" s="192">
        <v>1</v>
      </c>
      <c r="AH743" s="192">
        <v>4</v>
      </c>
      <c r="AI743" s="194">
        <v>2</v>
      </c>
      <c r="AJ743" s="194">
        <v>1</v>
      </c>
      <c r="AK743" s="194">
        <v>0</v>
      </c>
      <c r="AL743" s="194">
        <v>7</v>
      </c>
      <c r="AM743" s="192">
        <v>0</v>
      </c>
      <c r="AN743" s="192">
        <v>0</v>
      </c>
      <c r="AO743" s="192">
        <v>0</v>
      </c>
      <c r="AP743" s="192">
        <v>0.25</v>
      </c>
      <c r="AQ743" s="192">
        <v>2000</v>
      </c>
      <c r="AR743" s="192">
        <v>0.25</v>
      </c>
      <c r="AS743" s="192">
        <v>0</v>
      </c>
      <c r="AT743" s="194">
        <v>0</v>
      </c>
      <c r="AU743" s="351" t="s">
        <v>1546</v>
      </c>
      <c r="AV743" s="192"/>
      <c r="AW743" s="187" t="s">
        <v>1547</v>
      </c>
      <c r="AX743" s="192" t="s">
        <v>1548</v>
      </c>
      <c r="AY743" s="192">
        <v>10000006</v>
      </c>
      <c r="AZ743" s="192">
        <v>21101022</v>
      </c>
      <c r="BA743" s="195" t="s">
        <v>1549</v>
      </c>
      <c r="BB743" s="187">
        <v>0</v>
      </c>
      <c r="BC743" s="191">
        <v>0</v>
      </c>
      <c r="BD743" s="191">
        <v>0</v>
      </c>
      <c r="BE743" s="197" t="str">
        <f t="shared" si="60"/>
        <v>立即将目标周围的怪物强制拉到技能范围中,并对目标范围内的怪物造成325%攻击伤害+4000点固定伤害</v>
      </c>
      <c r="BF743" s="197" t="s">
        <v>1748</v>
      </c>
      <c r="BG743" s="192">
        <v>0</v>
      </c>
      <c r="BH743" s="188">
        <v>0</v>
      </c>
      <c r="BI743" s="192">
        <v>0</v>
      </c>
      <c r="BJ743" s="192">
        <v>0</v>
      </c>
      <c r="BK743" s="192">
        <v>0</v>
      </c>
      <c r="BL743" s="192">
        <v>0</v>
      </c>
      <c r="BM743" s="198">
        <v>0</v>
      </c>
      <c r="BN743" s="194">
        <v>0</v>
      </c>
      <c r="BO743" s="194">
        <v>0</v>
      </c>
      <c r="BP743" s="194">
        <v>0</v>
      </c>
      <c r="BQ743" s="194">
        <v>0</v>
      </c>
      <c r="BR743" s="194">
        <v>0</v>
      </c>
      <c r="BS743" s="194">
        <v>0</v>
      </c>
      <c r="BT743" s="12">
        <v>0</v>
      </c>
      <c r="BU743" s="47">
        <v>0</v>
      </c>
      <c r="BV743" s="47"/>
      <c r="BW743" s="47"/>
    </row>
    <row r="744" spans="1:75" ht="19.5" customHeight="1">
      <c r="C744" s="16">
        <v>62021106</v>
      </c>
      <c r="D744" s="187" t="s">
        <v>1520</v>
      </c>
      <c r="E744" s="187" t="s">
        <v>1521</v>
      </c>
      <c r="F744" s="188">
        <v>5</v>
      </c>
      <c r="G744" s="30">
        <v>62021201</v>
      </c>
      <c r="H744" s="188">
        <v>0</v>
      </c>
      <c r="I744" s="191">
        <v>0</v>
      </c>
      <c r="J744" s="188">
        <v>0</v>
      </c>
      <c r="K744" s="188">
        <v>0</v>
      </c>
      <c r="L744" s="188">
        <v>0</v>
      </c>
      <c r="M744" s="192">
        <v>0</v>
      </c>
      <c r="N744" s="192">
        <v>0</v>
      </c>
      <c r="O744" s="192">
        <v>1</v>
      </c>
      <c r="P744" s="192">
        <v>0</v>
      </c>
      <c r="Q744" s="192">
        <v>0</v>
      </c>
      <c r="R744" s="192">
        <v>0</v>
      </c>
      <c r="S744" s="194">
        <v>0</v>
      </c>
      <c r="T744" s="191">
        <v>0</v>
      </c>
      <c r="U744" s="188">
        <v>1</v>
      </c>
      <c r="V744" s="192">
        <v>2</v>
      </c>
      <c r="W744" s="192">
        <v>0</v>
      </c>
      <c r="X744" s="192">
        <v>3.5</v>
      </c>
      <c r="Y744" s="12">
        <v>0</v>
      </c>
      <c r="Z744" s="188">
        <v>5200</v>
      </c>
      <c r="AA744" s="192">
        <v>0</v>
      </c>
      <c r="AB744" s="192">
        <v>0</v>
      </c>
      <c r="AC744" s="192">
        <v>0</v>
      </c>
      <c r="AD744" s="192">
        <v>0</v>
      </c>
      <c r="AE744" s="192">
        <v>0</v>
      </c>
      <c r="AF744" s="192">
        <v>7</v>
      </c>
      <c r="AG744" s="192">
        <v>1</v>
      </c>
      <c r="AH744" s="192">
        <v>4</v>
      </c>
      <c r="AI744" s="194">
        <v>2</v>
      </c>
      <c r="AJ744" s="194">
        <v>1</v>
      </c>
      <c r="AK744" s="194">
        <v>0</v>
      </c>
      <c r="AL744" s="194">
        <v>7</v>
      </c>
      <c r="AM744" s="192">
        <v>0</v>
      </c>
      <c r="AN744" s="192">
        <v>0</v>
      </c>
      <c r="AO744" s="192">
        <v>0</v>
      </c>
      <c r="AP744" s="192">
        <v>0.25</v>
      </c>
      <c r="AQ744" s="192">
        <v>2000</v>
      </c>
      <c r="AR744" s="192">
        <v>0.25</v>
      </c>
      <c r="AS744" s="192">
        <v>0</v>
      </c>
      <c r="AT744" s="194">
        <v>0</v>
      </c>
      <c r="AU744" s="351" t="s">
        <v>1546</v>
      </c>
      <c r="AV744" s="192"/>
      <c r="AW744" s="187" t="s">
        <v>1547</v>
      </c>
      <c r="AX744" s="192" t="s">
        <v>1548</v>
      </c>
      <c r="AY744" s="192">
        <v>10000006</v>
      </c>
      <c r="AZ744" s="192">
        <v>21101022</v>
      </c>
      <c r="BA744" s="195" t="s">
        <v>1549</v>
      </c>
      <c r="BB744" s="187">
        <v>0</v>
      </c>
      <c r="BC744" s="191">
        <v>0</v>
      </c>
      <c r="BD744" s="191">
        <v>0</v>
      </c>
      <c r="BE744" s="197" t="str">
        <f t="shared" si="60"/>
        <v>立即将目标周围的怪物强制拉到技能范围中,并对目标范围内的怪物造成350%攻击伤害+5200点固定伤害</v>
      </c>
      <c r="BF744" s="197" t="s">
        <v>1749</v>
      </c>
      <c r="BG744" s="192">
        <v>0</v>
      </c>
      <c r="BH744" s="188">
        <v>0</v>
      </c>
      <c r="BI744" s="192">
        <v>0</v>
      </c>
      <c r="BJ744" s="192">
        <v>0</v>
      </c>
      <c r="BK744" s="192">
        <v>0</v>
      </c>
      <c r="BL744" s="192">
        <v>0</v>
      </c>
      <c r="BM744" s="198">
        <v>0</v>
      </c>
      <c r="BN744" s="194">
        <v>0</v>
      </c>
      <c r="BO744" s="194">
        <v>0</v>
      </c>
      <c r="BP744" s="194">
        <v>0</v>
      </c>
      <c r="BQ744" s="194">
        <v>0</v>
      </c>
      <c r="BR744" s="194">
        <v>0</v>
      </c>
      <c r="BS744" s="194">
        <v>0</v>
      </c>
      <c r="BT744" s="12">
        <v>0</v>
      </c>
      <c r="BU744" s="47">
        <v>0</v>
      </c>
      <c r="BV744" s="47"/>
      <c r="BW744" s="47"/>
    </row>
    <row r="745" spans="1:75" ht="19.5" customHeight="1">
      <c r="A745" s="190"/>
      <c r="B745" s="190"/>
      <c r="C745" s="16">
        <v>62021201</v>
      </c>
      <c r="D745" s="19" t="s">
        <v>1324</v>
      </c>
      <c r="E745" s="19" t="s">
        <v>1325</v>
      </c>
      <c r="F745" s="16">
        <v>0</v>
      </c>
      <c r="G745" s="18">
        <v>62021301</v>
      </c>
      <c r="H745" s="16">
        <v>62021202</v>
      </c>
      <c r="I745" s="27">
        <v>0</v>
      </c>
      <c r="J745" s="16">
        <v>25</v>
      </c>
      <c r="K745" s="16">
        <v>5</v>
      </c>
      <c r="L745" s="16">
        <v>0</v>
      </c>
      <c r="M745" s="18">
        <v>0</v>
      </c>
      <c r="N745" s="18">
        <v>0</v>
      </c>
      <c r="O745" s="18">
        <v>1</v>
      </c>
      <c r="P745" s="18">
        <v>0</v>
      </c>
      <c r="Q745" s="18">
        <v>0</v>
      </c>
      <c r="R745" s="18">
        <v>0</v>
      </c>
      <c r="S745" s="12">
        <v>0</v>
      </c>
      <c r="T745" s="27">
        <v>0</v>
      </c>
      <c r="U745" s="16">
        <v>1</v>
      </c>
      <c r="V745" s="18">
        <v>2</v>
      </c>
      <c r="W745" s="18">
        <v>0</v>
      </c>
      <c r="X745" s="18">
        <v>2.5</v>
      </c>
      <c r="Y745" s="12">
        <v>0</v>
      </c>
      <c r="Z745" s="18">
        <v>900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9" t="s">
        <v>1750</v>
      </c>
      <c r="AV745" s="18"/>
      <c r="AW745" s="19" t="s">
        <v>199</v>
      </c>
      <c r="AX745" s="18" t="s">
        <v>545</v>
      </c>
      <c r="AY745" s="18">
        <v>10003002</v>
      </c>
      <c r="AZ745" s="18">
        <v>21101030</v>
      </c>
      <c r="BA745" s="19" t="s">
        <v>586</v>
      </c>
      <c r="BB745" s="19">
        <v>0</v>
      </c>
      <c r="BC745" s="27">
        <v>0</v>
      </c>
      <c r="BD745" s="27">
        <v>0</v>
      </c>
      <c r="BE745" s="183" t="str">
        <f>"立即对指定前方区域释放冲击波,冲击波对触碰的怪物造成"&amp;X745*100&amp;"%攻击伤害+"&amp;Z745&amp;"点固定伤害,并对触碰到的敌方目标附带2秒眩晕"</f>
        <v>立即对指定前方区域释放冲击波,冲击波对触碰的怪物造成250%攻击伤害+900点固定伤害,并对触碰到的敌方目标附带2秒眩晕</v>
      </c>
      <c r="BF745" s="183" t="s">
        <v>1751</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62021202</v>
      </c>
      <c r="D746" s="19" t="s">
        <v>1324</v>
      </c>
      <c r="E746" s="19" t="s">
        <v>1325</v>
      </c>
      <c r="F746" s="16">
        <v>1</v>
      </c>
      <c r="G746" s="18">
        <v>62021301</v>
      </c>
      <c r="H746" s="16">
        <v>62021203</v>
      </c>
      <c r="I746" s="27">
        <v>0</v>
      </c>
      <c r="J746" s="16">
        <v>32</v>
      </c>
      <c r="K746" s="16">
        <v>2</v>
      </c>
      <c r="L746" s="16">
        <v>0</v>
      </c>
      <c r="M746" s="18">
        <v>0</v>
      </c>
      <c r="N746" s="18">
        <v>0</v>
      </c>
      <c r="O746" s="18">
        <v>1</v>
      </c>
      <c r="P746" s="18">
        <v>0</v>
      </c>
      <c r="Q746" s="18">
        <v>0</v>
      </c>
      <c r="R746" s="18">
        <v>0</v>
      </c>
      <c r="S746" s="12">
        <v>0</v>
      </c>
      <c r="T746" s="27">
        <v>0</v>
      </c>
      <c r="U746" s="16">
        <v>1</v>
      </c>
      <c r="V746" s="18">
        <v>2</v>
      </c>
      <c r="W746" s="18">
        <v>0</v>
      </c>
      <c r="X746" s="18">
        <v>2.5</v>
      </c>
      <c r="Y746" s="12">
        <v>0</v>
      </c>
      <c r="Z746" s="18">
        <v>900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9" t="s">
        <v>1750</v>
      </c>
      <c r="AV746" s="18"/>
      <c r="AW746" s="19" t="s">
        <v>199</v>
      </c>
      <c r="AX746" s="18" t="s">
        <v>545</v>
      </c>
      <c r="AY746" s="18">
        <v>10003002</v>
      </c>
      <c r="AZ746" s="18">
        <v>21101030</v>
      </c>
      <c r="BA746" s="19" t="s">
        <v>586</v>
      </c>
      <c r="BB746" s="19">
        <v>0</v>
      </c>
      <c r="BC746" s="27">
        <v>0</v>
      </c>
      <c r="BD746" s="27">
        <v>0</v>
      </c>
      <c r="BE746" s="183" t="str">
        <f t="shared" ref="BE746:BE750" si="61">"立即对指定前方区域释放冲击波,冲击波对触碰的怪物造成"&amp;X746*100&amp;"%攻击伤害+"&amp;Z746&amp;"点固定伤害,并对触碰到的敌方目标附带2秒眩晕"</f>
        <v>立即对指定前方区域释放冲击波,冲击波对触碰的怪物造成250%攻击伤害+900点固定伤害,并对触碰到的敌方目标附带2秒眩晕</v>
      </c>
      <c r="BF746" s="183" t="s">
        <v>1751</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62021203</v>
      </c>
      <c r="D747" s="19" t="s">
        <v>1324</v>
      </c>
      <c r="E747" s="19" t="s">
        <v>1325</v>
      </c>
      <c r="F747" s="16">
        <v>2</v>
      </c>
      <c r="G747" s="18">
        <v>62021301</v>
      </c>
      <c r="H747" s="16">
        <v>62021204</v>
      </c>
      <c r="I747" s="27">
        <v>0</v>
      </c>
      <c r="J747" s="16">
        <v>37</v>
      </c>
      <c r="K747" s="16">
        <v>2</v>
      </c>
      <c r="L747" s="16">
        <v>0</v>
      </c>
      <c r="M747" s="18">
        <v>0</v>
      </c>
      <c r="N747" s="18">
        <v>0</v>
      </c>
      <c r="O747" s="18">
        <v>1</v>
      </c>
      <c r="P747" s="18">
        <v>0</v>
      </c>
      <c r="Q747" s="18">
        <v>0</v>
      </c>
      <c r="R747" s="18">
        <v>0</v>
      </c>
      <c r="S747" s="12">
        <v>0</v>
      </c>
      <c r="T747" s="27">
        <v>0</v>
      </c>
      <c r="U747" s="16">
        <v>1</v>
      </c>
      <c r="V747" s="18">
        <v>2</v>
      </c>
      <c r="W747" s="18">
        <v>0</v>
      </c>
      <c r="X747" s="18">
        <v>2.75</v>
      </c>
      <c r="Y747" s="12">
        <v>0</v>
      </c>
      <c r="Z747" s="18">
        <v>1800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9"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立即对指定前方区域释放冲击波,冲击波对触碰的怪物造成275%攻击伤害+1800点固定伤害,并对触碰到的敌方目标附带2秒眩晕</v>
      </c>
      <c r="BF747" s="183" t="s">
        <v>1752</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19.5" customHeight="1">
      <c r="C748" s="16">
        <v>62021204</v>
      </c>
      <c r="D748" s="19" t="s">
        <v>1324</v>
      </c>
      <c r="E748" s="19" t="s">
        <v>1325</v>
      </c>
      <c r="F748" s="16">
        <v>3</v>
      </c>
      <c r="G748" s="18">
        <v>62021301</v>
      </c>
      <c r="H748" s="18">
        <v>0</v>
      </c>
      <c r="I748" s="27">
        <v>0</v>
      </c>
      <c r="J748" s="16">
        <v>0</v>
      </c>
      <c r="K748" s="16">
        <v>0</v>
      </c>
      <c r="L748" s="16">
        <v>0</v>
      </c>
      <c r="M748" s="18">
        <v>0</v>
      </c>
      <c r="N748" s="18">
        <v>0</v>
      </c>
      <c r="O748" s="18">
        <v>1</v>
      </c>
      <c r="P748" s="18">
        <v>0</v>
      </c>
      <c r="Q748" s="18">
        <v>0</v>
      </c>
      <c r="R748" s="18">
        <v>0</v>
      </c>
      <c r="S748" s="12">
        <v>0</v>
      </c>
      <c r="T748" s="27">
        <v>0</v>
      </c>
      <c r="U748" s="16">
        <v>1</v>
      </c>
      <c r="V748" s="18">
        <v>2</v>
      </c>
      <c r="W748" s="18">
        <v>0</v>
      </c>
      <c r="X748" s="18">
        <v>3</v>
      </c>
      <c r="Y748" s="12">
        <v>0</v>
      </c>
      <c r="Z748" s="18">
        <v>2800</v>
      </c>
      <c r="AA748" s="18">
        <v>0</v>
      </c>
      <c r="AB748" s="18">
        <v>0</v>
      </c>
      <c r="AC748" s="18">
        <v>0</v>
      </c>
      <c r="AD748" s="18">
        <v>0</v>
      </c>
      <c r="AE748" s="18">
        <v>0</v>
      </c>
      <c r="AF748" s="18">
        <v>12</v>
      </c>
      <c r="AG748" s="18">
        <v>1</v>
      </c>
      <c r="AH748" s="18">
        <v>3</v>
      </c>
      <c r="AI748" s="12">
        <v>2</v>
      </c>
      <c r="AJ748" s="12">
        <v>2</v>
      </c>
      <c r="AK748" s="12">
        <v>0</v>
      </c>
      <c r="AL748" s="12">
        <v>4</v>
      </c>
      <c r="AM748" s="18">
        <v>0</v>
      </c>
      <c r="AN748" s="18">
        <v>0</v>
      </c>
      <c r="AO748" s="18">
        <v>0</v>
      </c>
      <c r="AP748" s="18">
        <v>0.25</v>
      </c>
      <c r="AQ748" s="18">
        <v>2000</v>
      </c>
      <c r="AR748" s="18">
        <v>0.5</v>
      </c>
      <c r="AS748" s="18">
        <v>15</v>
      </c>
      <c r="AT748" s="12">
        <v>0</v>
      </c>
      <c r="AU748" s="349" t="s">
        <v>1750</v>
      </c>
      <c r="AV748" s="18"/>
      <c r="AW748" s="19" t="s">
        <v>199</v>
      </c>
      <c r="AX748" s="18" t="s">
        <v>545</v>
      </c>
      <c r="AY748" s="18">
        <v>10003002</v>
      </c>
      <c r="AZ748" s="18">
        <v>21101030</v>
      </c>
      <c r="BA748" s="19" t="s">
        <v>586</v>
      </c>
      <c r="BB748" s="19">
        <v>0</v>
      </c>
      <c r="BC748" s="27">
        <v>0</v>
      </c>
      <c r="BD748" s="27">
        <v>0</v>
      </c>
      <c r="BE748" s="183" t="str">
        <f t="shared" si="61"/>
        <v>立即对指定前方区域释放冲击波,冲击波对触碰的怪物造成300%攻击伤害+2800点固定伤害,并对触碰到的敌方目标附带2秒眩晕</v>
      </c>
      <c r="BF748" s="183" t="s">
        <v>1753</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19.5" customHeight="1">
      <c r="C749" s="16">
        <v>62021205</v>
      </c>
      <c r="D749" s="19" t="s">
        <v>1324</v>
      </c>
      <c r="E749" s="19" t="s">
        <v>1325</v>
      </c>
      <c r="F749" s="16">
        <v>4</v>
      </c>
      <c r="G749" s="18">
        <v>62021301</v>
      </c>
      <c r="H749" s="18">
        <v>0</v>
      </c>
      <c r="I749" s="27">
        <v>0</v>
      </c>
      <c r="J749" s="16">
        <v>0</v>
      </c>
      <c r="K749" s="16">
        <v>0</v>
      </c>
      <c r="L749" s="16">
        <v>0</v>
      </c>
      <c r="M749" s="18">
        <v>0</v>
      </c>
      <c r="N749" s="18">
        <v>0</v>
      </c>
      <c r="O749" s="18">
        <v>1</v>
      </c>
      <c r="P749" s="18">
        <v>0</v>
      </c>
      <c r="Q749" s="18">
        <v>0</v>
      </c>
      <c r="R749" s="18">
        <v>0</v>
      </c>
      <c r="S749" s="12">
        <v>0</v>
      </c>
      <c r="T749" s="27">
        <v>0</v>
      </c>
      <c r="U749" s="16">
        <v>1</v>
      </c>
      <c r="V749" s="18">
        <v>2</v>
      </c>
      <c r="W749" s="18">
        <v>0</v>
      </c>
      <c r="X749" s="18">
        <v>3.25</v>
      </c>
      <c r="Y749" s="12">
        <v>0</v>
      </c>
      <c r="Z749" s="18">
        <v>4000</v>
      </c>
      <c r="AA749" s="18">
        <v>0</v>
      </c>
      <c r="AB749" s="18">
        <v>0</v>
      </c>
      <c r="AC749" s="18">
        <v>0</v>
      </c>
      <c r="AD749" s="18">
        <v>0</v>
      </c>
      <c r="AE749" s="18">
        <v>0</v>
      </c>
      <c r="AF749" s="18">
        <v>12</v>
      </c>
      <c r="AG749" s="18">
        <v>1</v>
      </c>
      <c r="AH749" s="18">
        <v>3</v>
      </c>
      <c r="AI749" s="12">
        <v>2</v>
      </c>
      <c r="AJ749" s="12">
        <v>2</v>
      </c>
      <c r="AK749" s="12">
        <v>0</v>
      </c>
      <c r="AL749" s="12">
        <v>4</v>
      </c>
      <c r="AM749" s="18">
        <v>0</v>
      </c>
      <c r="AN749" s="18">
        <v>0</v>
      </c>
      <c r="AO749" s="18">
        <v>0</v>
      </c>
      <c r="AP749" s="18">
        <v>0.25</v>
      </c>
      <c r="AQ749" s="18">
        <v>2000</v>
      </c>
      <c r="AR749" s="18">
        <v>0.5</v>
      </c>
      <c r="AS749" s="18">
        <v>15</v>
      </c>
      <c r="AT749" s="12">
        <v>0</v>
      </c>
      <c r="AU749" s="349" t="s">
        <v>1750</v>
      </c>
      <c r="AV749" s="18"/>
      <c r="AW749" s="19" t="s">
        <v>199</v>
      </c>
      <c r="AX749" s="18" t="s">
        <v>545</v>
      </c>
      <c r="AY749" s="18">
        <v>10003002</v>
      </c>
      <c r="AZ749" s="18">
        <v>21101030</v>
      </c>
      <c r="BA749" s="19" t="s">
        <v>586</v>
      </c>
      <c r="BB749" s="19">
        <v>0</v>
      </c>
      <c r="BC749" s="27">
        <v>0</v>
      </c>
      <c r="BD749" s="27">
        <v>0</v>
      </c>
      <c r="BE749" s="183" t="str">
        <f t="shared" si="61"/>
        <v>立即对指定前方区域释放冲击波,冲击波对触碰的怪物造成325%攻击伤害+4000点固定伤害,并对触碰到的敌方目标附带2秒眩晕</v>
      </c>
      <c r="BF749" s="183" t="s">
        <v>1754</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19.5" customHeight="1">
      <c r="C750" s="16">
        <v>62021206</v>
      </c>
      <c r="D750" s="19" t="s">
        <v>1324</v>
      </c>
      <c r="E750" s="19" t="s">
        <v>1325</v>
      </c>
      <c r="F750" s="16">
        <v>5</v>
      </c>
      <c r="G750" s="18">
        <v>62021301</v>
      </c>
      <c r="H750" s="18">
        <v>0</v>
      </c>
      <c r="I750" s="27">
        <v>0</v>
      </c>
      <c r="J750" s="16">
        <v>0</v>
      </c>
      <c r="K750" s="16">
        <v>0</v>
      </c>
      <c r="L750" s="16">
        <v>0</v>
      </c>
      <c r="M750" s="18">
        <v>0</v>
      </c>
      <c r="N750" s="18">
        <v>0</v>
      </c>
      <c r="O750" s="18">
        <v>1</v>
      </c>
      <c r="P750" s="18">
        <v>0</v>
      </c>
      <c r="Q750" s="18">
        <v>0</v>
      </c>
      <c r="R750" s="18">
        <v>0</v>
      </c>
      <c r="S750" s="12">
        <v>0</v>
      </c>
      <c r="T750" s="27">
        <v>0</v>
      </c>
      <c r="U750" s="16">
        <v>1</v>
      </c>
      <c r="V750" s="18">
        <v>2</v>
      </c>
      <c r="W750" s="18">
        <v>0</v>
      </c>
      <c r="X750" s="18">
        <v>3.5</v>
      </c>
      <c r="Y750" s="12">
        <v>0</v>
      </c>
      <c r="Z750" s="18">
        <v>5200</v>
      </c>
      <c r="AA750" s="18">
        <v>0</v>
      </c>
      <c r="AB750" s="18">
        <v>0</v>
      </c>
      <c r="AC750" s="18">
        <v>0</v>
      </c>
      <c r="AD750" s="18">
        <v>0</v>
      </c>
      <c r="AE750" s="18">
        <v>0</v>
      </c>
      <c r="AF750" s="18">
        <v>12</v>
      </c>
      <c r="AG750" s="18">
        <v>1</v>
      </c>
      <c r="AH750" s="18">
        <v>3</v>
      </c>
      <c r="AI750" s="12">
        <v>2</v>
      </c>
      <c r="AJ750" s="12">
        <v>2</v>
      </c>
      <c r="AK750" s="12">
        <v>0</v>
      </c>
      <c r="AL750" s="12">
        <v>4</v>
      </c>
      <c r="AM750" s="18">
        <v>0</v>
      </c>
      <c r="AN750" s="18">
        <v>0</v>
      </c>
      <c r="AO750" s="18">
        <v>0</v>
      </c>
      <c r="AP750" s="18">
        <v>0.25</v>
      </c>
      <c r="AQ750" s="18">
        <v>2000</v>
      </c>
      <c r="AR750" s="18">
        <v>0.5</v>
      </c>
      <c r="AS750" s="18">
        <v>15</v>
      </c>
      <c r="AT750" s="12">
        <v>0</v>
      </c>
      <c r="AU750" s="349" t="s">
        <v>1750</v>
      </c>
      <c r="AV750" s="18"/>
      <c r="AW750" s="19" t="s">
        <v>199</v>
      </c>
      <c r="AX750" s="18" t="s">
        <v>545</v>
      </c>
      <c r="AY750" s="18">
        <v>10003002</v>
      </c>
      <c r="AZ750" s="18">
        <v>21101030</v>
      </c>
      <c r="BA750" s="19" t="s">
        <v>586</v>
      </c>
      <c r="BB750" s="19">
        <v>0</v>
      </c>
      <c r="BC750" s="27">
        <v>0</v>
      </c>
      <c r="BD750" s="27">
        <v>0</v>
      </c>
      <c r="BE750" s="183" t="str">
        <f t="shared" si="61"/>
        <v>立即对指定前方区域释放冲击波,冲击波对触碰的怪物造成350%攻击伤害+5200点固定伤害,并对触碰到的敌方目标附带2秒眩晕</v>
      </c>
      <c r="BF750" s="183" t="s">
        <v>1755</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62021301</v>
      </c>
      <c r="D751" s="19" t="s">
        <v>367</v>
      </c>
      <c r="E751" s="19" t="s">
        <v>368</v>
      </c>
      <c r="F751" s="16">
        <v>0</v>
      </c>
      <c r="G751" s="16">
        <v>62021401</v>
      </c>
      <c r="H751" s="18">
        <f>C752</f>
        <v>62021302</v>
      </c>
      <c r="I751" s="27">
        <v>0</v>
      </c>
      <c r="J751" s="16">
        <v>20</v>
      </c>
      <c r="K751" s="16">
        <v>5</v>
      </c>
      <c r="L751" s="16">
        <v>0</v>
      </c>
      <c r="M751" s="18">
        <v>0</v>
      </c>
      <c r="N751" s="18">
        <v>0</v>
      </c>
      <c r="O751" s="18">
        <v>1</v>
      </c>
      <c r="P751" s="18">
        <v>0</v>
      </c>
      <c r="Q751" s="18">
        <v>0</v>
      </c>
      <c r="R751" s="18">
        <v>0</v>
      </c>
      <c r="S751" s="12">
        <v>0</v>
      </c>
      <c r="T751" s="27">
        <v>0</v>
      </c>
      <c r="U751" s="16">
        <v>1</v>
      </c>
      <c r="V751" s="18">
        <v>2</v>
      </c>
      <c r="W751" s="18">
        <v>0</v>
      </c>
      <c r="X751" s="18">
        <v>1.8</v>
      </c>
      <c r="Y751" s="12">
        <v>0</v>
      </c>
      <c r="Z751" s="18">
        <v>1000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"对目标区域持续造成伤害,在此范围内的敌方目标每秒造成2次"&amp;X751*100&amp;"%攻击伤害+"&amp;Z751&amp;"点固定伤害,目标移动速度降低75%,持续6秒,当在施法过程中进行移动会中断此技能施放"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1" s="183" t="s">
        <v>1757</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62021302</v>
      </c>
      <c r="D752" s="19" t="s">
        <v>367</v>
      </c>
      <c r="E752" s="19" t="s">
        <v>368</v>
      </c>
      <c r="F752" s="16">
        <v>1</v>
      </c>
      <c r="G752" s="16">
        <v>62021401</v>
      </c>
      <c r="H752" s="18">
        <f t="shared" ref="H752:H753" si="62">C753</f>
        <v>62021303</v>
      </c>
      <c r="I752" s="27">
        <v>0</v>
      </c>
      <c r="J752" s="16">
        <v>27</v>
      </c>
      <c r="K752" s="16">
        <v>2</v>
      </c>
      <c r="L752" s="16">
        <v>0</v>
      </c>
      <c r="M752" s="18">
        <v>0</v>
      </c>
      <c r="N752" s="18">
        <v>0</v>
      </c>
      <c r="O752" s="18">
        <v>1</v>
      </c>
      <c r="P752" s="18">
        <v>0</v>
      </c>
      <c r="Q752" s="18">
        <v>0</v>
      </c>
      <c r="R752" s="18">
        <v>0</v>
      </c>
      <c r="S752" s="12">
        <v>0</v>
      </c>
      <c r="T752" s="27">
        <v>0</v>
      </c>
      <c r="U752" s="16">
        <v>1</v>
      </c>
      <c r="V752" s="18">
        <v>2</v>
      </c>
      <c r="W752" s="18">
        <v>0</v>
      </c>
      <c r="X752" s="18">
        <v>1.8</v>
      </c>
      <c r="Y752" s="12">
        <v>0</v>
      </c>
      <c r="Z752" s="18">
        <v>1000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ref="BE752:BE756" si="63">"对目标区域持续造成伤害,在此范围内的敌方目标每秒造成2次"&amp;X752*100&amp;"%攻击伤害+"&amp;Z752&amp;"点固定伤害,目标移动速度降低75%,持续6秒,当在施法过程中进行移动会中断此技能施放"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2" s="183" t="s">
        <v>1757</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62021303</v>
      </c>
      <c r="D753" s="19" t="s">
        <v>367</v>
      </c>
      <c r="E753" s="19" t="s">
        <v>368</v>
      </c>
      <c r="F753" s="16">
        <v>2</v>
      </c>
      <c r="G753" s="16">
        <v>62021401</v>
      </c>
      <c r="H753" s="18">
        <f t="shared" si="62"/>
        <v>62021304</v>
      </c>
      <c r="I753" s="27">
        <v>0</v>
      </c>
      <c r="J753" s="16">
        <v>32</v>
      </c>
      <c r="K753" s="16">
        <v>2</v>
      </c>
      <c r="L753" s="16">
        <v>0</v>
      </c>
      <c r="M753" s="18">
        <v>0</v>
      </c>
      <c r="N753" s="18">
        <v>0</v>
      </c>
      <c r="O753" s="18">
        <v>1</v>
      </c>
      <c r="P753" s="18">
        <v>0</v>
      </c>
      <c r="Q753" s="18">
        <v>0</v>
      </c>
      <c r="R753" s="18">
        <v>0</v>
      </c>
      <c r="S753" s="12">
        <v>0</v>
      </c>
      <c r="T753" s="27">
        <v>0</v>
      </c>
      <c r="U753" s="16">
        <v>1</v>
      </c>
      <c r="V753" s="18">
        <v>2</v>
      </c>
      <c r="W753" s="18">
        <v>0</v>
      </c>
      <c r="X753" s="18">
        <v>2</v>
      </c>
      <c r="Y753" s="12">
        <v>0</v>
      </c>
      <c r="Z753" s="18">
        <v>1500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对目标区域持续造成伤害,在此范围内的敌方目标每秒造成2次200%攻击伤害+1500点固定伤害,目标移动速度降低75%,持续6秒,当在施法过程中进行移动会中断此技能施放</v>
      </c>
      <c r="BF753" s="183" t="s">
        <v>1758</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62021304</v>
      </c>
      <c r="D754" s="19" t="s">
        <v>367</v>
      </c>
      <c r="E754" s="19" t="s">
        <v>368</v>
      </c>
      <c r="F754" s="16">
        <v>3</v>
      </c>
      <c r="G754" s="16">
        <v>62021401</v>
      </c>
      <c r="H754" s="16">
        <v>0</v>
      </c>
      <c r="I754" s="27">
        <v>0</v>
      </c>
      <c r="J754" s="18">
        <v>0</v>
      </c>
      <c r="K754" s="16">
        <v>0</v>
      </c>
      <c r="L754" s="16">
        <v>0</v>
      </c>
      <c r="M754" s="18">
        <v>0</v>
      </c>
      <c r="N754" s="18">
        <v>0</v>
      </c>
      <c r="O754" s="18">
        <v>1</v>
      </c>
      <c r="P754" s="18">
        <v>0</v>
      </c>
      <c r="Q754" s="18">
        <v>0</v>
      </c>
      <c r="R754" s="18">
        <v>0</v>
      </c>
      <c r="S754" s="12">
        <v>0</v>
      </c>
      <c r="T754" s="27">
        <v>0</v>
      </c>
      <c r="U754" s="16">
        <v>1</v>
      </c>
      <c r="V754" s="18">
        <v>2</v>
      </c>
      <c r="W754" s="18">
        <v>0</v>
      </c>
      <c r="X754" s="18">
        <v>2.2000000000000002</v>
      </c>
      <c r="Y754" s="12">
        <v>0</v>
      </c>
      <c r="Z754" s="18">
        <v>2000</v>
      </c>
      <c r="AA754" s="18">
        <v>0</v>
      </c>
      <c r="AB754" s="18">
        <v>0</v>
      </c>
      <c r="AC754" s="18">
        <v>0</v>
      </c>
      <c r="AD754" s="18">
        <v>0</v>
      </c>
      <c r="AE754" s="18">
        <v>0</v>
      </c>
      <c r="AF754" s="18">
        <v>6</v>
      </c>
      <c r="AG754" s="18">
        <v>1</v>
      </c>
      <c r="AH754" s="18">
        <v>3</v>
      </c>
      <c r="AI754" s="12">
        <v>2</v>
      </c>
      <c r="AJ754" s="12">
        <v>1</v>
      </c>
      <c r="AK754" s="12">
        <v>0</v>
      </c>
      <c r="AL754" s="12">
        <v>7</v>
      </c>
      <c r="AM754" s="18">
        <v>0</v>
      </c>
      <c r="AN754" s="18">
        <v>0</v>
      </c>
      <c r="AO754" s="18">
        <v>6</v>
      </c>
      <c r="AP754" s="18">
        <v>0.25</v>
      </c>
      <c r="AQ754" s="18">
        <v>6000</v>
      </c>
      <c r="AR754" s="18">
        <v>0</v>
      </c>
      <c r="AS754" s="18">
        <v>0</v>
      </c>
      <c r="AT754" s="12">
        <v>0</v>
      </c>
      <c r="AU754" s="18">
        <v>92014001</v>
      </c>
      <c r="AV754" s="18"/>
      <c r="AW754" s="19" t="s">
        <v>369</v>
      </c>
      <c r="AX754" s="18" t="s">
        <v>370</v>
      </c>
      <c r="AY754" s="18">
        <v>10002001</v>
      </c>
      <c r="AZ754" s="18">
        <v>21101040</v>
      </c>
      <c r="BA754" s="19" t="s">
        <v>315</v>
      </c>
      <c r="BB754" s="19" t="s">
        <v>1756</v>
      </c>
      <c r="BC754" s="27">
        <v>0</v>
      </c>
      <c r="BD754" s="27">
        <v>0</v>
      </c>
      <c r="BE754" s="183" t="str">
        <f t="shared" si="63"/>
        <v>对目标区域持续造成伤害,在此范围内的敌方目标每秒造成2次220%攻击伤害+2000点固定伤害,目标移动速度降低75%,持续6秒,当在施法过程中进行移动会中断此技能施放</v>
      </c>
      <c r="BF754" s="183" t="s">
        <v>1759</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row>
    <row r="755" spans="3:75" ht="20.100000000000001" customHeight="1">
      <c r="C755" s="16">
        <v>62021305</v>
      </c>
      <c r="D755" s="19" t="s">
        <v>367</v>
      </c>
      <c r="E755" s="19" t="s">
        <v>368</v>
      </c>
      <c r="F755" s="16">
        <v>4</v>
      </c>
      <c r="G755" s="16">
        <v>62021401</v>
      </c>
      <c r="H755" s="16">
        <v>0</v>
      </c>
      <c r="I755" s="27">
        <v>0</v>
      </c>
      <c r="J755" s="18">
        <v>0</v>
      </c>
      <c r="K755" s="16">
        <v>0</v>
      </c>
      <c r="L755" s="16">
        <v>0</v>
      </c>
      <c r="M755" s="18">
        <v>0</v>
      </c>
      <c r="N755" s="18">
        <v>0</v>
      </c>
      <c r="O755" s="18">
        <v>1</v>
      </c>
      <c r="P755" s="18">
        <v>0</v>
      </c>
      <c r="Q755" s="18">
        <v>0</v>
      </c>
      <c r="R755" s="18">
        <v>0</v>
      </c>
      <c r="S755" s="12">
        <v>0</v>
      </c>
      <c r="T755" s="27">
        <v>0</v>
      </c>
      <c r="U755" s="16">
        <v>1</v>
      </c>
      <c r="V755" s="18">
        <v>2</v>
      </c>
      <c r="W755" s="18">
        <v>0</v>
      </c>
      <c r="X755" s="18">
        <v>2.4</v>
      </c>
      <c r="Y755" s="12">
        <v>0</v>
      </c>
      <c r="Z755" s="18">
        <v>2750</v>
      </c>
      <c r="AA755" s="18">
        <v>0</v>
      </c>
      <c r="AB755" s="18">
        <v>0</v>
      </c>
      <c r="AC755" s="18">
        <v>0</v>
      </c>
      <c r="AD755" s="18">
        <v>0</v>
      </c>
      <c r="AE755" s="18">
        <v>0</v>
      </c>
      <c r="AF755" s="18">
        <v>6</v>
      </c>
      <c r="AG755" s="18">
        <v>1</v>
      </c>
      <c r="AH755" s="18">
        <v>3</v>
      </c>
      <c r="AI755" s="12">
        <v>2</v>
      </c>
      <c r="AJ755" s="12">
        <v>1</v>
      </c>
      <c r="AK755" s="12">
        <v>0</v>
      </c>
      <c r="AL755" s="12">
        <v>7</v>
      </c>
      <c r="AM755" s="18">
        <v>0</v>
      </c>
      <c r="AN755" s="18">
        <v>0</v>
      </c>
      <c r="AO755" s="18">
        <v>6</v>
      </c>
      <c r="AP755" s="18">
        <v>0.25</v>
      </c>
      <c r="AQ755" s="18">
        <v>6000</v>
      </c>
      <c r="AR755" s="18">
        <v>0</v>
      </c>
      <c r="AS755" s="18">
        <v>0</v>
      </c>
      <c r="AT755" s="12">
        <v>0</v>
      </c>
      <c r="AU755" s="18">
        <v>92014001</v>
      </c>
      <c r="AV755" s="18"/>
      <c r="AW755" s="19" t="s">
        <v>369</v>
      </c>
      <c r="AX755" s="18" t="s">
        <v>370</v>
      </c>
      <c r="AY755" s="18">
        <v>10002001</v>
      </c>
      <c r="AZ755" s="18">
        <v>21101040</v>
      </c>
      <c r="BA755" s="19" t="s">
        <v>315</v>
      </c>
      <c r="BB755" s="19" t="s">
        <v>1756</v>
      </c>
      <c r="BC755" s="27">
        <v>0</v>
      </c>
      <c r="BD755" s="27">
        <v>0</v>
      </c>
      <c r="BE755" s="183" t="str">
        <f t="shared" si="63"/>
        <v>对目标区域持续造成伤害,在此范围内的敌方目标每秒造成2次240%攻击伤害+2750点固定伤害,目标移动速度降低75%,持续6秒,当在施法过程中进行移动会中断此技能施放</v>
      </c>
      <c r="BF755" s="183" t="s">
        <v>1760</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row>
    <row r="756" spans="3:75" ht="20.100000000000001" customHeight="1">
      <c r="C756" s="16">
        <v>62021306</v>
      </c>
      <c r="D756" s="19" t="s">
        <v>367</v>
      </c>
      <c r="E756" s="19" t="s">
        <v>368</v>
      </c>
      <c r="F756" s="16">
        <v>5</v>
      </c>
      <c r="G756" s="16">
        <v>62021401</v>
      </c>
      <c r="H756" s="16">
        <v>0</v>
      </c>
      <c r="I756" s="27">
        <v>0</v>
      </c>
      <c r="J756" s="18">
        <v>0</v>
      </c>
      <c r="K756" s="16">
        <v>0</v>
      </c>
      <c r="L756" s="16">
        <v>0</v>
      </c>
      <c r="M756" s="18">
        <v>0</v>
      </c>
      <c r="N756" s="18">
        <v>0</v>
      </c>
      <c r="O756" s="18">
        <v>1</v>
      </c>
      <c r="P756" s="18">
        <v>0</v>
      </c>
      <c r="Q756" s="18">
        <v>0</v>
      </c>
      <c r="R756" s="18">
        <v>0</v>
      </c>
      <c r="S756" s="12">
        <v>0</v>
      </c>
      <c r="T756" s="27">
        <v>0</v>
      </c>
      <c r="U756" s="16">
        <v>1</v>
      </c>
      <c r="V756" s="18">
        <v>2</v>
      </c>
      <c r="W756" s="18">
        <v>0</v>
      </c>
      <c r="X756" s="18">
        <v>2.6</v>
      </c>
      <c r="Y756" s="12">
        <v>0</v>
      </c>
      <c r="Z756" s="18">
        <v>3500</v>
      </c>
      <c r="AA756" s="18">
        <v>0</v>
      </c>
      <c r="AB756" s="18">
        <v>0</v>
      </c>
      <c r="AC756" s="18">
        <v>0</v>
      </c>
      <c r="AD756" s="18">
        <v>0</v>
      </c>
      <c r="AE756" s="18">
        <v>0</v>
      </c>
      <c r="AF756" s="18">
        <v>6</v>
      </c>
      <c r="AG756" s="18">
        <v>1</v>
      </c>
      <c r="AH756" s="18">
        <v>3</v>
      </c>
      <c r="AI756" s="12">
        <v>2</v>
      </c>
      <c r="AJ756" s="12">
        <v>1</v>
      </c>
      <c r="AK756" s="12">
        <v>0</v>
      </c>
      <c r="AL756" s="12">
        <v>7</v>
      </c>
      <c r="AM756" s="18">
        <v>0</v>
      </c>
      <c r="AN756" s="18">
        <v>0</v>
      </c>
      <c r="AO756" s="18">
        <v>6</v>
      </c>
      <c r="AP756" s="18">
        <v>0.25</v>
      </c>
      <c r="AQ756" s="18">
        <v>6000</v>
      </c>
      <c r="AR756" s="18">
        <v>0</v>
      </c>
      <c r="AS756" s="18">
        <v>0</v>
      </c>
      <c r="AT756" s="12">
        <v>0</v>
      </c>
      <c r="AU756" s="18">
        <v>92014001</v>
      </c>
      <c r="AV756" s="18"/>
      <c r="AW756" s="19" t="s">
        <v>369</v>
      </c>
      <c r="AX756" s="18" t="s">
        <v>370</v>
      </c>
      <c r="AY756" s="18">
        <v>10002001</v>
      </c>
      <c r="AZ756" s="18">
        <v>21101040</v>
      </c>
      <c r="BA756" s="19" t="s">
        <v>315</v>
      </c>
      <c r="BB756" s="19" t="s">
        <v>1756</v>
      </c>
      <c r="BC756" s="27">
        <v>0</v>
      </c>
      <c r="BD756" s="27">
        <v>0</v>
      </c>
      <c r="BE756" s="183" t="str">
        <f t="shared" si="63"/>
        <v>对目标区域持续造成伤害,在此范围内的敌方目标每秒造成2次260%攻击伤害+3500点固定伤害,目标移动速度降低75%,持续6秒,当在施法过程中进行移动会中断此技能施放</v>
      </c>
      <c r="BF756" s="183" t="s">
        <v>1761</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row>
    <row r="757" spans="3:75" ht="20.100000000000001" customHeight="1">
      <c r="C757" s="16">
        <v>62021401</v>
      </c>
      <c r="D757" s="17" t="s">
        <v>1762</v>
      </c>
      <c r="E757" s="17" t="s">
        <v>1763</v>
      </c>
      <c r="F757" s="18">
        <v>0</v>
      </c>
      <c r="G757" s="16">
        <v>62021501</v>
      </c>
      <c r="H757" s="16">
        <v>62021402</v>
      </c>
      <c r="I757" s="27">
        <v>0</v>
      </c>
      <c r="J757" s="16">
        <v>35</v>
      </c>
      <c r="K757" s="16">
        <v>5</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2" t="s">
        <v>1764</v>
      </c>
      <c r="BC757" s="27">
        <v>0</v>
      </c>
      <c r="BD757" s="27">
        <v>0</v>
      </c>
      <c r="BE757" s="44" t="s">
        <v>1765</v>
      </c>
      <c r="BF757" s="44" t="s">
        <v>1766</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20.100000000000001" customHeight="1">
      <c r="C758" s="16">
        <v>62021402</v>
      </c>
      <c r="D758" s="17" t="s">
        <v>1762</v>
      </c>
      <c r="E758" s="17" t="s">
        <v>1763</v>
      </c>
      <c r="F758" s="18">
        <v>1</v>
      </c>
      <c r="G758" s="16">
        <v>62021501</v>
      </c>
      <c r="H758" s="16">
        <v>62021403</v>
      </c>
      <c r="I758" s="27">
        <v>0</v>
      </c>
      <c r="J758" s="16">
        <v>42</v>
      </c>
      <c r="K758" s="16">
        <v>2</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2" t="s">
        <v>1764</v>
      </c>
      <c r="BC758" s="27">
        <v>0</v>
      </c>
      <c r="BD758" s="27">
        <v>0</v>
      </c>
      <c r="BE758" s="44" t="s">
        <v>1765</v>
      </c>
      <c r="BF758" s="44" t="s">
        <v>1766</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20.100000000000001" customHeight="1">
      <c r="C759" s="16">
        <v>62021403</v>
      </c>
      <c r="D759" s="17" t="s">
        <v>1762</v>
      </c>
      <c r="E759" s="17" t="s">
        <v>1763</v>
      </c>
      <c r="F759" s="18">
        <v>2</v>
      </c>
      <c r="G759" s="16">
        <v>62021501</v>
      </c>
      <c r="H759" s="16">
        <v>62021404</v>
      </c>
      <c r="I759" s="27">
        <v>0</v>
      </c>
      <c r="J759" s="16">
        <v>47</v>
      </c>
      <c r="K759" s="16">
        <v>2</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2" t="s">
        <v>1767</v>
      </c>
      <c r="BC759" s="27">
        <v>0</v>
      </c>
      <c r="BD759" s="27">
        <v>0</v>
      </c>
      <c r="BE759" s="44" t="s">
        <v>1768</v>
      </c>
      <c r="BF759" s="44" t="s">
        <v>1769</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19.5" customHeight="1">
      <c r="C760" s="16">
        <v>62021404</v>
      </c>
      <c r="D760" s="17" t="s">
        <v>1762</v>
      </c>
      <c r="E760" s="17" t="s">
        <v>1763</v>
      </c>
      <c r="F760" s="18">
        <v>3</v>
      </c>
      <c r="G760" s="16">
        <v>62021501</v>
      </c>
      <c r="H760" s="16">
        <v>0</v>
      </c>
      <c r="I760" s="27">
        <v>0</v>
      </c>
      <c r="J760" s="16">
        <v>1</v>
      </c>
      <c r="K760" s="16">
        <v>0</v>
      </c>
      <c r="L760" s="18">
        <v>0</v>
      </c>
      <c r="M760" s="16">
        <v>0</v>
      </c>
      <c r="N760" s="16">
        <v>0</v>
      </c>
      <c r="O760" s="16">
        <v>1</v>
      </c>
      <c r="P760" s="16">
        <v>0</v>
      </c>
      <c r="Q760" s="16">
        <v>0</v>
      </c>
      <c r="R760" s="16">
        <v>0</v>
      </c>
      <c r="S760" s="12">
        <v>0</v>
      </c>
      <c r="T760" s="16">
        <v>0</v>
      </c>
      <c r="U760" s="16">
        <v>1</v>
      </c>
      <c r="V760" s="16">
        <v>2</v>
      </c>
      <c r="W760" s="16">
        <v>0</v>
      </c>
      <c r="X760" s="16">
        <v>0</v>
      </c>
      <c r="Y760" s="12">
        <v>0</v>
      </c>
      <c r="Z760" s="16">
        <v>0</v>
      </c>
      <c r="AA760" s="16">
        <v>0</v>
      </c>
      <c r="AB760" s="16">
        <v>0</v>
      </c>
      <c r="AC760" s="16">
        <v>0</v>
      </c>
      <c r="AD760" s="16">
        <v>0</v>
      </c>
      <c r="AE760" s="16">
        <v>0</v>
      </c>
      <c r="AF760" s="16">
        <v>50</v>
      </c>
      <c r="AG760" s="16">
        <v>0</v>
      </c>
      <c r="AH760" s="16">
        <v>0</v>
      </c>
      <c r="AI760" s="12">
        <v>2</v>
      </c>
      <c r="AJ760" s="12">
        <v>2</v>
      </c>
      <c r="AK760" s="12">
        <v>0</v>
      </c>
      <c r="AL760" s="12">
        <v>1.5</v>
      </c>
      <c r="AM760" s="16">
        <v>0</v>
      </c>
      <c r="AN760" s="16">
        <v>0.5</v>
      </c>
      <c r="AO760" s="16">
        <v>0</v>
      </c>
      <c r="AP760" s="18">
        <v>0.25</v>
      </c>
      <c r="AQ760" s="16">
        <v>3000</v>
      </c>
      <c r="AR760" s="16">
        <v>0</v>
      </c>
      <c r="AS760" s="16">
        <v>0</v>
      </c>
      <c r="AT760" s="12">
        <v>0</v>
      </c>
      <c r="AU760" s="16" t="s">
        <v>198</v>
      </c>
      <c r="AV760" s="16"/>
      <c r="AW760" s="17" t="s">
        <v>199</v>
      </c>
      <c r="AX760" s="16" t="s">
        <v>545</v>
      </c>
      <c r="AY760" s="18">
        <v>0</v>
      </c>
      <c r="AZ760" s="18">
        <v>21101051</v>
      </c>
      <c r="BA760" s="17" t="s">
        <v>1174</v>
      </c>
      <c r="BB760" s="352" t="s">
        <v>1770</v>
      </c>
      <c r="BC760" s="27">
        <v>0</v>
      </c>
      <c r="BD760" s="27">
        <v>0</v>
      </c>
      <c r="BE760" s="44" t="s">
        <v>1771</v>
      </c>
      <c r="BF760" s="44" t="s">
        <v>1772</v>
      </c>
      <c r="BG760" s="16">
        <v>0</v>
      </c>
      <c r="BH760" s="16">
        <v>0</v>
      </c>
      <c r="BI760" s="16">
        <v>0</v>
      </c>
      <c r="BJ760" s="16">
        <v>0</v>
      </c>
      <c r="BK760" s="16">
        <v>0</v>
      </c>
      <c r="BL760" s="16">
        <v>0</v>
      </c>
      <c r="BM760" s="15">
        <v>0</v>
      </c>
      <c r="BN760" s="12">
        <v>0</v>
      </c>
      <c r="BO760" s="12">
        <v>0</v>
      </c>
      <c r="BP760" s="12">
        <v>0</v>
      </c>
      <c r="BQ760" s="12">
        <v>0</v>
      </c>
      <c r="BR760" s="12">
        <v>0</v>
      </c>
      <c r="BS760" s="12">
        <v>0</v>
      </c>
      <c r="BT760" s="12">
        <v>0</v>
      </c>
      <c r="BU760" s="47">
        <v>0</v>
      </c>
      <c r="BV760" s="47"/>
      <c r="BW760" s="47"/>
    </row>
    <row r="761" spans="3:75" ht="19.5" customHeight="1">
      <c r="C761" s="16">
        <v>62021405</v>
      </c>
      <c r="D761" s="17" t="s">
        <v>1762</v>
      </c>
      <c r="E761" s="17" t="s">
        <v>1763</v>
      </c>
      <c r="F761" s="18">
        <v>4</v>
      </c>
      <c r="G761" s="16">
        <v>62021501</v>
      </c>
      <c r="H761" s="16">
        <v>0</v>
      </c>
      <c r="I761" s="27">
        <v>0</v>
      </c>
      <c r="J761" s="16">
        <v>1</v>
      </c>
      <c r="K761" s="16">
        <v>0</v>
      </c>
      <c r="L761" s="18">
        <v>0</v>
      </c>
      <c r="M761" s="16">
        <v>0</v>
      </c>
      <c r="N761" s="16">
        <v>0</v>
      </c>
      <c r="O761" s="16">
        <v>1</v>
      </c>
      <c r="P761" s="16">
        <v>0</v>
      </c>
      <c r="Q761" s="16">
        <v>0</v>
      </c>
      <c r="R761" s="16">
        <v>0</v>
      </c>
      <c r="S761" s="12">
        <v>0</v>
      </c>
      <c r="T761" s="16">
        <v>0</v>
      </c>
      <c r="U761" s="16">
        <v>1</v>
      </c>
      <c r="V761" s="16">
        <v>2</v>
      </c>
      <c r="W761" s="16">
        <v>0</v>
      </c>
      <c r="X761" s="16">
        <v>0</v>
      </c>
      <c r="Y761" s="12">
        <v>0</v>
      </c>
      <c r="Z761" s="16">
        <v>0</v>
      </c>
      <c r="AA761" s="16">
        <v>0</v>
      </c>
      <c r="AB761" s="16">
        <v>0</v>
      </c>
      <c r="AC761" s="16">
        <v>0</v>
      </c>
      <c r="AD761" s="16">
        <v>0</v>
      </c>
      <c r="AE761" s="16">
        <v>0</v>
      </c>
      <c r="AF761" s="16">
        <v>50</v>
      </c>
      <c r="AG761" s="16">
        <v>0</v>
      </c>
      <c r="AH761" s="16">
        <v>0</v>
      </c>
      <c r="AI761" s="12">
        <v>2</v>
      </c>
      <c r="AJ761" s="12">
        <v>2</v>
      </c>
      <c r="AK761" s="12">
        <v>0</v>
      </c>
      <c r="AL761" s="12">
        <v>1.5</v>
      </c>
      <c r="AM761" s="16">
        <v>0</v>
      </c>
      <c r="AN761" s="16">
        <v>0.5</v>
      </c>
      <c r="AO761" s="16">
        <v>0</v>
      </c>
      <c r="AP761" s="18">
        <v>0.25</v>
      </c>
      <c r="AQ761" s="16">
        <v>3000</v>
      </c>
      <c r="AR761" s="16">
        <v>0</v>
      </c>
      <c r="AS761" s="16">
        <v>0</v>
      </c>
      <c r="AT761" s="12">
        <v>0</v>
      </c>
      <c r="AU761" s="16" t="s">
        <v>198</v>
      </c>
      <c r="AV761" s="16"/>
      <c r="AW761" s="17" t="s">
        <v>199</v>
      </c>
      <c r="AX761" s="16" t="s">
        <v>545</v>
      </c>
      <c r="AY761" s="18">
        <v>0</v>
      </c>
      <c r="AZ761" s="18">
        <v>21101051</v>
      </c>
      <c r="BA761" s="17" t="s">
        <v>1174</v>
      </c>
      <c r="BB761" s="352" t="s">
        <v>1773</v>
      </c>
      <c r="BC761" s="27">
        <v>0</v>
      </c>
      <c r="BD761" s="27">
        <v>0</v>
      </c>
      <c r="BE761" s="44" t="s">
        <v>1774</v>
      </c>
      <c r="BF761" s="44" t="s">
        <v>1775</v>
      </c>
      <c r="BG761" s="16">
        <v>0</v>
      </c>
      <c r="BH761" s="16">
        <v>0</v>
      </c>
      <c r="BI761" s="16">
        <v>0</v>
      </c>
      <c r="BJ761" s="16">
        <v>0</v>
      </c>
      <c r="BK761" s="16">
        <v>0</v>
      </c>
      <c r="BL761" s="16">
        <v>0</v>
      </c>
      <c r="BM761" s="15">
        <v>0</v>
      </c>
      <c r="BN761" s="12">
        <v>0</v>
      </c>
      <c r="BO761" s="12">
        <v>0</v>
      </c>
      <c r="BP761" s="12">
        <v>0</v>
      </c>
      <c r="BQ761" s="12">
        <v>0</v>
      </c>
      <c r="BR761" s="12">
        <v>0</v>
      </c>
      <c r="BS761" s="12">
        <v>0</v>
      </c>
      <c r="BT761" s="12">
        <v>0</v>
      </c>
      <c r="BU761" s="47">
        <v>0</v>
      </c>
      <c r="BV761" s="47"/>
      <c r="BW761" s="47"/>
    </row>
    <row r="762" spans="3:75" ht="19.5" customHeight="1">
      <c r="C762" s="16">
        <v>62021406</v>
      </c>
      <c r="D762" s="17" t="s">
        <v>1762</v>
      </c>
      <c r="E762" s="17" t="s">
        <v>1763</v>
      </c>
      <c r="F762" s="18">
        <v>5</v>
      </c>
      <c r="G762" s="16">
        <v>62021501</v>
      </c>
      <c r="H762" s="18">
        <v>0</v>
      </c>
      <c r="I762" s="27">
        <v>0</v>
      </c>
      <c r="J762" s="16">
        <v>1</v>
      </c>
      <c r="K762" s="16">
        <v>0</v>
      </c>
      <c r="L762" s="18">
        <v>0</v>
      </c>
      <c r="M762" s="16">
        <v>0</v>
      </c>
      <c r="N762" s="16">
        <v>0</v>
      </c>
      <c r="O762" s="16">
        <v>1</v>
      </c>
      <c r="P762" s="16">
        <v>0</v>
      </c>
      <c r="Q762" s="16">
        <v>0</v>
      </c>
      <c r="R762" s="16">
        <v>0</v>
      </c>
      <c r="S762" s="12">
        <v>0</v>
      </c>
      <c r="T762" s="16">
        <v>0</v>
      </c>
      <c r="U762" s="16">
        <v>1</v>
      </c>
      <c r="V762" s="16">
        <v>2</v>
      </c>
      <c r="W762" s="16">
        <v>0</v>
      </c>
      <c r="X762" s="16">
        <v>0</v>
      </c>
      <c r="Y762" s="12">
        <v>0</v>
      </c>
      <c r="Z762" s="16">
        <v>0</v>
      </c>
      <c r="AA762" s="16">
        <v>0</v>
      </c>
      <c r="AB762" s="16">
        <v>0</v>
      </c>
      <c r="AC762" s="16">
        <v>0</v>
      </c>
      <c r="AD762" s="16">
        <v>0</v>
      </c>
      <c r="AE762" s="16">
        <v>0</v>
      </c>
      <c r="AF762" s="16">
        <v>50</v>
      </c>
      <c r="AG762" s="16">
        <v>0</v>
      </c>
      <c r="AH762" s="16">
        <v>0</v>
      </c>
      <c r="AI762" s="12">
        <v>2</v>
      </c>
      <c r="AJ762" s="12">
        <v>2</v>
      </c>
      <c r="AK762" s="12">
        <v>0</v>
      </c>
      <c r="AL762" s="12">
        <v>1.5</v>
      </c>
      <c r="AM762" s="16">
        <v>0</v>
      </c>
      <c r="AN762" s="16">
        <v>0.5</v>
      </c>
      <c r="AO762" s="16">
        <v>0</v>
      </c>
      <c r="AP762" s="18">
        <v>0.25</v>
      </c>
      <c r="AQ762" s="16">
        <v>3000</v>
      </c>
      <c r="AR762" s="16">
        <v>0</v>
      </c>
      <c r="AS762" s="16">
        <v>0</v>
      </c>
      <c r="AT762" s="12">
        <v>0</v>
      </c>
      <c r="AU762" s="16" t="s">
        <v>198</v>
      </c>
      <c r="AV762" s="16"/>
      <c r="AW762" s="17" t="s">
        <v>199</v>
      </c>
      <c r="AX762" s="16" t="s">
        <v>545</v>
      </c>
      <c r="AY762" s="18">
        <v>0</v>
      </c>
      <c r="AZ762" s="18">
        <v>21101051</v>
      </c>
      <c r="BA762" s="17" t="s">
        <v>1174</v>
      </c>
      <c r="BB762" s="352" t="s">
        <v>1776</v>
      </c>
      <c r="BC762" s="27">
        <v>0</v>
      </c>
      <c r="BD762" s="27">
        <v>0</v>
      </c>
      <c r="BE762" s="44" t="s">
        <v>1777</v>
      </c>
      <c r="BF762" s="44" t="s">
        <v>1778</v>
      </c>
      <c r="BG762" s="16">
        <v>0</v>
      </c>
      <c r="BH762" s="16">
        <v>0</v>
      </c>
      <c r="BI762" s="16">
        <v>0</v>
      </c>
      <c r="BJ762" s="16">
        <v>0</v>
      </c>
      <c r="BK762" s="16">
        <v>0</v>
      </c>
      <c r="BL762" s="16">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62021511</v>
      </c>
      <c r="D763" s="19" t="s">
        <v>1779</v>
      </c>
      <c r="E763" s="19" t="s">
        <v>1780</v>
      </c>
      <c r="F763" s="16">
        <v>1</v>
      </c>
      <c r="G763" s="18">
        <v>61021101</v>
      </c>
      <c r="H763" s="18">
        <v>0</v>
      </c>
      <c r="I763" s="27">
        <v>0</v>
      </c>
      <c r="J763" s="16">
        <v>1</v>
      </c>
      <c r="K763" s="16">
        <v>0</v>
      </c>
      <c r="L763" s="16">
        <v>0</v>
      </c>
      <c r="M763" s="18">
        <v>0</v>
      </c>
      <c r="N763" s="18">
        <v>0</v>
      </c>
      <c r="O763" s="18">
        <v>2</v>
      </c>
      <c r="P763" s="18">
        <v>2</v>
      </c>
      <c r="Q763" s="18">
        <v>1</v>
      </c>
      <c r="R763" s="18">
        <v>0</v>
      </c>
      <c r="S763" s="12">
        <v>0</v>
      </c>
      <c r="T763" s="27">
        <v>0</v>
      </c>
      <c r="U763" s="16">
        <v>1</v>
      </c>
      <c r="V763" s="18">
        <v>2</v>
      </c>
      <c r="W763" s="18">
        <v>0</v>
      </c>
      <c r="X763" s="18">
        <v>0</v>
      </c>
      <c r="Y763" s="12">
        <v>0</v>
      </c>
      <c r="Z763" s="18">
        <v>0</v>
      </c>
      <c r="AA763" s="18">
        <v>0</v>
      </c>
      <c r="AB763" s="18">
        <v>0</v>
      </c>
      <c r="AC763" s="18">
        <v>0</v>
      </c>
      <c r="AD763" s="18">
        <v>0</v>
      </c>
      <c r="AE763" s="18">
        <v>0</v>
      </c>
      <c r="AF763" s="18">
        <v>9999999</v>
      </c>
      <c r="AG763" s="18">
        <v>0</v>
      </c>
      <c r="AH763" s="18">
        <v>0</v>
      </c>
      <c r="AI763" s="12">
        <v>2</v>
      </c>
      <c r="AJ763" s="12">
        <v>0</v>
      </c>
      <c r="AK763" s="12">
        <v>0</v>
      </c>
      <c r="AL763" s="12">
        <v>0</v>
      </c>
      <c r="AM763" s="18">
        <v>0</v>
      </c>
      <c r="AN763" s="18">
        <v>0</v>
      </c>
      <c r="AO763" s="18">
        <v>0</v>
      </c>
      <c r="AP763" s="18">
        <v>0</v>
      </c>
      <c r="AQ763" s="18">
        <v>1000</v>
      </c>
      <c r="AR763" s="18">
        <v>0</v>
      </c>
      <c r="AS763" s="18">
        <v>0</v>
      </c>
      <c r="AT763" s="12">
        <v>0</v>
      </c>
      <c r="AU763" s="18" t="s">
        <v>198</v>
      </c>
      <c r="AV763" s="18"/>
      <c r="AW763" s="19" t="s">
        <v>199</v>
      </c>
      <c r="AX763" s="18" t="s">
        <v>348</v>
      </c>
      <c r="AY763" s="18">
        <v>0</v>
      </c>
      <c r="AZ763" s="18">
        <v>21101050</v>
      </c>
      <c r="BA763" s="19" t="s">
        <v>200</v>
      </c>
      <c r="BB763" s="19" t="s">
        <v>198</v>
      </c>
      <c r="BC763" s="27">
        <v>0</v>
      </c>
      <c r="BD763" s="27">
        <v>0</v>
      </c>
      <c r="BE763" s="183" t="s">
        <v>349</v>
      </c>
      <c r="BF763" s="183" t="s">
        <v>350</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row>
    <row r="764" spans="3:75" ht="19.5" customHeight="1">
      <c r="C764" s="16">
        <v>62021512</v>
      </c>
      <c r="D764" s="19" t="s">
        <v>1781</v>
      </c>
      <c r="E764" s="19" t="s">
        <v>1782</v>
      </c>
      <c r="F764" s="16">
        <v>1</v>
      </c>
      <c r="G764" s="18">
        <v>62021301</v>
      </c>
      <c r="H764" s="18">
        <v>0</v>
      </c>
      <c r="I764" s="27">
        <v>0</v>
      </c>
      <c r="J764" s="16">
        <v>1</v>
      </c>
      <c r="K764" s="18">
        <v>0</v>
      </c>
      <c r="L764" s="16">
        <v>0</v>
      </c>
      <c r="M764" s="18">
        <v>0</v>
      </c>
      <c r="N764" s="18">
        <v>0</v>
      </c>
      <c r="O764" s="18">
        <v>2</v>
      </c>
      <c r="P764" s="18">
        <v>10</v>
      </c>
      <c r="Q764" s="18">
        <v>0.8</v>
      </c>
      <c r="R764" s="18">
        <v>0</v>
      </c>
      <c r="S764" s="12">
        <v>0</v>
      </c>
      <c r="T764" s="27">
        <v>0</v>
      </c>
      <c r="U764" s="16">
        <v>1</v>
      </c>
      <c r="V764" s="18">
        <v>2</v>
      </c>
      <c r="W764" s="18">
        <v>0</v>
      </c>
      <c r="X764" s="18">
        <v>2.5</v>
      </c>
      <c r="Y764" s="12">
        <v>0</v>
      </c>
      <c r="Z764" s="18">
        <v>1500</v>
      </c>
      <c r="AA764" s="18">
        <v>0</v>
      </c>
      <c r="AB764" s="18">
        <v>0</v>
      </c>
      <c r="AC764" s="18">
        <v>0</v>
      </c>
      <c r="AD764" s="18">
        <v>0</v>
      </c>
      <c r="AE764" s="18">
        <v>0</v>
      </c>
      <c r="AF764" s="18">
        <v>5</v>
      </c>
      <c r="AG764" s="18">
        <v>1</v>
      </c>
      <c r="AH764" s="18">
        <v>2</v>
      </c>
      <c r="AI764" s="12">
        <v>2</v>
      </c>
      <c r="AJ764" s="12">
        <v>2</v>
      </c>
      <c r="AK764" s="12">
        <v>0</v>
      </c>
      <c r="AL764" s="12">
        <v>4</v>
      </c>
      <c r="AM764" s="18">
        <v>0</v>
      </c>
      <c r="AN764" s="18">
        <v>0</v>
      </c>
      <c r="AO764" s="18">
        <v>0</v>
      </c>
      <c r="AP764" s="18">
        <v>0.25</v>
      </c>
      <c r="AQ764" s="18">
        <v>5000</v>
      </c>
      <c r="AR764" s="18">
        <v>0.5</v>
      </c>
      <c r="AS764" s="18">
        <v>10</v>
      </c>
      <c r="AT764" s="12">
        <v>0</v>
      </c>
      <c r="AU764" s="18">
        <v>92002001</v>
      </c>
      <c r="AV764" s="18"/>
      <c r="AW764" s="19" t="s">
        <v>199</v>
      </c>
      <c r="AX764" s="18" t="s">
        <v>545</v>
      </c>
      <c r="AY764" s="18">
        <v>10003002</v>
      </c>
      <c r="AZ764" s="18">
        <v>21101030</v>
      </c>
      <c r="BA764" s="19" t="s">
        <v>586</v>
      </c>
      <c r="BB764" s="19">
        <v>0</v>
      </c>
      <c r="BC764" s="27">
        <v>0</v>
      </c>
      <c r="BD764" s="27">
        <v>0</v>
      </c>
      <c r="BE764" s="183" t="str">
        <f t="shared" ref="BE764" si="64">"立即对指定前方区域释放冲击波,冲击波对触碰的怪物造成"&amp;X764*100&amp;"%攻击伤害+"&amp;Z764&amp;"点固定伤害"</f>
        <v>立即对指定前方区域释放冲击波,冲击波对触碰的怪物造成250%攻击伤害+1500点固定伤害</v>
      </c>
      <c r="BF764" s="183" t="s">
        <v>1783</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row>
    <row r="765" spans="3:75" ht="19.5" customHeight="1">
      <c r="C765" s="16">
        <v>62021513</v>
      </c>
      <c r="D765" s="19" t="s">
        <v>1784</v>
      </c>
      <c r="E765" s="19" t="s">
        <v>1785</v>
      </c>
      <c r="F765" s="16">
        <v>1</v>
      </c>
      <c r="G765" s="18">
        <v>62011101</v>
      </c>
      <c r="H765" s="16">
        <v>0</v>
      </c>
      <c r="I765" s="27">
        <v>0</v>
      </c>
      <c r="J765" s="16">
        <v>1</v>
      </c>
      <c r="K765" s="16">
        <v>0</v>
      </c>
      <c r="L765" s="16">
        <v>0</v>
      </c>
      <c r="M765" s="18">
        <v>0</v>
      </c>
      <c r="N765" s="18">
        <v>0</v>
      </c>
      <c r="O765" s="18">
        <v>2</v>
      </c>
      <c r="P765" s="18">
        <v>10</v>
      </c>
      <c r="Q765" s="18">
        <v>0.8</v>
      </c>
      <c r="R765" s="18">
        <v>0</v>
      </c>
      <c r="S765" s="12">
        <v>0</v>
      </c>
      <c r="T765" s="27">
        <v>0</v>
      </c>
      <c r="U765" s="16">
        <v>1</v>
      </c>
      <c r="V765" s="18">
        <v>2</v>
      </c>
      <c r="W765" s="18">
        <v>0</v>
      </c>
      <c r="X765" s="18">
        <v>2.5</v>
      </c>
      <c r="Y765" s="12">
        <v>0</v>
      </c>
      <c r="Z765" s="18">
        <v>2000</v>
      </c>
      <c r="AA765" s="18">
        <v>0</v>
      </c>
      <c r="AB765" s="18">
        <v>0</v>
      </c>
      <c r="AC765" s="18">
        <v>0</v>
      </c>
      <c r="AD765" s="18">
        <v>0</v>
      </c>
      <c r="AE765" s="18">
        <v>0</v>
      </c>
      <c r="AF765" s="18">
        <v>8</v>
      </c>
      <c r="AG765" s="18">
        <v>1</v>
      </c>
      <c r="AH765" s="18">
        <v>3</v>
      </c>
      <c r="AI765" s="12">
        <v>2</v>
      </c>
      <c r="AJ765" s="12">
        <v>1</v>
      </c>
      <c r="AK765" s="12">
        <v>0</v>
      </c>
      <c r="AL765" s="12">
        <v>6</v>
      </c>
      <c r="AM765" s="18">
        <v>0</v>
      </c>
      <c r="AN765" s="18">
        <v>0</v>
      </c>
      <c r="AO765" s="18">
        <v>0</v>
      </c>
      <c r="AP765" s="18">
        <v>0.25</v>
      </c>
      <c r="AQ765" s="18">
        <v>3000</v>
      </c>
      <c r="AR765" s="18">
        <v>0.5</v>
      </c>
      <c r="AS765" s="18">
        <v>0</v>
      </c>
      <c r="AT765" s="12">
        <v>0</v>
      </c>
      <c r="AU765" s="18">
        <v>0</v>
      </c>
      <c r="AV765" s="18"/>
      <c r="AW765" s="19" t="s">
        <v>199</v>
      </c>
      <c r="AX765" s="18" t="s">
        <v>1695</v>
      </c>
      <c r="AY765" s="18">
        <v>10000006</v>
      </c>
      <c r="AZ765" s="18">
        <v>21100010</v>
      </c>
      <c r="BA765" s="19" t="s">
        <v>200</v>
      </c>
      <c r="BB765" s="19">
        <v>0</v>
      </c>
      <c r="BC765" s="27">
        <v>0</v>
      </c>
      <c r="BD765" s="27">
        <v>0</v>
      </c>
      <c r="BE765" s="183" t="str">
        <f t="shared" ref="BE765" si="65">"立即对目标范围内的怪物造成"&amp;X765*100&amp;"%攻击伤害+"&amp;Z765&amp;"点固定伤害"</f>
        <v>立即对目标范围内的怪物造成250%攻击伤害+2000点固定伤害</v>
      </c>
      <c r="BF765" s="183" t="s">
        <v>1786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row>
    <row r="766" spans="3:75" ht="20.100000000000001" customHeight="1">
      <c r="C766" s="16">
        <v>62021514</v>
      </c>
      <c r="D766" s="17" t="s">
        <v>1787</v>
      </c>
      <c r="E766" s="17" t="s">
        <v>1788</v>
      </c>
      <c r="F766" s="16">
        <v>1</v>
      </c>
      <c r="G766" s="16">
        <v>60010500</v>
      </c>
      <c r="H766" s="18">
        <v>0</v>
      </c>
      <c r="I766" s="27">
        <v>0</v>
      </c>
      <c r="J766" s="18">
        <v>1</v>
      </c>
      <c r="K766" s="18">
        <v>0</v>
      </c>
      <c r="L766" s="18">
        <v>0</v>
      </c>
      <c r="M766" s="16">
        <v>0</v>
      </c>
      <c r="N766" s="16">
        <v>0</v>
      </c>
      <c r="O766" s="16">
        <v>5</v>
      </c>
      <c r="P766" s="16">
        <v>0</v>
      </c>
      <c r="Q766" s="16">
        <v>0</v>
      </c>
      <c r="R766" s="16">
        <v>0</v>
      </c>
      <c r="S766" s="12">
        <v>0</v>
      </c>
      <c r="T766" s="16">
        <v>0</v>
      </c>
      <c r="U766" s="16">
        <v>1</v>
      </c>
      <c r="V766" s="16">
        <v>2</v>
      </c>
      <c r="W766" s="16">
        <v>0</v>
      </c>
      <c r="X766" s="16">
        <v>0</v>
      </c>
      <c r="Y766" s="12">
        <v>0</v>
      </c>
      <c r="Z766" s="16">
        <v>0</v>
      </c>
      <c r="AA766" s="16">
        <v>0</v>
      </c>
      <c r="AB766" s="16">
        <v>0</v>
      </c>
      <c r="AC766" s="16">
        <v>0</v>
      </c>
      <c r="AD766" s="16">
        <v>0</v>
      </c>
      <c r="AE766" s="16">
        <v>0</v>
      </c>
      <c r="AF766" s="16">
        <v>9</v>
      </c>
      <c r="AG766" s="16">
        <v>2</v>
      </c>
      <c r="AH766" s="16" t="s">
        <v>213</v>
      </c>
      <c r="AI766" s="12">
        <v>2</v>
      </c>
      <c r="AJ766" s="12">
        <v>2</v>
      </c>
      <c r="AK766" s="12">
        <v>0</v>
      </c>
      <c r="AL766" s="12">
        <v>1.5</v>
      </c>
      <c r="AM766" s="16">
        <v>0</v>
      </c>
      <c r="AN766" s="16">
        <v>0</v>
      </c>
      <c r="AO766" s="16">
        <v>0</v>
      </c>
      <c r="AP766" s="16">
        <v>0</v>
      </c>
      <c r="AQ766" s="16">
        <v>3000</v>
      </c>
      <c r="AR766" s="16">
        <v>0</v>
      </c>
      <c r="AS766" s="16">
        <v>0</v>
      </c>
      <c r="AT766" s="12">
        <v>0</v>
      </c>
      <c r="AU766" s="16" t="s">
        <v>198</v>
      </c>
      <c r="AV766" s="16"/>
      <c r="AW766" s="17" t="s">
        <v>199</v>
      </c>
      <c r="AX766" s="16">
        <v>0</v>
      </c>
      <c r="AY766" s="18">
        <v>0</v>
      </c>
      <c r="AZ766" s="18">
        <v>0</v>
      </c>
      <c r="BA766" s="17" t="s">
        <v>200</v>
      </c>
      <c r="BB766" s="16" t="s">
        <v>1789</v>
      </c>
      <c r="BC766" s="27">
        <v>0</v>
      </c>
      <c r="BD766" s="27">
        <v>0</v>
      </c>
      <c r="BE766" s="44" t="s">
        <v>1790</v>
      </c>
      <c r="BF766" s="44" t="s">
        <v>1791</v>
      </c>
      <c r="BG766" s="16">
        <v>0</v>
      </c>
      <c r="BH766" s="16">
        <v>0</v>
      </c>
      <c r="BI766" s="16">
        <v>0</v>
      </c>
      <c r="BJ766" s="16">
        <v>0</v>
      </c>
      <c r="BK766" s="16">
        <v>0</v>
      </c>
      <c r="BL766" s="18">
        <v>0</v>
      </c>
      <c r="BM766" s="16">
        <v>0</v>
      </c>
      <c r="BN766" s="12">
        <v>0</v>
      </c>
      <c r="BO766" s="12">
        <v>0</v>
      </c>
      <c r="BP766" s="12">
        <v>0</v>
      </c>
      <c r="BQ766" s="12">
        <v>0</v>
      </c>
      <c r="BR766" s="12">
        <v>0</v>
      </c>
      <c r="BS766" s="12">
        <v>0</v>
      </c>
      <c r="BT766" s="12">
        <v>0</v>
      </c>
      <c r="BU766" s="47">
        <v>0</v>
      </c>
      <c r="BV766" s="47"/>
      <c r="BW766" s="47"/>
    </row>
    <row r="767" spans="3:75" ht="20.100000000000001" customHeight="1">
      <c r="C767" s="16">
        <v>62021515</v>
      </c>
      <c r="D767" s="17" t="s">
        <v>1787</v>
      </c>
      <c r="E767" s="17" t="s">
        <v>1788</v>
      </c>
      <c r="F767" s="16">
        <v>1</v>
      </c>
      <c r="G767" s="16">
        <v>60011301</v>
      </c>
      <c r="H767" s="18">
        <v>0</v>
      </c>
      <c r="I767" s="27">
        <v>0</v>
      </c>
      <c r="J767" s="18">
        <v>1</v>
      </c>
      <c r="K767" s="18">
        <v>0</v>
      </c>
      <c r="L767" s="18">
        <v>0</v>
      </c>
      <c r="M767" s="16">
        <v>0</v>
      </c>
      <c r="N767" s="16">
        <v>0</v>
      </c>
      <c r="O767" s="16">
        <v>5</v>
      </c>
      <c r="P767" s="16">
        <v>0</v>
      </c>
      <c r="Q767" s="16">
        <v>0</v>
      </c>
      <c r="R767" s="16">
        <v>0</v>
      </c>
      <c r="S767" s="12">
        <v>0</v>
      </c>
      <c r="T767" s="16">
        <v>0</v>
      </c>
      <c r="U767" s="16">
        <v>1</v>
      </c>
      <c r="V767" s="16">
        <v>2</v>
      </c>
      <c r="W767" s="16">
        <v>0</v>
      </c>
      <c r="X767" s="16">
        <v>0</v>
      </c>
      <c r="Y767" s="12">
        <v>0</v>
      </c>
      <c r="Z767" s="16">
        <v>0</v>
      </c>
      <c r="AA767" s="16">
        <v>0</v>
      </c>
      <c r="AB767" s="16">
        <v>0</v>
      </c>
      <c r="AC767" s="16">
        <v>0</v>
      </c>
      <c r="AD767" s="16">
        <v>0</v>
      </c>
      <c r="AE767" s="16">
        <v>0</v>
      </c>
      <c r="AF767" s="16">
        <v>9</v>
      </c>
      <c r="AG767" s="16">
        <v>2</v>
      </c>
      <c r="AH767" s="16" t="s">
        <v>213</v>
      </c>
      <c r="AI767" s="12">
        <v>2</v>
      </c>
      <c r="AJ767" s="12">
        <v>2</v>
      </c>
      <c r="AK767" s="12">
        <v>0</v>
      </c>
      <c r="AL767" s="12">
        <v>1.5</v>
      </c>
      <c r="AM767" s="16">
        <v>0</v>
      </c>
      <c r="AN767" s="16">
        <v>0</v>
      </c>
      <c r="AO767" s="16">
        <v>0</v>
      </c>
      <c r="AP767" s="16">
        <v>0</v>
      </c>
      <c r="AQ767" s="16">
        <v>3000</v>
      </c>
      <c r="AR767" s="16">
        <v>0</v>
      </c>
      <c r="AS767" s="16">
        <v>0</v>
      </c>
      <c r="AT767" s="12">
        <v>0</v>
      </c>
      <c r="AU767" s="16" t="s">
        <v>198</v>
      </c>
      <c r="AV767" s="16"/>
      <c r="AW767" s="17" t="s">
        <v>199</v>
      </c>
      <c r="AX767" s="16">
        <v>0</v>
      </c>
      <c r="AY767" s="18">
        <v>0</v>
      </c>
      <c r="AZ767" s="18">
        <v>0</v>
      </c>
      <c r="BA767" s="17" t="s">
        <v>200</v>
      </c>
      <c r="BB767" s="16" t="s">
        <v>1792</v>
      </c>
      <c r="BC767" s="27">
        <v>0</v>
      </c>
      <c r="BD767" s="27">
        <v>0</v>
      </c>
      <c r="BE767" s="44" t="s">
        <v>1793</v>
      </c>
      <c r="BF767" s="44" t="s">
        <v>1794</v>
      </c>
      <c r="BG767" s="16">
        <v>0</v>
      </c>
      <c r="BH767" s="16">
        <v>0</v>
      </c>
      <c r="BI767" s="16">
        <v>0</v>
      </c>
      <c r="BJ767" s="16">
        <v>0</v>
      </c>
      <c r="BK767" s="16">
        <v>0</v>
      </c>
      <c r="BL767" s="18">
        <v>0</v>
      </c>
      <c r="BM767" s="16">
        <v>0</v>
      </c>
      <c r="BN767" s="12">
        <v>0</v>
      </c>
      <c r="BO767" s="12">
        <v>0</v>
      </c>
      <c r="BP767" s="12">
        <v>0</v>
      </c>
      <c r="BQ767" s="12">
        <v>0</v>
      </c>
      <c r="BR767" s="12">
        <v>0</v>
      </c>
      <c r="BS767" s="12">
        <v>0</v>
      </c>
      <c r="BT767" s="12">
        <v>0</v>
      </c>
      <c r="BU767" s="47">
        <v>0</v>
      </c>
      <c r="BV767" s="47"/>
      <c r="BW767" s="47"/>
    </row>
    <row r="768" spans="3:75" ht="20.100000000000001" customHeight="1">
      <c r="C768" s="18">
        <v>62022101</v>
      </c>
      <c r="D768" s="13" t="s">
        <v>1795</v>
      </c>
      <c r="E768" s="13" t="s">
        <v>1796</v>
      </c>
      <c r="F768" s="16">
        <v>0</v>
      </c>
      <c r="G768" s="18">
        <v>62022101</v>
      </c>
      <c r="H768" s="18">
        <v>62022102</v>
      </c>
      <c r="I768" s="12">
        <v>0</v>
      </c>
      <c r="J768" s="16">
        <v>18</v>
      </c>
      <c r="K768" s="16">
        <v>5</v>
      </c>
      <c r="L768" s="16">
        <v>0</v>
      </c>
      <c r="M768" s="12">
        <v>0</v>
      </c>
      <c r="N768" s="12">
        <v>0</v>
      </c>
      <c r="O768" s="12">
        <v>1</v>
      </c>
      <c r="P768" s="12">
        <v>0</v>
      </c>
      <c r="Q768" s="12">
        <v>0</v>
      </c>
      <c r="R768" s="12">
        <v>0</v>
      </c>
      <c r="S768" s="12">
        <v>0</v>
      </c>
      <c r="T768" s="12">
        <v>0</v>
      </c>
      <c r="U768" s="16">
        <v>1</v>
      </c>
      <c r="V768" s="12">
        <v>2</v>
      </c>
      <c r="W768" s="12">
        <v>0</v>
      </c>
      <c r="X768" s="18">
        <v>2.5</v>
      </c>
      <c r="Y768" s="12">
        <v>0</v>
      </c>
      <c r="Z768" s="18">
        <v>750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1" t="s">
        <v>1797</v>
      </c>
      <c r="AV768" s="12"/>
      <c r="AW768" s="13" t="s">
        <v>256</v>
      </c>
      <c r="AX768" s="12" t="s">
        <v>1695</v>
      </c>
      <c r="AY768" s="12">
        <v>21102010</v>
      </c>
      <c r="AZ768" s="12">
        <v>0</v>
      </c>
      <c r="BA768" s="13" t="s">
        <v>200</v>
      </c>
      <c r="BB768" s="12">
        <v>0</v>
      </c>
      <c r="BC768" s="27">
        <v>0</v>
      </c>
      <c r="BD768" s="27">
        <v>0</v>
      </c>
      <c r="BE768" s="183" t="str">
        <f>"立即对当前目标怪物造成"&amp;X768*100&amp;"%攻击伤害+"&amp;Z768&amp;"点固定伤害,并使目标眩晕1.5秒和双防降低50%,持续6秒"</f>
        <v>立即对当前目标怪物造成250%攻击伤害+750点固定伤害,并使目标眩晕1.5秒和双防降低50%,持续6秒</v>
      </c>
      <c r="BF768" s="183" t="s">
        <v>1798</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62022102</v>
      </c>
      <c r="D769" s="13" t="s">
        <v>1795</v>
      </c>
      <c r="E769" s="13" t="s">
        <v>1796</v>
      </c>
      <c r="F769" s="16">
        <v>1</v>
      </c>
      <c r="G769" s="18">
        <v>62022101</v>
      </c>
      <c r="H769" s="18">
        <v>62022103</v>
      </c>
      <c r="I769" s="12">
        <v>0</v>
      </c>
      <c r="J769" s="16">
        <v>27</v>
      </c>
      <c r="K769" s="16">
        <v>2</v>
      </c>
      <c r="L769" s="16">
        <v>0</v>
      </c>
      <c r="M769" s="12">
        <v>0</v>
      </c>
      <c r="N769" s="12">
        <v>0</v>
      </c>
      <c r="O769" s="12">
        <v>1</v>
      </c>
      <c r="P769" s="12">
        <v>0</v>
      </c>
      <c r="Q769" s="12">
        <v>0</v>
      </c>
      <c r="R769" s="12">
        <v>0</v>
      </c>
      <c r="S769" s="12">
        <v>0</v>
      </c>
      <c r="T769" s="12">
        <v>0</v>
      </c>
      <c r="U769" s="16">
        <v>1</v>
      </c>
      <c r="V769" s="12">
        <v>2</v>
      </c>
      <c r="W769" s="12">
        <v>0</v>
      </c>
      <c r="X769" s="18">
        <v>2.5</v>
      </c>
      <c r="Y769" s="12">
        <v>0</v>
      </c>
      <c r="Z769" s="18">
        <v>750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1" t="s">
        <v>1797</v>
      </c>
      <c r="AV769" s="12"/>
      <c r="AW769" s="13" t="s">
        <v>256</v>
      </c>
      <c r="AX769" s="12" t="s">
        <v>1695</v>
      </c>
      <c r="AY769" s="12">
        <v>21102010</v>
      </c>
      <c r="AZ769" s="12">
        <v>0</v>
      </c>
      <c r="BA769" s="13" t="s">
        <v>200</v>
      </c>
      <c r="BB769" s="12">
        <v>0</v>
      </c>
      <c r="BC769" s="27">
        <v>0</v>
      </c>
      <c r="BD769" s="27">
        <v>0</v>
      </c>
      <c r="BE769" s="183" t="str">
        <f t="shared" ref="BE769:BE773" si="66">"立即对当前目标怪物造成"&amp;X769*100&amp;"%攻击伤害+"&amp;Z769&amp;"点固定伤害,并使目标眩晕1.5秒和双防降低50%,持续6秒"</f>
        <v>立即对当前目标怪物造成250%攻击伤害+750点固定伤害,并使目标眩晕1.5秒和双防降低50%,持续6秒</v>
      </c>
      <c r="BF769" s="183" t="s">
        <v>1798</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62022103</v>
      </c>
      <c r="D770" s="13" t="s">
        <v>1795</v>
      </c>
      <c r="E770" s="13" t="s">
        <v>1796</v>
      </c>
      <c r="F770" s="16">
        <v>2</v>
      </c>
      <c r="G770" s="18">
        <v>62022101</v>
      </c>
      <c r="H770" s="18">
        <v>62022104</v>
      </c>
      <c r="I770" s="12">
        <v>0</v>
      </c>
      <c r="J770" s="16">
        <v>32</v>
      </c>
      <c r="K770" s="16">
        <v>2</v>
      </c>
      <c r="L770" s="16">
        <v>0</v>
      </c>
      <c r="M770" s="12">
        <v>0</v>
      </c>
      <c r="N770" s="12">
        <v>0</v>
      </c>
      <c r="O770" s="12">
        <v>1</v>
      </c>
      <c r="P770" s="12">
        <v>0</v>
      </c>
      <c r="Q770" s="12">
        <v>0</v>
      </c>
      <c r="R770" s="12">
        <v>0</v>
      </c>
      <c r="S770" s="12">
        <v>0</v>
      </c>
      <c r="T770" s="12">
        <v>0</v>
      </c>
      <c r="U770" s="16">
        <v>1</v>
      </c>
      <c r="V770" s="12">
        <v>2</v>
      </c>
      <c r="W770" s="12">
        <v>0</v>
      </c>
      <c r="X770" s="18">
        <v>2.75</v>
      </c>
      <c r="Y770" s="12">
        <v>0</v>
      </c>
      <c r="Z770" s="18">
        <v>1500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1" t="s">
        <v>1797</v>
      </c>
      <c r="AV770" s="12"/>
      <c r="AW770" s="13" t="s">
        <v>256</v>
      </c>
      <c r="AX770" s="12" t="s">
        <v>1695</v>
      </c>
      <c r="AY770" s="12">
        <v>21102010</v>
      </c>
      <c r="AZ770" s="12">
        <v>0</v>
      </c>
      <c r="BA770" s="13" t="s">
        <v>200</v>
      </c>
      <c r="BB770" s="12">
        <v>0</v>
      </c>
      <c r="BC770" s="27">
        <v>0</v>
      </c>
      <c r="BD770" s="27">
        <v>0</v>
      </c>
      <c r="BE770" s="183" t="str">
        <f t="shared" si="66"/>
        <v>立即对当前目标怪物造成275%攻击伤害+1500点固定伤害,并使目标眩晕1.5秒和双防降低50%,持续6秒</v>
      </c>
      <c r="BF770" s="183" t="s">
        <v>1799</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62022104</v>
      </c>
      <c r="D771" s="13" t="s">
        <v>1795</v>
      </c>
      <c r="E771" s="13" t="s">
        <v>1796</v>
      </c>
      <c r="F771" s="16">
        <v>3</v>
      </c>
      <c r="G771" s="18">
        <v>62022101</v>
      </c>
      <c r="H771" s="12">
        <v>0</v>
      </c>
      <c r="I771" s="12">
        <v>0</v>
      </c>
      <c r="J771" s="16">
        <v>0</v>
      </c>
      <c r="K771" s="179">
        <v>0</v>
      </c>
      <c r="L771" s="16">
        <v>0</v>
      </c>
      <c r="M771" s="12">
        <v>0</v>
      </c>
      <c r="N771" s="12">
        <v>0</v>
      </c>
      <c r="O771" s="12">
        <v>1</v>
      </c>
      <c r="P771" s="12">
        <v>0</v>
      </c>
      <c r="Q771" s="12">
        <v>0</v>
      </c>
      <c r="R771" s="12">
        <v>0</v>
      </c>
      <c r="S771" s="12">
        <v>0</v>
      </c>
      <c r="T771" s="12">
        <v>0</v>
      </c>
      <c r="U771" s="16">
        <v>1</v>
      </c>
      <c r="V771" s="12">
        <v>2</v>
      </c>
      <c r="W771" s="12">
        <v>0</v>
      </c>
      <c r="X771" s="18">
        <v>3</v>
      </c>
      <c r="Y771" s="12">
        <v>0</v>
      </c>
      <c r="Z771" s="18">
        <v>2250</v>
      </c>
      <c r="AA771" s="12">
        <v>0</v>
      </c>
      <c r="AB771" s="12">
        <v>0</v>
      </c>
      <c r="AC771" s="12">
        <v>0</v>
      </c>
      <c r="AD771" s="12">
        <v>0</v>
      </c>
      <c r="AE771" s="12">
        <v>0</v>
      </c>
      <c r="AF771" s="12">
        <v>10</v>
      </c>
      <c r="AG771" s="12">
        <v>0</v>
      </c>
      <c r="AH771" s="12">
        <v>0</v>
      </c>
      <c r="AI771" s="12">
        <v>7</v>
      </c>
      <c r="AJ771" s="12">
        <v>0</v>
      </c>
      <c r="AK771" s="12">
        <v>0</v>
      </c>
      <c r="AL771" s="12">
        <v>9</v>
      </c>
      <c r="AM771" s="12">
        <v>0</v>
      </c>
      <c r="AN771" s="12">
        <v>0</v>
      </c>
      <c r="AO771" s="12">
        <v>0</v>
      </c>
      <c r="AP771" s="12">
        <v>0.25</v>
      </c>
      <c r="AQ771" s="12">
        <v>1000</v>
      </c>
      <c r="AR771" s="12">
        <v>0</v>
      </c>
      <c r="AS771" s="12">
        <v>0</v>
      </c>
      <c r="AT771" s="12">
        <v>0</v>
      </c>
      <c r="AU771" s="341" t="s">
        <v>1797</v>
      </c>
      <c r="AV771" s="12"/>
      <c r="AW771" s="13" t="s">
        <v>256</v>
      </c>
      <c r="AX771" s="12" t="s">
        <v>1695</v>
      </c>
      <c r="AY771" s="12">
        <v>21102010</v>
      </c>
      <c r="AZ771" s="12">
        <v>0</v>
      </c>
      <c r="BA771" s="13" t="s">
        <v>200</v>
      </c>
      <c r="BB771" s="12">
        <v>0</v>
      </c>
      <c r="BC771" s="27">
        <v>0</v>
      </c>
      <c r="BD771" s="27">
        <v>0</v>
      </c>
      <c r="BE771" s="183" t="str">
        <f t="shared" si="66"/>
        <v>立即对当前目标怪物造成300%攻击伤害+2250点固定伤害,并使目标眩晕1.5秒和双防降低50%,持续6秒</v>
      </c>
      <c r="BF771" s="183" t="s">
        <v>1800</v>
      </c>
      <c r="BG771" s="12">
        <v>0</v>
      </c>
      <c r="BH771" s="16">
        <v>0</v>
      </c>
      <c r="BI771" s="12">
        <v>0</v>
      </c>
      <c r="BJ771" s="12">
        <v>0</v>
      </c>
      <c r="BK771" s="12">
        <v>0</v>
      </c>
      <c r="BL771" s="12">
        <v>0</v>
      </c>
      <c r="BM771" s="15">
        <v>0</v>
      </c>
      <c r="BN771" s="12">
        <v>0</v>
      </c>
      <c r="BO771" s="12">
        <v>0</v>
      </c>
      <c r="BP771" s="12">
        <v>0</v>
      </c>
      <c r="BQ771" s="12">
        <v>0</v>
      </c>
      <c r="BR771" s="12">
        <v>0</v>
      </c>
      <c r="BS771" s="12">
        <v>0</v>
      </c>
      <c r="BT771" s="12">
        <v>0</v>
      </c>
      <c r="BU771" s="47">
        <v>0</v>
      </c>
      <c r="BV771" s="47"/>
      <c r="BW771" s="47"/>
    </row>
    <row r="772" spans="3:75" ht="20.100000000000001" customHeight="1">
      <c r="C772" s="18">
        <v>62022105</v>
      </c>
      <c r="D772" s="13" t="s">
        <v>1795</v>
      </c>
      <c r="E772" s="13" t="s">
        <v>1796</v>
      </c>
      <c r="F772" s="16">
        <v>4</v>
      </c>
      <c r="G772" s="18">
        <v>62022101</v>
      </c>
      <c r="H772" s="12">
        <v>0</v>
      </c>
      <c r="I772" s="12">
        <v>0</v>
      </c>
      <c r="J772" s="16">
        <v>0</v>
      </c>
      <c r="K772" s="16">
        <v>0</v>
      </c>
      <c r="L772" s="16">
        <v>0</v>
      </c>
      <c r="M772" s="12">
        <v>0</v>
      </c>
      <c r="N772" s="12">
        <v>0</v>
      </c>
      <c r="O772" s="12">
        <v>1</v>
      </c>
      <c r="P772" s="12">
        <v>0</v>
      </c>
      <c r="Q772" s="12">
        <v>0</v>
      </c>
      <c r="R772" s="12">
        <v>0</v>
      </c>
      <c r="S772" s="12">
        <v>0</v>
      </c>
      <c r="T772" s="12">
        <v>0</v>
      </c>
      <c r="U772" s="16">
        <v>1</v>
      </c>
      <c r="V772" s="12">
        <v>2</v>
      </c>
      <c r="W772" s="12">
        <v>0</v>
      </c>
      <c r="X772" s="18">
        <v>3.25</v>
      </c>
      <c r="Y772" s="12">
        <v>0</v>
      </c>
      <c r="Z772" s="18">
        <v>3250</v>
      </c>
      <c r="AA772" s="12">
        <v>0</v>
      </c>
      <c r="AB772" s="12">
        <v>0</v>
      </c>
      <c r="AC772" s="12">
        <v>0</v>
      </c>
      <c r="AD772" s="12">
        <v>0</v>
      </c>
      <c r="AE772" s="12">
        <v>0</v>
      </c>
      <c r="AF772" s="12">
        <v>10</v>
      </c>
      <c r="AG772" s="12">
        <v>0</v>
      </c>
      <c r="AH772" s="12">
        <v>0</v>
      </c>
      <c r="AI772" s="12">
        <v>7</v>
      </c>
      <c r="AJ772" s="12">
        <v>0</v>
      </c>
      <c r="AK772" s="12">
        <v>0</v>
      </c>
      <c r="AL772" s="12">
        <v>9</v>
      </c>
      <c r="AM772" s="12">
        <v>0</v>
      </c>
      <c r="AN772" s="12">
        <v>0</v>
      </c>
      <c r="AO772" s="12">
        <v>0</v>
      </c>
      <c r="AP772" s="12">
        <v>0.25</v>
      </c>
      <c r="AQ772" s="12">
        <v>1000</v>
      </c>
      <c r="AR772" s="12">
        <v>0</v>
      </c>
      <c r="AS772" s="12">
        <v>0</v>
      </c>
      <c r="AT772" s="12">
        <v>0</v>
      </c>
      <c r="AU772" s="341" t="s">
        <v>1797</v>
      </c>
      <c r="AV772" s="12"/>
      <c r="AW772" s="13" t="s">
        <v>256</v>
      </c>
      <c r="AX772" s="12" t="s">
        <v>1695</v>
      </c>
      <c r="AY772" s="12">
        <v>21102010</v>
      </c>
      <c r="AZ772" s="12">
        <v>0</v>
      </c>
      <c r="BA772" s="13" t="s">
        <v>200</v>
      </c>
      <c r="BB772" s="12">
        <v>0</v>
      </c>
      <c r="BC772" s="27">
        <v>0</v>
      </c>
      <c r="BD772" s="27">
        <v>0</v>
      </c>
      <c r="BE772" s="183" t="str">
        <f t="shared" si="66"/>
        <v>立即对当前目标怪物造成325%攻击伤害+3250点固定伤害,并使目标眩晕1.5秒和双防降低50%,持续6秒</v>
      </c>
      <c r="BF772" s="183" t="s">
        <v>1801</v>
      </c>
      <c r="BG772" s="12">
        <v>0</v>
      </c>
      <c r="BH772" s="16">
        <v>0</v>
      </c>
      <c r="BI772" s="12">
        <v>0</v>
      </c>
      <c r="BJ772" s="12">
        <v>0</v>
      </c>
      <c r="BK772" s="12">
        <v>0</v>
      </c>
      <c r="BL772" s="12">
        <v>0</v>
      </c>
      <c r="BM772" s="15">
        <v>0</v>
      </c>
      <c r="BN772" s="12">
        <v>0</v>
      </c>
      <c r="BO772" s="12">
        <v>0</v>
      </c>
      <c r="BP772" s="12">
        <v>0</v>
      </c>
      <c r="BQ772" s="12">
        <v>0</v>
      </c>
      <c r="BR772" s="12">
        <v>0</v>
      </c>
      <c r="BS772" s="12">
        <v>0</v>
      </c>
      <c r="BT772" s="12">
        <v>0</v>
      </c>
      <c r="BU772" s="47">
        <v>0</v>
      </c>
      <c r="BV772" s="47"/>
      <c r="BW772" s="47"/>
    </row>
    <row r="773" spans="3:75" ht="20.100000000000001" customHeight="1">
      <c r="C773" s="18">
        <v>62022106</v>
      </c>
      <c r="D773" s="13" t="s">
        <v>1795</v>
      </c>
      <c r="E773" s="13" t="s">
        <v>1796</v>
      </c>
      <c r="F773" s="16">
        <v>5</v>
      </c>
      <c r="G773" s="18">
        <v>62022101</v>
      </c>
      <c r="H773" s="12">
        <v>0</v>
      </c>
      <c r="I773" s="12">
        <v>0</v>
      </c>
      <c r="J773" s="16">
        <v>0</v>
      </c>
      <c r="K773" s="16">
        <v>0</v>
      </c>
      <c r="L773" s="16">
        <v>0</v>
      </c>
      <c r="M773" s="12">
        <v>0</v>
      </c>
      <c r="N773" s="12">
        <v>0</v>
      </c>
      <c r="O773" s="12">
        <v>1</v>
      </c>
      <c r="P773" s="12">
        <v>0</v>
      </c>
      <c r="Q773" s="12">
        <v>0</v>
      </c>
      <c r="R773" s="12">
        <v>0</v>
      </c>
      <c r="S773" s="12">
        <v>0</v>
      </c>
      <c r="T773" s="12">
        <v>0</v>
      </c>
      <c r="U773" s="16">
        <v>1</v>
      </c>
      <c r="V773" s="12">
        <v>2</v>
      </c>
      <c r="W773" s="12">
        <v>0</v>
      </c>
      <c r="X773" s="18">
        <v>3.5</v>
      </c>
      <c r="Y773" s="12">
        <v>0</v>
      </c>
      <c r="Z773" s="18">
        <v>4250</v>
      </c>
      <c r="AA773" s="12">
        <v>0</v>
      </c>
      <c r="AB773" s="12">
        <v>0</v>
      </c>
      <c r="AC773" s="12">
        <v>0</v>
      </c>
      <c r="AD773" s="12">
        <v>0</v>
      </c>
      <c r="AE773" s="12">
        <v>0</v>
      </c>
      <c r="AF773" s="12">
        <v>10</v>
      </c>
      <c r="AG773" s="12">
        <v>0</v>
      </c>
      <c r="AH773" s="12">
        <v>0</v>
      </c>
      <c r="AI773" s="12">
        <v>7</v>
      </c>
      <c r="AJ773" s="12">
        <v>0</v>
      </c>
      <c r="AK773" s="12">
        <v>0</v>
      </c>
      <c r="AL773" s="12">
        <v>9</v>
      </c>
      <c r="AM773" s="12">
        <v>0</v>
      </c>
      <c r="AN773" s="12">
        <v>0</v>
      </c>
      <c r="AO773" s="12">
        <v>0</v>
      </c>
      <c r="AP773" s="12">
        <v>0.25</v>
      </c>
      <c r="AQ773" s="12">
        <v>1000</v>
      </c>
      <c r="AR773" s="12">
        <v>0</v>
      </c>
      <c r="AS773" s="12">
        <v>0</v>
      </c>
      <c r="AT773" s="12">
        <v>0</v>
      </c>
      <c r="AU773" s="341" t="s">
        <v>1797</v>
      </c>
      <c r="AV773" s="12"/>
      <c r="AW773" s="13" t="s">
        <v>256</v>
      </c>
      <c r="AX773" s="12" t="s">
        <v>1695</v>
      </c>
      <c r="AY773" s="12">
        <v>21102010</v>
      </c>
      <c r="AZ773" s="12">
        <v>0</v>
      </c>
      <c r="BA773" s="13" t="s">
        <v>200</v>
      </c>
      <c r="BB773" s="12">
        <v>0</v>
      </c>
      <c r="BC773" s="27">
        <v>0</v>
      </c>
      <c r="BD773" s="27">
        <v>0</v>
      </c>
      <c r="BE773" s="183" t="str">
        <f t="shared" si="66"/>
        <v>立即对当前目标怪物造成350%攻击伤害+4250点固定伤害,并使目标眩晕1.5秒和双防降低50%,持续6秒</v>
      </c>
      <c r="BF773" s="183" t="s">
        <v>1802</v>
      </c>
      <c r="BG773" s="12">
        <v>0</v>
      </c>
      <c r="BH773" s="16">
        <v>0</v>
      </c>
      <c r="BI773" s="12">
        <v>0</v>
      </c>
      <c r="BJ773" s="12">
        <v>0</v>
      </c>
      <c r="BK773" s="12">
        <v>0</v>
      </c>
      <c r="BL773" s="12">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62022201</v>
      </c>
      <c r="D774" s="19" t="s">
        <v>1803</v>
      </c>
      <c r="E774" s="19" t="s">
        <v>1804</v>
      </c>
      <c r="F774" s="16">
        <v>0</v>
      </c>
      <c r="G774" s="18">
        <v>62022201</v>
      </c>
      <c r="H774" s="18">
        <f>C775</f>
        <v>62022202</v>
      </c>
      <c r="I774" s="27">
        <v>0</v>
      </c>
      <c r="J774" s="16">
        <v>25</v>
      </c>
      <c r="K774" s="16">
        <v>5</v>
      </c>
      <c r="L774" s="16">
        <v>0</v>
      </c>
      <c r="M774" s="18">
        <v>0</v>
      </c>
      <c r="N774" s="18">
        <v>0</v>
      </c>
      <c r="O774" s="18">
        <v>1</v>
      </c>
      <c r="P774" s="18">
        <v>0</v>
      </c>
      <c r="Q774" s="18">
        <v>0</v>
      </c>
      <c r="R774" s="18">
        <v>0</v>
      </c>
      <c r="S774" s="12">
        <v>0</v>
      </c>
      <c r="T774" s="27">
        <v>0</v>
      </c>
      <c r="U774" s="16">
        <v>1</v>
      </c>
      <c r="V774" s="18">
        <v>2</v>
      </c>
      <c r="W774" s="18">
        <v>0</v>
      </c>
      <c r="X774" s="18">
        <v>1.1000000000000001</v>
      </c>
      <c r="Y774" s="12">
        <v>0</v>
      </c>
      <c r="Z774" s="18">
        <v>1000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"对目标区域释放法术,在此范围内的目标每秒造成"&amp;X774*100&amp;"%攻击伤害+"&amp;Z774&amp;"点固定伤害,并将目标移动速度降低50%,持续6秒"</f>
        <v>对目标区域释放法术,在此范围内的目标每秒造成110%攻击伤害+1000点固定伤害,并将目标移动速度降低50%,持续6秒</v>
      </c>
      <c r="BF774" s="183" t="s">
        <v>1805</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62022202</v>
      </c>
      <c r="D775" s="19" t="s">
        <v>1803</v>
      </c>
      <c r="E775" s="19" t="s">
        <v>1804</v>
      </c>
      <c r="F775" s="16">
        <v>1</v>
      </c>
      <c r="G775" s="18">
        <v>62022201</v>
      </c>
      <c r="H775" s="18">
        <f t="shared" ref="H775:H776" si="67">C776</f>
        <v>62022203</v>
      </c>
      <c r="I775" s="27">
        <v>0</v>
      </c>
      <c r="J775" s="16">
        <v>32</v>
      </c>
      <c r="K775" s="16">
        <v>2</v>
      </c>
      <c r="L775" s="16">
        <v>0</v>
      </c>
      <c r="M775" s="18">
        <v>0</v>
      </c>
      <c r="N775" s="18">
        <v>0</v>
      </c>
      <c r="O775" s="18">
        <v>1</v>
      </c>
      <c r="P775" s="18">
        <v>0</v>
      </c>
      <c r="Q775" s="18">
        <v>0</v>
      </c>
      <c r="R775" s="18">
        <v>0</v>
      </c>
      <c r="S775" s="12">
        <v>0</v>
      </c>
      <c r="T775" s="27">
        <v>0</v>
      </c>
      <c r="U775" s="16">
        <v>1</v>
      </c>
      <c r="V775" s="18">
        <v>2</v>
      </c>
      <c r="W775" s="18">
        <v>0</v>
      </c>
      <c r="X775" s="18">
        <v>1.1000000000000001</v>
      </c>
      <c r="Y775" s="12">
        <v>0</v>
      </c>
      <c r="Z775" s="18">
        <v>1000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ref="BE775:BE779" si="68">"对目标区域释放法术,在此范围内的目标每秒造成"&amp;X775*100&amp;"%攻击伤害+"&amp;Z775&amp;"点固定伤害,并将目标移动速度降低50%,持续6秒"</f>
        <v>对目标区域释放法术,在此范围内的目标每秒造成110%攻击伤害+1000点固定伤害,并将目标移动速度降低50%,持续6秒</v>
      </c>
      <c r="BF775" s="183" t="s">
        <v>1805</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62022203</v>
      </c>
      <c r="D776" s="19" t="s">
        <v>1803</v>
      </c>
      <c r="E776" s="19" t="s">
        <v>1804</v>
      </c>
      <c r="F776" s="16">
        <v>2</v>
      </c>
      <c r="G776" s="18">
        <v>62022201</v>
      </c>
      <c r="H776" s="18">
        <f t="shared" si="67"/>
        <v>62022204</v>
      </c>
      <c r="I776" s="27">
        <v>0</v>
      </c>
      <c r="J776" s="16">
        <v>37</v>
      </c>
      <c r="K776" s="16">
        <v>2</v>
      </c>
      <c r="L776" s="16">
        <v>0</v>
      </c>
      <c r="M776" s="18">
        <v>0</v>
      </c>
      <c r="N776" s="18">
        <v>0</v>
      </c>
      <c r="O776" s="18">
        <v>1</v>
      </c>
      <c r="P776" s="18">
        <v>0</v>
      </c>
      <c r="Q776" s="18">
        <v>0</v>
      </c>
      <c r="R776" s="18">
        <v>0</v>
      </c>
      <c r="S776" s="12">
        <v>0</v>
      </c>
      <c r="T776" s="27">
        <v>0</v>
      </c>
      <c r="U776" s="16">
        <v>1</v>
      </c>
      <c r="V776" s="18">
        <v>2</v>
      </c>
      <c r="W776" s="18">
        <v>0</v>
      </c>
      <c r="X776" s="18">
        <v>1.2</v>
      </c>
      <c r="Y776" s="12">
        <v>0</v>
      </c>
      <c r="Z776" s="18">
        <v>1500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对目标区域释放法术,在此范围内的目标每秒造成120%攻击伤害+1500点固定伤害,并将目标移动速度降低50%,持续6秒</v>
      </c>
      <c r="BF776" s="183" t="s">
        <v>1806</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62022204</v>
      </c>
      <c r="D777" s="19" t="s">
        <v>1803</v>
      </c>
      <c r="E777" s="19" t="s">
        <v>1804</v>
      </c>
      <c r="F777" s="16">
        <v>3</v>
      </c>
      <c r="G777" s="18">
        <v>62022201</v>
      </c>
      <c r="H777" s="16">
        <v>0</v>
      </c>
      <c r="I777" s="27">
        <v>0</v>
      </c>
      <c r="J777" s="16">
        <v>0</v>
      </c>
      <c r="K777" s="16">
        <v>0</v>
      </c>
      <c r="L777" s="16">
        <v>0</v>
      </c>
      <c r="M777" s="18">
        <v>0</v>
      </c>
      <c r="N777" s="18">
        <v>0</v>
      </c>
      <c r="O777" s="18">
        <v>1</v>
      </c>
      <c r="P777" s="18">
        <v>0</v>
      </c>
      <c r="Q777" s="18">
        <v>0</v>
      </c>
      <c r="R777" s="18">
        <v>0</v>
      </c>
      <c r="S777" s="12">
        <v>0</v>
      </c>
      <c r="T777" s="27">
        <v>0</v>
      </c>
      <c r="U777" s="16">
        <v>1</v>
      </c>
      <c r="V777" s="18">
        <v>2</v>
      </c>
      <c r="W777" s="18">
        <v>0</v>
      </c>
      <c r="X777" s="18">
        <v>1.3</v>
      </c>
      <c r="Y777" s="12">
        <v>0</v>
      </c>
      <c r="Z777" s="18">
        <v>2000</v>
      </c>
      <c r="AA777" s="18">
        <v>0</v>
      </c>
      <c r="AB777" s="18">
        <v>0</v>
      </c>
      <c r="AC777" s="18">
        <v>0</v>
      </c>
      <c r="AD777" s="18">
        <v>0</v>
      </c>
      <c r="AE777" s="18">
        <v>0</v>
      </c>
      <c r="AF777" s="12">
        <v>9</v>
      </c>
      <c r="AG777" s="18">
        <v>1</v>
      </c>
      <c r="AH777" s="18">
        <v>3</v>
      </c>
      <c r="AI777" s="12">
        <v>2</v>
      </c>
      <c r="AJ777" s="12">
        <v>1</v>
      </c>
      <c r="AK777" s="12">
        <v>0</v>
      </c>
      <c r="AL777" s="12">
        <v>6</v>
      </c>
      <c r="AM777" s="18">
        <v>0</v>
      </c>
      <c r="AN777" s="18">
        <v>0</v>
      </c>
      <c r="AO777" s="18">
        <v>0</v>
      </c>
      <c r="AP777" s="12">
        <v>0.25</v>
      </c>
      <c r="AQ777" s="18">
        <v>6000</v>
      </c>
      <c r="AR777" s="18">
        <v>0.5</v>
      </c>
      <c r="AS777" s="18">
        <v>0</v>
      </c>
      <c r="AT777" s="12">
        <v>0</v>
      </c>
      <c r="AU777" s="18">
        <v>92023001</v>
      </c>
      <c r="AV777" s="18"/>
      <c r="AW777" s="19" t="s">
        <v>199</v>
      </c>
      <c r="AX777" s="18" t="s">
        <v>1408</v>
      </c>
      <c r="AY777" s="18">
        <v>10002001</v>
      </c>
      <c r="AZ777" s="18">
        <v>21102020</v>
      </c>
      <c r="BA777" s="19" t="s">
        <v>315</v>
      </c>
      <c r="BB777" s="19" t="s">
        <v>371</v>
      </c>
      <c r="BC777" s="27">
        <v>0</v>
      </c>
      <c r="BD777" s="27">
        <v>0</v>
      </c>
      <c r="BE777" s="183" t="str">
        <f t="shared" si="68"/>
        <v>对目标区域释放法术,在此范围内的目标每秒造成130%攻击伤害+2000点固定伤害,并将目标移动速度降低50%,持续6秒</v>
      </c>
      <c r="BF777" s="183" t="s">
        <v>1807</v>
      </c>
      <c r="BG777" s="18">
        <v>0</v>
      </c>
      <c r="BH777" s="16">
        <v>0</v>
      </c>
      <c r="BI777" s="18">
        <v>0</v>
      </c>
      <c r="BJ777" s="18">
        <v>0</v>
      </c>
      <c r="BK777" s="18">
        <v>0</v>
      </c>
      <c r="BL777" s="18">
        <v>0</v>
      </c>
      <c r="BM777" s="15">
        <v>0</v>
      </c>
      <c r="BN777" s="12">
        <v>0</v>
      </c>
      <c r="BO777" s="12">
        <v>0</v>
      </c>
      <c r="BP777" s="12">
        <v>0</v>
      </c>
      <c r="BQ777" s="12">
        <v>0</v>
      </c>
      <c r="BR777" s="12">
        <v>0</v>
      </c>
      <c r="BS777" s="12">
        <v>0</v>
      </c>
      <c r="BT777" s="12">
        <v>0</v>
      </c>
      <c r="BU777" s="47">
        <v>0</v>
      </c>
      <c r="BV777" s="47"/>
      <c r="BW777" s="47"/>
    </row>
    <row r="778" spans="3:75" ht="20.100000000000001" customHeight="1">
      <c r="C778" s="18">
        <v>62022205</v>
      </c>
      <c r="D778" s="19" t="s">
        <v>1803</v>
      </c>
      <c r="E778" s="19" t="s">
        <v>1804</v>
      </c>
      <c r="F778" s="16">
        <v>4</v>
      </c>
      <c r="G778" s="18">
        <v>62022201</v>
      </c>
      <c r="H778" s="16">
        <v>0</v>
      </c>
      <c r="I778" s="27">
        <v>0</v>
      </c>
      <c r="J778" s="16">
        <v>0</v>
      </c>
      <c r="K778" s="16">
        <v>0</v>
      </c>
      <c r="L778" s="16">
        <v>0</v>
      </c>
      <c r="M778" s="18">
        <v>0</v>
      </c>
      <c r="N778" s="18">
        <v>0</v>
      </c>
      <c r="O778" s="18">
        <v>1</v>
      </c>
      <c r="P778" s="18">
        <v>0</v>
      </c>
      <c r="Q778" s="18">
        <v>0</v>
      </c>
      <c r="R778" s="18">
        <v>0</v>
      </c>
      <c r="S778" s="12">
        <v>0</v>
      </c>
      <c r="T778" s="27">
        <v>0</v>
      </c>
      <c r="U778" s="16">
        <v>1</v>
      </c>
      <c r="V778" s="18">
        <v>2</v>
      </c>
      <c r="W778" s="18">
        <v>0</v>
      </c>
      <c r="X778" s="18">
        <v>1.4</v>
      </c>
      <c r="Y778" s="12">
        <v>0</v>
      </c>
      <c r="Z778" s="18">
        <v>2750</v>
      </c>
      <c r="AA778" s="18">
        <v>0</v>
      </c>
      <c r="AB778" s="18">
        <v>0</v>
      </c>
      <c r="AC778" s="18">
        <v>0</v>
      </c>
      <c r="AD778" s="18">
        <v>0</v>
      </c>
      <c r="AE778" s="18">
        <v>0</v>
      </c>
      <c r="AF778" s="12">
        <v>9</v>
      </c>
      <c r="AG778" s="18">
        <v>1</v>
      </c>
      <c r="AH778" s="18">
        <v>3</v>
      </c>
      <c r="AI778" s="12">
        <v>2</v>
      </c>
      <c r="AJ778" s="12">
        <v>1</v>
      </c>
      <c r="AK778" s="12">
        <v>0</v>
      </c>
      <c r="AL778" s="12">
        <v>6</v>
      </c>
      <c r="AM778" s="18">
        <v>0</v>
      </c>
      <c r="AN778" s="18">
        <v>0</v>
      </c>
      <c r="AO778" s="18">
        <v>0</v>
      </c>
      <c r="AP778" s="12">
        <v>0.25</v>
      </c>
      <c r="AQ778" s="18">
        <v>6000</v>
      </c>
      <c r="AR778" s="18">
        <v>0.5</v>
      </c>
      <c r="AS778" s="18">
        <v>0</v>
      </c>
      <c r="AT778" s="12">
        <v>0</v>
      </c>
      <c r="AU778" s="18">
        <v>92023001</v>
      </c>
      <c r="AV778" s="18"/>
      <c r="AW778" s="19" t="s">
        <v>199</v>
      </c>
      <c r="AX778" s="18" t="s">
        <v>1408</v>
      </c>
      <c r="AY778" s="18">
        <v>10002001</v>
      </c>
      <c r="AZ778" s="18">
        <v>21102020</v>
      </c>
      <c r="BA778" s="19" t="s">
        <v>315</v>
      </c>
      <c r="BB778" s="19" t="s">
        <v>371</v>
      </c>
      <c r="BC778" s="27">
        <v>0</v>
      </c>
      <c r="BD778" s="27">
        <v>0</v>
      </c>
      <c r="BE778" s="183" t="str">
        <f t="shared" si="68"/>
        <v>对目标区域释放法术,在此范围内的目标每秒造成140%攻击伤害+2750点固定伤害,并将目标移动速度降低50%,持续6秒</v>
      </c>
      <c r="BF778" s="183" t="s">
        <v>1808</v>
      </c>
      <c r="BG778" s="18">
        <v>0</v>
      </c>
      <c r="BH778" s="16">
        <v>0</v>
      </c>
      <c r="BI778" s="18">
        <v>0</v>
      </c>
      <c r="BJ778" s="18">
        <v>0</v>
      </c>
      <c r="BK778" s="18">
        <v>0</v>
      </c>
      <c r="BL778" s="18">
        <v>0</v>
      </c>
      <c r="BM778" s="15">
        <v>0</v>
      </c>
      <c r="BN778" s="12">
        <v>0</v>
      </c>
      <c r="BO778" s="12">
        <v>0</v>
      </c>
      <c r="BP778" s="12">
        <v>0</v>
      </c>
      <c r="BQ778" s="12">
        <v>0</v>
      </c>
      <c r="BR778" s="12">
        <v>0</v>
      </c>
      <c r="BS778" s="12">
        <v>0</v>
      </c>
      <c r="BT778" s="12">
        <v>0</v>
      </c>
      <c r="BU778" s="47">
        <v>0</v>
      </c>
      <c r="BV778" s="47"/>
      <c r="BW778" s="47"/>
    </row>
    <row r="779" spans="3:75" ht="20.100000000000001" customHeight="1">
      <c r="C779" s="18">
        <v>62022206</v>
      </c>
      <c r="D779" s="19" t="s">
        <v>1803</v>
      </c>
      <c r="E779" s="19" t="s">
        <v>1804</v>
      </c>
      <c r="F779" s="16">
        <v>5</v>
      </c>
      <c r="G779" s="18">
        <v>62022201</v>
      </c>
      <c r="H779" s="16">
        <v>0</v>
      </c>
      <c r="I779" s="27">
        <v>0</v>
      </c>
      <c r="J779" s="16">
        <v>0</v>
      </c>
      <c r="K779" s="16">
        <v>0</v>
      </c>
      <c r="L779" s="16">
        <v>0</v>
      </c>
      <c r="M779" s="18">
        <v>0</v>
      </c>
      <c r="N779" s="18">
        <v>0</v>
      </c>
      <c r="O779" s="18">
        <v>1</v>
      </c>
      <c r="P779" s="18">
        <v>0</v>
      </c>
      <c r="Q779" s="18">
        <v>0</v>
      </c>
      <c r="R779" s="18">
        <v>0</v>
      </c>
      <c r="S779" s="12">
        <v>0</v>
      </c>
      <c r="T779" s="27">
        <v>0</v>
      </c>
      <c r="U779" s="16">
        <v>1</v>
      </c>
      <c r="V779" s="18">
        <v>2</v>
      </c>
      <c r="W779" s="18">
        <v>0</v>
      </c>
      <c r="X779" s="18">
        <v>1.5</v>
      </c>
      <c r="Y779" s="12">
        <v>0</v>
      </c>
      <c r="Z779" s="18">
        <v>3500</v>
      </c>
      <c r="AA779" s="18">
        <v>0</v>
      </c>
      <c r="AB779" s="18">
        <v>0</v>
      </c>
      <c r="AC779" s="18">
        <v>0</v>
      </c>
      <c r="AD779" s="18">
        <v>0</v>
      </c>
      <c r="AE779" s="18">
        <v>0</v>
      </c>
      <c r="AF779" s="12">
        <v>9</v>
      </c>
      <c r="AG779" s="18">
        <v>1</v>
      </c>
      <c r="AH779" s="18">
        <v>3</v>
      </c>
      <c r="AI779" s="12">
        <v>2</v>
      </c>
      <c r="AJ779" s="12">
        <v>1</v>
      </c>
      <c r="AK779" s="12">
        <v>0</v>
      </c>
      <c r="AL779" s="12">
        <v>6</v>
      </c>
      <c r="AM779" s="18">
        <v>0</v>
      </c>
      <c r="AN779" s="18">
        <v>0</v>
      </c>
      <c r="AO779" s="18">
        <v>0</v>
      </c>
      <c r="AP779" s="12">
        <v>0.25</v>
      </c>
      <c r="AQ779" s="18">
        <v>6000</v>
      </c>
      <c r="AR779" s="18">
        <v>0.5</v>
      </c>
      <c r="AS779" s="18">
        <v>0</v>
      </c>
      <c r="AT779" s="12">
        <v>0</v>
      </c>
      <c r="AU779" s="18">
        <v>92023001</v>
      </c>
      <c r="AV779" s="18"/>
      <c r="AW779" s="19" t="s">
        <v>199</v>
      </c>
      <c r="AX779" s="18" t="s">
        <v>1408</v>
      </c>
      <c r="AY779" s="18">
        <v>10002001</v>
      </c>
      <c r="AZ779" s="18">
        <v>21102020</v>
      </c>
      <c r="BA779" s="19" t="s">
        <v>315</v>
      </c>
      <c r="BB779" s="19" t="s">
        <v>371</v>
      </c>
      <c r="BC779" s="27">
        <v>0</v>
      </c>
      <c r="BD779" s="27">
        <v>0</v>
      </c>
      <c r="BE779" s="183" t="str">
        <f t="shared" si="68"/>
        <v>对目标区域释放法术,在此范围内的目标每秒造成150%攻击伤害+3500点固定伤害,并将目标移动速度降低50%,持续6秒</v>
      </c>
      <c r="BF779" s="183" t="s">
        <v>1809</v>
      </c>
      <c r="BG779" s="18">
        <v>0</v>
      </c>
      <c r="BH779" s="16">
        <v>0</v>
      </c>
      <c r="BI779" s="18">
        <v>0</v>
      </c>
      <c r="BJ779" s="18">
        <v>0</v>
      </c>
      <c r="BK779" s="18">
        <v>0</v>
      </c>
      <c r="BL779" s="18">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62022301</v>
      </c>
      <c r="D780" s="13" t="s">
        <v>1810</v>
      </c>
      <c r="E780" s="13" t="s">
        <v>1811</v>
      </c>
      <c r="F780" s="16">
        <v>0</v>
      </c>
      <c r="G780" s="18">
        <v>62022301</v>
      </c>
      <c r="H780" s="18">
        <v>62022302</v>
      </c>
      <c r="I780" s="12">
        <v>0</v>
      </c>
      <c r="J780" s="16">
        <v>30</v>
      </c>
      <c r="K780" s="18">
        <v>5</v>
      </c>
      <c r="L780" s="16">
        <v>0</v>
      </c>
      <c r="M780" s="12">
        <v>0</v>
      </c>
      <c r="N780" s="12">
        <v>0</v>
      </c>
      <c r="O780" s="12">
        <v>1</v>
      </c>
      <c r="P780" s="12">
        <v>0</v>
      </c>
      <c r="Q780" s="12">
        <v>0</v>
      </c>
      <c r="R780" s="12">
        <v>0</v>
      </c>
      <c r="S780" s="12">
        <v>0</v>
      </c>
      <c r="T780" s="12">
        <v>0</v>
      </c>
      <c r="U780" s="16">
        <v>1</v>
      </c>
      <c r="V780" s="12">
        <v>2</v>
      </c>
      <c r="W780" s="12">
        <v>0</v>
      </c>
      <c r="X780" s="18">
        <v>2</v>
      </c>
      <c r="Y780" s="12">
        <v>0</v>
      </c>
      <c r="Z780" s="18">
        <v>1500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9" t="s">
        <v>1812</v>
      </c>
      <c r="AV780" s="18"/>
      <c r="AW780" s="13" t="s">
        <v>256</v>
      </c>
      <c r="AX780" s="12" t="s">
        <v>1813</v>
      </c>
      <c r="AY780" s="12" t="s">
        <v>198</v>
      </c>
      <c r="AZ780" s="12">
        <v>0</v>
      </c>
      <c r="BA780" s="13" t="s">
        <v>200</v>
      </c>
      <c r="BB780" s="12">
        <v>0</v>
      </c>
      <c r="BC780" s="27">
        <v>0</v>
      </c>
      <c r="BD780" s="27">
        <v>0</v>
      </c>
      <c r="BE780" s="183" t="str">
        <f t="shared" ref="BE780" si="69">"给目标释放一个持续8秒的灼烧效果,此效果每2秒会自动释放一个范围伤害,对敌方目标造成"&amp;X786*100&amp;"%攻击伤害+"&amp;Z786&amp;"点固定伤害,如果目标为怪物,会对其额外造成50%的伤害"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80" s="183" t="s">
        <v>1814</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62022302</v>
      </c>
      <c r="D781" s="13" t="s">
        <v>1810</v>
      </c>
      <c r="E781" s="13" t="s">
        <v>1811</v>
      </c>
      <c r="F781" s="16">
        <v>1</v>
      </c>
      <c r="G781" s="18">
        <v>62022301</v>
      </c>
      <c r="H781" s="18">
        <v>62022303</v>
      </c>
      <c r="I781" s="12">
        <v>0</v>
      </c>
      <c r="J781" s="16">
        <v>37</v>
      </c>
      <c r="K781" s="18">
        <v>2</v>
      </c>
      <c r="L781" s="16">
        <v>0</v>
      </c>
      <c r="M781" s="12">
        <v>0</v>
      </c>
      <c r="N781" s="12">
        <v>0</v>
      </c>
      <c r="O781" s="12">
        <v>1</v>
      </c>
      <c r="P781" s="12">
        <v>0</v>
      </c>
      <c r="Q781" s="12">
        <v>0</v>
      </c>
      <c r="R781" s="12">
        <v>0</v>
      </c>
      <c r="S781" s="12">
        <v>0</v>
      </c>
      <c r="T781" s="12">
        <v>0</v>
      </c>
      <c r="U781" s="16">
        <v>1</v>
      </c>
      <c r="V781" s="12">
        <v>2</v>
      </c>
      <c r="W781" s="12">
        <v>0</v>
      </c>
      <c r="X781" s="18">
        <v>2</v>
      </c>
      <c r="Y781" s="12">
        <v>0</v>
      </c>
      <c r="Z781" s="18">
        <v>1500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9" t="s">
        <v>1812</v>
      </c>
      <c r="AV781" s="18"/>
      <c r="AW781" s="13" t="s">
        <v>256</v>
      </c>
      <c r="AX781" s="12" t="s">
        <v>1813</v>
      </c>
      <c r="AY781" s="12" t="s">
        <v>198</v>
      </c>
      <c r="AZ781" s="12">
        <v>0</v>
      </c>
      <c r="BA781" s="13" t="s">
        <v>200</v>
      </c>
      <c r="BB781" s="12">
        <v>0</v>
      </c>
      <c r="BC781" s="27">
        <v>0</v>
      </c>
      <c r="BD781" s="27">
        <v>0</v>
      </c>
      <c r="BE781" s="183" t="str">
        <f>"给目标释放一个持续8秒的灼烧效果,此效果每2秒会自动释放一个范围伤害,对敌方目标造成"&amp;X786*100&amp;"%攻击伤害+"&amp;Z787&amp;"点固定伤害,如果目标为怪物,会对其额外造成50%的伤害"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81" s="183" t="s">
        <v>1815</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62022303</v>
      </c>
      <c r="D782" s="13" t="s">
        <v>1810</v>
      </c>
      <c r="E782" s="13" t="s">
        <v>1811</v>
      </c>
      <c r="F782" s="16">
        <v>2</v>
      </c>
      <c r="G782" s="18">
        <v>62022301</v>
      </c>
      <c r="H782" s="18">
        <v>62022304</v>
      </c>
      <c r="I782" s="12">
        <v>0</v>
      </c>
      <c r="J782" s="16">
        <v>42</v>
      </c>
      <c r="K782" s="18">
        <v>2</v>
      </c>
      <c r="L782" s="16">
        <v>0</v>
      </c>
      <c r="M782" s="12">
        <v>0</v>
      </c>
      <c r="N782" s="12">
        <v>0</v>
      </c>
      <c r="O782" s="12">
        <v>1</v>
      </c>
      <c r="P782" s="12">
        <v>0</v>
      </c>
      <c r="Q782" s="12">
        <v>0</v>
      </c>
      <c r="R782" s="12">
        <v>0</v>
      </c>
      <c r="S782" s="12">
        <v>0</v>
      </c>
      <c r="T782" s="12">
        <v>0</v>
      </c>
      <c r="U782" s="16">
        <v>1</v>
      </c>
      <c r="V782" s="12">
        <v>2</v>
      </c>
      <c r="W782" s="12">
        <v>0</v>
      </c>
      <c r="X782" s="18">
        <v>2.25</v>
      </c>
      <c r="Y782" s="12">
        <v>0</v>
      </c>
      <c r="Z782" s="18">
        <v>2000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9" t="s">
        <v>1816</v>
      </c>
      <c r="AV782" s="18"/>
      <c r="AW782" s="13" t="s">
        <v>256</v>
      </c>
      <c r="AX782" s="12" t="s">
        <v>1813</v>
      </c>
      <c r="AY782" s="12" t="s">
        <v>198</v>
      </c>
      <c r="AZ782" s="12">
        <v>0</v>
      </c>
      <c r="BA782" s="13" t="s">
        <v>200</v>
      </c>
      <c r="BB782" s="12">
        <v>0</v>
      </c>
      <c r="BC782" s="27">
        <v>0</v>
      </c>
      <c r="BD782" s="27">
        <v>0</v>
      </c>
      <c r="BE782" s="183" t="str">
        <f t="shared" ref="BE782:BE785" si="70">"给目标释放一个持续8秒的灼烧效果,此效果每2秒会自动释放一个范围伤害,对敌方目标造成"&amp;X787*100&amp;"%攻击伤害+"&amp;Z788&amp;"点固定伤害,如果目标为怪物,会对其额外造成50%的伤害"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82" s="183" t="s">
        <v>1817</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20.100000000000001" customHeight="1">
      <c r="C783" s="18">
        <v>62022304</v>
      </c>
      <c r="D783" s="13" t="s">
        <v>1810</v>
      </c>
      <c r="E783" s="13" t="s">
        <v>1811</v>
      </c>
      <c r="F783" s="16">
        <v>3</v>
      </c>
      <c r="G783" s="18">
        <v>62022301</v>
      </c>
      <c r="H783" s="12">
        <v>0</v>
      </c>
      <c r="I783" s="12">
        <v>0</v>
      </c>
      <c r="J783" s="18">
        <v>0</v>
      </c>
      <c r="K783" s="18">
        <v>0</v>
      </c>
      <c r="L783" s="16">
        <v>0</v>
      </c>
      <c r="M783" s="12">
        <v>0</v>
      </c>
      <c r="N783" s="12">
        <v>0</v>
      </c>
      <c r="O783" s="12">
        <v>1</v>
      </c>
      <c r="P783" s="12">
        <v>0</v>
      </c>
      <c r="Q783" s="12">
        <v>0</v>
      </c>
      <c r="R783" s="12">
        <v>0</v>
      </c>
      <c r="S783" s="12">
        <v>0</v>
      </c>
      <c r="T783" s="12">
        <v>0</v>
      </c>
      <c r="U783" s="16">
        <v>1</v>
      </c>
      <c r="V783" s="12">
        <v>2</v>
      </c>
      <c r="W783" s="12">
        <v>0</v>
      </c>
      <c r="X783" s="18">
        <v>2.5</v>
      </c>
      <c r="Y783" s="12">
        <v>0</v>
      </c>
      <c r="Z783" s="18">
        <v>2500</v>
      </c>
      <c r="AA783" s="12">
        <v>0</v>
      </c>
      <c r="AB783" s="12">
        <v>0</v>
      </c>
      <c r="AC783" s="12">
        <v>0</v>
      </c>
      <c r="AD783" s="12">
        <v>0</v>
      </c>
      <c r="AE783" s="12">
        <v>0</v>
      </c>
      <c r="AF783" s="12">
        <v>15</v>
      </c>
      <c r="AG783" s="12">
        <v>0</v>
      </c>
      <c r="AH783" s="12">
        <v>0</v>
      </c>
      <c r="AI783" s="12">
        <v>7</v>
      </c>
      <c r="AJ783" s="12">
        <v>0</v>
      </c>
      <c r="AK783" s="12">
        <v>0</v>
      </c>
      <c r="AL783" s="12">
        <v>8</v>
      </c>
      <c r="AM783" s="12">
        <v>0</v>
      </c>
      <c r="AN783" s="12">
        <v>0</v>
      </c>
      <c r="AO783" s="12">
        <v>0</v>
      </c>
      <c r="AP783" s="12">
        <v>0.25</v>
      </c>
      <c r="AQ783" s="12">
        <v>1000</v>
      </c>
      <c r="AR783" s="12">
        <v>0</v>
      </c>
      <c r="AS783" s="12">
        <v>0</v>
      </c>
      <c r="AT783" s="12">
        <v>0</v>
      </c>
      <c r="AU783" s="349" t="s">
        <v>1818</v>
      </c>
      <c r="AV783" s="18"/>
      <c r="AW783" s="13" t="s">
        <v>256</v>
      </c>
      <c r="AX783" s="12" t="s">
        <v>1813</v>
      </c>
      <c r="AY783" s="12" t="s">
        <v>198</v>
      </c>
      <c r="AZ783" s="12">
        <v>0</v>
      </c>
      <c r="BA783" s="13" t="s">
        <v>200</v>
      </c>
      <c r="BB783" s="12">
        <v>0</v>
      </c>
      <c r="BC783" s="27">
        <v>0</v>
      </c>
      <c r="BD783" s="27">
        <v>0</v>
      </c>
      <c r="BE783" s="183" t="str">
        <f t="shared" si="70"/>
        <v>给目标释放一个持续8秒的灼烧效果,此效果每2秒会自动释放一个范围伤害,对敌方目标造成250%攻击伤害+4000点固定伤害,如果目标为怪物,会对其额外造成50%的伤害</v>
      </c>
      <c r="BF783" s="183" t="s">
        <v>1819</v>
      </c>
      <c r="BG783" s="12">
        <v>0</v>
      </c>
      <c r="BH783" s="16">
        <v>0</v>
      </c>
      <c r="BI783" s="12">
        <v>0</v>
      </c>
      <c r="BJ783" s="12">
        <v>0</v>
      </c>
      <c r="BK783" s="12">
        <v>0</v>
      </c>
      <c r="BL783" s="12">
        <v>0</v>
      </c>
      <c r="BM783" s="15">
        <v>0</v>
      </c>
      <c r="BN783" s="12">
        <v>0</v>
      </c>
      <c r="BO783" s="12">
        <v>0</v>
      </c>
      <c r="BP783" s="12">
        <v>0</v>
      </c>
      <c r="BQ783" s="12">
        <v>0</v>
      </c>
      <c r="BR783" s="12">
        <v>0</v>
      </c>
      <c r="BS783" s="12">
        <v>0</v>
      </c>
      <c r="BT783" s="12">
        <v>0</v>
      </c>
      <c r="BU783" s="47">
        <v>0</v>
      </c>
      <c r="BV783" s="47"/>
      <c r="BW783" s="47"/>
    </row>
    <row r="784" spans="3:75" ht="20.100000000000001" customHeight="1">
      <c r="C784" s="18">
        <v>62022305</v>
      </c>
      <c r="D784" s="13" t="s">
        <v>1810</v>
      </c>
      <c r="E784" s="13" t="s">
        <v>1811</v>
      </c>
      <c r="F784" s="16">
        <v>4</v>
      </c>
      <c r="G784" s="18">
        <v>62022301</v>
      </c>
      <c r="H784" s="12">
        <v>0</v>
      </c>
      <c r="I784" s="12">
        <v>0</v>
      </c>
      <c r="J784" s="18">
        <v>0</v>
      </c>
      <c r="K784" s="18">
        <v>0</v>
      </c>
      <c r="L784" s="16">
        <v>0</v>
      </c>
      <c r="M784" s="12">
        <v>0</v>
      </c>
      <c r="N784" s="12">
        <v>0</v>
      </c>
      <c r="O784" s="12">
        <v>1</v>
      </c>
      <c r="P784" s="12">
        <v>0</v>
      </c>
      <c r="Q784" s="12">
        <v>0</v>
      </c>
      <c r="R784" s="12">
        <v>0</v>
      </c>
      <c r="S784" s="12">
        <v>0</v>
      </c>
      <c r="T784" s="12">
        <v>0</v>
      </c>
      <c r="U784" s="16">
        <v>1</v>
      </c>
      <c r="V784" s="12">
        <v>2</v>
      </c>
      <c r="W784" s="12">
        <v>0</v>
      </c>
      <c r="X784" s="18">
        <v>2.75</v>
      </c>
      <c r="Y784" s="12">
        <v>0</v>
      </c>
      <c r="Z784" s="18">
        <v>3000</v>
      </c>
      <c r="AA784" s="12">
        <v>0</v>
      </c>
      <c r="AB784" s="12">
        <v>0</v>
      </c>
      <c r="AC784" s="12">
        <v>0</v>
      </c>
      <c r="AD784" s="12">
        <v>0</v>
      </c>
      <c r="AE784" s="12">
        <v>0</v>
      </c>
      <c r="AF784" s="12">
        <v>15</v>
      </c>
      <c r="AG784" s="12">
        <v>0</v>
      </c>
      <c r="AH784" s="12">
        <v>0</v>
      </c>
      <c r="AI784" s="12">
        <v>7</v>
      </c>
      <c r="AJ784" s="12">
        <v>0</v>
      </c>
      <c r="AK784" s="12">
        <v>0</v>
      </c>
      <c r="AL784" s="12">
        <v>8</v>
      </c>
      <c r="AM784" s="12">
        <v>0</v>
      </c>
      <c r="AN784" s="12">
        <v>0</v>
      </c>
      <c r="AO784" s="12">
        <v>0</v>
      </c>
      <c r="AP784" s="12">
        <v>0.25</v>
      </c>
      <c r="AQ784" s="12">
        <v>1000</v>
      </c>
      <c r="AR784" s="12">
        <v>0</v>
      </c>
      <c r="AS784" s="12">
        <v>0</v>
      </c>
      <c r="AT784" s="12">
        <v>0</v>
      </c>
      <c r="AU784" s="349" t="s">
        <v>1820</v>
      </c>
      <c r="AV784" s="18"/>
      <c r="AW784" s="13" t="s">
        <v>256</v>
      </c>
      <c r="AX784" s="12" t="s">
        <v>1813</v>
      </c>
      <c r="AY784" s="12" t="s">
        <v>198</v>
      </c>
      <c r="AZ784" s="12">
        <v>0</v>
      </c>
      <c r="BA784" s="13" t="s">
        <v>200</v>
      </c>
      <c r="BB784" s="12">
        <v>0</v>
      </c>
      <c r="BC784" s="27">
        <v>0</v>
      </c>
      <c r="BD784" s="27">
        <v>0</v>
      </c>
      <c r="BE784" s="183" t="str">
        <f t="shared" si="70"/>
        <v>给目标释放一个持续8秒的灼烧效果,此效果每2秒会自动释放一个范围伤害,对敌方目标造成275%攻击伤害+5200点固定伤害,如果目标为怪物,会对其额外造成50%的伤害</v>
      </c>
      <c r="BF784" s="183" t="s">
        <v>1821</v>
      </c>
      <c r="BG784" s="12">
        <v>0</v>
      </c>
      <c r="BH784" s="16">
        <v>0</v>
      </c>
      <c r="BI784" s="12">
        <v>0</v>
      </c>
      <c r="BJ784" s="12">
        <v>0</v>
      </c>
      <c r="BK784" s="12">
        <v>0</v>
      </c>
      <c r="BL784" s="12">
        <v>0</v>
      </c>
      <c r="BM784" s="15">
        <v>0</v>
      </c>
      <c r="BN784" s="12">
        <v>0</v>
      </c>
      <c r="BO784" s="12">
        <v>0</v>
      </c>
      <c r="BP784" s="12">
        <v>0</v>
      </c>
      <c r="BQ784" s="12">
        <v>0</v>
      </c>
      <c r="BR784" s="12">
        <v>0</v>
      </c>
      <c r="BS784" s="12">
        <v>0</v>
      </c>
      <c r="BT784" s="12">
        <v>0</v>
      </c>
      <c r="BU784" s="47">
        <v>0</v>
      </c>
      <c r="BV784" s="47"/>
      <c r="BW784" s="47"/>
    </row>
    <row r="785" spans="3:75" ht="20.100000000000001" customHeight="1">
      <c r="C785" s="18">
        <v>62022306</v>
      </c>
      <c r="D785" s="13" t="s">
        <v>1810</v>
      </c>
      <c r="E785" s="13" t="s">
        <v>1811</v>
      </c>
      <c r="F785" s="16">
        <v>5</v>
      </c>
      <c r="G785" s="18">
        <v>62022301</v>
      </c>
      <c r="H785" s="12">
        <v>0</v>
      </c>
      <c r="I785" s="12">
        <v>0</v>
      </c>
      <c r="J785" s="18">
        <v>0</v>
      </c>
      <c r="K785" s="18">
        <v>0</v>
      </c>
      <c r="L785" s="16">
        <v>0</v>
      </c>
      <c r="M785" s="12">
        <v>0</v>
      </c>
      <c r="N785" s="12">
        <v>0</v>
      </c>
      <c r="O785" s="12">
        <v>1</v>
      </c>
      <c r="P785" s="12">
        <v>0</v>
      </c>
      <c r="Q785" s="12">
        <v>0</v>
      </c>
      <c r="R785" s="12">
        <v>0</v>
      </c>
      <c r="S785" s="12">
        <v>0</v>
      </c>
      <c r="T785" s="12">
        <v>0</v>
      </c>
      <c r="U785" s="16">
        <v>1</v>
      </c>
      <c r="V785" s="12">
        <v>2</v>
      </c>
      <c r="W785" s="12">
        <v>0</v>
      </c>
      <c r="X785" s="18">
        <v>3</v>
      </c>
      <c r="Y785" s="12">
        <v>0</v>
      </c>
      <c r="Z785" s="18">
        <v>3500</v>
      </c>
      <c r="AA785" s="12">
        <v>0</v>
      </c>
      <c r="AB785" s="12">
        <v>0</v>
      </c>
      <c r="AC785" s="12">
        <v>0</v>
      </c>
      <c r="AD785" s="12">
        <v>0</v>
      </c>
      <c r="AE785" s="12">
        <v>0</v>
      </c>
      <c r="AF785" s="12">
        <v>15</v>
      </c>
      <c r="AG785" s="12">
        <v>0</v>
      </c>
      <c r="AH785" s="12">
        <v>0</v>
      </c>
      <c r="AI785" s="12">
        <v>7</v>
      </c>
      <c r="AJ785" s="12">
        <v>0</v>
      </c>
      <c r="AK785" s="12">
        <v>0</v>
      </c>
      <c r="AL785" s="12">
        <v>8</v>
      </c>
      <c r="AM785" s="12">
        <v>0</v>
      </c>
      <c r="AN785" s="12">
        <v>0</v>
      </c>
      <c r="AO785" s="12">
        <v>0</v>
      </c>
      <c r="AP785" s="12">
        <v>0.25</v>
      </c>
      <c r="AQ785" s="12">
        <v>1000</v>
      </c>
      <c r="AR785" s="12">
        <v>0</v>
      </c>
      <c r="AS785" s="12">
        <v>0</v>
      </c>
      <c r="AT785" s="12">
        <v>0</v>
      </c>
      <c r="AU785" s="349" t="s">
        <v>1822</v>
      </c>
      <c r="AV785" s="18"/>
      <c r="AW785" s="13" t="s">
        <v>256</v>
      </c>
      <c r="AX785" s="12" t="s">
        <v>1813</v>
      </c>
      <c r="AY785" s="12" t="s">
        <v>198</v>
      </c>
      <c r="AZ785" s="12">
        <v>0</v>
      </c>
      <c r="BA785" s="13" t="s">
        <v>200</v>
      </c>
      <c r="BB785" s="12">
        <v>0</v>
      </c>
      <c r="BC785" s="27">
        <v>0</v>
      </c>
      <c r="BD785" s="27">
        <v>0</v>
      </c>
      <c r="BE785" s="183" t="str">
        <f t="shared" si="70"/>
        <v>给目标释放一个持续8秒的灼烧效果,此效果每2秒会自动释放一个范围伤害,对敌方目标造成300%攻击伤害+900点固定伤害,如果目标为怪物,会对其额外造成50%的伤害</v>
      </c>
      <c r="BF785" s="183" t="s">
        <v>1823</v>
      </c>
      <c r="BG785" s="12">
        <v>0</v>
      </c>
      <c r="BH785" s="16">
        <v>0</v>
      </c>
      <c r="BI785" s="12">
        <v>0</v>
      </c>
      <c r="BJ785" s="12">
        <v>0</v>
      </c>
      <c r="BK785" s="12">
        <v>0</v>
      </c>
      <c r="BL785" s="12">
        <v>0</v>
      </c>
      <c r="BM785" s="15">
        <v>0</v>
      </c>
      <c r="BN785" s="12">
        <v>0</v>
      </c>
      <c r="BO785" s="12">
        <v>0</v>
      </c>
      <c r="BP785" s="12">
        <v>0</v>
      </c>
      <c r="BQ785" s="12">
        <v>0</v>
      </c>
      <c r="BR785" s="12">
        <v>0</v>
      </c>
      <c r="BS785" s="12">
        <v>0</v>
      </c>
      <c r="BT785" s="12">
        <v>0</v>
      </c>
      <c r="BU785" s="47">
        <v>0</v>
      </c>
      <c r="BV785" s="47"/>
      <c r="BW785" s="47"/>
    </row>
    <row r="786" spans="3:75" ht="19.5" customHeight="1">
      <c r="C786" s="18">
        <v>62022311</v>
      </c>
      <c r="D786" s="19" t="s">
        <v>1824</v>
      </c>
      <c r="E786" s="19" t="s">
        <v>1825</v>
      </c>
      <c r="F786" s="16">
        <v>0</v>
      </c>
      <c r="G786" s="18">
        <v>62022401</v>
      </c>
      <c r="H786" s="18">
        <f>C787</f>
        <v>62022312</v>
      </c>
      <c r="I786" s="27">
        <v>0</v>
      </c>
      <c r="J786" s="16">
        <v>35</v>
      </c>
      <c r="K786" s="18">
        <v>0</v>
      </c>
      <c r="L786" s="16">
        <v>0</v>
      </c>
      <c r="M786" s="18">
        <v>0</v>
      </c>
      <c r="N786" s="18">
        <v>0</v>
      </c>
      <c r="O786" s="18">
        <v>1</v>
      </c>
      <c r="P786" s="18">
        <v>0</v>
      </c>
      <c r="Q786" s="18">
        <v>0</v>
      </c>
      <c r="R786" s="18">
        <v>0</v>
      </c>
      <c r="S786" s="12">
        <v>0</v>
      </c>
      <c r="T786" s="27">
        <v>0</v>
      </c>
      <c r="U786" s="16">
        <v>1</v>
      </c>
      <c r="V786" s="18">
        <v>2</v>
      </c>
      <c r="W786" s="18">
        <v>0</v>
      </c>
      <c r="X786" s="18">
        <v>2</v>
      </c>
      <c r="Y786" s="12">
        <v>0</v>
      </c>
      <c r="Z786" s="18">
        <v>900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62022312</v>
      </c>
      <c r="D787" s="19" t="s">
        <v>1824</v>
      </c>
      <c r="E787" s="19" t="s">
        <v>1825</v>
      </c>
      <c r="F787" s="16">
        <v>1</v>
      </c>
      <c r="G787" s="18">
        <v>62022401</v>
      </c>
      <c r="H787" s="18">
        <f t="shared" ref="H787:H788" si="71">C788</f>
        <v>62022313</v>
      </c>
      <c r="I787" s="27">
        <v>0</v>
      </c>
      <c r="J787" s="16">
        <v>42</v>
      </c>
      <c r="K787" s="18">
        <v>0</v>
      </c>
      <c r="L787" s="16">
        <v>0</v>
      </c>
      <c r="M787" s="18">
        <v>0</v>
      </c>
      <c r="N787" s="18">
        <v>0</v>
      </c>
      <c r="O787" s="18">
        <v>1</v>
      </c>
      <c r="P787" s="18">
        <v>0</v>
      </c>
      <c r="Q787" s="18">
        <v>0</v>
      </c>
      <c r="R787" s="18">
        <v>0</v>
      </c>
      <c r="S787" s="12">
        <v>0</v>
      </c>
      <c r="T787" s="27">
        <v>0</v>
      </c>
      <c r="U787" s="16">
        <v>1</v>
      </c>
      <c r="V787" s="18">
        <v>2</v>
      </c>
      <c r="W787" s="18">
        <v>0</v>
      </c>
      <c r="X787" s="18">
        <v>2.25</v>
      </c>
      <c r="Y787" s="12">
        <v>0</v>
      </c>
      <c r="Z787" s="18">
        <v>1800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62022313</v>
      </c>
      <c r="D788" s="19" t="s">
        <v>1824</v>
      </c>
      <c r="E788" s="19" t="s">
        <v>1825</v>
      </c>
      <c r="F788" s="16">
        <v>2</v>
      </c>
      <c r="G788" s="18">
        <v>62022401</v>
      </c>
      <c r="H788" s="18">
        <f t="shared" si="71"/>
        <v>62022314</v>
      </c>
      <c r="I788" s="27">
        <v>0</v>
      </c>
      <c r="J788" s="16">
        <v>47</v>
      </c>
      <c r="K788" s="18">
        <v>0</v>
      </c>
      <c r="L788" s="16">
        <v>0</v>
      </c>
      <c r="M788" s="18">
        <v>0</v>
      </c>
      <c r="N788" s="18">
        <v>0</v>
      </c>
      <c r="O788" s="18">
        <v>1</v>
      </c>
      <c r="P788" s="18">
        <v>0</v>
      </c>
      <c r="Q788" s="18">
        <v>0</v>
      </c>
      <c r="R788" s="18">
        <v>0</v>
      </c>
      <c r="S788" s="12">
        <v>0</v>
      </c>
      <c r="T788" s="27">
        <v>0</v>
      </c>
      <c r="U788" s="16">
        <v>1</v>
      </c>
      <c r="V788" s="18">
        <v>2</v>
      </c>
      <c r="W788" s="18">
        <v>0</v>
      </c>
      <c r="X788" s="18">
        <v>2.5</v>
      </c>
      <c r="Y788" s="12">
        <v>0</v>
      </c>
      <c r="Z788" s="18">
        <v>2800</v>
      </c>
      <c r="AA788" s="18">
        <v>0</v>
      </c>
      <c r="AB788" s="18">
        <v>0</v>
      </c>
      <c r="AC788" s="18">
        <v>0</v>
      </c>
      <c r="AD788" s="18">
        <v>1</v>
      </c>
      <c r="AE788" s="18">
        <v>0</v>
      </c>
      <c r="AF788" s="18">
        <v>1</v>
      </c>
      <c r="AG788" s="18">
        <v>1</v>
      </c>
      <c r="AH788" s="18">
        <v>4</v>
      </c>
      <c r="AI788" s="12">
        <v>2</v>
      </c>
      <c r="AJ788" s="12">
        <v>1</v>
      </c>
      <c r="AK788" s="12">
        <v>0</v>
      </c>
      <c r="AL788" s="12">
        <v>6</v>
      </c>
      <c r="AM788" s="18">
        <v>0</v>
      </c>
      <c r="AN788" s="18">
        <v>0</v>
      </c>
      <c r="AO788" s="18">
        <v>0</v>
      </c>
      <c r="AP788" s="18">
        <v>0</v>
      </c>
      <c r="AQ788" s="18">
        <v>30000</v>
      </c>
      <c r="AR788" s="18">
        <v>0</v>
      </c>
      <c r="AS788" s="18">
        <v>0</v>
      </c>
      <c r="AT788" s="12">
        <v>0</v>
      </c>
      <c r="AU788" s="18">
        <v>0</v>
      </c>
      <c r="AV788" s="18"/>
      <c r="AW788" s="19" t="s">
        <v>199</v>
      </c>
      <c r="AX788" s="18" t="s">
        <v>1826</v>
      </c>
      <c r="AY788" s="18">
        <v>10003002</v>
      </c>
      <c r="AZ788" s="18">
        <v>21102031</v>
      </c>
      <c r="BA788" s="19" t="s">
        <v>200</v>
      </c>
      <c r="BB788" s="19">
        <v>0</v>
      </c>
      <c r="BC788" s="27">
        <v>0</v>
      </c>
      <c r="BD788" s="27">
        <v>0</v>
      </c>
      <c r="BE788" s="183"/>
      <c r="BF788" s="183"/>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62022314</v>
      </c>
      <c r="D789" s="19" t="s">
        <v>1824</v>
      </c>
      <c r="E789" s="19" t="s">
        <v>1825</v>
      </c>
      <c r="F789" s="16">
        <v>3</v>
      </c>
      <c r="G789" s="18">
        <v>62022401</v>
      </c>
      <c r="H789" s="18">
        <v>0</v>
      </c>
      <c r="I789" s="27">
        <v>0</v>
      </c>
      <c r="J789" s="18">
        <v>0</v>
      </c>
      <c r="K789" s="18">
        <v>0</v>
      </c>
      <c r="L789" s="16">
        <v>0</v>
      </c>
      <c r="M789" s="18">
        <v>0</v>
      </c>
      <c r="N789" s="18">
        <v>0</v>
      </c>
      <c r="O789" s="18">
        <v>1</v>
      </c>
      <c r="P789" s="18">
        <v>0</v>
      </c>
      <c r="Q789" s="18">
        <v>0</v>
      </c>
      <c r="R789" s="18">
        <v>0</v>
      </c>
      <c r="S789" s="12">
        <v>0</v>
      </c>
      <c r="T789" s="27">
        <v>0</v>
      </c>
      <c r="U789" s="16">
        <v>1</v>
      </c>
      <c r="V789" s="18">
        <v>2</v>
      </c>
      <c r="W789" s="18">
        <v>0</v>
      </c>
      <c r="X789" s="18">
        <v>2.75</v>
      </c>
      <c r="Y789" s="12">
        <v>0</v>
      </c>
      <c r="Z789" s="18">
        <v>4000</v>
      </c>
      <c r="AA789" s="18">
        <v>0</v>
      </c>
      <c r="AB789" s="18">
        <v>0</v>
      </c>
      <c r="AC789" s="18">
        <v>0</v>
      </c>
      <c r="AD789" s="18">
        <v>1</v>
      </c>
      <c r="AE789" s="18">
        <v>0</v>
      </c>
      <c r="AF789" s="18">
        <v>1</v>
      </c>
      <c r="AG789" s="18">
        <v>1</v>
      </c>
      <c r="AH789" s="18">
        <v>4</v>
      </c>
      <c r="AI789" s="12">
        <v>2</v>
      </c>
      <c r="AJ789" s="12">
        <v>1</v>
      </c>
      <c r="AK789" s="12">
        <v>0</v>
      </c>
      <c r="AL789" s="12">
        <v>6</v>
      </c>
      <c r="AM789" s="18">
        <v>0</v>
      </c>
      <c r="AN789" s="18">
        <v>0</v>
      </c>
      <c r="AO789" s="18">
        <v>0</v>
      </c>
      <c r="AP789" s="18">
        <v>0</v>
      </c>
      <c r="AQ789" s="18">
        <v>30000</v>
      </c>
      <c r="AR789" s="18">
        <v>0</v>
      </c>
      <c r="AS789" s="18">
        <v>0</v>
      </c>
      <c r="AT789" s="12">
        <v>0</v>
      </c>
      <c r="AU789" s="18">
        <v>0</v>
      </c>
      <c r="AV789" s="18"/>
      <c r="AW789" s="19" t="s">
        <v>199</v>
      </c>
      <c r="AX789" s="18" t="s">
        <v>1826</v>
      </c>
      <c r="AY789" s="18">
        <v>10003002</v>
      </c>
      <c r="AZ789" s="18">
        <v>21102031</v>
      </c>
      <c r="BA789" s="19" t="s">
        <v>200</v>
      </c>
      <c r="BB789" s="19">
        <v>0</v>
      </c>
      <c r="BC789" s="27">
        <v>0</v>
      </c>
      <c r="BD789" s="27">
        <v>0</v>
      </c>
      <c r="BE789" s="183"/>
      <c r="BF789" s="183"/>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62022315</v>
      </c>
      <c r="D790" s="19" t="s">
        <v>1824</v>
      </c>
      <c r="E790" s="19" t="s">
        <v>1825</v>
      </c>
      <c r="F790" s="16">
        <v>4</v>
      </c>
      <c r="G790" s="18">
        <v>62022401</v>
      </c>
      <c r="H790" s="18">
        <v>0</v>
      </c>
      <c r="I790" s="27">
        <v>0</v>
      </c>
      <c r="J790" s="18">
        <v>0</v>
      </c>
      <c r="K790" s="18">
        <v>0</v>
      </c>
      <c r="L790" s="16">
        <v>0</v>
      </c>
      <c r="M790" s="18">
        <v>0</v>
      </c>
      <c r="N790" s="18">
        <v>0</v>
      </c>
      <c r="O790" s="18">
        <v>1</v>
      </c>
      <c r="P790" s="18">
        <v>0</v>
      </c>
      <c r="Q790" s="18">
        <v>0</v>
      </c>
      <c r="R790" s="18">
        <v>0</v>
      </c>
      <c r="S790" s="12">
        <v>0</v>
      </c>
      <c r="T790" s="27">
        <v>0</v>
      </c>
      <c r="U790" s="16">
        <v>1</v>
      </c>
      <c r="V790" s="18">
        <v>2</v>
      </c>
      <c r="W790" s="18">
        <v>0</v>
      </c>
      <c r="X790" s="18">
        <v>3</v>
      </c>
      <c r="Y790" s="12">
        <v>0</v>
      </c>
      <c r="Z790" s="18">
        <v>5200</v>
      </c>
      <c r="AA790" s="18">
        <v>0</v>
      </c>
      <c r="AB790" s="18">
        <v>0</v>
      </c>
      <c r="AC790" s="18">
        <v>0</v>
      </c>
      <c r="AD790" s="18">
        <v>1</v>
      </c>
      <c r="AE790" s="18">
        <v>0</v>
      </c>
      <c r="AF790" s="18">
        <v>1</v>
      </c>
      <c r="AG790" s="18">
        <v>1</v>
      </c>
      <c r="AH790" s="18">
        <v>4</v>
      </c>
      <c r="AI790" s="12">
        <v>2</v>
      </c>
      <c r="AJ790" s="12">
        <v>1</v>
      </c>
      <c r="AK790" s="12">
        <v>0</v>
      </c>
      <c r="AL790" s="12">
        <v>6</v>
      </c>
      <c r="AM790" s="18">
        <v>0</v>
      </c>
      <c r="AN790" s="18">
        <v>0</v>
      </c>
      <c r="AO790" s="18">
        <v>0</v>
      </c>
      <c r="AP790" s="18">
        <v>0</v>
      </c>
      <c r="AQ790" s="18">
        <v>30000</v>
      </c>
      <c r="AR790" s="18">
        <v>0</v>
      </c>
      <c r="AS790" s="18">
        <v>0</v>
      </c>
      <c r="AT790" s="12">
        <v>0</v>
      </c>
      <c r="AU790" s="18">
        <v>0</v>
      </c>
      <c r="AV790" s="18"/>
      <c r="AW790" s="19" t="s">
        <v>199</v>
      </c>
      <c r="AX790" s="18" t="s">
        <v>1826</v>
      </c>
      <c r="AY790" s="18">
        <v>10003002</v>
      </c>
      <c r="AZ790" s="18">
        <v>21102031</v>
      </c>
      <c r="BA790" s="19" t="s">
        <v>200</v>
      </c>
      <c r="BB790" s="19">
        <v>0</v>
      </c>
      <c r="BC790" s="27">
        <v>0</v>
      </c>
      <c r="BD790" s="27">
        <v>0</v>
      </c>
      <c r="BE790" s="183"/>
      <c r="BF790" s="183"/>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62022401</v>
      </c>
      <c r="D791" s="19" t="s">
        <v>1827</v>
      </c>
      <c r="E791" s="19" t="s">
        <v>1828</v>
      </c>
      <c r="F791" s="16">
        <v>0</v>
      </c>
      <c r="G791" s="18">
        <v>62022401</v>
      </c>
      <c r="H791" s="18">
        <f>C792</f>
        <v>62022402</v>
      </c>
      <c r="I791" s="27">
        <v>0</v>
      </c>
      <c r="J791" s="18">
        <v>35</v>
      </c>
      <c r="K791" s="18">
        <v>5</v>
      </c>
      <c r="L791" s="16">
        <v>0</v>
      </c>
      <c r="M791" s="18">
        <v>0</v>
      </c>
      <c r="N791" s="18">
        <v>0</v>
      </c>
      <c r="O791" s="18">
        <v>1</v>
      </c>
      <c r="P791" s="18">
        <v>0</v>
      </c>
      <c r="Q791" s="18">
        <v>0</v>
      </c>
      <c r="R791" s="18">
        <v>0</v>
      </c>
      <c r="S791" s="12">
        <v>0</v>
      </c>
      <c r="T791" s="27">
        <v>0</v>
      </c>
      <c r="U791" s="16">
        <v>1</v>
      </c>
      <c r="V791" s="18">
        <v>2</v>
      </c>
      <c r="W791" s="18">
        <v>0</v>
      </c>
      <c r="X791" s="18">
        <v>3.5</v>
      </c>
      <c r="Y791" s="12">
        <v>0</v>
      </c>
      <c r="Z791" s="18">
        <v>900</v>
      </c>
      <c r="AA791" s="18">
        <v>0</v>
      </c>
      <c r="AB791" s="18">
        <v>0</v>
      </c>
      <c r="AC791" s="18">
        <v>0</v>
      </c>
      <c r="AD791" s="18">
        <v>0</v>
      </c>
      <c r="AE791" s="18">
        <v>0</v>
      </c>
      <c r="AF791" s="12">
        <v>20</v>
      </c>
      <c r="AG791" s="18">
        <v>1</v>
      </c>
      <c r="AH791" s="18">
        <v>3</v>
      </c>
      <c r="AI791" s="12">
        <v>2</v>
      </c>
      <c r="AJ791" s="12">
        <v>1</v>
      </c>
      <c r="AK791" s="12">
        <v>0</v>
      </c>
      <c r="AL791" s="12">
        <v>6</v>
      </c>
      <c r="AM791" s="18">
        <v>0</v>
      </c>
      <c r="AN791" s="18">
        <v>0.5</v>
      </c>
      <c r="AO791" s="18">
        <v>0</v>
      </c>
      <c r="AP791" s="18">
        <v>0</v>
      </c>
      <c r="AQ791" s="18">
        <v>30000</v>
      </c>
      <c r="AR791" s="18">
        <v>0</v>
      </c>
      <c r="AS791" s="18">
        <v>0</v>
      </c>
      <c r="AT791" s="12">
        <v>0</v>
      </c>
      <c r="AU791" s="349" t="s">
        <v>1829</v>
      </c>
      <c r="AV791" s="18"/>
      <c r="AW791" s="19" t="s">
        <v>199</v>
      </c>
      <c r="AX791" s="18" t="s">
        <v>1826</v>
      </c>
      <c r="AY791" s="18">
        <v>10003002</v>
      </c>
      <c r="AZ791" s="18">
        <v>21102031</v>
      </c>
      <c r="BA791" s="19" t="s">
        <v>200</v>
      </c>
      <c r="BB791" s="19">
        <v>0</v>
      </c>
      <c r="BC791" s="27">
        <v>0</v>
      </c>
      <c r="BD791" s="27">
        <v>0</v>
      </c>
      <c r="BE791" s="183" t="str">
        <f>"吟唱0.5秒,立即对目标范围内的怪物造成"&amp;X791*100&amp;"%攻击伤害+"&amp;Z791&amp;"点固定伤害,并造成2秒眩晕,并使其受到暴击伤害额外提升30%"</f>
        <v>吟唱0.5秒,立即对目标范围内的怪物造成350%攻击伤害+900点固定伤害,并造成2秒眩晕,并使其受到暴击伤害额外提升30%</v>
      </c>
      <c r="BF791" s="183" t="s">
        <v>1830</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62022402</v>
      </c>
      <c r="D792" s="19" t="s">
        <v>1827</v>
      </c>
      <c r="E792" s="19" t="s">
        <v>1828</v>
      </c>
      <c r="F792" s="16">
        <v>1</v>
      </c>
      <c r="G792" s="18">
        <v>62022401</v>
      </c>
      <c r="H792" s="18">
        <f t="shared" ref="H792:H793" si="72">C793</f>
        <v>62022403</v>
      </c>
      <c r="I792" s="27">
        <v>0</v>
      </c>
      <c r="J792" s="16">
        <v>42</v>
      </c>
      <c r="K792" s="18">
        <v>2</v>
      </c>
      <c r="L792" s="16">
        <v>0</v>
      </c>
      <c r="M792" s="18">
        <v>0</v>
      </c>
      <c r="N792" s="18">
        <v>0</v>
      </c>
      <c r="O792" s="18">
        <v>1</v>
      </c>
      <c r="P792" s="18">
        <v>0</v>
      </c>
      <c r="Q792" s="18">
        <v>0</v>
      </c>
      <c r="R792" s="18">
        <v>0</v>
      </c>
      <c r="S792" s="12">
        <v>0</v>
      </c>
      <c r="T792" s="27">
        <v>0</v>
      </c>
      <c r="U792" s="16">
        <v>1</v>
      </c>
      <c r="V792" s="18">
        <v>2</v>
      </c>
      <c r="W792" s="18">
        <v>0</v>
      </c>
      <c r="X792" s="18">
        <v>3.5</v>
      </c>
      <c r="Y792" s="12">
        <v>0</v>
      </c>
      <c r="Z792" s="18">
        <v>900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9" t="s">
        <v>1829</v>
      </c>
      <c r="AV792" s="18"/>
      <c r="AW792" s="19" t="s">
        <v>199</v>
      </c>
      <c r="AX792" s="18" t="s">
        <v>1826</v>
      </c>
      <c r="AY792" s="18">
        <v>10003002</v>
      </c>
      <c r="AZ792" s="18">
        <v>21102040</v>
      </c>
      <c r="BA792" s="19" t="s">
        <v>200</v>
      </c>
      <c r="BB792" s="19">
        <v>0</v>
      </c>
      <c r="BC792" s="27">
        <v>0</v>
      </c>
      <c r="BD792" s="27">
        <v>0</v>
      </c>
      <c r="BE792" s="183" t="str">
        <f t="shared" ref="BE792:BE796" si="73">"吟唱0.5秒,立即对目标范围内的怪物造成"&amp;X792*100&amp;"%攻击伤害+"&amp;Z792&amp;"点固定伤害,并造成2秒眩晕,并使其受到暴击伤害额外提升30%"</f>
        <v>吟唱0.5秒,立即对目标范围内的怪物造成350%攻击伤害+900点固定伤害,并造成2秒眩晕,并使其受到暴击伤害额外提升30%</v>
      </c>
      <c r="BF792" s="183" t="s">
        <v>1830</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62022403</v>
      </c>
      <c r="D793" s="19" t="s">
        <v>1827</v>
      </c>
      <c r="E793" s="19" t="s">
        <v>1828</v>
      </c>
      <c r="F793" s="16">
        <v>2</v>
      </c>
      <c r="G793" s="18">
        <v>62022401</v>
      </c>
      <c r="H793" s="18">
        <f t="shared" si="72"/>
        <v>62022404</v>
      </c>
      <c r="I793" s="27">
        <v>0</v>
      </c>
      <c r="J793" s="16">
        <v>47</v>
      </c>
      <c r="K793" s="18">
        <v>2</v>
      </c>
      <c r="L793" s="16">
        <v>0</v>
      </c>
      <c r="M793" s="18">
        <v>0</v>
      </c>
      <c r="N793" s="18">
        <v>0</v>
      </c>
      <c r="O793" s="18">
        <v>1</v>
      </c>
      <c r="P793" s="18">
        <v>0</v>
      </c>
      <c r="Q793" s="18">
        <v>0</v>
      </c>
      <c r="R793" s="18">
        <v>0</v>
      </c>
      <c r="S793" s="12">
        <v>0</v>
      </c>
      <c r="T793" s="27">
        <v>0</v>
      </c>
      <c r="U793" s="16">
        <v>1</v>
      </c>
      <c r="V793" s="18">
        <v>2</v>
      </c>
      <c r="W793" s="18">
        <v>0</v>
      </c>
      <c r="X793" s="18">
        <v>3.75</v>
      </c>
      <c r="Y793" s="12">
        <v>0</v>
      </c>
      <c r="Z793" s="18">
        <v>1800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9"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吟唱0.5秒,立即对目标范围内的怪物造成375%攻击伤害+1800点固定伤害,并造成2秒眩晕,并使其受到暴击伤害额外提升30%</v>
      </c>
      <c r="BF793" s="183" t="s">
        <v>1831</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19.5" customHeight="1">
      <c r="C794" s="18">
        <v>62022404</v>
      </c>
      <c r="D794" s="19" t="s">
        <v>1827</v>
      </c>
      <c r="E794" s="19" t="s">
        <v>1828</v>
      </c>
      <c r="F794" s="16">
        <v>3</v>
      </c>
      <c r="G794" s="18">
        <v>62022401</v>
      </c>
      <c r="H794" s="18">
        <v>0</v>
      </c>
      <c r="I794" s="27">
        <v>0</v>
      </c>
      <c r="J794" s="16">
        <v>0</v>
      </c>
      <c r="K794" s="18">
        <v>0</v>
      </c>
      <c r="L794" s="16">
        <v>0</v>
      </c>
      <c r="M794" s="18">
        <v>0</v>
      </c>
      <c r="N794" s="18">
        <v>0</v>
      </c>
      <c r="O794" s="18">
        <v>1</v>
      </c>
      <c r="P794" s="18">
        <v>0</v>
      </c>
      <c r="Q794" s="18">
        <v>0</v>
      </c>
      <c r="R794" s="18">
        <v>0</v>
      </c>
      <c r="S794" s="12">
        <v>0</v>
      </c>
      <c r="T794" s="27">
        <v>0</v>
      </c>
      <c r="U794" s="16">
        <v>1</v>
      </c>
      <c r="V794" s="18">
        <v>2</v>
      </c>
      <c r="W794" s="18">
        <v>0</v>
      </c>
      <c r="X794" s="18">
        <v>4</v>
      </c>
      <c r="Y794" s="12">
        <v>0</v>
      </c>
      <c r="Z794" s="18">
        <v>2800</v>
      </c>
      <c r="AA794" s="18">
        <v>0</v>
      </c>
      <c r="AB794" s="18">
        <v>0</v>
      </c>
      <c r="AC794" s="18">
        <v>0</v>
      </c>
      <c r="AD794" s="18">
        <v>0</v>
      </c>
      <c r="AE794" s="18">
        <v>0</v>
      </c>
      <c r="AF794" s="12">
        <v>20</v>
      </c>
      <c r="AG794" s="18">
        <v>1</v>
      </c>
      <c r="AH794" s="18">
        <v>4</v>
      </c>
      <c r="AI794" s="12">
        <v>2</v>
      </c>
      <c r="AJ794" s="12">
        <v>1</v>
      </c>
      <c r="AK794" s="12">
        <v>0</v>
      </c>
      <c r="AL794" s="12">
        <v>6</v>
      </c>
      <c r="AM794" s="18">
        <v>0</v>
      </c>
      <c r="AN794" s="18">
        <v>0.5</v>
      </c>
      <c r="AO794" s="18">
        <v>0</v>
      </c>
      <c r="AP794" s="18">
        <v>0</v>
      </c>
      <c r="AQ794" s="18">
        <v>30000</v>
      </c>
      <c r="AR794" s="18">
        <v>0</v>
      </c>
      <c r="AS794" s="18">
        <v>0</v>
      </c>
      <c r="AT794" s="12">
        <v>0</v>
      </c>
      <c r="AU794" s="349" t="s">
        <v>1829</v>
      </c>
      <c r="AV794" s="18"/>
      <c r="AW794" s="19" t="s">
        <v>199</v>
      </c>
      <c r="AX794" s="18" t="s">
        <v>1826</v>
      </c>
      <c r="AY794" s="18">
        <v>10003002</v>
      </c>
      <c r="AZ794" s="18">
        <v>21102040</v>
      </c>
      <c r="BA794" s="19" t="s">
        <v>200</v>
      </c>
      <c r="BB794" s="19">
        <v>0</v>
      </c>
      <c r="BC794" s="27">
        <v>0</v>
      </c>
      <c r="BD794" s="27">
        <v>0</v>
      </c>
      <c r="BE794" s="183" t="str">
        <f t="shared" si="73"/>
        <v>吟唱0.5秒,立即对目标范围内的怪物造成400%攻击伤害+2800点固定伤害,并造成2秒眩晕,并使其受到暴击伤害额外提升30%</v>
      </c>
      <c r="BF794" s="183" t="s">
        <v>1832</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row>
    <row r="795" spans="3:75" ht="19.5" customHeight="1">
      <c r="C795" s="18">
        <v>62022405</v>
      </c>
      <c r="D795" s="19" t="s">
        <v>1827</v>
      </c>
      <c r="E795" s="19" t="s">
        <v>1828</v>
      </c>
      <c r="F795" s="16">
        <v>4</v>
      </c>
      <c r="G795" s="18">
        <v>62022401</v>
      </c>
      <c r="H795" s="18">
        <v>0</v>
      </c>
      <c r="I795" s="27">
        <v>0</v>
      </c>
      <c r="J795" s="16">
        <v>0</v>
      </c>
      <c r="K795" s="16">
        <v>0</v>
      </c>
      <c r="L795" s="16">
        <v>0</v>
      </c>
      <c r="M795" s="18">
        <v>0</v>
      </c>
      <c r="N795" s="18">
        <v>0</v>
      </c>
      <c r="O795" s="18">
        <v>1</v>
      </c>
      <c r="P795" s="18">
        <v>0</v>
      </c>
      <c r="Q795" s="18">
        <v>0</v>
      </c>
      <c r="R795" s="18">
        <v>0</v>
      </c>
      <c r="S795" s="12">
        <v>0</v>
      </c>
      <c r="T795" s="27">
        <v>0</v>
      </c>
      <c r="U795" s="16">
        <v>1</v>
      </c>
      <c r="V795" s="18">
        <v>2</v>
      </c>
      <c r="W795" s="18">
        <v>0</v>
      </c>
      <c r="X795" s="18">
        <v>4.25</v>
      </c>
      <c r="Y795" s="12">
        <v>0</v>
      </c>
      <c r="Z795" s="18">
        <v>4000</v>
      </c>
      <c r="AA795" s="18">
        <v>0</v>
      </c>
      <c r="AB795" s="18">
        <v>0</v>
      </c>
      <c r="AC795" s="18">
        <v>0</v>
      </c>
      <c r="AD795" s="18">
        <v>0</v>
      </c>
      <c r="AE795" s="18">
        <v>0</v>
      </c>
      <c r="AF795" s="12">
        <v>20</v>
      </c>
      <c r="AG795" s="18">
        <v>1</v>
      </c>
      <c r="AH795" s="18">
        <v>4</v>
      </c>
      <c r="AI795" s="12">
        <v>2</v>
      </c>
      <c r="AJ795" s="12">
        <v>1</v>
      </c>
      <c r="AK795" s="12">
        <v>0</v>
      </c>
      <c r="AL795" s="12">
        <v>6</v>
      </c>
      <c r="AM795" s="18">
        <v>0</v>
      </c>
      <c r="AN795" s="18">
        <v>0.5</v>
      </c>
      <c r="AO795" s="18">
        <v>0</v>
      </c>
      <c r="AP795" s="18">
        <v>0</v>
      </c>
      <c r="AQ795" s="18">
        <v>30000</v>
      </c>
      <c r="AR795" s="18">
        <v>0</v>
      </c>
      <c r="AS795" s="18">
        <v>0</v>
      </c>
      <c r="AT795" s="12">
        <v>0</v>
      </c>
      <c r="AU795" s="349" t="s">
        <v>1829</v>
      </c>
      <c r="AV795" s="18"/>
      <c r="AW795" s="19" t="s">
        <v>199</v>
      </c>
      <c r="AX795" s="18" t="s">
        <v>1826</v>
      </c>
      <c r="AY795" s="18">
        <v>10003002</v>
      </c>
      <c r="AZ795" s="18">
        <v>21102040</v>
      </c>
      <c r="BA795" s="19" t="s">
        <v>200</v>
      </c>
      <c r="BB795" s="19">
        <v>0</v>
      </c>
      <c r="BC795" s="27">
        <v>0</v>
      </c>
      <c r="BD795" s="27">
        <v>0</v>
      </c>
      <c r="BE795" s="183" t="str">
        <f t="shared" si="73"/>
        <v>吟唱0.5秒,立即对目标范围内的怪物造成425%攻击伤害+4000点固定伤害,并造成2秒眩晕,并使其受到暴击伤害额外提升30%</v>
      </c>
      <c r="BF795" s="183" t="s">
        <v>1833</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row>
    <row r="796" spans="3:75" ht="19.5" customHeight="1">
      <c r="C796" s="18">
        <v>62022406</v>
      </c>
      <c r="D796" s="19" t="s">
        <v>1827</v>
      </c>
      <c r="E796" s="19" t="s">
        <v>1828</v>
      </c>
      <c r="F796" s="16">
        <v>5</v>
      </c>
      <c r="G796" s="18">
        <v>62022401</v>
      </c>
      <c r="H796" s="16">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4.5</v>
      </c>
      <c r="Y796" s="12">
        <v>0</v>
      </c>
      <c r="Z796" s="18">
        <v>5200</v>
      </c>
      <c r="AA796" s="18">
        <v>0</v>
      </c>
      <c r="AB796" s="18">
        <v>0</v>
      </c>
      <c r="AC796" s="18">
        <v>0</v>
      </c>
      <c r="AD796" s="18">
        <v>0</v>
      </c>
      <c r="AE796" s="18">
        <v>0</v>
      </c>
      <c r="AF796" s="12">
        <v>20</v>
      </c>
      <c r="AG796" s="18">
        <v>1</v>
      </c>
      <c r="AH796" s="18">
        <v>4</v>
      </c>
      <c r="AI796" s="12">
        <v>2</v>
      </c>
      <c r="AJ796" s="12">
        <v>1</v>
      </c>
      <c r="AK796" s="12">
        <v>0</v>
      </c>
      <c r="AL796" s="12">
        <v>6</v>
      </c>
      <c r="AM796" s="18">
        <v>0</v>
      </c>
      <c r="AN796" s="18">
        <v>0.5</v>
      </c>
      <c r="AO796" s="18">
        <v>0</v>
      </c>
      <c r="AP796" s="18">
        <v>0</v>
      </c>
      <c r="AQ796" s="18">
        <v>30000</v>
      </c>
      <c r="AR796" s="18">
        <v>0</v>
      </c>
      <c r="AS796" s="18">
        <v>0</v>
      </c>
      <c r="AT796" s="12">
        <v>0</v>
      </c>
      <c r="AU796" s="349" t="s">
        <v>1829</v>
      </c>
      <c r="AV796" s="18"/>
      <c r="AW796" s="19" t="s">
        <v>199</v>
      </c>
      <c r="AX796" s="18" t="s">
        <v>1826</v>
      </c>
      <c r="AY796" s="18">
        <v>10003002</v>
      </c>
      <c r="AZ796" s="18">
        <v>21102040</v>
      </c>
      <c r="BA796" s="19" t="s">
        <v>200</v>
      </c>
      <c r="BB796" s="19">
        <v>0</v>
      </c>
      <c r="BC796" s="27">
        <v>0</v>
      </c>
      <c r="BD796" s="27">
        <v>0</v>
      </c>
      <c r="BE796" s="183" t="str">
        <f t="shared" si="73"/>
        <v>吟唱0.5秒,立即对目标范围内的怪物造成450%攻击伤害+5200点固定伤害,并造成2秒眩晕,并使其受到暴击伤害额外提升30%</v>
      </c>
      <c r="BF796" s="183" t="s">
        <v>1834</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620231011</v>
      </c>
      <c r="D797" s="38" t="s">
        <v>1835</v>
      </c>
      <c r="E797" s="38" t="s">
        <v>1836</v>
      </c>
      <c r="F797" s="30">
        <v>0</v>
      </c>
      <c r="G797" s="30">
        <v>62023101</v>
      </c>
      <c r="H797" s="30">
        <v>0</v>
      </c>
      <c r="I797" s="30">
        <v>0</v>
      </c>
      <c r="J797" s="30">
        <v>20</v>
      </c>
      <c r="K797" s="30">
        <v>5</v>
      </c>
      <c r="L797" s="30">
        <v>0</v>
      </c>
      <c r="M797" s="30">
        <v>0</v>
      </c>
      <c r="N797" s="30">
        <v>0</v>
      </c>
      <c r="O797" s="30">
        <v>1</v>
      </c>
      <c r="P797" s="30">
        <v>0</v>
      </c>
      <c r="Q797" s="30">
        <v>0</v>
      </c>
      <c r="R797" s="30">
        <v>0</v>
      </c>
      <c r="S797" s="12">
        <v>0</v>
      </c>
      <c r="T797" s="30">
        <v>0</v>
      </c>
      <c r="U797" s="30">
        <v>1</v>
      </c>
      <c r="V797" s="30">
        <v>2</v>
      </c>
      <c r="W797" s="30">
        <v>0</v>
      </c>
      <c r="X797" s="30">
        <v>2</v>
      </c>
      <c r="Y797" s="12">
        <v>0</v>
      </c>
      <c r="Z797" s="30">
        <v>1050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1838</v>
      </c>
      <c r="BF797" s="182" t="s">
        <v>1839</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620231021</v>
      </c>
      <c r="D798" s="38" t="s">
        <v>1835</v>
      </c>
      <c r="E798" s="38" t="s">
        <v>1836</v>
      </c>
      <c r="F798" s="30">
        <v>1</v>
      </c>
      <c r="G798" s="30">
        <v>62023101</v>
      </c>
      <c r="H798" s="30">
        <v>0</v>
      </c>
      <c r="I798" s="30">
        <v>0</v>
      </c>
      <c r="J798" s="30">
        <v>27</v>
      </c>
      <c r="K798" s="30">
        <v>2</v>
      </c>
      <c r="L798" s="30">
        <v>0</v>
      </c>
      <c r="M798" s="30">
        <v>0</v>
      </c>
      <c r="N798" s="30">
        <v>0</v>
      </c>
      <c r="O798" s="30">
        <v>1</v>
      </c>
      <c r="P798" s="30">
        <v>0</v>
      </c>
      <c r="Q798" s="30">
        <v>0</v>
      </c>
      <c r="R798" s="30">
        <v>0</v>
      </c>
      <c r="S798" s="12">
        <v>0</v>
      </c>
      <c r="T798" s="30">
        <v>0</v>
      </c>
      <c r="U798" s="30">
        <v>1</v>
      </c>
      <c r="V798" s="30">
        <v>2</v>
      </c>
      <c r="W798" s="30">
        <v>0</v>
      </c>
      <c r="X798" s="30">
        <v>2</v>
      </c>
      <c r="Y798" s="12">
        <v>0</v>
      </c>
      <c r="Z798" s="30">
        <v>1050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1838</v>
      </c>
      <c r="BF798" s="182" t="s">
        <v>1839</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620231031</v>
      </c>
      <c r="D799" s="38" t="s">
        <v>1835</v>
      </c>
      <c r="E799" s="38" t="s">
        <v>1836</v>
      </c>
      <c r="F799" s="30">
        <v>2</v>
      </c>
      <c r="G799" s="30">
        <v>62023101</v>
      </c>
      <c r="H799" s="30">
        <v>0</v>
      </c>
      <c r="I799" s="30">
        <v>0</v>
      </c>
      <c r="J799" s="30">
        <v>32</v>
      </c>
      <c r="K799" s="30">
        <v>2</v>
      </c>
      <c r="L799" s="30">
        <v>0</v>
      </c>
      <c r="M799" s="30">
        <v>0</v>
      </c>
      <c r="N799" s="30">
        <v>0</v>
      </c>
      <c r="O799" s="30">
        <v>1</v>
      </c>
      <c r="P799" s="30">
        <v>0</v>
      </c>
      <c r="Q799" s="30">
        <v>0</v>
      </c>
      <c r="R799" s="30">
        <v>0</v>
      </c>
      <c r="S799" s="12">
        <v>0</v>
      </c>
      <c r="T799" s="30">
        <v>0</v>
      </c>
      <c r="U799" s="30">
        <v>1</v>
      </c>
      <c r="V799" s="30">
        <v>2</v>
      </c>
      <c r="W799" s="30">
        <v>0</v>
      </c>
      <c r="X799" s="30">
        <v>2</v>
      </c>
      <c r="Y799" s="12">
        <v>0</v>
      </c>
      <c r="Z799" s="30">
        <v>1400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1840</v>
      </c>
      <c r="BF799" s="182" t="s">
        <v>1841</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30">
        <v>620231041</v>
      </c>
      <c r="D800" s="38" t="s">
        <v>1835</v>
      </c>
      <c r="E800" s="38" t="s">
        <v>1836</v>
      </c>
      <c r="F800" s="30">
        <v>3</v>
      </c>
      <c r="G800" s="30">
        <v>62023101</v>
      </c>
      <c r="H800" s="30">
        <v>0</v>
      </c>
      <c r="I800" s="30">
        <v>0</v>
      </c>
      <c r="J800" s="30">
        <v>0</v>
      </c>
      <c r="K800" s="181">
        <v>0</v>
      </c>
      <c r="L800" s="30">
        <v>0</v>
      </c>
      <c r="M800" s="30">
        <v>0</v>
      </c>
      <c r="N800" s="30">
        <v>0</v>
      </c>
      <c r="O800" s="30">
        <v>1</v>
      </c>
      <c r="P800" s="30">
        <v>0</v>
      </c>
      <c r="Q800" s="30">
        <v>0</v>
      </c>
      <c r="R800" s="30">
        <v>0</v>
      </c>
      <c r="S800" s="12">
        <v>0</v>
      </c>
      <c r="T800" s="30">
        <v>0</v>
      </c>
      <c r="U800" s="30">
        <v>1</v>
      </c>
      <c r="V800" s="30">
        <v>2</v>
      </c>
      <c r="W800" s="30">
        <v>0</v>
      </c>
      <c r="X800" s="30">
        <v>2</v>
      </c>
      <c r="Y800" s="12">
        <v>0</v>
      </c>
      <c r="Z800" s="30">
        <v>1750</v>
      </c>
      <c r="AA800" s="30">
        <v>0</v>
      </c>
      <c r="AB800" s="30">
        <v>0</v>
      </c>
      <c r="AC800" s="30">
        <v>0</v>
      </c>
      <c r="AD800" s="30">
        <v>1</v>
      </c>
      <c r="AE800" s="30">
        <v>0</v>
      </c>
      <c r="AF800" s="30">
        <v>12</v>
      </c>
      <c r="AG800" s="30">
        <v>0</v>
      </c>
      <c r="AH800" s="30">
        <v>0</v>
      </c>
      <c r="AI800" s="30">
        <v>7</v>
      </c>
      <c r="AJ800" s="30">
        <v>0</v>
      </c>
      <c r="AK800" s="12">
        <v>0</v>
      </c>
      <c r="AL800" s="30">
        <v>7</v>
      </c>
      <c r="AM800" s="30">
        <v>0</v>
      </c>
      <c r="AN800" s="30">
        <v>0</v>
      </c>
      <c r="AO800" s="30">
        <v>0</v>
      </c>
      <c r="AP800" s="30">
        <v>0</v>
      </c>
      <c r="AQ800" s="30">
        <v>1000</v>
      </c>
      <c r="AR800" s="30">
        <v>0</v>
      </c>
      <c r="AS800" s="30">
        <v>0</v>
      </c>
      <c r="AT800" s="30">
        <v>92031001</v>
      </c>
      <c r="AU800" s="30">
        <v>92031001</v>
      </c>
      <c r="AV800" s="30"/>
      <c r="AW800" s="38" t="s">
        <v>199</v>
      </c>
      <c r="AX800" s="30" t="s">
        <v>1837</v>
      </c>
      <c r="AY800" s="30">
        <v>0</v>
      </c>
      <c r="AZ800" s="30">
        <v>21103010</v>
      </c>
      <c r="BA800" s="38" t="s">
        <v>200</v>
      </c>
      <c r="BB800" s="38" t="s">
        <v>198</v>
      </c>
      <c r="BC800" s="30">
        <v>0</v>
      </c>
      <c r="BD800" s="30">
        <v>0</v>
      </c>
      <c r="BE800" s="182" t="s">
        <v>1842</v>
      </c>
      <c r="BF800" s="182" t="s">
        <v>1843</v>
      </c>
      <c r="BG800" s="30">
        <v>0</v>
      </c>
      <c r="BH800" s="16">
        <v>0</v>
      </c>
      <c r="BI800" s="30">
        <v>0</v>
      </c>
      <c r="BJ800" s="30">
        <v>0</v>
      </c>
      <c r="BK800" s="30">
        <v>0</v>
      </c>
      <c r="BL800" s="30">
        <v>0</v>
      </c>
      <c r="BM800" s="15">
        <v>0</v>
      </c>
      <c r="BN800" s="12">
        <v>0</v>
      </c>
      <c r="BO800" s="12">
        <v>0</v>
      </c>
      <c r="BP800" s="12">
        <v>0</v>
      </c>
      <c r="BQ800" s="12">
        <v>0</v>
      </c>
      <c r="BR800" s="12">
        <v>0</v>
      </c>
      <c r="BS800" s="12">
        <v>0</v>
      </c>
      <c r="BT800" s="12">
        <v>0</v>
      </c>
      <c r="BU800" s="47">
        <v>0</v>
      </c>
      <c r="BV800" s="47"/>
      <c r="BW800" s="47"/>
    </row>
    <row r="801" spans="3:75" ht="20.100000000000001" customHeight="1">
      <c r="C801" s="30">
        <v>620231051</v>
      </c>
      <c r="D801" s="38" t="s">
        <v>1835</v>
      </c>
      <c r="E801" s="38" t="s">
        <v>1836</v>
      </c>
      <c r="F801" s="30">
        <v>4</v>
      </c>
      <c r="G801" s="30">
        <v>62023101</v>
      </c>
      <c r="H801" s="30">
        <v>0</v>
      </c>
      <c r="I801" s="30">
        <v>0</v>
      </c>
      <c r="J801" s="30">
        <v>0</v>
      </c>
      <c r="K801" s="30">
        <v>0</v>
      </c>
      <c r="L801" s="30">
        <v>0</v>
      </c>
      <c r="M801" s="30">
        <v>0</v>
      </c>
      <c r="N801" s="30">
        <v>0</v>
      </c>
      <c r="O801" s="30">
        <v>1</v>
      </c>
      <c r="P801" s="30">
        <v>0</v>
      </c>
      <c r="Q801" s="30">
        <v>0</v>
      </c>
      <c r="R801" s="30">
        <v>0</v>
      </c>
      <c r="S801" s="12">
        <v>0</v>
      </c>
      <c r="T801" s="30">
        <v>0</v>
      </c>
      <c r="U801" s="30">
        <v>1</v>
      </c>
      <c r="V801" s="30">
        <v>2</v>
      </c>
      <c r="W801" s="30">
        <v>0</v>
      </c>
      <c r="X801" s="30">
        <v>2</v>
      </c>
      <c r="Y801" s="12">
        <v>0</v>
      </c>
      <c r="Z801" s="30">
        <v>2100</v>
      </c>
      <c r="AA801" s="30">
        <v>0</v>
      </c>
      <c r="AB801" s="30">
        <v>0</v>
      </c>
      <c r="AC801" s="30">
        <v>0</v>
      </c>
      <c r="AD801" s="30">
        <v>1</v>
      </c>
      <c r="AE801" s="30">
        <v>0</v>
      </c>
      <c r="AF801" s="30">
        <v>12</v>
      </c>
      <c r="AG801" s="30">
        <v>0</v>
      </c>
      <c r="AH801" s="30">
        <v>0</v>
      </c>
      <c r="AI801" s="30">
        <v>7</v>
      </c>
      <c r="AJ801" s="30">
        <v>0</v>
      </c>
      <c r="AK801" s="12">
        <v>0</v>
      </c>
      <c r="AL801" s="30">
        <v>7</v>
      </c>
      <c r="AM801" s="30">
        <v>0</v>
      </c>
      <c r="AN801" s="30">
        <v>0</v>
      </c>
      <c r="AO801" s="30">
        <v>0</v>
      </c>
      <c r="AP801" s="30">
        <v>0</v>
      </c>
      <c r="AQ801" s="30">
        <v>1000</v>
      </c>
      <c r="AR801" s="30">
        <v>0</v>
      </c>
      <c r="AS801" s="30">
        <v>0</v>
      </c>
      <c r="AT801" s="30">
        <v>92031001</v>
      </c>
      <c r="AU801" s="30">
        <v>92031001</v>
      </c>
      <c r="AV801" s="30"/>
      <c r="AW801" s="38" t="s">
        <v>199</v>
      </c>
      <c r="AX801" s="30" t="s">
        <v>1837</v>
      </c>
      <c r="AY801" s="30">
        <v>0</v>
      </c>
      <c r="AZ801" s="30">
        <v>21103010</v>
      </c>
      <c r="BA801" s="38" t="s">
        <v>200</v>
      </c>
      <c r="BB801" s="38" t="s">
        <v>198</v>
      </c>
      <c r="BC801" s="30">
        <v>0</v>
      </c>
      <c r="BD801" s="30">
        <v>0</v>
      </c>
      <c r="BE801" s="182" t="s">
        <v>1844</v>
      </c>
      <c r="BF801" s="182" t="s">
        <v>1845</v>
      </c>
      <c r="BG801" s="30">
        <v>0</v>
      </c>
      <c r="BH801" s="16">
        <v>0</v>
      </c>
      <c r="BI801" s="30">
        <v>0</v>
      </c>
      <c r="BJ801" s="30">
        <v>0</v>
      </c>
      <c r="BK801" s="30">
        <v>0</v>
      </c>
      <c r="BL801" s="30">
        <v>0</v>
      </c>
      <c r="BM801" s="15">
        <v>0</v>
      </c>
      <c r="BN801" s="12">
        <v>0</v>
      </c>
      <c r="BO801" s="12">
        <v>0</v>
      </c>
      <c r="BP801" s="12">
        <v>0</v>
      </c>
      <c r="BQ801" s="12">
        <v>0</v>
      </c>
      <c r="BR801" s="12">
        <v>0</v>
      </c>
      <c r="BS801" s="12">
        <v>0</v>
      </c>
      <c r="BT801" s="12">
        <v>0</v>
      </c>
      <c r="BU801" s="47">
        <v>0</v>
      </c>
      <c r="BV801" s="47"/>
      <c r="BW801" s="47"/>
    </row>
    <row r="802" spans="3:75" ht="20.100000000000001" customHeight="1">
      <c r="C802" s="30">
        <v>620231061</v>
      </c>
      <c r="D802" s="38" t="s">
        <v>1835</v>
      </c>
      <c r="E802" s="38" t="s">
        <v>1836</v>
      </c>
      <c r="F802" s="30">
        <v>5</v>
      </c>
      <c r="G802" s="30">
        <v>62023101</v>
      </c>
      <c r="H802" s="30">
        <v>0</v>
      </c>
      <c r="I802" s="30">
        <v>0</v>
      </c>
      <c r="J802" s="30">
        <v>25</v>
      </c>
      <c r="K802" s="30">
        <v>5</v>
      </c>
      <c r="L802" s="30">
        <v>0</v>
      </c>
      <c r="M802" s="30">
        <v>0</v>
      </c>
      <c r="N802" s="30">
        <v>0</v>
      </c>
      <c r="O802" s="30">
        <v>1</v>
      </c>
      <c r="P802" s="30">
        <v>0</v>
      </c>
      <c r="Q802" s="30">
        <v>0</v>
      </c>
      <c r="R802" s="30">
        <v>0</v>
      </c>
      <c r="S802" s="12">
        <v>0</v>
      </c>
      <c r="T802" s="30">
        <v>0</v>
      </c>
      <c r="U802" s="30">
        <v>1</v>
      </c>
      <c r="V802" s="30">
        <v>2</v>
      </c>
      <c r="W802" s="30">
        <v>0</v>
      </c>
      <c r="X802" s="30">
        <v>2</v>
      </c>
      <c r="Y802" s="12">
        <v>0</v>
      </c>
      <c r="Z802" s="30">
        <v>2450</v>
      </c>
      <c r="AA802" s="30">
        <v>0</v>
      </c>
      <c r="AB802" s="30">
        <v>0</v>
      </c>
      <c r="AC802" s="30">
        <v>0</v>
      </c>
      <c r="AD802" s="30">
        <v>1</v>
      </c>
      <c r="AE802" s="30">
        <v>0</v>
      </c>
      <c r="AF802" s="30">
        <v>12</v>
      </c>
      <c r="AG802" s="30">
        <v>0</v>
      </c>
      <c r="AH802" s="30">
        <v>0</v>
      </c>
      <c r="AI802" s="30">
        <v>7</v>
      </c>
      <c r="AJ802" s="30">
        <v>0</v>
      </c>
      <c r="AK802" s="12">
        <v>0</v>
      </c>
      <c r="AL802" s="30">
        <v>7</v>
      </c>
      <c r="AM802" s="30">
        <v>0</v>
      </c>
      <c r="AN802" s="30">
        <v>0</v>
      </c>
      <c r="AO802" s="30">
        <v>0</v>
      </c>
      <c r="AP802" s="30">
        <v>0</v>
      </c>
      <c r="AQ802" s="30">
        <v>1000</v>
      </c>
      <c r="AR802" s="30">
        <v>0</v>
      </c>
      <c r="AS802" s="30">
        <v>0</v>
      </c>
      <c r="AT802" s="30">
        <v>92031001</v>
      </c>
      <c r="AU802" s="30">
        <v>92031001</v>
      </c>
      <c r="AV802" s="30"/>
      <c r="AW802" s="38" t="s">
        <v>199</v>
      </c>
      <c r="AX802" s="30" t="s">
        <v>1837</v>
      </c>
      <c r="AY802" s="30">
        <v>0</v>
      </c>
      <c r="AZ802" s="30">
        <v>21103010</v>
      </c>
      <c r="BA802" s="38" t="s">
        <v>200</v>
      </c>
      <c r="BB802" s="38" t="s">
        <v>198</v>
      </c>
      <c r="BC802" s="30">
        <v>0</v>
      </c>
      <c r="BD802" s="30">
        <v>0</v>
      </c>
      <c r="BE802" s="182" t="s">
        <v>1846</v>
      </c>
      <c r="BF802" s="182" t="s">
        <v>1847</v>
      </c>
      <c r="BG802" s="30">
        <v>0</v>
      </c>
      <c r="BH802" s="16">
        <v>0</v>
      </c>
      <c r="BI802" s="30">
        <v>0</v>
      </c>
      <c r="BJ802" s="30">
        <v>0</v>
      </c>
      <c r="BK802" s="30">
        <v>0</v>
      </c>
      <c r="BL802" s="30">
        <v>0</v>
      </c>
      <c r="BM802" s="15">
        <v>0</v>
      </c>
      <c r="BN802" s="12">
        <v>0</v>
      </c>
      <c r="BO802" s="12">
        <v>0</v>
      </c>
      <c r="BP802" s="12">
        <v>0</v>
      </c>
      <c r="BQ802" s="12">
        <v>0</v>
      </c>
      <c r="BR802" s="12">
        <v>0</v>
      </c>
      <c r="BS802" s="12">
        <v>0</v>
      </c>
      <c r="BT802" s="12">
        <v>0</v>
      </c>
      <c r="BU802" s="47">
        <v>0</v>
      </c>
      <c r="BV802" s="47"/>
      <c r="BW802" s="47"/>
    </row>
    <row r="803" spans="3:75" ht="20.100000000000001" customHeight="1">
      <c r="C803" s="18">
        <v>62023101</v>
      </c>
      <c r="D803" s="19" t="s">
        <v>340</v>
      </c>
      <c r="E803" s="19" t="s">
        <v>341</v>
      </c>
      <c r="F803" s="16">
        <v>0</v>
      </c>
      <c r="G803" s="18">
        <v>62021101</v>
      </c>
      <c r="H803" s="18">
        <f>C804</f>
        <v>62023102</v>
      </c>
      <c r="I803" s="27">
        <v>0</v>
      </c>
      <c r="J803" s="16">
        <v>18</v>
      </c>
      <c r="K803" s="16">
        <v>5</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92011001</v>
      </c>
      <c r="AU803" s="18" t="s">
        <v>198</v>
      </c>
      <c r="AV803" s="18"/>
      <c r="AW803" s="19" t="s">
        <v>199</v>
      </c>
      <c r="AX803" s="18" t="s">
        <v>348</v>
      </c>
      <c r="AY803" s="18">
        <v>0</v>
      </c>
      <c r="AZ803" s="18">
        <v>0</v>
      </c>
      <c r="BA803" s="19" t="s">
        <v>200</v>
      </c>
      <c r="BB803" s="19" t="s">
        <v>198</v>
      </c>
      <c r="BC803" s="27">
        <v>0</v>
      </c>
      <c r="BD803" s="27">
        <v>0</v>
      </c>
      <c r="BE803" s="87" t="s">
        <v>1848</v>
      </c>
      <c r="BF803" s="87" t="s">
        <v>1849</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62023102</v>
      </c>
      <c r="D804" s="19" t="s">
        <v>340</v>
      </c>
      <c r="E804" s="19" t="s">
        <v>341</v>
      </c>
      <c r="F804" s="16">
        <v>1</v>
      </c>
      <c r="G804" s="18">
        <v>62021101</v>
      </c>
      <c r="H804" s="18">
        <f t="shared" ref="H804:H805" si="74">C805</f>
        <v>62023103</v>
      </c>
      <c r="I804" s="27">
        <v>0</v>
      </c>
      <c r="J804" s="16">
        <v>27</v>
      </c>
      <c r="K804" s="16">
        <v>2</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92011001</v>
      </c>
      <c r="AU804" s="18" t="s">
        <v>198</v>
      </c>
      <c r="AV804" s="18"/>
      <c r="AW804" s="19" t="s">
        <v>199</v>
      </c>
      <c r="AX804" s="18" t="s">
        <v>348</v>
      </c>
      <c r="AY804" s="18">
        <v>0</v>
      </c>
      <c r="AZ804" s="18">
        <v>0</v>
      </c>
      <c r="BA804" s="19" t="s">
        <v>200</v>
      </c>
      <c r="BB804" s="19" t="s">
        <v>198</v>
      </c>
      <c r="BC804" s="27">
        <v>0</v>
      </c>
      <c r="BD804" s="27">
        <v>0</v>
      </c>
      <c r="BE804" s="87" t="s">
        <v>1848</v>
      </c>
      <c r="BF804" s="87" t="s">
        <v>1849</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62023103</v>
      </c>
      <c r="D805" s="19" t="s">
        <v>340</v>
      </c>
      <c r="E805" s="19" t="s">
        <v>341</v>
      </c>
      <c r="F805" s="16">
        <v>2</v>
      </c>
      <c r="G805" s="18">
        <v>62021101</v>
      </c>
      <c r="H805" s="18">
        <f t="shared" si="74"/>
        <v>62023104</v>
      </c>
      <c r="I805" s="27">
        <v>0</v>
      </c>
      <c r="J805" s="16">
        <v>32</v>
      </c>
      <c r="K805" s="16">
        <v>2</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92011002</v>
      </c>
      <c r="AU805" s="18" t="s">
        <v>198</v>
      </c>
      <c r="AV805" s="18"/>
      <c r="AW805" s="19" t="s">
        <v>199</v>
      </c>
      <c r="AX805" s="18" t="s">
        <v>348</v>
      </c>
      <c r="AY805" s="18">
        <v>0</v>
      </c>
      <c r="AZ805" s="18">
        <v>0</v>
      </c>
      <c r="BA805" s="19" t="s">
        <v>200</v>
      </c>
      <c r="BB805" s="19" t="s">
        <v>198</v>
      </c>
      <c r="BC805" s="27">
        <v>0</v>
      </c>
      <c r="BD805" s="27">
        <v>0</v>
      </c>
      <c r="BE805" s="87" t="s">
        <v>1850</v>
      </c>
      <c r="BF805" s="87" t="s">
        <v>1851</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62023104</v>
      </c>
      <c r="D806" s="19" t="s">
        <v>340</v>
      </c>
      <c r="E806" s="19" t="s">
        <v>341</v>
      </c>
      <c r="F806" s="16">
        <v>3</v>
      </c>
      <c r="G806" s="18">
        <v>62021101</v>
      </c>
      <c r="H806" s="16">
        <v>0</v>
      </c>
      <c r="I806" s="27">
        <v>0</v>
      </c>
      <c r="J806" s="16">
        <v>0</v>
      </c>
      <c r="K806" s="179">
        <v>0</v>
      </c>
      <c r="L806" s="16">
        <v>0</v>
      </c>
      <c r="M806" s="18">
        <v>0</v>
      </c>
      <c r="N806" s="18">
        <v>0</v>
      </c>
      <c r="O806" s="18">
        <v>1</v>
      </c>
      <c r="P806" s="18">
        <v>0</v>
      </c>
      <c r="Q806" s="18">
        <v>0</v>
      </c>
      <c r="R806" s="18">
        <v>0</v>
      </c>
      <c r="S806" s="12">
        <v>0</v>
      </c>
      <c r="T806" s="27">
        <v>0</v>
      </c>
      <c r="U806" s="16">
        <v>1</v>
      </c>
      <c r="V806" s="18">
        <v>2</v>
      </c>
      <c r="W806" s="18">
        <v>0</v>
      </c>
      <c r="X806" s="18">
        <v>0</v>
      </c>
      <c r="Y806" s="12">
        <v>0</v>
      </c>
      <c r="Z806" s="18">
        <v>0</v>
      </c>
      <c r="AA806" s="18">
        <v>0</v>
      </c>
      <c r="AB806" s="18">
        <v>0</v>
      </c>
      <c r="AC806" s="18">
        <v>0</v>
      </c>
      <c r="AD806" s="18">
        <v>0</v>
      </c>
      <c r="AE806" s="18">
        <v>0</v>
      </c>
      <c r="AF806" s="18">
        <v>30</v>
      </c>
      <c r="AG806" s="18">
        <v>0</v>
      </c>
      <c r="AH806" s="18">
        <v>0</v>
      </c>
      <c r="AI806" s="12">
        <v>2</v>
      </c>
      <c r="AJ806" s="12">
        <v>0</v>
      </c>
      <c r="AK806" s="12">
        <v>0</v>
      </c>
      <c r="AL806" s="12">
        <v>0</v>
      </c>
      <c r="AM806" s="18">
        <v>0</v>
      </c>
      <c r="AN806" s="18">
        <v>0</v>
      </c>
      <c r="AO806" s="18">
        <v>0</v>
      </c>
      <c r="AP806" s="30">
        <v>0</v>
      </c>
      <c r="AQ806" s="18">
        <v>1000</v>
      </c>
      <c r="AR806" s="18">
        <v>0</v>
      </c>
      <c r="AS806" s="18">
        <v>0</v>
      </c>
      <c r="AT806" s="12">
        <v>92011003</v>
      </c>
      <c r="AU806" s="18" t="s">
        <v>198</v>
      </c>
      <c r="AV806" s="18"/>
      <c r="AW806" s="19" t="s">
        <v>199</v>
      </c>
      <c r="AX806" s="18" t="s">
        <v>348</v>
      </c>
      <c r="AY806" s="18">
        <v>0</v>
      </c>
      <c r="AZ806" s="18">
        <v>0</v>
      </c>
      <c r="BA806" s="19" t="s">
        <v>200</v>
      </c>
      <c r="BB806" s="19" t="s">
        <v>198</v>
      </c>
      <c r="BC806" s="27">
        <v>0</v>
      </c>
      <c r="BD806" s="27">
        <v>0</v>
      </c>
      <c r="BE806" s="87" t="s">
        <v>1852</v>
      </c>
      <c r="BF806" s="87" t="s">
        <v>1853</v>
      </c>
      <c r="BG806" s="18">
        <v>0</v>
      </c>
      <c r="BH806" s="16">
        <v>0</v>
      </c>
      <c r="BI806" s="18">
        <v>0</v>
      </c>
      <c r="BJ806" s="18">
        <v>0</v>
      </c>
      <c r="BK806" s="18">
        <v>0</v>
      </c>
      <c r="BL806" s="18">
        <v>0</v>
      </c>
      <c r="BM806" s="15">
        <v>0</v>
      </c>
      <c r="BN806" s="12">
        <v>1</v>
      </c>
      <c r="BO806" s="12">
        <v>0</v>
      </c>
      <c r="BP806" s="12">
        <v>0</v>
      </c>
      <c r="BQ806" s="12">
        <v>0</v>
      </c>
      <c r="BR806" s="12">
        <v>0</v>
      </c>
      <c r="BS806" s="12">
        <v>0</v>
      </c>
      <c r="BT806" s="12">
        <v>0</v>
      </c>
      <c r="BU806" s="47">
        <v>0</v>
      </c>
      <c r="BV806" s="47"/>
      <c r="BW806" s="47"/>
    </row>
    <row r="807" spans="3:75" ht="20.100000000000001" customHeight="1">
      <c r="C807" s="18">
        <v>62023105</v>
      </c>
      <c r="D807" s="19" t="s">
        <v>340</v>
      </c>
      <c r="E807" s="19" t="s">
        <v>341</v>
      </c>
      <c r="F807" s="16">
        <v>4</v>
      </c>
      <c r="G807" s="18">
        <v>62021101</v>
      </c>
      <c r="H807" s="16">
        <v>0</v>
      </c>
      <c r="I807" s="27">
        <v>0</v>
      </c>
      <c r="J807" s="16">
        <v>0</v>
      </c>
      <c r="K807" s="16">
        <v>0</v>
      </c>
      <c r="L807" s="16">
        <v>0</v>
      </c>
      <c r="M807" s="18">
        <v>0</v>
      </c>
      <c r="N807" s="18">
        <v>0</v>
      </c>
      <c r="O807" s="18">
        <v>1</v>
      </c>
      <c r="P807" s="18">
        <v>0</v>
      </c>
      <c r="Q807" s="18">
        <v>0</v>
      </c>
      <c r="R807" s="18">
        <v>0</v>
      </c>
      <c r="S807" s="12">
        <v>0</v>
      </c>
      <c r="T807" s="27">
        <v>0</v>
      </c>
      <c r="U807" s="16">
        <v>1</v>
      </c>
      <c r="V807" s="18">
        <v>2</v>
      </c>
      <c r="W807" s="18">
        <v>0</v>
      </c>
      <c r="X807" s="18">
        <v>0</v>
      </c>
      <c r="Y807" s="12">
        <v>0</v>
      </c>
      <c r="Z807" s="18">
        <v>0</v>
      </c>
      <c r="AA807" s="18">
        <v>0</v>
      </c>
      <c r="AB807" s="18">
        <v>0</v>
      </c>
      <c r="AC807" s="18">
        <v>0</v>
      </c>
      <c r="AD807" s="18">
        <v>0</v>
      </c>
      <c r="AE807" s="18">
        <v>0</v>
      </c>
      <c r="AF807" s="18">
        <v>30</v>
      </c>
      <c r="AG807" s="18">
        <v>0</v>
      </c>
      <c r="AH807" s="18">
        <v>0</v>
      </c>
      <c r="AI807" s="12">
        <v>2</v>
      </c>
      <c r="AJ807" s="12">
        <v>0</v>
      </c>
      <c r="AK807" s="12">
        <v>0</v>
      </c>
      <c r="AL807" s="12">
        <v>0</v>
      </c>
      <c r="AM807" s="18">
        <v>0</v>
      </c>
      <c r="AN807" s="18">
        <v>0</v>
      </c>
      <c r="AO807" s="18">
        <v>0</v>
      </c>
      <c r="AP807" s="30">
        <v>0</v>
      </c>
      <c r="AQ807" s="18">
        <v>1000</v>
      </c>
      <c r="AR807" s="18">
        <v>0</v>
      </c>
      <c r="AS807" s="18">
        <v>0</v>
      </c>
      <c r="AT807" s="12">
        <v>92011004</v>
      </c>
      <c r="AU807" s="18" t="s">
        <v>198</v>
      </c>
      <c r="AV807" s="18"/>
      <c r="AW807" s="19" t="s">
        <v>199</v>
      </c>
      <c r="AX807" s="18" t="s">
        <v>348</v>
      </c>
      <c r="AY807" s="18">
        <v>0</v>
      </c>
      <c r="AZ807" s="18">
        <v>0</v>
      </c>
      <c r="BA807" s="19" t="s">
        <v>200</v>
      </c>
      <c r="BB807" s="19" t="s">
        <v>198</v>
      </c>
      <c r="BC807" s="27">
        <v>0</v>
      </c>
      <c r="BD807" s="27">
        <v>0</v>
      </c>
      <c r="BE807" s="87" t="s">
        <v>1854</v>
      </c>
      <c r="BF807" s="87" t="s">
        <v>1855</v>
      </c>
      <c r="BG807" s="18">
        <v>0</v>
      </c>
      <c r="BH807" s="16">
        <v>0</v>
      </c>
      <c r="BI807" s="18">
        <v>0</v>
      </c>
      <c r="BJ807" s="18">
        <v>0</v>
      </c>
      <c r="BK807" s="18">
        <v>0</v>
      </c>
      <c r="BL807" s="18">
        <v>0</v>
      </c>
      <c r="BM807" s="15">
        <v>0</v>
      </c>
      <c r="BN807" s="12">
        <v>1</v>
      </c>
      <c r="BO807" s="12">
        <v>0</v>
      </c>
      <c r="BP807" s="12">
        <v>0</v>
      </c>
      <c r="BQ807" s="12">
        <v>0</v>
      </c>
      <c r="BR807" s="12">
        <v>0</v>
      </c>
      <c r="BS807" s="12">
        <v>0</v>
      </c>
      <c r="BT807" s="12">
        <v>0</v>
      </c>
      <c r="BU807" s="47">
        <v>0</v>
      </c>
      <c r="BV807" s="47"/>
      <c r="BW807" s="47"/>
    </row>
    <row r="808" spans="3:75" ht="20.100000000000001" customHeight="1">
      <c r="C808" s="18">
        <v>62023106</v>
      </c>
      <c r="D808" s="19" t="s">
        <v>340</v>
      </c>
      <c r="E808" s="19" t="s">
        <v>341</v>
      </c>
      <c r="F808" s="16">
        <v>5</v>
      </c>
      <c r="G808" s="18">
        <v>62021101</v>
      </c>
      <c r="H808" s="16">
        <v>0</v>
      </c>
      <c r="I808" s="27">
        <v>0</v>
      </c>
      <c r="J808" s="16">
        <v>0</v>
      </c>
      <c r="K808" s="16">
        <v>0</v>
      </c>
      <c r="L808" s="16">
        <v>0</v>
      </c>
      <c r="M808" s="18">
        <v>0</v>
      </c>
      <c r="N808" s="18">
        <v>0</v>
      </c>
      <c r="O808" s="18">
        <v>1</v>
      </c>
      <c r="P808" s="18">
        <v>0</v>
      </c>
      <c r="Q808" s="18">
        <v>0</v>
      </c>
      <c r="R808" s="18">
        <v>0</v>
      </c>
      <c r="S808" s="12">
        <v>0</v>
      </c>
      <c r="T808" s="27">
        <v>0</v>
      </c>
      <c r="U808" s="16">
        <v>1</v>
      </c>
      <c r="V808" s="18">
        <v>2</v>
      </c>
      <c r="W808" s="18">
        <v>0</v>
      </c>
      <c r="X808" s="18">
        <v>0</v>
      </c>
      <c r="Y808" s="12">
        <v>0</v>
      </c>
      <c r="Z808" s="18">
        <v>0</v>
      </c>
      <c r="AA808" s="18">
        <v>0</v>
      </c>
      <c r="AB808" s="18">
        <v>0</v>
      </c>
      <c r="AC808" s="18">
        <v>0</v>
      </c>
      <c r="AD808" s="18">
        <v>0</v>
      </c>
      <c r="AE808" s="18">
        <v>0</v>
      </c>
      <c r="AF808" s="18">
        <v>30</v>
      </c>
      <c r="AG808" s="18">
        <v>0</v>
      </c>
      <c r="AH808" s="18">
        <v>0</v>
      </c>
      <c r="AI808" s="12">
        <v>2</v>
      </c>
      <c r="AJ808" s="12">
        <v>0</v>
      </c>
      <c r="AK808" s="12">
        <v>0</v>
      </c>
      <c r="AL808" s="12">
        <v>0</v>
      </c>
      <c r="AM808" s="18">
        <v>0</v>
      </c>
      <c r="AN808" s="18">
        <v>0</v>
      </c>
      <c r="AO808" s="18">
        <v>0</v>
      </c>
      <c r="AP808" s="30">
        <v>0</v>
      </c>
      <c r="AQ808" s="18">
        <v>1000</v>
      </c>
      <c r="AR808" s="18">
        <v>0</v>
      </c>
      <c r="AS808" s="18">
        <v>0</v>
      </c>
      <c r="AT808" s="12">
        <v>92011005</v>
      </c>
      <c r="AU808" s="18" t="s">
        <v>198</v>
      </c>
      <c r="AV808" s="18"/>
      <c r="AW808" s="19" t="s">
        <v>199</v>
      </c>
      <c r="AX808" s="18" t="s">
        <v>348</v>
      </c>
      <c r="AY808" s="18">
        <v>0</v>
      </c>
      <c r="AZ808" s="18">
        <v>0</v>
      </c>
      <c r="BA808" s="19" t="s">
        <v>200</v>
      </c>
      <c r="BB808" s="19" t="s">
        <v>198</v>
      </c>
      <c r="BC808" s="27">
        <v>0</v>
      </c>
      <c r="BD808" s="27">
        <v>0</v>
      </c>
      <c r="BE808" s="87" t="s">
        <v>1856</v>
      </c>
      <c r="BF808" s="87" t="s">
        <v>1857</v>
      </c>
      <c r="BG808" s="18">
        <v>0</v>
      </c>
      <c r="BH808" s="16">
        <v>0</v>
      </c>
      <c r="BI808" s="18">
        <v>0</v>
      </c>
      <c r="BJ808" s="18">
        <v>0</v>
      </c>
      <c r="BK808" s="18">
        <v>0</v>
      </c>
      <c r="BL808" s="18">
        <v>0</v>
      </c>
      <c r="BM808" s="15">
        <v>0</v>
      </c>
      <c r="BN808" s="12">
        <v>1</v>
      </c>
      <c r="BO808" s="12">
        <v>0</v>
      </c>
      <c r="BP808" s="12">
        <v>0</v>
      </c>
      <c r="BQ808" s="12">
        <v>0</v>
      </c>
      <c r="BR808" s="12">
        <v>0</v>
      </c>
      <c r="BS808" s="12">
        <v>0</v>
      </c>
      <c r="BT808" s="12">
        <v>0</v>
      </c>
      <c r="BU808" s="47">
        <v>0</v>
      </c>
      <c r="BV808" s="47"/>
      <c r="BW808" s="47"/>
    </row>
    <row r="809" spans="3:75" ht="20.100000000000001" customHeight="1">
      <c r="C809" s="18">
        <v>62023201</v>
      </c>
      <c r="D809" s="19" t="s">
        <v>1858</v>
      </c>
      <c r="E809" s="19" t="s">
        <v>1859</v>
      </c>
      <c r="F809" s="16">
        <v>0</v>
      </c>
      <c r="G809" s="18">
        <v>62023201</v>
      </c>
      <c r="H809" s="18">
        <v>62023202</v>
      </c>
      <c r="I809" s="27">
        <v>0</v>
      </c>
      <c r="J809" s="16">
        <v>25</v>
      </c>
      <c r="K809" s="16">
        <v>5</v>
      </c>
      <c r="L809" s="16">
        <v>0</v>
      </c>
      <c r="M809" s="18">
        <v>0</v>
      </c>
      <c r="N809" s="18">
        <v>0</v>
      </c>
      <c r="O809" s="18">
        <v>1</v>
      </c>
      <c r="P809" s="18">
        <v>0</v>
      </c>
      <c r="Q809" s="18">
        <v>0</v>
      </c>
      <c r="R809" s="18">
        <v>0</v>
      </c>
      <c r="S809" s="12">
        <v>0</v>
      </c>
      <c r="T809" s="27">
        <v>0</v>
      </c>
      <c r="U809" s="16">
        <v>1</v>
      </c>
      <c r="V809" s="18">
        <v>2</v>
      </c>
      <c r="W809" s="18">
        <v>0</v>
      </c>
      <c r="X809" s="18">
        <v>1.1000000000000001</v>
      </c>
      <c r="Y809" s="12">
        <v>0</v>
      </c>
      <c r="Z809" s="18">
        <v>500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ref="BE809:BE814" si="75">"对目标区域释放治愈之境,附近己方单位每秒恢复最大生命值3%的生命值,对敌方目标每秒损失"&amp;X809*100&amp;"%攻击伤害+"&amp;Z809&amp;",持续10秒"</f>
        <v>对目标区域释放治愈之境,附近己方单位每秒恢复最大生命值3%的生命值,对敌方目标每秒损失110%攻击伤害+500,持续10秒</v>
      </c>
      <c r="BF809" s="87" t="s">
        <v>1861</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62023202</v>
      </c>
      <c r="D810" s="19" t="s">
        <v>1858</v>
      </c>
      <c r="E810" s="19" t="s">
        <v>1859</v>
      </c>
      <c r="F810" s="16">
        <v>1</v>
      </c>
      <c r="G810" s="18">
        <v>62023201</v>
      </c>
      <c r="H810" s="18">
        <v>62023203</v>
      </c>
      <c r="I810" s="27">
        <v>0</v>
      </c>
      <c r="J810" s="16">
        <v>32</v>
      </c>
      <c r="K810" s="16">
        <v>2</v>
      </c>
      <c r="L810" s="16">
        <v>0</v>
      </c>
      <c r="M810" s="18">
        <v>0</v>
      </c>
      <c r="N810" s="18">
        <v>0</v>
      </c>
      <c r="O810" s="18">
        <v>1</v>
      </c>
      <c r="P810" s="18">
        <v>0</v>
      </c>
      <c r="Q810" s="18">
        <v>0</v>
      </c>
      <c r="R810" s="18">
        <v>0</v>
      </c>
      <c r="S810" s="12">
        <v>0</v>
      </c>
      <c r="T810" s="27">
        <v>0</v>
      </c>
      <c r="U810" s="16">
        <v>1</v>
      </c>
      <c r="V810" s="18">
        <v>2</v>
      </c>
      <c r="W810" s="18">
        <v>0</v>
      </c>
      <c r="X810" s="18">
        <v>1.1000000000000001</v>
      </c>
      <c r="Y810" s="12">
        <v>0</v>
      </c>
      <c r="Z810" s="18">
        <v>500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对目标区域释放治愈之境,附近己方单位每秒恢复最大生命值3%的生命值,对敌方目标每秒损失110%攻击伤害+500,持续10秒</v>
      </c>
      <c r="BF810" s="87" t="s">
        <v>1861</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62023203</v>
      </c>
      <c r="D811" s="19" t="s">
        <v>1858</v>
      </c>
      <c r="E811" s="19" t="s">
        <v>1859</v>
      </c>
      <c r="F811" s="16">
        <v>2</v>
      </c>
      <c r="G811" s="18">
        <v>62023201</v>
      </c>
      <c r="H811" s="18">
        <v>62023204</v>
      </c>
      <c r="I811" s="27">
        <v>0</v>
      </c>
      <c r="J811" s="16">
        <v>37</v>
      </c>
      <c r="K811" s="16">
        <v>2</v>
      </c>
      <c r="L811" s="16">
        <v>0</v>
      </c>
      <c r="M811" s="18">
        <v>0</v>
      </c>
      <c r="N811" s="18">
        <v>0</v>
      </c>
      <c r="O811" s="18">
        <v>1</v>
      </c>
      <c r="P811" s="18">
        <v>0</v>
      </c>
      <c r="Q811" s="18">
        <v>0</v>
      </c>
      <c r="R811" s="18">
        <v>0</v>
      </c>
      <c r="S811" s="12">
        <v>0</v>
      </c>
      <c r="T811" s="27">
        <v>0</v>
      </c>
      <c r="U811" s="16">
        <v>1</v>
      </c>
      <c r="V811" s="18">
        <v>2</v>
      </c>
      <c r="W811" s="18">
        <v>0</v>
      </c>
      <c r="X811" s="18">
        <v>1.2</v>
      </c>
      <c r="Y811" s="12">
        <v>0</v>
      </c>
      <c r="Z811" s="18">
        <v>800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对目标区域释放治愈之境,附近己方单位每秒恢复最大生命值3%的生命值,对敌方目标每秒损失120%攻击伤害+800,持续10秒</v>
      </c>
      <c r="BF811" s="87" t="s">
        <v>1862</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20.100000000000001" customHeight="1">
      <c r="C812" s="18">
        <v>62023204</v>
      </c>
      <c r="D812" s="19" t="s">
        <v>1858</v>
      </c>
      <c r="E812" s="19" t="s">
        <v>1859</v>
      </c>
      <c r="F812" s="16">
        <v>3</v>
      </c>
      <c r="G812" s="18">
        <v>62023201</v>
      </c>
      <c r="H812" s="16">
        <v>0</v>
      </c>
      <c r="I812" s="27">
        <v>0</v>
      </c>
      <c r="J812" s="16">
        <v>0</v>
      </c>
      <c r="K812" s="16">
        <v>0</v>
      </c>
      <c r="L812" s="16">
        <v>0</v>
      </c>
      <c r="M812" s="18">
        <v>0</v>
      </c>
      <c r="N812" s="18">
        <v>0</v>
      </c>
      <c r="O812" s="18">
        <v>1</v>
      </c>
      <c r="P812" s="18">
        <v>0</v>
      </c>
      <c r="Q812" s="18">
        <v>0</v>
      </c>
      <c r="R812" s="18">
        <v>0</v>
      </c>
      <c r="S812" s="12">
        <v>0</v>
      </c>
      <c r="T812" s="27">
        <v>0</v>
      </c>
      <c r="U812" s="16">
        <v>1</v>
      </c>
      <c r="V812" s="18">
        <v>2</v>
      </c>
      <c r="W812" s="18">
        <v>0</v>
      </c>
      <c r="X812" s="18">
        <v>1.3</v>
      </c>
      <c r="Y812" s="12">
        <v>0</v>
      </c>
      <c r="Z812" s="18">
        <v>1150</v>
      </c>
      <c r="AA812" s="18">
        <v>0</v>
      </c>
      <c r="AB812" s="18">
        <v>0</v>
      </c>
      <c r="AC812" s="18">
        <v>0</v>
      </c>
      <c r="AD812" s="18">
        <v>0</v>
      </c>
      <c r="AE812" s="18">
        <v>0</v>
      </c>
      <c r="AF812" s="18">
        <v>18</v>
      </c>
      <c r="AG812" s="18">
        <v>1</v>
      </c>
      <c r="AH812" s="18">
        <v>4</v>
      </c>
      <c r="AI812" s="12">
        <v>2</v>
      </c>
      <c r="AJ812" s="12">
        <v>1</v>
      </c>
      <c r="AK812" s="12">
        <v>0</v>
      </c>
      <c r="AL812" s="12">
        <v>6</v>
      </c>
      <c r="AM812" s="18">
        <v>0</v>
      </c>
      <c r="AN812" s="18">
        <v>0</v>
      </c>
      <c r="AO812" s="18">
        <v>0</v>
      </c>
      <c r="AP812" s="18">
        <v>0.25</v>
      </c>
      <c r="AQ812" s="18">
        <v>10000</v>
      </c>
      <c r="AR812" s="18">
        <v>0.5</v>
      </c>
      <c r="AS812" s="18">
        <v>0</v>
      </c>
      <c r="AT812" s="12">
        <v>0</v>
      </c>
      <c r="AU812" s="12">
        <v>92032001</v>
      </c>
      <c r="AV812" s="12"/>
      <c r="AW812" s="19" t="s">
        <v>199</v>
      </c>
      <c r="AX812" s="18" t="s">
        <v>1860</v>
      </c>
      <c r="AY812" s="18">
        <v>10002001</v>
      </c>
      <c r="AZ812" s="18">
        <v>21103020</v>
      </c>
      <c r="BA812" s="19" t="s">
        <v>315</v>
      </c>
      <c r="BB812" s="19" t="s">
        <v>371</v>
      </c>
      <c r="BC812" s="27">
        <v>0</v>
      </c>
      <c r="BD812" s="27">
        <v>0</v>
      </c>
      <c r="BE812" s="87" t="str">
        <f t="shared" si="75"/>
        <v>对目标区域释放治愈之境,附近己方单位每秒恢复最大生命值3%的生命值,对敌方目标每秒损失130%攻击伤害+1150,持续10秒</v>
      </c>
      <c r="BF812" s="87" t="s">
        <v>1863</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20.100000000000001" customHeight="1">
      <c r="C813" s="18">
        <v>62023205</v>
      </c>
      <c r="D813" s="19" t="s">
        <v>1858</v>
      </c>
      <c r="E813" s="19" t="s">
        <v>1859</v>
      </c>
      <c r="F813" s="16">
        <v>4</v>
      </c>
      <c r="G813" s="18">
        <v>62023201</v>
      </c>
      <c r="H813" s="16">
        <v>0</v>
      </c>
      <c r="I813" s="27">
        <v>0</v>
      </c>
      <c r="J813" s="16">
        <v>0</v>
      </c>
      <c r="K813" s="16">
        <v>0</v>
      </c>
      <c r="L813" s="16">
        <v>0</v>
      </c>
      <c r="M813" s="18">
        <v>0</v>
      </c>
      <c r="N813" s="18">
        <v>0</v>
      </c>
      <c r="O813" s="18">
        <v>1</v>
      </c>
      <c r="P813" s="18">
        <v>0</v>
      </c>
      <c r="Q813" s="18">
        <v>0</v>
      </c>
      <c r="R813" s="18">
        <v>0</v>
      </c>
      <c r="S813" s="12">
        <v>0</v>
      </c>
      <c r="T813" s="27">
        <v>0</v>
      </c>
      <c r="U813" s="16">
        <v>1</v>
      </c>
      <c r="V813" s="18">
        <v>2</v>
      </c>
      <c r="W813" s="18">
        <v>0</v>
      </c>
      <c r="X813" s="18">
        <v>1.4</v>
      </c>
      <c r="Y813" s="12">
        <v>0</v>
      </c>
      <c r="Z813" s="18">
        <v>1550</v>
      </c>
      <c r="AA813" s="18">
        <v>0</v>
      </c>
      <c r="AB813" s="18">
        <v>0</v>
      </c>
      <c r="AC813" s="18">
        <v>0</v>
      </c>
      <c r="AD813" s="18">
        <v>0</v>
      </c>
      <c r="AE813" s="18">
        <v>0</v>
      </c>
      <c r="AF813" s="18">
        <v>18</v>
      </c>
      <c r="AG813" s="18">
        <v>1</v>
      </c>
      <c r="AH813" s="18">
        <v>4</v>
      </c>
      <c r="AI813" s="12">
        <v>2</v>
      </c>
      <c r="AJ813" s="12">
        <v>1</v>
      </c>
      <c r="AK813" s="12">
        <v>0</v>
      </c>
      <c r="AL813" s="12">
        <v>6</v>
      </c>
      <c r="AM813" s="18">
        <v>0</v>
      </c>
      <c r="AN813" s="18">
        <v>0</v>
      </c>
      <c r="AO813" s="18">
        <v>0</v>
      </c>
      <c r="AP813" s="18">
        <v>0.25</v>
      </c>
      <c r="AQ813" s="18">
        <v>10000</v>
      </c>
      <c r="AR813" s="18">
        <v>0.5</v>
      </c>
      <c r="AS813" s="18">
        <v>0</v>
      </c>
      <c r="AT813" s="12">
        <v>0</v>
      </c>
      <c r="AU813" s="12">
        <v>92032001</v>
      </c>
      <c r="AV813" s="12"/>
      <c r="AW813" s="19" t="s">
        <v>199</v>
      </c>
      <c r="AX813" s="18" t="s">
        <v>1860</v>
      </c>
      <c r="AY813" s="18">
        <v>10002001</v>
      </c>
      <c r="AZ813" s="18">
        <v>21103020</v>
      </c>
      <c r="BA813" s="19" t="s">
        <v>315</v>
      </c>
      <c r="BB813" s="19" t="s">
        <v>371</v>
      </c>
      <c r="BC813" s="27">
        <v>0</v>
      </c>
      <c r="BD813" s="27">
        <v>0</v>
      </c>
      <c r="BE813" s="87" t="str">
        <f t="shared" si="75"/>
        <v>对目标区域释放治愈之境,附近己方单位每秒恢复最大生命值3%的生命值,对敌方目标每秒损失140%攻击伤害+1550,持续10秒</v>
      </c>
      <c r="BF813" s="87" t="s">
        <v>1864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20.100000000000001" customHeight="1">
      <c r="C814" s="18">
        <v>62023206</v>
      </c>
      <c r="D814" s="19" t="s">
        <v>1858</v>
      </c>
      <c r="E814" s="19" t="s">
        <v>1859</v>
      </c>
      <c r="F814" s="16">
        <v>5</v>
      </c>
      <c r="G814" s="18">
        <v>62023201</v>
      </c>
      <c r="H814" s="16">
        <v>0</v>
      </c>
      <c r="I814" s="27">
        <v>0</v>
      </c>
      <c r="J814" s="16">
        <v>0</v>
      </c>
      <c r="K814" s="16">
        <v>0</v>
      </c>
      <c r="L814" s="16">
        <v>0</v>
      </c>
      <c r="M814" s="18">
        <v>0</v>
      </c>
      <c r="N814" s="18">
        <v>0</v>
      </c>
      <c r="O814" s="18">
        <v>1</v>
      </c>
      <c r="P814" s="18">
        <v>0</v>
      </c>
      <c r="Q814" s="18">
        <v>0</v>
      </c>
      <c r="R814" s="18">
        <v>0</v>
      </c>
      <c r="S814" s="12">
        <v>0</v>
      </c>
      <c r="T814" s="27">
        <v>0</v>
      </c>
      <c r="U814" s="16">
        <v>1</v>
      </c>
      <c r="V814" s="18">
        <v>2</v>
      </c>
      <c r="W814" s="18">
        <v>0</v>
      </c>
      <c r="X814" s="18">
        <v>1.5</v>
      </c>
      <c r="Y814" s="12">
        <v>0</v>
      </c>
      <c r="Z814" s="18">
        <v>2050</v>
      </c>
      <c r="AA814" s="18">
        <v>0</v>
      </c>
      <c r="AB814" s="18">
        <v>0</v>
      </c>
      <c r="AC814" s="18">
        <v>0</v>
      </c>
      <c r="AD814" s="18">
        <v>0</v>
      </c>
      <c r="AE814" s="18">
        <v>0</v>
      </c>
      <c r="AF814" s="18">
        <v>18</v>
      </c>
      <c r="AG814" s="18">
        <v>1</v>
      </c>
      <c r="AH814" s="18">
        <v>4</v>
      </c>
      <c r="AI814" s="12">
        <v>2</v>
      </c>
      <c r="AJ814" s="12">
        <v>1</v>
      </c>
      <c r="AK814" s="12">
        <v>0</v>
      </c>
      <c r="AL814" s="12">
        <v>6</v>
      </c>
      <c r="AM814" s="18">
        <v>0</v>
      </c>
      <c r="AN814" s="18">
        <v>0</v>
      </c>
      <c r="AO814" s="18">
        <v>0</v>
      </c>
      <c r="AP814" s="18">
        <v>0.25</v>
      </c>
      <c r="AQ814" s="18">
        <v>10000</v>
      </c>
      <c r="AR814" s="18">
        <v>0.5</v>
      </c>
      <c r="AS814" s="18">
        <v>0</v>
      </c>
      <c r="AT814" s="12">
        <v>0</v>
      </c>
      <c r="AU814" s="12">
        <v>92032001</v>
      </c>
      <c r="AV814" s="12"/>
      <c r="AW814" s="19" t="s">
        <v>199</v>
      </c>
      <c r="AX814" s="18" t="s">
        <v>1860</v>
      </c>
      <c r="AY814" s="18">
        <v>10002001</v>
      </c>
      <c r="AZ814" s="18">
        <v>21103020</v>
      </c>
      <c r="BA814" s="19" t="s">
        <v>315</v>
      </c>
      <c r="BB814" s="19" t="s">
        <v>371</v>
      </c>
      <c r="BC814" s="27">
        <v>0</v>
      </c>
      <c r="BD814" s="27">
        <v>0</v>
      </c>
      <c r="BE814" s="87" t="str">
        <f t="shared" si="75"/>
        <v>对目标区域释放治愈之境,附近己方单位每秒恢复最大生命值3%的生命值,对敌方目标每秒损失150%攻击伤害+2050,持续10秒</v>
      </c>
      <c r="BF814" s="87" t="s">
        <v>1865</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62023301</v>
      </c>
      <c r="D815" s="19" t="s">
        <v>1866</v>
      </c>
      <c r="E815" s="19" t="s">
        <v>1867</v>
      </c>
      <c r="F815" s="16">
        <v>0</v>
      </c>
      <c r="G815" s="18">
        <v>62023301</v>
      </c>
      <c r="H815" s="18">
        <v>62023302</v>
      </c>
      <c r="I815" s="27">
        <v>0</v>
      </c>
      <c r="J815" s="16">
        <v>30</v>
      </c>
      <c r="K815" s="18">
        <v>5</v>
      </c>
      <c r="L815" s="16">
        <v>0</v>
      </c>
      <c r="M815" s="18">
        <v>0</v>
      </c>
      <c r="N815" s="18">
        <v>0</v>
      </c>
      <c r="O815" s="18">
        <v>1</v>
      </c>
      <c r="P815" s="18">
        <v>0</v>
      </c>
      <c r="Q815" s="18">
        <v>0</v>
      </c>
      <c r="R815" s="18">
        <v>0</v>
      </c>
      <c r="S815" s="12">
        <v>0</v>
      </c>
      <c r="T815" s="27">
        <v>0</v>
      </c>
      <c r="U815" s="16">
        <v>1</v>
      </c>
      <c r="V815" s="18">
        <v>2</v>
      </c>
      <c r="W815" s="18">
        <v>0</v>
      </c>
      <c r="X815" s="18">
        <v>2</v>
      </c>
      <c r="Y815" s="12">
        <v>0</v>
      </c>
      <c r="Z815" s="18">
        <v>750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1" t="s">
        <v>1868</v>
      </c>
      <c r="AV815" s="12"/>
      <c r="AW815" s="19" t="s">
        <v>199</v>
      </c>
      <c r="AX815" s="18" t="s">
        <v>1869</v>
      </c>
      <c r="AY815" s="18">
        <v>10003002</v>
      </c>
      <c r="AZ815" s="18">
        <v>21103030</v>
      </c>
      <c r="BA815" s="19" t="s">
        <v>200</v>
      </c>
      <c r="BB815" s="19">
        <v>0</v>
      </c>
      <c r="BC815" s="27">
        <v>0</v>
      </c>
      <c r="BD815" s="27">
        <v>0</v>
      </c>
      <c r="BE815" s="183" t="str">
        <f>"立即对目标范围内的怪物造成"&amp;X815*100&amp;"%攻击伤害+"&amp;Z815&amp;"点固定伤害,并使目标受到伤害额外增加50%且眩晕2秒,此效果只对怪物有效,持续10秒"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5" s="183" t="s">
        <v>1870</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62023302</v>
      </c>
      <c r="D816" s="19" t="s">
        <v>1866</v>
      </c>
      <c r="E816" s="19" t="s">
        <v>1867</v>
      </c>
      <c r="F816" s="16">
        <v>1</v>
      </c>
      <c r="G816" s="18">
        <v>62023301</v>
      </c>
      <c r="H816" s="18">
        <v>62023303</v>
      </c>
      <c r="I816" s="27">
        <v>0</v>
      </c>
      <c r="J816" s="16">
        <v>37</v>
      </c>
      <c r="K816" s="18">
        <v>2</v>
      </c>
      <c r="L816" s="16">
        <v>0</v>
      </c>
      <c r="M816" s="18">
        <v>0</v>
      </c>
      <c r="N816" s="18">
        <v>0</v>
      </c>
      <c r="O816" s="18">
        <v>1</v>
      </c>
      <c r="P816" s="18">
        <v>0</v>
      </c>
      <c r="Q816" s="18">
        <v>0</v>
      </c>
      <c r="R816" s="18">
        <v>0</v>
      </c>
      <c r="S816" s="12">
        <v>0</v>
      </c>
      <c r="T816" s="27">
        <v>0</v>
      </c>
      <c r="U816" s="16">
        <v>1</v>
      </c>
      <c r="V816" s="18">
        <v>2</v>
      </c>
      <c r="W816" s="18">
        <v>0</v>
      </c>
      <c r="X816" s="18">
        <v>2</v>
      </c>
      <c r="Y816" s="12">
        <v>0</v>
      </c>
      <c r="Z816" s="18">
        <v>750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1" t="s">
        <v>1868</v>
      </c>
      <c r="AV816" s="12"/>
      <c r="AW816" s="19" t="s">
        <v>199</v>
      </c>
      <c r="AX816" s="18" t="s">
        <v>1869</v>
      </c>
      <c r="AY816" s="18">
        <v>10003002</v>
      </c>
      <c r="AZ816" s="18">
        <v>21103030</v>
      </c>
      <c r="BA816" s="19" t="s">
        <v>200</v>
      </c>
      <c r="BB816" s="19">
        <v>0</v>
      </c>
      <c r="BC816" s="27">
        <v>0</v>
      </c>
      <c r="BD816" s="27">
        <v>0</v>
      </c>
      <c r="BE816" s="183" t="str">
        <f t="shared" ref="BE816:BE820" si="76">"立即对目标范围内的怪物造成"&amp;X816*100&amp;"%攻击伤害+"&amp;Z816&amp;"点固定伤害,并使目标受到伤害额外增加50%且眩晕2秒,此效果只对怪物有效,持续10秒"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6" s="183" t="s">
        <v>1870</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62023303</v>
      </c>
      <c r="D817" s="19" t="s">
        <v>1866</v>
      </c>
      <c r="E817" s="19" t="s">
        <v>1867</v>
      </c>
      <c r="F817" s="16">
        <v>2</v>
      </c>
      <c r="G817" s="18">
        <v>62023301</v>
      </c>
      <c r="H817" s="18">
        <v>62023304</v>
      </c>
      <c r="I817" s="27">
        <v>0</v>
      </c>
      <c r="J817" s="16">
        <v>42</v>
      </c>
      <c r="K817" s="18">
        <v>2</v>
      </c>
      <c r="L817" s="16">
        <v>0</v>
      </c>
      <c r="M817" s="18">
        <v>0</v>
      </c>
      <c r="N817" s="18">
        <v>0</v>
      </c>
      <c r="O817" s="18">
        <v>1</v>
      </c>
      <c r="P817" s="18">
        <v>0</v>
      </c>
      <c r="Q817" s="18">
        <v>0</v>
      </c>
      <c r="R817" s="18">
        <v>0</v>
      </c>
      <c r="S817" s="12">
        <v>0</v>
      </c>
      <c r="T817" s="27">
        <v>0</v>
      </c>
      <c r="U817" s="16">
        <v>1</v>
      </c>
      <c r="V817" s="18">
        <v>2</v>
      </c>
      <c r="W817" s="18">
        <v>0</v>
      </c>
      <c r="X817" s="18">
        <v>2.25</v>
      </c>
      <c r="Y817" s="12">
        <v>0</v>
      </c>
      <c r="Z817" s="18">
        <v>1500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1"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立即对目标范围内的怪物造成225%攻击伤害+1500点固定伤害,并使目标受到伤害额外增加50%且眩晕2秒,此效果只对怪物有效,持续10秒</v>
      </c>
      <c r="BF817" s="183" t="s">
        <v>1871</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19.5" customHeight="1">
      <c r="C818" s="18">
        <v>62023304</v>
      </c>
      <c r="D818" s="19" t="s">
        <v>1866</v>
      </c>
      <c r="E818" s="19" t="s">
        <v>1867</v>
      </c>
      <c r="F818" s="16">
        <v>3</v>
      </c>
      <c r="G818" s="18">
        <v>62023301</v>
      </c>
      <c r="H818" s="18">
        <v>0</v>
      </c>
      <c r="I818" s="27">
        <v>0</v>
      </c>
      <c r="J818" s="18">
        <v>0</v>
      </c>
      <c r="K818" s="18">
        <v>0</v>
      </c>
      <c r="L818" s="16">
        <v>0</v>
      </c>
      <c r="M818" s="18">
        <v>0</v>
      </c>
      <c r="N818" s="18">
        <v>0</v>
      </c>
      <c r="O818" s="18">
        <v>1</v>
      </c>
      <c r="P818" s="18">
        <v>0</v>
      </c>
      <c r="Q818" s="18">
        <v>0</v>
      </c>
      <c r="R818" s="18">
        <v>0</v>
      </c>
      <c r="S818" s="12">
        <v>0</v>
      </c>
      <c r="T818" s="27">
        <v>0</v>
      </c>
      <c r="U818" s="16">
        <v>1</v>
      </c>
      <c r="V818" s="18">
        <v>2</v>
      </c>
      <c r="W818" s="18">
        <v>0</v>
      </c>
      <c r="X818" s="18">
        <v>2.5</v>
      </c>
      <c r="Y818" s="12">
        <v>0</v>
      </c>
      <c r="Z818" s="18">
        <v>2250</v>
      </c>
      <c r="AA818" s="18">
        <v>0</v>
      </c>
      <c r="AB818" s="18">
        <v>0</v>
      </c>
      <c r="AC818" s="18">
        <v>0</v>
      </c>
      <c r="AD818" s="18">
        <v>0</v>
      </c>
      <c r="AE818" s="18">
        <v>0</v>
      </c>
      <c r="AF818" s="18">
        <v>9</v>
      </c>
      <c r="AG818" s="18">
        <v>1</v>
      </c>
      <c r="AH818" s="18">
        <v>3</v>
      </c>
      <c r="AI818" s="12">
        <v>2</v>
      </c>
      <c r="AJ818" s="12">
        <v>1</v>
      </c>
      <c r="AK818" s="12">
        <v>0</v>
      </c>
      <c r="AL818" s="12">
        <v>6</v>
      </c>
      <c r="AM818" s="18">
        <v>0</v>
      </c>
      <c r="AN818" s="18">
        <v>0</v>
      </c>
      <c r="AO818" s="18">
        <v>0</v>
      </c>
      <c r="AP818" s="18">
        <v>0.25</v>
      </c>
      <c r="AQ818" s="18">
        <v>2000</v>
      </c>
      <c r="AR818" s="18">
        <v>0</v>
      </c>
      <c r="AS818" s="18">
        <v>0</v>
      </c>
      <c r="AT818" s="12">
        <v>0</v>
      </c>
      <c r="AU818" s="341" t="s">
        <v>1868</v>
      </c>
      <c r="AV818" s="12"/>
      <c r="AW818" s="19" t="s">
        <v>199</v>
      </c>
      <c r="AX818" s="18" t="s">
        <v>1869</v>
      </c>
      <c r="AY818" s="18">
        <v>10003002</v>
      </c>
      <c r="AZ818" s="18">
        <v>21103030</v>
      </c>
      <c r="BA818" s="19" t="s">
        <v>200</v>
      </c>
      <c r="BB818" s="19">
        <v>0</v>
      </c>
      <c r="BC818" s="27">
        <v>0</v>
      </c>
      <c r="BD818" s="27">
        <v>0</v>
      </c>
      <c r="BE818" s="183" t="str">
        <f t="shared" si="76"/>
        <v>立即对目标范围内的怪物造成250%攻击伤害+2250点固定伤害,并使目标受到伤害额外增加50%且眩晕2秒,此效果只对怪物有效,持续10秒</v>
      </c>
      <c r="BF818" s="183" t="s">
        <v>1872</v>
      </c>
      <c r="BG818" s="18">
        <v>0</v>
      </c>
      <c r="BH818" s="16">
        <v>0</v>
      </c>
      <c r="BI818" s="18">
        <v>0</v>
      </c>
      <c r="BJ818" s="18">
        <v>0</v>
      </c>
      <c r="BK818" s="18">
        <v>0</v>
      </c>
      <c r="BL818" s="18">
        <v>0</v>
      </c>
      <c r="BM818" s="15">
        <v>0</v>
      </c>
      <c r="BN818" s="12">
        <v>0</v>
      </c>
      <c r="BO818" s="12">
        <v>0</v>
      </c>
      <c r="BP818" s="12">
        <v>0</v>
      </c>
      <c r="BQ818" s="12">
        <v>0</v>
      </c>
      <c r="BR818" s="12">
        <v>0</v>
      </c>
      <c r="BS818" s="12">
        <v>0</v>
      </c>
      <c r="BT818" s="12">
        <v>0</v>
      </c>
      <c r="BU818" s="47">
        <v>0</v>
      </c>
      <c r="BV818" s="47"/>
      <c r="BW818" s="47"/>
    </row>
    <row r="819" spans="2:75" ht="19.5" customHeight="1">
      <c r="C819" s="18">
        <v>62023305</v>
      </c>
      <c r="D819" s="19" t="s">
        <v>1866</v>
      </c>
      <c r="E819" s="19" t="s">
        <v>1867</v>
      </c>
      <c r="F819" s="16">
        <v>4</v>
      </c>
      <c r="G819" s="18">
        <v>62023301</v>
      </c>
      <c r="H819" s="18">
        <v>0</v>
      </c>
      <c r="I819" s="27">
        <v>0</v>
      </c>
      <c r="J819" s="18">
        <v>0</v>
      </c>
      <c r="K819" s="18">
        <v>0</v>
      </c>
      <c r="L819" s="16">
        <v>0</v>
      </c>
      <c r="M819" s="18">
        <v>0</v>
      </c>
      <c r="N819" s="18">
        <v>0</v>
      </c>
      <c r="O819" s="18">
        <v>1</v>
      </c>
      <c r="P819" s="18">
        <v>0</v>
      </c>
      <c r="Q819" s="18">
        <v>0</v>
      </c>
      <c r="R819" s="18">
        <v>0</v>
      </c>
      <c r="S819" s="12">
        <v>0</v>
      </c>
      <c r="T819" s="27">
        <v>0</v>
      </c>
      <c r="U819" s="16">
        <v>1</v>
      </c>
      <c r="V819" s="18">
        <v>2</v>
      </c>
      <c r="W819" s="18">
        <v>0</v>
      </c>
      <c r="X819" s="18">
        <v>2.75</v>
      </c>
      <c r="Y819" s="12">
        <v>0</v>
      </c>
      <c r="Z819" s="18">
        <v>3250</v>
      </c>
      <c r="AA819" s="18">
        <v>0</v>
      </c>
      <c r="AB819" s="18">
        <v>0</v>
      </c>
      <c r="AC819" s="18">
        <v>0</v>
      </c>
      <c r="AD819" s="18">
        <v>0</v>
      </c>
      <c r="AE819" s="18">
        <v>0</v>
      </c>
      <c r="AF819" s="18">
        <v>9</v>
      </c>
      <c r="AG819" s="18">
        <v>1</v>
      </c>
      <c r="AH819" s="18">
        <v>3</v>
      </c>
      <c r="AI819" s="12">
        <v>2</v>
      </c>
      <c r="AJ819" s="12">
        <v>1</v>
      </c>
      <c r="AK819" s="12">
        <v>0</v>
      </c>
      <c r="AL819" s="12">
        <v>6</v>
      </c>
      <c r="AM819" s="18">
        <v>0</v>
      </c>
      <c r="AN819" s="18">
        <v>0</v>
      </c>
      <c r="AO819" s="18">
        <v>0</v>
      </c>
      <c r="AP819" s="18">
        <v>0.25</v>
      </c>
      <c r="AQ819" s="18">
        <v>2000</v>
      </c>
      <c r="AR819" s="18">
        <v>0</v>
      </c>
      <c r="AS819" s="18">
        <v>0</v>
      </c>
      <c r="AT819" s="12">
        <v>0</v>
      </c>
      <c r="AU819" s="341" t="s">
        <v>1868</v>
      </c>
      <c r="AV819" s="12"/>
      <c r="AW819" s="19" t="s">
        <v>199</v>
      </c>
      <c r="AX819" s="18" t="s">
        <v>1869</v>
      </c>
      <c r="AY819" s="18">
        <v>10003002</v>
      </c>
      <c r="AZ819" s="18">
        <v>21103030</v>
      </c>
      <c r="BA819" s="19" t="s">
        <v>200</v>
      </c>
      <c r="BB819" s="19">
        <v>0</v>
      </c>
      <c r="BC819" s="27">
        <v>0</v>
      </c>
      <c r="BD819" s="27">
        <v>0</v>
      </c>
      <c r="BE819" s="183" t="str">
        <f t="shared" si="76"/>
        <v>立即对目标范围内的怪物造成275%攻击伤害+3250点固定伤害,并使目标受到伤害额外增加50%且眩晕2秒,此效果只对怪物有效,持续10秒</v>
      </c>
      <c r="BF819" s="183" t="s">
        <v>1873</v>
      </c>
      <c r="BG819" s="18">
        <v>0</v>
      </c>
      <c r="BH819" s="16">
        <v>0</v>
      </c>
      <c r="BI819" s="18">
        <v>0</v>
      </c>
      <c r="BJ819" s="18">
        <v>0</v>
      </c>
      <c r="BK819" s="18">
        <v>0</v>
      </c>
      <c r="BL819" s="18">
        <v>0</v>
      </c>
      <c r="BM819" s="15">
        <v>0</v>
      </c>
      <c r="BN819" s="12">
        <v>0</v>
      </c>
      <c r="BO819" s="12">
        <v>0</v>
      </c>
      <c r="BP819" s="12">
        <v>0</v>
      </c>
      <c r="BQ819" s="12">
        <v>0</v>
      </c>
      <c r="BR819" s="12">
        <v>0</v>
      </c>
      <c r="BS819" s="12">
        <v>0</v>
      </c>
      <c r="BT819" s="12">
        <v>0</v>
      </c>
      <c r="BU819" s="47">
        <v>0</v>
      </c>
      <c r="BV819" s="47"/>
      <c r="BW819" s="47"/>
    </row>
    <row r="820" spans="2:75" ht="19.5" customHeight="1">
      <c r="C820" s="18">
        <v>62023306</v>
      </c>
      <c r="D820" s="19" t="s">
        <v>1866</v>
      </c>
      <c r="E820" s="19" t="s">
        <v>1867</v>
      </c>
      <c r="F820" s="16">
        <v>5</v>
      </c>
      <c r="G820" s="18">
        <v>62023301</v>
      </c>
      <c r="H820" s="16">
        <v>0</v>
      </c>
      <c r="I820" s="27">
        <v>0</v>
      </c>
      <c r="J820" s="18">
        <v>0</v>
      </c>
      <c r="K820" s="18">
        <v>0</v>
      </c>
      <c r="L820" s="16">
        <v>0</v>
      </c>
      <c r="M820" s="18">
        <v>0</v>
      </c>
      <c r="N820" s="18">
        <v>0</v>
      </c>
      <c r="O820" s="18">
        <v>1</v>
      </c>
      <c r="P820" s="18">
        <v>0</v>
      </c>
      <c r="Q820" s="18">
        <v>0</v>
      </c>
      <c r="R820" s="18">
        <v>0</v>
      </c>
      <c r="S820" s="12">
        <v>0</v>
      </c>
      <c r="T820" s="27">
        <v>0</v>
      </c>
      <c r="U820" s="16">
        <v>1</v>
      </c>
      <c r="V820" s="18">
        <v>2</v>
      </c>
      <c r="W820" s="18">
        <v>0</v>
      </c>
      <c r="X820" s="18">
        <v>3</v>
      </c>
      <c r="Y820" s="12">
        <v>0</v>
      </c>
      <c r="Z820" s="18">
        <v>4250</v>
      </c>
      <c r="AA820" s="18">
        <v>0</v>
      </c>
      <c r="AB820" s="18">
        <v>0</v>
      </c>
      <c r="AC820" s="18">
        <v>0</v>
      </c>
      <c r="AD820" s="18">
        <v>0</v>
      </c>
      <c r="AE820" s="18">
        <v>0</v>
      </c>
      <c r="AF820" s="18">
        <v>9</v>
      </c>
      <c r="AG820" s="18">
        <v>1</v>
      </c>
      <c r="AH820" s="18">
        <v>3</v>
      </c>
      <c r="AI820" s="12">
        <v>2</v>
      </c>
      <c r="AJ820" s="12">
        <v>1</v>
      </c>
      <c r="AK820" s="12">
        <v>0</v>
      </c>
      <c r="AL820" s="12">
        <v>6</v>
      </c>
      <c r="AM820" s="18">
        <v>0</v>
      </c>
      <c r="AN820" s="18">
        <v>0</v>
      </c>
      <c r="AO820" s="18">
        <v>0</v>
      </c>
      <c r="AP820" s="18">
        <v>0.25</v>
      </c>
      <c r="AQ820" s="18">
        <v>2000</v>
      </c>
      <c r="AR820" s="18">
        <v>0</v>
      </c>
      <c r="AS820" s="18">
        <v>0</v>
      </c>
      <c r="AT820" s="12">
        <v>0</v>
      </c>
      <c r="AU820" s="341" t="s">
        <v>1868</v>
      </c>
      <c r="AV820" s="12"/>
      <c r="AW820" s="19" t="s">
        <v>199</v>
      </c>
      <c r="AX820" s="18" t="s">
        <v>1869</v>
      </c>
      <c r="AY820" s="18">
        <v>10003002</v>
      </c>
      <c r="AZ820" s="18">
        <v>21103030</v>
      </c>
      <c r="BA820" s="19" t="s">
        <v>200</v>
      </c>
      <c r="BB820" s="19">
        <v>0</v>
      </c>
      <c r="BC820" s="27">
        <v>0</v>
      </c>
      <c r="BD820" s="27">
        <v>0</v>
      </c>
      <c r="BE820" s="183" t="str">
        <f t="shared" si="76"/>
        <v>立即对目标范围内的怪物造成300%攻击伤害+4250点固定伤害,并使目标受到伤害额外增加50%且眩晕2秒,此效果只对怪物有效,持续10秒</v>
      </c>
      <c r="BF820" s="183" t="s">
        <v>1874</v>
      </c>
      <c r="BG820" s="18">
        <v>0</v>
      </c>
      <c r="BH820" s="16">
        <v>0</v>
      </c>
      <c r="BI820" s="18">
        <v>0</v>
      </c>
      <c r="BJ820" s="18">
        <v>0</v>
      </c>
      <c r="BK820" s="18">
        <v>0</v>
      </c>
      <c r="BL820" s="18">
        <v>0</v>
      </c>
      <c r="BM820" s="15">
        <v>0</v>
      </c>
      <c r="BN820" s="12">
        <v>0</v>
      </c>
      <c r="BO820" s="12">
        <v>0</v>
      </c>
      <c r="BP820" s="12">
        <v>0</v>
      </c>
      <c r="BQ820" s="12">
        <v>0</v>
      </c>
      <c r="BR820" s="12">
        <v>0</v>
      </c>
      <c r="BS820" s="12">
        <v>0</v>
      </c>
      <c r="BT820" s="12">
        <v>0</v>
      </c>
      <c r="BU820" s="47">
        <v>0</v>
      </c>
      <c r="BV820" s="47"/>
      <c r="BW820" s="47"/>
    </row>
    <row r="821" spans="2:75" ht="20.100000000000001" customHeight="1">
      <c r="B821" s="199"/>
      <c r="C821" s="12">
        <v>62023401</v>
      </c>
      <c r="D821" s="13" t="s">
        <v>302</v>
      </c>
      <c r="E821" s="13" t="s">
        <v>303</v>
      </c>
      <c r="F821" s="12">
        <v>0</v>
      </c>
      <c r="G821" s="12">
        <v>62023401</v>
      </c>
      <c r="H821" s="12">
        <f>C822</f>
        <v>62023402</v>
      </c>
      <c r="I821" s="12">
        <v>0</v>
      </c>
      <c r="J821" s="12">
        <v>35</v>
      </c>
      <c r="K821" s="12">
        <v>5</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1" t="s">
        <v>1875</v>
      </c>
      <c r="AV821" s="12"/>
      <c r="AW821" s="13" t="s">
        <v>256</v>
      </c>
      <c r="AX821" s="12" t="s">
        <v>1876</v>
      </c>
      <c r="AY821" s="12" t="s">
        <v>198</v>
      </c>
      <c r="AZ821" s="12">
        <v>21103040</v>
      </c>
      <c r="BA821" s="13" t="s">
        <v>200</v>
      </c>
      <c r="BB821" s="12">
        <v>0</v>
      </c>
      <c r="BC821" s="12">
        <v>0</v>
      </c>
      <c r="BD821" s="12">
        <v>0</v>
      </c>
      <c r="BE821" s="42" t="s">
        <v>1877</v>
      </c>
      <c r="BF821" s="42" t="s">
        <v>1878</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62023402</v>
      </c>
      <c r="D822" s="13" t="s">
        <v>302</v>
      </c>
      <c r="E822" s="13" t="s">
        <v>303</v>
      </c>
      <c r="F822" s="12">
        <v>1</v>
      </c>
      <c r="G822" s="12">
        <v>62023401</v>
      </c>
      <c r="H822" s="12">
        <f t="shared" ref="H822:H823" si="77">C823</f>
        <v>62023403</v>
      </c>
      <c r="I822" s="12">
        <v>0</v>
      </c>
      <c r="J822" s="12">
        <v>42</v>
      </c>
      <c r="K822" s="12">
        <v>2</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1" t="s">
        <v>1875</v>
      </c>
      <c r="AV822" s="12"/>
      <c r="AW822" s="13" t="s">
        <v>256</v>
      </c>
      <c r="AX822" s="12" t="s">
        <v>1876</v>
      </c>
      <c r="AY822" s="12" t="s">
        <v>198</v>
      </c>
      <c r="AZ822" s="12">
        <v>21103040</v>
      </c>
      <c r="BA822" s="13" t="s">
        <v>200</v>
      </c>
      <c r="BB822" s="12">
        <v>0</v>
      </c>
      <c r="BC822" s="12">
        <v>0</v>
      </c>
      <c r="BD822" s="12">
        <v>0</v>
      </c>
      <c r="BE822" s="42" t="s">
        <v>1877</v>
      </c>
      <c r="BF822" s="42" t="s">
        <v>1878</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62023403</v>
      </c>
      <c r="D823" s="13" t="s">
        <v>302</v>
      </c>
      <c r="E823" s="13" t="s">
        <v>303</v>
      </c>
      <c r="F823" s="12">
        <v>2</v>
      </c>
      <c r="G823" s="12">
        <v>62023401</v>
      </c>
      <c r="H823" s="12">
        <f t="shared" si="77"/>
        <v>62023404</v>
      </c>
      <c r="I823" s="12">
        <v>0</v>
      </c>
      <c r="J823" s="12">
        <v>47</v>
      </c>
      <c r="K823" s="12">
        <v>2</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1" t="s">
        <v>1879</v>
      </c>
      <c r="AV823" s="12"/>
      <c r="AW823" s="13" t="s">
        <v>256</v>
      </c>
      <c r="AX823" s="12" t="s">
        <v>1876</v>
      </c>
      <c r="AY823" s="12" t="s">
        <v>198</v>
      </c>
      <c r="AZ823" s="12">
        <v>21103040</v>
      </c>
      <c r="BA823" s="13" t="s">
        <v>200</v>
      </c>
      <c r="BB823" s="12">
        <v>0</v>
      </c>
      <c r="BC823" s="12">
        <v>0</v>
      </c>
      <c r="BD823" s="12">
        <v>0</v>
      </c>
      <c r="BE823" s="42" t="s">
        <v>1880</v>
      </c>
      <c r="BF823" s="42" t="s">
        <v>1881</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20.100000000000001" customHeight="1">
      <c r="B824" s="199"/>
      <c r="C824" s="12">
        <v>62023404</v>
      </c>
      <c r="D824" s="13" t="s">
        <v>302</v>
      </c>
      <c r="E824" s="13" t="s">
        <v>303</v>
      </c>
      <c r="F824" s="12">
        <v>3</v>
      </c>
      <c r="G824" s="12">
        <v>62023401</v>
      </c>
      <c r="H824" s="12">
        <v>0</v>
      </c>
      <c r="I824" s="12">
        <v>0</v>
      </c>
      <c r="J824" s="12">
        <v>0</v>
      </c>
      <c r="K824" s="12">
        <v>0</v>
      </c>
      <c r="L824" s="12">
        <v>0</v>
      </c>
      <c r="M824" s="12">
        <v>0</v>
      </c>
      <c r="N824" s="12">
        <v>0</v>
      </c>
      <c r="O824" s="12">
        <v>1</v>
      </c>
      <c r="P824" s="12">
        <v>0</v>
      </c>
      <c r="Q824" s="12">
        <v>0</v>
      </c>
      <c r="R824" s="12">
        <v>0</v>
      </c>
      <c r="S824" s="12">
        <v>0</v>
      </c>
      <c r="T824" s="12">
        <v>0</v>
      </c>
      <c r="U824" s="12">
        <v>1</v>
      </c>
      <c r="V824" s="12">
        <v>2</v>
      </c>
      <c r="W824" s="12">
        <v>0</v>
      </c>
      <c r="X824" s="12">
        <v>0</v>
      </c>
      <c r="Y824" s="12">
        <v>0</v>
      </c>
      <c r="Z824" s="12">
        <v>0</v>
      </c>
      <c r="AA824" s="12">
        <v>0</v>
      </c>
      <c r="AB824" s="12">
        <v>0</v>
      </c>
      <c r="AC824" s="12">
        <v>0</v>
      </c>
      <c r="AD824" s="12">
        <v>0</v>
      </c>
      <c r="AE824" s="12">
        <v>0</v>
      </c>
      <c r="AF824" s="12">
        <v>15</v>
      </c>
      <c r="AG824" s="12">
        <v>1</v>
      </c>
      <c r="AH824" s="12">
        <v>3</v>
      </c>
      <c r="AI824" s="12">
        <v>2</v>
      </c>
      <c r="AJ824" s="12">
        <v>1</v>
      </c>
      <c r="AK824" s="12">
        <v>1</v>
      </c>
      <c r="AL824" s="12">
        <v>6</v>
      </c>
      <c r="AM824" s="12">
        <v>0</v>
      </c>
      <c r="AN824" s="12">
        <v>0</v>
      </c>
      <c r="AO824" s="12">
        <v>0</v>
      </c>
      <c r="AP824" s="12">
        <v>0.25</v>
      </c>
      <c r="AQ824" s="12">
        <v>2000</v>
      </c>
      <c r="AR824" s="12">
        <v>0.1</v>
      </c>
      <c r="AS824" s="12">
        <v>0</v>
      </c>
      <c r="AT824" s="12">
        <v>0</v>
      </c>
      <c r="AU824" s="341" t="s">
        <v>1882</v>
      </c>
      <c r="AV824" s="12"/>
      <c r="AW824" s="13" t="s">
        <v>256</v>
      </c>
      <c r="AX824" s="12" t="s">
        <v>1876</v>
      </c>
      <c r="AY824" s="12" t="s">
        <v>198</v>
      </c>
      <c r="AZ824" s="12">
        <v>21103040</v>
      </c>
      <c r="BA824" s="13" t="s">
        <v>200</v>
      </c>
      <c r="BB824" s="12">
        <v>0</v>
      </c>
      <c r="BC824" s="12">
        <v>0</v>
      </c>
      <c r="BD824" s="12">
        <v>0</v>
      </c>
      <c r="BE824" s="42" t="s">
        <v>1883</v>
      </c>
      <c r="BF824" s="42" t="s">
        <v>1884</v>
      </c>
      <c r="BG824" s="12">
        <v>0</v>
      </c>
      <c r="BH824" s="12">
        <v>0</v>
      </c>
      <c r="BI824" s="12">
        <v>0</v>
      </c>
      <c r="BJ824" s="12">
        <v>0</v>
      </c>
      <c r="BK824" s="12">
        <v>0</v>
      </c>
      <c r="BL824" s="12">
        <v>0</v>
      </c>
      <c r="BM824" s="185">
        <v>0</v>
      </c>
      <c r="BN824" s="12">
        <v>0</v>
      </c>
      <c r="BO824" s="12">
        <v>0</v>
      </c>
      <c r="BP824" s="12">
        <v>0</v>
      </c>
      <c r="BQ824" s="12">
        <v>0</v>
      </c>
      <c r="BR824" s="12">
        <v>0</v>
      </c>
      <c r="BS824" s="12">
        <v>0</v>
      </c>
      <c r="BT824" s="12">
        <v>0</v>
      </c>
      <c r="BU824" s="47">
        <v>0</v>
      </c>
      <c r="BV824" s="47"/>
      <c r="BW824" s="47"/>
    </row>
    <row r="825" spans="2:75" ht="20.100000000000001" customHeight="1">
      <c r="B825" s="199"/>
      <c r="C825" s="12">
        <v>62023405</v>
      </c>
      <c r="D825" s="13" t="s">
        <v>302</v>
      </c>
      <c r="E825" s="13" t="s">
        <v>303</v>
      </c>
      <c r="F825" s="12">
        <v>4</v>
      </c>
      <c r="G825" s="12">
        <v>62023401</v>
      </c>
      <c r="H825" s="12">
        <v>0</v>
      </c>
      <c r="I825" s="12">
        <v>0</v>
      </c>
      <c r="J825" s="12">
        <v>0</v>
      </c>
      <c r="K825" s="12">
        <v>0</v>
      </c>
      <c r="L825" s="12">
        <v>0</v>
      </c>
      <c r="M825" s="12">
        <v>0</v>
      </c>
      <c r="N825" s="12">
        <v>0</v>
      </c>
      <c r="O825" s="12">
        <v>1</v>
      </c>
      <c r="P825" s="12">
        <v>0</v>
      </c>
      <c r="Q825" s="12">
        <v>0</v>
      </c>
      <c r="R825" s="12">
        <v>0</v>
      </c>
      <c r="S825" s="12">
        <v>0</v>
      </c>
      <c r="T825" s="12">
        <v>0</v>
      </c>
      <c r="U825" s="12">
        <v>1</v>
      </c>
      <c r="V825" s="12">
        <v>2</v>
      </c>
      <c r="W825" s="12">
        <v>0</v>
      </c>
      <c r="X825" s="12">
        <v>0</v>
      </c>
      <c r="Y825" s="12">
        <v>0</v>
      </c>
      <c r="Z825" s="12">
        <v>0</v>
      </c>
      <c r="AA825" s="12">
        <v>0</v>
      </c>
      <c r="AB825" s="12">
        <v>0</v>
      </c>
      <c r="AC825" s="12">
        <v>0</v>
      </c>
      <c r="AD825" s="12">
        <v>0</v>
      </c>
      <c r="AE825" s="12">
        <v>0</v>
      </c>
      <c r="AF825" s="12">
        <v>15</v>
      </c>
      <c r="AG825" s="12">
        <v>1</v>
      </c>
      <c r="AH825" s="12">
        <v>3</v>
      </c>
      <c r="AI825" s="12">
        <v>2</v>
      </c>
      <c r="AJ825" s="12">
        <v>1</v>
      </c>
      <c r="AK825" s="12">
        <v>1</v>
      </c>
      <c r="AL825" s="12">
        <v>6</v>
      </c>
      <c r="AM825" s="12">
        <v>0</v>
      </c>
      <c r="AN825" s="12">
        <v>0</v>
      </c>
      <c r="AO825" s="12">
        <v>0</v>
      </c>
      <c r="AP825" s="12">
        <v>0.25</v>
      </c>
      <c r="AQ825" s="12">
        <v>2000</v>
      </c>
      <c r="AR825" s="12">
        <v>0.1</v>
      </c>
      <c r="AS825" s="12">
        <v>0</v>
      </c>
      <c r="AT825" s="12">
        <v>0</v>
      </c>
      <c r="AU825" s="341" t="s">
        <v>1885</v>
      </c>
      <c r="AV825" s="12"/>
      <c r="AW825" s="13" t="s">
        <v>256</v>
      </c>
      <c r="AX825" s="12" t="s">
        <v>1876</v>
      </c>
      <c r="AY825" s="12" t="s">
        <v>198</v>
      </c>
      <c r="AZ825" s="12">
        <v>21103040</v>
      </c>
      <c r="BA825" s="13" t="s">
        <v>200</v>
      </c>
      <c r="BB825" s="12">
        <v>0</v>
      </c>
      <c r="BC825" s="12">
        <v>0</v>
      </c>
      <c r="BD825" s="12">
        <v>0</v>
      </c>
      <c r="BE825" s="42" t="s">
        <v>1886</v>
      </c>
      <c r="BF825" s="42" t="s">
        <v>1887</v>
      </c>
      <c r="BG825" s="12">
        <v>0</v>
      </c>
      <c r="BH825" s="12">
        <v>0</v>
      </c>
      <c r="BI825" s="12">
        <v>0</v>
      </c>
      <c r="BJ825" s="12">
        <v>0</v>
      </c>
      <c r="BK825" s="12">
        <v>0</v>
      </c>
      <c r="BL825" s="12">
        <v>0</v>
      </c>
      <c r="BM825" s="185">
        <v>0</v>
      </c>
      <c r="BN825" s="12">
        <v>0</v>
      </c>
      <c r="BO825" s="12">
        <v>0</v>
      </c>
      <c r="BP825" s="12">
        <v>0</v>
      </c>
      <c r="BQ825" s="12">
        <v>0</v>
      </c>
      <c r="BR825" s="12">
        <v>0</v>
      </c>
      <c r="BS825" s="12">
        <v>0</v>
      </c>
      <c r="BT825" s="12">
        <v>0</v>
      </c>
      <c r="BU825" s="47">
        <v>0</v>
      </c>
      <c r="BV825" s="47"/>
      <c r="BW825" s="47"/>
    </row>
    <row r="826" spans="2:75" ht="20.100000000000001" customHeight="1">
      <c r="B826" s="199"/>
      <c r="C826" s="12">
        <v>62023406</v>
      </c>
      <c r="D826" s="13" t="s">
        <v>302</v>
      </c>
      <c r="E826" s="13" t="s">
        <v>303</v>
      </c>
      <c r="F826" s="12">
        <v>5</v>
      </c>
      <c r="G826" s="12">
        <v>62023401</v>
      </c>
      <c r="H826" s="12">
        <v>0</v>
      </c>
      <c r="I826" s="12">
        <v>0</v>
      </c>
      <c r="J826" s="12">
        <v>0</v>
      </c>
      <c r="K826" s="12">
        <v>0</v>
      </c>
      <c r="L826" s="12">
        <v>0</v>
      </c>
      <c r="M826" s="12">
        <v>0</v>
      </c>
      <c r="N826" s="12">
        <v>0</v>
      </c>
      <c r="O826" s="12">
        <v>1</v>
      </c>
      <c r="P826" s="12">
        <v>0</v>
      </c>
      <c r="Q826" s="12">
        <v>0</v>
      </c>
      <c r="R826" s="12">
        <v>0</v>
      </c>
      <c r="S826" s="12">
        <v>0</v>
      </c>
      <c r="T826" s="12">
        <v>0</v>
      </c>
      <c r="U826" s="12">
        <v>1</v>
      </c>
      <c r="V826" s="12">
        <v>2</v>
      </c>
      <c r="W826" s="12">
        <v>0</v>
      </c>
      <c r="X826" s="12">
        <v>0</v>
      </c>
      <c r="Y826" s="12">
        <v>0</v>
      </c>
      <c r="Z826" s="12">
        <v>0</v>
      </c>
      <c r="AA826" s="12">
        <v>0</v>
      </c>
      <c r="AB826" s="12">
        <v>0</v>
      </c>
      <c r="AC826" s="12">
        <v>0</v>
      </c>
      <c r="AD826" s="12">
        <v>0</v>
      </c>
      <c r="AE826" s="12">
        <v>0</v>
      </c>
      <c r="AF826" s="12">
        <v>15</v>
      </c>
      <c r="AG826" s="12">
        <v>1</v>
      </c>
      <c r="AH826" s="12">
        <v>3</v>
      </c>
      <c r="AI826" s="12">
        <v>2</v>
      </c>
      <c r="AJ826" s="12">
        <v>1</v>
      </c>
      <c r="AK826" s="12">
        <v>1</v>
      </c>
      <c r="AL826" s="12">
        <v>6</v>
      </c>
      <c r="AM826" s="12">
        <v>0</v>
      </c>
      <c r="AN826" s="12">
        <v>0</v>
      </c>
      <c r="AO826" s="12">
        <v>0</v>
      </c>
      <c r="AP826" s="12">
        <v>0.25</v>
      </c>
      <c r="AQ826" s="12">
        <v>2000</v>
      </c>
      <c r="AR826" s="12">
        <v>0.1</v>
      </c>
      <c r="AS826" s="12">
        <v>0</v>
      </c>
      <c r="AT826" s="12">
        <v>0</v>
      </c>
      <c r="AU826" s="341" t="s">
        <v>1888</v>
      </c>
      <c r="AV826" s="12"/>
      <c r="AW826" s="13" t="s">
        <v>256</v>
      </c>
      <c r="AX826" s="12" t="s">
        <v>1876</v>
      </c>
      <c r="AY826" s="12" t="s">
        <v>198</v>
      </c>
      <c r="AZ826" s="12">
        <v>21103040</v>
      </c>
      <c r="BA826" s="13" t="s">
        <v>200</v>
      </c>
      <c r="BB826" s="12">
        <v>0</v>
      </c>
      <c r="BC826" s="12">
        <v>0</v>
      </c>
      <c r="BD826" s="12">
        <v>0</v>
      </c>
      <c r="BE826" s="42" t="s">
        <v>1889</v>
      </c>
      <c r="BF826" s="42" t="s">
        <v>1890</v>
      </c>
      <c r="BG826" s="12">
        <v>0</v>
      </c>
      <c r="BH826" s="12">
        <v>0</v>
      </c>
      <c r="BI826" s="12">
        <v>0</v>
      </c>
      <c r="BJ826" s="12">
        <v>0</v>
      </c>
      <c r="BK826" s="12">
        <v>0</v>
      </c>
      <c r="BL826" s="12">
        <v>0</v>
      </c>
      <c r="BM826" s="185">
        <v>0</v>
      </c>
      <c r="BN826" s="12">
        <v>0</v>
      </c>
      <c r="BO826" s="12">
        <v>0</v>
      </c>
      <c r="BP826" s="12">
        <v>0</v>
      </c>
      <c r="BQ826" s="12">
        <v>0</v>
      </c>
      <c r="BR826" s="12">
        <v>0</v>
      </c>
      <c r="BS826" s="12">
        <v>0</v>
      </c>
      <c r="BT826" s="12">
        <v>0</v>
      </c>
      <c r="BU826" s="47">
        <v>0</v>
      </c>
      <c r="BV826" s="47"/>
      <c r="BW826" s="47"/>
    </row>
    <row r="827" spans="2:75" ht="19.5" customHeight="1">
      <c r="C827" s="175">
        <v>63011101</v>
      </c>
      <c r="D827" s="200" t="s">
        <v>1398</v>
      </c>
      <c r="E827" s="200" t="s">
        <v>1891</v>
      </c>
      <c r="F827" s="175">
        <v>0</v>
      </c>
      <c r="G827" s="175">
        <v>63011101</v>
      </c>
      <c r="H827" s="175">
        <f t="shared" ref="H827:H829" si="78">C828</f>
        <v>63011102</v>
      </c>
      <c r="I827" s="175">
        <v>5</v>
      </c>
      <c r="J827" s="12">
        <v>1</v>
      </c>
      <c r="K827" s="12">
        <v>5</v>
      </c>
      <c r="L827" s="175">
        <v>0</v>
      </c>
      <c r="M827" s="175">
        <v>0</v>
      </c>
      <c r="N827" s="175">
        <v>0</v>
      </c>
      <c r="O827" s="175">
        <v>1</v>
      </c>
      <c r="P827" s="175">
        <v>0</v>
      </c>
      <c r="Q827" s="175">
        <v>0</v>
      </c>
      <c r="R827" s="175">
        <v>0</v>
      </c>
      <c r="S827" s="175">
        <v>0</v>
      </c>
      <c r="T827" s="175">
        <v>0</v>
      </c>
      <c r="U827" s="175">
        <v>1</v>
      </c>
      <c r="V827" s="175">
        <v>1</v>
      </c>
      <c r="W827" s="175">
        <v>0</v>
      </c>
      <c r="X827" s="175">
        <v>1.75</v>
      </c>
      <c r="Y827" s="12">
        <v>0</v>
      </c>
      <c r="Z827" s="175">
        <v>750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1" t="str">
        <f>"向前方射出一支锋利的箭,对触碰的怪物造成"&amp;X827*100&amp;"%攻击伤害+"&amp;Z827&amp;"点固定伤害"&amp;",并使目标移动速度降低50%,持续3秒"</f>
        <v>向前方射出一支锋利的箭,对触碰的怪物造成175%攻击伤害+750点固定伤害,并使目标移动速度降低50%,持续3秒</v>
      </c>
      <c r="BF827" s="201" t="s">
        <v>1892</v>
      </c>
      <c r="BG827" s="175">
        <v>0</v>
      </c>
      <c r="BH827" s="175">
        <v>0</v>
      </c>
      <c r="BI827" s="175">
        <v>0</v>
      </c>
      <c r="BJ827" s="175">
        <v>0</v>
      </c>
      <c r="BK827" s="175">
        <v>0</v>
      </c>
      <c r="BL827" s="175">
        <v>0</v>
      </c>
      <c r="BM827" s="202">
        <v>0</v>
      </c>
      <c r="BN827" s="175">
        <v>0</v>
      </c>
      <c r="BO827" s="175">
        <v>0</v>
      </c>
      <c r="BP827" s="175">
        <v>0</v>
      </c>
      <c r="BQ827" s="175">
        <v>0</v>
      </c>
      <c r="BR827" s="175">
        <v>0</v>
      </c>
      <c r="BS827" s="175">
        <v>0</v>
      </c>
      <c r="BT827" s="12">
        <v>0</v>
      </c>
      <c r="BU827" s="47">
        <v>0</v>
      </c>
      <c r="BV827" s="47"/>
      <c r="BW827" s="47"/>
    </row>
    <row r="828" spans="2:75" ht="19.5" customHeight="1">
      <c r="C828" s="175">
        <v>63011102</v>
      </c>
      <c r="D828" s="200" t="s">
        <v>1398</v>
      </c>
      <c r="E828" s="200" t="s">
        <v>1891</v>
      </c>
      <c r="F828" s="175">
        <v>1</v>
      </c>
      <c r="G828" s="175">
        <v>63011101</v>
      </c>
      <c r="H828" s="175">
        <f t="shared" si="78"/>
        <v>63011103</v>
      </c>
      <c r="I828" s="175">
        <v>5</v>
      </c>
      <c r="J828" s="12">
        <v>1</v>
      </c>
      <c r="K828" s="12">
        <v>2</v>
      </c>
      <c r="L828" s="175">
        <v>0</v>
      </c>
      <c r="M828" s="175">
        <v>0</v>
      </c>
      <c r="N828" s="175">
        <v>0</v>
      </c>
      <c r="O828" s="175">
        <v>1</v>
      </c>
      <c r="P828" s="175">
        <v>0</v>
      </c>
      <c r="Q828" s="175">
        <v>0</v>
      </c>
      <c r="R828" s="175">
        <v>0</v>
      </c>
      <c r="S828" s="175">
        <v>0</v>
      </c>
      <c r="T828" s="175">
        <v>0</v>
      </c>
      <c r="U828" s="175">
        <v>1</v>
      </c>
      <c r="V828" s="175">
        <v>1</v>
      </c>
      <c r="W828" s="175">
        <v>0</v>
      </c>
      <c r="X828" s="175">
        <v>1.75</v>
      </c>
      <c r="Y828" s="12">
        <v>0</v>
      </c>
      <c r="Z828" s="175">
        <v>750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1" t="str">
        <f t="shared" ref="BE828:BE832" si="79">"向前方射出一支锋利的箭,对触碰的怪物造成"&amp;X828*100&amp;"%攻击伤害+"&amp;Z828&amp;"点固定伤害"&amp;",并使目标移动速度降低50%,持续3秒"</f>
        <v>向前方射出一支锋利的箭,对触碰的怪物造成175%攻击伤害+750点固定伤害,并使目标移动速度降低50%,持续3秒</v>
      </c>
      <c r="BF828" s="201" t="s">
        <v>1892</v>
      </c>
      <c r="BG828" s="175">
        <v>0</v>
      </c>
      <c r="BH828" s="175">
        <v>0</v>
      </c>
      <c r="BI828" s="175">
        <v>0</v>
      </c>
      <c r="BJ828" s="175">
        <v>0</v>
      </c>
      <c r="BK828" s="175">
        <v>0</v>
      </c>
      <c r="BL828" s="175">
        <v>0</v>
      </c>
      <c r="BM828" s="202">
        <v>0</v>
      </c>
      <c r="BN828" s="175">
        <v>0</v>
      </c>
      <c r="BO828" s="175">
        <v>0</v>
      </c>
      <c r="BP828" s="175">
        <v>0</v>
      </c>
      <c r="BQ828" s="175">
        <v>0</v>
      </c>
      <c r="BR828" s="175">
        <v>0</v>
      </c>
      <c r="BS828" s="175">
        <v>0</v>
      </c>
      <c r="BT828" s="12">
        <v>0</v>
      </c>
      <c r="BU828" s="47">
        <v>0</v>
      </c>
      <c r="BV828" s="47"/>
      <c r="BW828" s="47"/>
    </row>
    <row r="829" spans="2:75" ht="19.5" customHeight="1">
      <c r="C829" s="175">
        <v>63011103</v>
      </c>
      <c r="D829" s="200" t="s">
        <v>1398</v>
      </c>
      <c r="E829" s="200" t="s">
        <v>1891</v>
      </c>
      <c r="F829" s="175">
        <v>2</v>
      </c>
      <c r="G829" s="175">
        <v>63011101</v>
      </c>
      <c r="H829" s="175">
        <f t="shared" si="78"/>
        <v>63011104</v>
      </c>
      <c r="I829" s="175">
        <v>5</v>
      </c>
      <c r="J829" s="12">
        <v>1</v>
      </c>
      <c r="K829" s="12">
        <v>2</v>
      </c>
      <c r="L829" s="175">
        <v>0</v>
      </c>
      <c r="M829" s="175">
        <v>0</v>
      </c>
      <c r="N829" s="175">
        <v>0</v>
      </c>
      <c r="O829" s="175">
        <v>1</v>
      </c>
      <c r="P829" s="175">
        <v>0</v>
      </c>
      <c r="Q829" s="175">
        <v>0</v>
      </c>
      <c r="R829" s="175">
        <v>0</v>
      </c>
      <c r="S829" s="175">
        <v>0</v>
      </c>
      <c r="T829" s="175">
        <v>0</v>
      </c>
      <c r="U829" s="175">
        <v>1</v>
      </c>
      <c r="V829" s="175">
        <v>1</v>
      </c>
      <c r="W829" s="175">
        <v>0</v>
      </c>
      <c r="X829" s="175">
        <v>2</v>
      </c>
      <c r="Y829" s="12">
        <v>0</v>
      </c>
      <c r="Z829" s="175">
        <v>1500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1" t="str">
        <f t="shared" si="79"/>
        <v>向前方射出一支锋利的箭,对触碰的怪物造成200%攻击伤害+1500点固定伤害,并使目标移动速度降低50%,持续3秒</v>
      </c>
      <c r="BF829" s="201" t="s">
        <v>1893</v>
      </c>
      <c r="BG829" s="175">
        <v>0</v>
      </c>
      <c r="BH829" s="175">
        <v>0</v>
      </c>
      <c r="BI829" s="175">
        <v>0</v>
      </c>
      <c r="BJ829" s="175">
        <v>0</v>
      </c>
      <c r="BK829" s="175">
        <v>0</v>
      </c>
      <c r="BL829" s="175">
        <v>0</v>
      </c>
      <c r="BM829" s="202">
        <v>0</v>
      </c>
      <c r="BN829" s="175">
        <v>0</v>
      </c>
      <c r="BO829" s="175">
        <v>0</v>
      </c>
      <c r="BP829" s="175">
        <v>0</v>
      </c>
      <c r="BQ829" s="175">
        <v>0</v>
      </c>
      <c r="BR829" s="175">
        <v>0</v>
      </c>
      <c r="BS829" s="175">
        <v>0</v>
      </c>
      <c r="BT829" s="12">
        <v>0</v>
      </c>
      <c r="BU829" s="47">
        <v>0</v>
      </c>
      <c r="BV829" s="47"/>
      <c r="BW829" s="47"/>
    </row>
    <row r="830" spans="2:75" ht="19.5" customHeight="1">
      <c r="C830" s="175">
        <v>63011104</v>
      </c>
      <c r="D830" s="200" t="s">
        <v>1398</v>
      </c>
      <c r="E830" s="200" t="s">
        <v>1891</v>
      </c>
      <c r="F830" s="175">
        <v>3</v>
      </c>
      <c r="G830" s="175">
        <v>63011101</v>
      </c>
      <c r="H830" s="175">
        <v>0</v>
      </c>
      <c r="I830" s="175">
        <v>5</v>
      </c>
      <c r="J830" s="12">
        <v>1</v>
      </c>
      <c r="K830" s="12">
        <v>0</v>
      </c>
      <c r="L830" s="175">
        <v>0</v>
      </c>
      <c r="M830" s="175">
        <v>0</v>
      </c>
      <c r="N830" s="175">
        <v>0</v>
      </c>
      <c r="O830" s="175">
        <v>1</v>
      </c>
      <c r="P830" s="175">
        <v>0</v>
      </c>
      <c r="Q830" s="175">
        <v>0</v>
      </c>
      <c r="R830" s="175">
        <v>0</v>
      </c>
      <c r="S830" s="175">
        <v>0</v>
      </c>
      <c r="T830" s="175">
        <v>0</v>
      </c>
      <c r="U830" s="175">
        <v>1</v>
      </c>
      <c r="V830" s="175">
        <v>1</v>
      </c>
      <c r="W830" s="175">
        <v>0</v>
      </c>
      <c r="X830" s="175">
        <v>2.25</v>
      </c>
      <c r="Y830" s="12">
        <v>0</v>
      </c>
      <c r="Z830" s="175">
        <v>2250</v>
      </c>
      <c r="AA830" s="175">
        <v>0</v>
      </c>
      <c r="AB830" s="175">
        <v>15</v>
      </c>
      <c r="AC830" s="175">
        <v>0</v>
      </c>
      <c r="AD830" s="175">
        <v>0</v>
      </c>
      <c r="AE830" s="175">
        <v>0</v>
      </c>
      <c r="AF830" s="175">
        <v>9</v>
      </c>
      <c r="AG830" s="175">
        <v>1</v>
      </c>
      <c r="AH830" s="175">
        <v>3</v>
      </c>
      <c r="AI830" s="175">
        <v>2</v>
      </c>
      <c r="AJ830" s="175">
        <v>2</v>
      </c>
      <c r="AK830" s="175">
        <v>0</v>
      </c>
      <c r="AL830" s="175">
        <v>3</v>
      </c>
      <c r="AM830" s="175">
        <v>0</v>
      </c>
      <c r="AN830" s="175">
        <v>0</v>
      </c>
      <c r="AO830" s="175">
        <v>0</v>
      </c>
      <c r="AP830" s="175">
        <v>0.25</v>
      </c>
      <c r="AQ830" s="175">
        <v>1500</v>
      </c>
      <c r="AR830" s="175">
        <v>0.25</v>
      </c>
      <c r="AS830" s="175">
        <v>30</v>
      </c>
      <c r="AT830" s="175">
        <v>0</v>
      </c>
      <c r="AU830" s="175">
        <v>92002001</v>
      </c>
      <c r="AV830" s="175"/>
      <c r="AW830" s="200" t="s">
        <v>199</v>
      </c>
      <c r="AX830" s="175" t="s">
        <v>1400</v>
      </c>
      <c r="AY830" s="175">
        <v>10003002</v>
      </c>
      <c r="AZ830" s="175">
        <v>21200010</v>
      </c>
      <c r="BA830" s="200" t="s">
        <v>586</v>
      </c>
      <c r="BB830" s="200">
        <v>0</v>
      </c>
      <c r="BC830" s="175">
        <v>0</v>
      </c>
      <c r="BD830" s="175">
        <v>0</v>
      </c>
      <c r="BE830" s="201" t="str">
        <f t="shared" si="79"/>
        <v>向前方射出一支锋利的箭,对触碰的怪物造成225%攻击伤害+2250点固定伤害,并使目标移动速度降低50%,持续3秒</v>
      </c>
      <c r="BF830" s="201" t="s">
        <v>1894</v>
      </c>
      <c r="BG830" s="175">
        <v>0</v>
      </c>
      <c r="BH830" s="175">
        <v>0</v>
      </c>
      <c r="BI830" s="175">
        <v>0</v>
      </c>
      <c r="BJ830" s="175">
        <v>0</v>
      </c>
      <c r="BK830" s="175">
        <v>0</v>
      </c>
      <c r="BL830" s="175">
        <v>0</v>
      </c>
      <c r="BM830" s="202">
        <v>0</v>
      </c>
      <c r="BN830" s="175">
        <v>0</v>
      </c>
      <c r="BO830" s="175">
        <v>0</v>
      </c>
      <c r="BP830" s="175">
        <v>0</v>
      </c>
      <c r="BQ830" s="175">
        <v>0</v>
      </c>
      <c r="BR830" s="175">
        <v>0</v>
      </c>
      <c r="BS830" s="175">
        <v>0</v>
      </c>
      <c r="BT830" s="12">
        <v>0</v>
      </c>
      <c r="BU830" s="47">
        <v>0</v>
      </c>
      <c r="BV830" s="47"/>
      <c r="BW830" s="47"/>
    </row>
    <row r="831" spans="2:75" ht="19.5" customHeight="1">
      <c r="C831" s="175">
        <v>63011105</v>
      </c>
      <c r="D831" s="200" t="s">
        <v>1398</v>
      </c>
      <c r="E831" s="200" t="s">
        <v>1891</v>
      </c>
      <c r="F831" s="175">
        <v>4</v>
      </c>
      <c r="G831" s="175">
        <v>63011101</v>
      </c>
      <c r="H831" s="175">
        <v>0</v>
      </c>
      <c r="I831" s="175">
        <v>5</v>
      </c>
      <c r="J831" s="12">
        <v>1</v>
      </c>
      <c r="K831" s="12">
        <v>0</v>
      </c>
      <c r="L831" s="175">
        <v>0</v>
      </c>
      <c r="M831" s="175">
        <v>0</v>
      </c>
      <c r="N831" s="175">
        <v>0</v>
      </c>
      <c r="O831" s="175">
        <v>1</v>
      </c>
      <c r="P831" s="175">
        <v>0</v>
      </c>
      <c r="Q831" s="175">
        <v>0</v>
      </c>
      <c r="R831" s="175">
        <v>0</v>
      </c>
      <c r="S831" s="175">
        <v>0</v>
      </c>
      <c r="T831" s="175">
        <v>0</v>
      </c>
      <c r="U831" s="175">
        <v>1</v>
      </c>
      <c r="V831" s="175">
        <v>1</v>
      </c>
      <c r="W831" s="175">
        <v>0</v>
      </c>
      <c r="X831" s="175">
        <v>2.5</v>
      </c>
      <c r="Y831" s="12">
        <v>0</v>
      </c>
      <c r="Z831" s="175">
        <v>3250</v>
      </c>
      <c r="AA831" s="175">
        <v>0</v>
      </c>
      <c r="AB831" s="175">
        <v>15</v>
      </c>
      <c r="AC831" s="175">
        <v>0</v>
      </c>
      <c r="AD831" s="175">
        <v>0</v>
      </c>
      <c r="AE831" s="175">
        <v>0</v>
      </c>
      <c r="AF831" s="175">
        <v>9</v>
      </c>
      <c r="AG831" s="175">
        <v>1</v>
      </c>
      <c r="AH831" s="175">
        <v>3</v>
      </c>
      <c r="AI831" s="175">
        <v>2</v>
      </c>
      <c r="AJ831" s="175">
        <v>2</v>
      </c>
      <c r="AK831" s="175">
        <v>0</v>
      </c>
      <c r="AL831" s="175">
        <v>3</v>
      </c>
      <c r="AM831" s="175">
        <v>0</v>
      </c>
      <c r="AN831" s="175">
        <v>0</v>
      </c>
      <c r="AO831" s="175">
        <v>0</v>
      </c>
      <c r="AP831" s="175">
        <v>0.25</v>
      </c>
      <c r="AQ831" s="175">
        <v>1500</v>
      </c>
      <c r="AR831" s="175">
        <v>0.25</v>
      </c>
      <c r="AS831" s="175">
        <v>30</v>
      </c>
      <c r="AT831" s="175">
        <v>0</v>
      </c>
      <c r="AU831" s="175">
        <v>92002001</v>
      </c>
      <c r="AV831" s="175"/>
      <c r="AW831" s="200" t="s">
        <v>199</v>
      </c>
      <c r="AX831" s="175" t="s">
        <v>1400</v>
      </c>
      <c r="AY831" s="175">
        <v>10003002</v>
      </c>
      <c r="AZ831" s="175">
        <v>21200010</v>
      </c>
      <c r="BA831" s="200" t="s">
        <v>586</v>
      </c>
      <c r="BB831" s="200">
        <v>0</v>
      </c>
      <c r="BC831" s="175">
        <v>0</v>
      </c>
      <c r="BD831" s="175">
        <v>0</v>
      </c>
      <c r="BE831" s="201" t="str">
        <f t="shared" si="79"/>
        <v>向前方射出一支锋利的箭,对触碰的怪物造成250%攻击伤害+3250点固定伤害,并使目标移动速度降低50%,持续3秒</v>
      </c>
      <c r="BF831" s="201" t="s">
        <v>1895</v>
      </c>
      <c r="BG831" s="175">
        <v>0</v>
      </c>
      <c r="BH831" s="175">
        <v>0</v>
      </c>
      <c r="BI831" s="175">
        <v>0</v>
      </c>
      <c r="BJ831" s="175">
        <v>0</v>
      </c>
      <c r="BK831" s="175">
        <v>0</v>
      </c>
      <c r="BL831" s="175">
        <v>0</v>
      </c>
      <c r="BM831" s="202">
        <v>0</v>
      </c>
      <c r="BN831" s="175">
        <v>0</v>
      </c>
      <c r="BO831" s="175">
        <v>0</v>
      </c>
      <c r="BP831" s="175">
        <v>0</v>
      </c>
      <c r="BQ831" s="175">
        <v>0</v>
      </c>
      <c r="BR831" s="175">
        <v>0</v>
      </c>
      <c r="BS831" s="175">
        <v>0</v>
      </c>
      <c r="BT831" s="12">
        <v>0</v>
      </c>
      <c r="BU831" s="47">
        <v>0</v>
      </c>
      <c r="BV831" s="47"/>
      <c r="BW831" s="47"/>
    </row>
    <row r="832" spans="2:75" ht="19.5" customHeight="1">
      <c r="C832" s="175">
        <v>63011106</v>
      </c>
      <c r="D832" s="200" t="s">
        <v>1398</v>
      </c>
      <c r="E832" s="200" t="s">
        <v>1891</v>
      </c>
      <c r="F832" s="175">
        <v>5</v>
      </c>
      <c r="G832" s="175">
        <v>63011101</v>
      </c>
      <c r="H832" s="175">
        <v>0</v>
      </c>
      <c r="I832" s="175">
        <v>5</v>
      </c>
      <c r="J832" s="12">
        <v>1</v>
      </c>
      <c r="K832" s="12">
        <v>0</v>
      </c>
      <c r="L832" s="175">
        <v>0</v>
      </c>
      <c r="M832" s="175">
        <v>0</v>
      </c>
      <c r="N832" s="175">
        <v>0</v>
      </c>
      <c r="O832" s="175">
        <v>1</v>
      </c>
      <c r="P832" s="175">
        <v>0</v>
      </c>
      <c r="Q832" s="175">
        <v>0</v>
      </c>
      <c r="R832" s="175">
        <v>0</v>
      </c>
      <c r="S832" s="175">
        <v>0</v>
      </c>
      <c r="T832" s="175">
        <v>0</v>
      </c>
      <c r="U832" s="175">
        <v>1</v>
      </c>
      <c r="V832" s="175">
        <v>1</v>
      </c>
      <c r="W832" s="175">
        <v>0</v>
      </c>
      <c r="X832" s="175">
        <v>2.75</v>
      </c>
      <c r="Y832" s="12">
        <v>0</v>
      </c>
      <c r="Z832" s="175">
        <v>4250</v>
      </c>
      <c r="AA832" s="175">
        <v>0</v>
      </c>
      <c r="AB832" s="175">
        <v>15</v>
      </c>
      <c r="AC832" s="175">
        <v>0</v>
      </c>
      <c r="AD832" s="175">
        <v>0</v>
      </c>
      <c r="AE832" s="175">
        <v>0</v>
      </c>
      <c r="AF832" s="175">
        <v>9</v>
      </c>
      <c r="AG832" s="175">
        <v>1</v>
      </c>
      <c r="AH832" s="175">
        <v>3</v>
      </c>
      <c r="AI832" s="175">
        <v>2</v>
      </c>
      <c r="AJ832" s="175">
        <v>2</v>
      </c>
      <c r="AK832" s="175">
        <v>0</v>
      </c>
      <c r="AL832" s="175">
        <v>3</v>
      </c>
      <c r="AM832" s="175">
        <v>0</v>
      </c>
      <c r="AN832" s="175">
        <v>0</v>
      </c>
      <c r="AO832" s="175">
        <v>0</v>
      </c>
      <c r="AP832" s="175">
        <v>0.25</v>
      </c>
      <c r="AQ832" s="175">
        <v>1500</v>
      </c>
      <c r="AR832" s="175">
        <v>0.25</v>
      </c>
      <c r="AS832" s="175">
        <v>30</v>
      </c>
      <c r="AT832" s="175">
        <v>0</v>
      </c>
      <c r="AU832" s="175">
        <v>92002001</v>
      </c>
      <c r="AV832" s="175"/>
      <c r="AW832" s="200" t="s">
        <v>199</v>
      </c>
      <c r="AX832" s="175" t="s">
        <v>1400</v>
      </c>
      <c r="AY832" s="175">
        <v>10003002</v>
      </c>
      <c r="AZ832" s="175">
        <v>21200010</v>
      </c>
      <c r="BA832" s="200" t="s">
        <v>586</v>
      </c>
      <c r="BB832" s="200">
        <v>0</v>
      </c>
      <c r="BC832" s="175">
        <v>0</v>
      </c>
      <c r="BD832" s="175">
        <v>0</v>
      </c>
      <c r="BE832" s="201" t="str">
        <f t="shared" si="79"/>
        <v>向前方射出一支锋利的箭,对触碰的怪物造成275%攻击伤害+4250点固定伤害,并使目标移动速度降低50%,持续3秒</v>
      </c>
      <c r="BF832" s="201" t="s">
        <v>1896</v>
      </c>
      <c r="BG832" s="175">
        <v>0</v>
      </c>
      <c r="BH832" s="175">
        <v>0</v>
      </c>
      <c r="BI832" s="175">
        <v>0</v>
      </c>
      <c r="BJ832" s="175">
        <v>0</v>
      </c>
      <c r="BK832" s="175">
        <v>0</v>
      </c>
      <c r="BL832" s="175">
        <v>0</v>
      </c>
      <c r="BM832" s="202">
        <v>0</v>
      </c>
      <c r="BN832" s="175">
        <v>0</v>
      </c>
      <c r="BO832" s="175">
        <v>0</v>
      </c>
      <c r="BP832" s="175">
        <v>0</v>
      </c>
      <c r="BQ832" s="175">
        <v>0</v>
      </c>
      <c r="BR832" s="175">
        <v>0</v>
      </c>
      <c r="BS832" s="175">
        <v>0</v>
      </c>
      <c r="BT832" s="12">
        <v>0</v>
      </c>
      <c r="BU832" s="47">
        <v>0</v>
      </c>
      <c r="BV832" s="47"/>
      <c r="BW832" s="47"/>
    </row>
    <row r="833" spans="3:75" ht="19.5" customHeight="1">
      <c r="C833" s="172">
        <v>63011201</v>
      </c>
      <c r="D833" s="203" t="s">
        <v>1897</v>
      </c>
      <c r="E833" s="203" t="s">
        <v>1898</v>
      </c>
      <c r="F833" s="176">
        <v>0</v>
      </c>
      <c r="G833" s="176">
        <v>63011201</v>
      </c>
      <c r="H833" s="172">
        <f t="shared" ref="H833:H835" si="80">C834</f>
        <v>63011202</v>
      </c>
      <c r="I833" s="174">
        <v>1</v>
      </c>
      <c r="J833" s="16">
        <v>3</v>
      </c>
      <c r="K833" s="16">
        <v>5</v>
      </c>
      <c r="L833" s="176">
        <v>0</v>
      </c>
      <c r="M833" s="176">
        <v>0</v>
      </c>
      <c r="N833" s="176">
        <v>0</v>
      </c>
      <c r="O833" s="172">
        <v>1</v>
      </c>
      <c r="P833" s="176">
        <v>0</v>
      </c>
      <c r="Q833" s="176">
        <v>0</v>
      </c>
      <c r="R833" s="176">
        <v>0</v>
      </c>
      <c r="S833" s="175">
        <v>0</v>
      </c>
      <c r="T833" s="175">
        <v>0</v>
      </c>
      <c r="U833" s="172">
        <v>1</v>
      </c>
      <c r="V833" s="176">
        <v>2</v>
      </c>
      <c r="W833" s="176">
        <v>0</v>
      </c>
      <c r="X833" s="176">
        <v>1.2</v>
      </c>
      <c r="Y833" s="12">
        <v>0</v>
      </c>
      <c r="Z833" s="204">
        <v>600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3" t="s">
        <v>1547</v>
      </c>
      <c r="AX833" s="176" t="s">
        <v>1703</v>
      </c>
      <c r="AY833" s="176">
        <v>10003002</v>
      </c>
      <c r="AZ833" s="176">
        <v>21200110</v>
      </c>
      <c r="BA833" s="203" t="s">
        <v>1899</v>
      </c>
      <c r="BB833" s="203">
        <v>0</v>
      </c>
      <c r="BC833" s="175">
        <v>0</v>
      </c>
      <c r="BD833" s="175">
        <v>0</v>
      </c>
      <c r="BE833" s="201" t="str">
        <f>"对目标方向投掷2个光球,对触碰的单位造成造成"&amp;X833*100&amp;"%攻击伤害+"&amp;Z833&amp;"点固定伤害"&amp;",此光球再移动到一定位置后会再原始路径返回"</f>
        <v>对目标方向投掷2个光球,对触碰的单位造成造成120%攻击伤害+600点固定伤害,此光球再移动到一定位置后会再原始路径返回</v>
      </c>
      <c r="BF833" s="201" t="s">
        <v>1900</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63011202</v>
      </c>
      <c r="D834" s="203" t="s">
        <v>1897</v>
      </c>
      <c r="E834" s="203" t="s">
        <v>1898</v>
      </c>
      <c r="F834" s="176">
        <v>1</v>
      </c>
      <c r="G834" s="176">
        <v>63011201</v>
      </c>
      <c r="H834" s="172">
        <f t="shared" si="80"/>
        <v>63011203</v>
      </c>
      <c r="I834" s="174">
        <v>1</v>
      </c>
      <c r="J834" s="16">
        <v>3</v>
      </c>
      <c r="K834" s="16">
        <v>2</v>
      </c>
      <c r="L834" s="176">
        <v>0</v>
      </c>
      <c r="M834" s="176">
        <v>0</v>
      </c>
      <c r="N834" s="176">
        <v>0</v>
      </c>
      <c r="O834" s="172">
        <v>1</v>
      </c>
      <c r="P834" s="176">
        <v>0</v>
      </c>
      <c r="Q834" s="176">
        <v>0</v>
      </c>
      <c r="R834" s="176">
        <v>0</v>
      </c>
      <c r="S834" s="175">
        <v>0</v>
      </c>
      <c r="T834" s="175">
        <v>0</v>
      </c>
      <c r="U834" s="172">
        <v>1</v>
      </c>
      <c r="V834" s="176">
        <v>2</v>
      </c>
      <c r="W834" s="176">
        <v>0</v>
      </c>
      <c r="X834" s="176">
        <v>1.2</v>
      </c>
      <c r="Y834" s="12">
        <v>0</v>
      </c>
      <c r="Z834" s="204">
        <v>600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3" t="s">
        <v>1547</v>
      </c>
      <c r="AX834" s="176" t="s">
        <v>1703</v>
      </c>
      <c r="AY834" s="176">
        <v>10003002</v>
      </c>
      <c r="AZ834" s="176">
        <v>21200110</v>
      </c>
      <c r="BA834" s="203" t="s">
        <v>1899</v>
      </c>
      <c r="BB834" s="203">
        <v>0</v>
      </c>
      <c r="BC834" s="175">
        <v>0</v>
      </c>
      <c r="BD834" s="175">
        <v>0</v>
      </c>
      <c r="BE834" s="201" t="str">
        <f t="shared" ref="BE834:BE838" si="81">"对目标方向投掷2个光球,对触碰的单位造成造成"&amp;X834*100&amp;"%攻击伤害+"&amp;Z834&amp;"点固定伤害"&amp;",此光球再移动到一定位置后会再原始路径返回"</f>
        <v>对目标方向投掷2个光球,对触碰的单位造成造成120%攻击伤害+600点固定伤害,此光球再移动到一定位置后会再原始路径返回</v>
      </c>
      <c r="BF834" s="201" t="s">
        <v>1900</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63011203</v>
      </c>
      <c r="D835" s="203" t="s">
        <v>1897</v>
      </c>
      <c r="E835" s="203" t="s">
        <v>1898</v>
      </c>
      <c r="F835" s="176">
        <v>2</v>
      </c>
      <c r="G835" s="176">
        <v>63011201</v>
      </c>
      <c r="H835" s="172">
        <f t="shared" si="80"/>
        <v>63011204</v>
      </c>
      <c r="I835" s="174">
        <v>1</v>
      </c>
      <c r="J835" s="16">
        <v>3</v>
      </c>
      <c r="K835" s="16">
        <v>2</v>
      </c>
      <c r="L835" s="176">
        <v>0</v>
      </c>
      <c r="M835" s="176">
        <v>0</v>
      </c>
      <c r="N835" s="176">
        <v>0</v>
      </c>
      <c r="O835" s="172">
        <v>1</v>
      </c>
      <c r="P835" s="176">
        <v>0</v>
      </c>
      <c r="Q835" s="176">
        <v>0</v>
      </c>
      <c r="R835" s="176">
        <v>0</v>
      </c>
      <c r="S835" s="175">
        <v>0</v>
      </c>
      <c r="T835" s="175">
        <v>0</v>
      </c>
      <c r="U835" s="172">
        <v>1</v>
      </c>
      <c r="V835" s="176">
        <v>2</v>
      </c>
      <c r="W835" s="176">
        <v>0</v>
      </c>
      <c r="X835" s="176">
        <v>1.35</v>
      </c>
      <c r="Y835" s="12">
        <v>0</v>
      </c>
      <c r="Z835" s="204">
        <v>950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3" t="s">
        <v>1547</v>
      </c>
      <c r="AX835" s="176" t="s">
        <v>1703</v>
      </c>
      <c r="AY835" s="176">
        <v>10003002</v>
      </c>
      <c r="AZ835" s="176">
        <v>21200110</v>
      </c>
      <c r="BA835" s="203" t="s">
        <v>1899</v>
      </c>
      <c r="BB835" s="203">
        <v>0</v>
      </c>
      <c r="BC835" s="175">
        <v>0</v>
      </c>
      <c r="BD835" s="175">
        <v>0</v>
      </c>
      <c r="BE835" s="201" t="str">
        <f t="shared" si="81"/>
        <v>对目标方向投掷2个光球,对触碰的单位造成造成135%攻击伤害+950点固定伤害,此光球再移动到一定位置后会再原始路径返回</v>
      </c>
      <c r="BF835" s="201" t="s">
        <v>1901</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19.5" customHeight="1">
      <c r="C836" s="172">
        <v>63011204</v>
      </c>
      <c r="D836" s="203" t="s">
        <v>1897</v>
      </c>
      <c r="E836" s="203" t="s">
        <v>1898</v>
      </c>
      <c r="F836" s="176">
        <v>3</v>
      </c>
      <c r="G836" s="176">
        <v>63011201</v>
      </c>
      <c r="H836" s="172">
        <v>0</v>
      </c>
      <c r="I836" s="174">
        <v>1</v>
      </c>
      <c r="J836" s="16">
        <v>3</v>
      </c>
      <c r="K836" s="16">
        <v>0</v>
      </c>
      <c r="L836" s="176">
        <v>0</v>
      </c>
      <c r="M836" s="176">
        <v>0</v>
      </c>
      <c r="N836" s="176">
        <v>0</v>
      </c>
      <c r="O836" s="172">
        <v>1</v>
      </c>
      <c r="P836" s="176">
        <v>0</v>
      </c>
      <c r="Q836" s="176">
        <v>0</v>
      </c>
      <c r="R836" s="176">
        <v>0</v>
      </c>
      <c r="S836" s="175">
        <v>0</v>
      </c>
      <c r="T836" s="175">
        <v>0</v>
      </c>
      <c r="U836" s="172">
        <v>1</v>
      </c>
      <c r="V836" s="176">
        <v>2</v>
      </c>
      <c r="W836" s="176">
        <v>0</v>
      </c>
      <c r="X836" s="176">
        <v>1.5</v>
      </c>
      <c r="Y836" s="12">
        <v>0</v>
      </c>
      <c r="Z836" s="204">
        <v>1500</v>
      </c>
      <c r="AA836" s="176">
        <v>0</v>
      </c>
      <c r="AB836" s="175">
        <v>15</v>
      </c>
      <c r="AC836" s="176">
        <v>0</v>
      </c>
      <c r="AD836" s="176">
        <v>0</v>
      </c>
      <c r="AE836" s="176">
        <v>0</v>
      </c>
      <c r="AF836" s="176">
        <v>9</v>
      </c>
      <c r="AG836" s="176">
        <v>1</v>
      </c>
      <c r="AH836" s="176">
        <v>2</v>
      </c>
      <c r="AI836" s="175">
        <v>2</v>
      </c>
      <c r="AJ836" s="175">
        <v>2</v>
      </c>
      <c r="AK836" s="175">
        <v>0</v>
      </c>
      <c r="AL836" s="175">
        <v>3</v>
      </c>
      <c r="AM836" s="176">
        <v>0</v>
      </c>
      <c r="AN836" s="176">
        <v>0</v>
      </c>
      <c r="AO836" s="176">
        <v>0</v>
      </c>
      <c r="AP836" s="176">
        <v>0.5</v>
      </c>
      <c r="AQ836" s="176">
        <v>1500</v>
      </c>
      <c r="AR836" s="176">
        <v>0</v>
      </c>
      <c r="AS836" s="176">
        <v>20</v>
      </c>
      <c r="AT836" s="175">
        <v>0</v>
      </c>
      <c r="AU836" s="176" t="s">
        <v>198</v>
      </c>
      <c r="AV836" s="176"/>
      <c r="AW836" s="203" t="s">
        <v>1547</v>
      </c>
      <c r="AX836" s="176" t="s">
        <v>1703</v>
      </c>
      <c r="AY836" s="176">
        <v>10003002</v>
      </c>
      <c r="AZ836" s="176">
        <v>21200110</v>
      </c>
      <c r="BA836" s="203" t="s">
        <v>1899</v>
      </c>
      <c r="BB836" s="203">
        <v>0</v>
      </c>
      <c r="BC836" s="175">
        <v>0</v>
      </c>
      <c r="BD836" s="175">
        <v>0</v>
      </c>
      <c r="BE836" s="201" t="str">
        <f t="shared" si="81"/>
        <v>对目标方向投掷2个光球,对触碰的单位造成造成150%攻击伤害+1500点固定伤害,此光球再移动到一定位置后会再原始路径返回</v>
      </c>
      <c r="BF836" s="201" t="s">
        <v>1902</v>
      </c>
      <c r="BG836" s="176">
        <v>0</v>
      </c>
      <c r="BH836" s="172">
        <v>0</v>
      </c>
      <c r="BI836" s="176">
        <v>0</v>
      </c>
      <c r="BJ836" s="176">
        <v>0</v>
      </c>
      <c r="BK836" s="176">
        <v>0</v>
      </c>
      <c r="BL836" s="176">
        <v>0</v>
      </c>
      <c r="BM836" s="178">
        <v>0</v>
      </c>
      <c r="BN836" s="175">
        <v>0</v>
      </c>
      <c r="BO836" s="175">
        <v>0</v>
      </c>
      <c r="BP836" s="175">
        <v>0</v>
      </c>
      <c r="BQ836" s="175">
        <v>0</v>
      </c>
      <c r="BR836" s="175">
        <v>0</v>
      </c>
      <c r="BS836" s="175">
        <v>0</v>
      </c>
      <c r="BT836" s="12">
        <v>0</v>
      </c>
      <c r="BU836" s="47">
        <v>0</v>
      </c>
      <c r="BV836" s="47"/>
      <c r="BW836" s="47"/>
    </row>
    <row r="837" spans="3:75" ht="19.5" customHeight="1">
      <c r="C837" s="172">
        <v>63011205</v>
      </c>
      <c r="D837" s="203" t="s">
        <v>1897</v>
      </c>
      <c r="E837" s="203" t="s">
        <v>1898</v>
      </c>
      <c r="F837" s="176">
        <v>4</v>
      </c>
      <c r="G837" s="176">
        <v>63011201</v>
      </c>
      <c r="H837" s="172">
        <v>0</v>
      </c>
      <c r="I837" s="174">
        <v>1</v>
      </c>
      <c r="J837" s="16">
        <v>3</v>
      </c>
      <c r="K837" s="16">
        <v>0</v>
      </c>
      <c r="L837" s="176">
        <v>0</v>
      </c>
      <c r="M837" s="176">
        <v>0</v>
      </c>
      <c r="N837" s="176">
        <v>0</v>
      </c>
      <c r="O837" s="172">
        <v>1</v>
      </c>
      <c r="P837" s="176">
        <v>0</v>
      </c>
      <c r="Q837" s="176">
        <v>0</v>
      </c>
      <c r="R837" s="176">
        <v>0</v>
      </c>
      <c r="S837" s="175">
        <v>0</v>
      </c>
      <c r="T837" s="175">
        <v>0</v>
      </c>
      <c r="U837" s="172">
        <v>1</v>
      </c>
      <c r="V837" s="176">
        <v>2</v>
      </c>
      <c r="W837" s="176">
        <v>0</v>
      </c>
      <c r="X837" s="176">
        <v>1.65</v>
      </c>
      <c r="Y837" s="12">
        <v>0</v>
      </c>
      <c r="Z837" s="204">
        <v>2250</v>
      </c>
      <c r="AA837" s="176">
        <v>0</v>
      </c>
      <c r="AB837" s="175">
        <v>15</v>
      </c>
      <c r="AC837" s="176">
        <v>0</v>
      </c>
      <c r="AD837" s="176">
        <v>0</v>
      </c>
      <c r="AE837" s="176">
        <v>0</v>
      </c>
      <c r="AF837" s="176">
        <v>9</v>
      </c>
      <c r="AG837" s="176">
        <v>1</v>
      </c>
      <c r="AH837" s="176">
        <v>2</v>
      </c>
      <c r="AI837" s="175">
        <v>2</v>
      </c>
      <c r="AJ837" s="175">
        <v>2</v>
      </c>
      <c r="AK837" s="175">
        <v>0</v>
      </c>
      <c r="AL837" s="175">
        <v>3</v>
      </c>
      <c r="AM837" s="176">
        <v>0</v>
      </c>
      <c r="AN837" s="176">
        <v>0</v>
      </c>
      <c r="AO837" s="176">
        <v>0</v>
      </c>
      <c r="AP837" s="176">
        <v>0.5</v>
      </c>
      <c r="AQ837" s="176">
        <v>1500</v>
      </c>
      <c r="AR837" s="176">
        <v>0</v>
      </c>
      <c r="AS837" s="176">
        <v>20</v>
      </c>
      <c r="AT837" s="175">
        <v>0</v>
      </c>
      <c r="AU837" s="176" t="s">
        <v>198</v>
      </c>
      <c r="AV837" s="176"/>
      <c r="AW837" s="203" t="s">
        <v>1547</v>
      </c>
      <c r="AX837" s="176" t="s">
        <v>1703</v>
      </c>
      <c r="AY837" s="176">
        <v>10003002</v>
      </c>
      <c r="AZ837" s="176">
        <v>21200110</v>
      </c>
      <c r="BA837" s="203" t="s">
        <v>1899</v>
      </c>
      <c r="BB837" s="203">
        <v>0</v>
      </c>
      <c r="BC837" s="175">
        <v>0</v>
      </c>
      <c r="BD837" s="175">
        <v>0</v>
      </c>
      <c r="BE837" s="201" t="str">
        <f t="shared" si="81"/>
        <v>对目标方向投掷2个光球,对触碰的单位造成造成165%攻击伤害+2250点固定伤害,此光球再移动到一定位置后会再原始路径返回</v>
      </c>
      <c r="BF837" s="201" t="s">
        <v>1903</v>
      </c>
      <c r="BG837" s="176">
        <v>0</v>
      </c>
      <c r="BH837" s="172">
        <v>0</v>
      </c>
      <c r="BI837" s="176">
        <v>0</v>
      </c>
      <c r="BJ837" s="176">
        <v>0</v>
      </c>
      <c r="BK837" s="176">
        <v>0</v>
      </c>
      <c r="BL837" s="176">
        <v>0</v>
      </c>
      <c r="BM837" s="178">
        <v>0</v>
      </c>
      <c r="BN837" s="175">
        <v>0</v>
      </c>
      <c r="BO837" s="175">
        <v>0</v>
      </c>
      <c r="BP837" s="175">
        <v>0</v>
      </c>
      <c r="BQ837" s="175">
        <v>0</v>
      </c>
      <c r="BR837" s="175">
        <v>0</v>
      </c>
      <c r="BS837" s="175">
        <v>0</v>
      </c>
      <c r="BT837" s="12">
        <v>0</v>
      </c>
      <c r="BU837" s="47">
        <v>0</v>
      </c>
      <c r="BV837" s="47"/>
      <c r="BW837" s="47"/>
    </row>
    <row r="838" spans="3:75" ht="19.5" customHeight="1">
      <c r="C838" s="172">
        <v>63011206</v>
      </c>
      <c r="D838" s="203" t="s">
        <v>1897</v>
      </c>
      <c r="E838" s="203" t="s">
        <v>1898</v>
      </c>
      <c r="F838" s="176">
        <v>5</v>
      </c>
      <c r="G838" s="176">
        <v>63011201</v>
      </c>
      <c r="H838" s="176">
        <v>0</v>
      </c>
      <c r="I838" s="174">
        <v>1</v>
      </c>
      <c r="J838" s="16">
        <v>3</v>
      </c>
      <c r="K838" s="16">
        <v>0</v>
      </c>
      <c r="L838" s="176">
        <v>0</v>
      </c>
      <c r="M838" s="176">
        <v>0</v>
      </c>
      <c r="N838" s="176">
        <v>0</v>
      </c>
      <c r="O838" s="172">
        <v>1</v>
      </c>
      <c r="P838" s="176">
        <v>0</v>
      </c>
      <c r="Q838" s="176">
        <v>0</v>
      </c>
      <c r="R838" s="176">
        <v>0</v>
      </c>
      <c r="S838" s="175">
        <v>0</v>
      </c>
      <c r="T838" s="175">
        <v>0</v>
      </c>
      <c r="U838" s="172">
        <v>1</v>
      </c>
      <c r="V838" s="176">
        <v>2</v>
      </c>
      <c r="W838" s="176">
        <v>0</v>
      </c>
      <c r="X838" s="176">
        <v>1.8</v>
      </c>
      <c r="Y838" s="12">
        <v>0</v>
      </c>
      <c r="Z838" s="204">
        <v>3000</v>
      </c>
      <c r="AA838" s="176">
        <v>0</v>
      </c>
      <c r="AB838" s="175">
        <v>15</v>
      </c>
      <c r="AC838" s="176">
        <v>0</v>
      </c>
      <c r="AD838" s="176">
        <v>0</v>
      </c>
      <c r="AE838" s="176">
        <v>0</v>
      </c>
      <c r="AF838" s="176">
        <v>9</v>
      </c>
      <c r="AG838" s="176">
        <v>1</v>
      </c>
      <c r="AH838" s="176">
        <v>2</v>
      </c>
      <c r="AI838" s="175">
        <v>2</v>
      </c>
      <c r="AJ838" s="175">
        <v>2</v>
      </c>
      <c r="AK838" s="175">
        <v>0</v>
      </c>
      <c r="AL838" s="175">
        <v>3</v>
      </c>
      <c r="AM838" s="176">
        <v>0</v>
      </c>
      <c r="AN838" s="176">
        <v>0</v>
      </c>
      <c r="AO838" s="176">
        <v>0</v>
      </c>
      <c r="AP838" s="176">
        <v>0.5</v>
      </c>
      <c r="AQ838" s="176">
        <v>1500</v>
      </c>
      <c r="AR838" s="176">
        <v>0</v>
      </c>
      <c r="AS838" s="176">
        <v>20</v>
      </c>
      <c r="AT838" s="175">
        <v>0</v>
      </c>
      <c r="AU838" s="176" t="s">
        <v>198</v>
      </c>
      <c r="AV838" s="176"/>
      <c r="AW838" s="203" t="s">
        <v>1547</v>
      </c>
      <c r="AX838" s="176" t="s">
        <v>1703</v>
      </c>
      <c r="AY838" s="176">
        <v>10003002</v>
      </c>
      <c r="AZ838" s="176">
        <v>21200110</v>
      </c>
      <c r="BA838" s="203" t="s">
        <v>1899</v>
      </c>
      <c r="BB838" s="203">
        <v>0</v>
      </c>
      <c r="BC838" s="175">
        <v>0</v>
      </c>
      <c r="BD838" s="175">
        <v>0</v>
      </c>
      <c r="BE838" s="201" t="str">
        <f t="shared" si="81"/>
        <v>对目标方向投掷2个光球,对触碰的单位造成造成180%攻击伤害+3000点固定伤害,此光球再移动到一定位置后会再原始路径返回</v>
      </c>
      <c r="BF838" s="201" t="s">
        <v>1904</v>
      </c>
      <c r="BG838" s="176">
        <v>0</v>
      </c>
      <c r="BH838" s="172">
        <v>0</v>
      </c>
      <c r="BI838" s="176">
        <v>0</v>
      </c>
      <c r="BJ838" s="176">
        <v>0</v>
      </c>
      <c r="BK838" s="176">
        <v>0</v>
      </c>
      <c r="BL838" s="176">
        <v>0</v>
      </c>
      <c r="BM838" s="178">
        <v>0</v>
      </c>
      <c r="BN838" s="175">
        <v>0</v>
      </c>
      <c r="BO838" s="175">
        <v>0</v>
      </c>
      <c r="BP838" s="175">
        <v>0</v>
      </c>
      <c r="BQ838" s="175">
        <v>0</v>
      </c>
      <c r="BR838" s="175">
        <v>0</v>
      </c>
      <c r="BS838" s="175">
        <v>0</v>
      </c>
      <c r="BT838" s="12">
        <v>0</v>
      </c>
      <c r="BU838" s="47">
        <v>0</v>
      </c>
      <c r="BV838" s="47"/>
      <c r="BW838" s="47"/>
    </row>
    <row r="839" spans="3:75" ht="20.100000000000001" customHeight="1">
      <c r="C839" s="172">
        <v>63011301</v>
      </c>
      <c r="D839" s="173" t="s">
        <v>1406</v>
      </c>
      <c r="E839" s="173" t="s">
        <v>1905</v>
      </c>
      <c r="F839" s="176">
        <v>0</v>
      </c>
      <c r="G839" s="172">
        <v>63011301</v>
      </c>
      <c r="H839" s="172">
        <f t="shared" ref="H839:H841" si="82">C840</f>
        <v>63011302</v>
      </c>
      <c r="I839" s="204">
        <v>5</v>
      </c>
      <c r="J839" s="16">
        <v>5</v>
      </c>
      <c r="K839" s="16">
        <v>5</v>
      </c>
      <c r="L839" s="176">
        <v>0</v>
      </c>
      <c r="M839" s="172">
        <v>0</v>
      </c>
      <c r="N839" s="172">
        <v>0</v>
      </c>
      <c r="O839" s="172">
        <v>1</v>
      </c>
      <c r="P839" s="172">
        <v>0</v>
      </c>
      <c r="Q839" s="172">
        <v>0</v>
      </c>
      <c r="R839" s="172">
        <v>0</v>
      </c>
      <c r="S839" s="175">
        <v>0</v>
      </c>
      <c r="T839" s="175">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3" t="s">
        <v>1907</v>
      </c>
      <c r="BC839" s="175">
        <v>0</v>
      </c>
      <c r="BD839" s="175">
        <v>0</v>
      </c>
      <c r="BE839" s="206" t="s">
        <v>1908</v>
      </c>
      <c r="BF839" s="206" t="s">
        <v>1909</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20.100000000000001" customHeight="1">
      <c r="C840" s="172">
        <v>63011302</v>
      </c>
      <c r="D840" s="173" t="s">
        <v>1406</v>
      </c>
      <c r="E840" s="173" t="s">
        <v>1905</v>
      </c>
      <c r="F840" s="176">
        <v>1</v>
      </c>
      <c r="G840" s="172">
        <v>63011301</v>
      </c>
      <c r="H840" s="172">
        <f t="shared" si="82"/>
        <v>63011303</v>
      </c>
      <c r="I840" s="204">
        <v>5</v>
      </c>
      <c r="J840" s="16">
        <v>5</v>
      </c>
      <c r="K840" s="16">
        <v>2</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3" t="s">
        <v>1907</v>
      </c>
      <c r="BC840" s="175">
        <v>0</v>
      </c>
      <c r="BD840" s="175">
        <v>0</v>
      </c>
      <c r="BE840" s="206" t="s">
        <v>1908</v>
      </c>
      <c r="BF840" s="206" t="s">
        <v>1909</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20.100000000000001" customHeight="1">
      <c r="C841" s="172">
        <v>63011303</v>
      </c>
      <c r="D841" s="173" t="s">
        <v>1406</v>
      </c>
      <c r="E841" s="173" t="s">
        <v>1905</v>
      </c>
      <c r="F841" s="176">
        <v>2</v>
      </c>
      <c r="G841" s="172">
        <v>63011301</v>
      </c>
      <c r="H841" s="172">
        <f t="shared" si="82"/>
        <v>63011304</v>
      </c>
      <c r="I841" s="204">
        <v>5</v>
      </c>
      <c r="J841" s="16">
        <v>5</v>
      </c>
      <c r="K841" s="16">
        <v>2</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3" t="s">
        <v>1910</v>
      </c>
      <c r="BC841" s="175">
        <v>0</v>
      </c>
      <c r="BD841" s="175">
        <v>0</v>
      </c>
      <c r="BE841" s="206" t="s">
        <v>1911</v>
      </c>
      <c r="BF841" s="206" t="s">
        <v>1912</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19.5" customHeight="1">
      <c r="C842" s="172">
        <v>63011304</v>
      </c>
      <c r="D842" s="173" t="s">
        <v>1406</v>
      </c>
      <c r="E842" s="173" t="s">
        <v>1905</v>
      </c>
      <c r="F842" s="176">
        <v>3</v>
      </c>
      <c r="G842" s="172">
        <v>63011301</v>
      </c>
      <c r="H842" s="172">
        <v>0</v>
      </c>
      <c r="I842" s="204">
        <v>5</v>
      </c>
      <c r="J842" s="16">
        <v>5</v>
      </c>
      <c r="K842" s="16">
        <v>0</v>
      </c>
      <c r="L842" s="176">
        <v>0</v>
      </c>
      <c r="M842" s="172">
        <v>0</v>
      </c>
      <c r="N842" s="172">
        <v>0</v>
      </c>
      <c r="O842" s="172">
        <v>1</v>
      </c>
      <c r="P842" s="172">
        <v>0</v>
      </c>
      <c r="Q842" s="172">
        <v>0</v>
      </c>
      <c r="R842" s="172">
        <v>0</v>
      </c>
      <c r="S842" s="175">
        <v>0</v>
      </c>
      <c r="T842" s="172">
        <v>0</v>
      </c>
      <c r="U842" s="172">
        <v>1</v>
      </c>
      <c r="V842" s="172">
        <v>2</v>
      </c>
      <c r="W842" s="172">
        <v>0</v>
      </c>
      <c r="X842" s="172">
        <v>0</v>
      </c>
      <c r="Y842" s="12">
        <v>0</v>
      </c>
      <c r="Z842" s="172">
        <v>0</v>
      </c>
      <c r="AA842" s="172">
        <v>0</v>
      </c>
      <c r="AB842" s="172">
        <v>20</v>
      </c>
      <c r="AC842" s="172">
        <v>0</v>
      </c>
      <c r="AD842" s="172">
        <v>0</v>
      </c>
      <c r="AE842" s="172">
        <v>0</v>
      </c>
      <c r="AF842" s="172">
        <v>30</v>
      </c>
      <c r="AG842" s="172">
        <v>0</v>
      </c>
      <c r="AH842" s="172">
        <v>0</v>
      </c>
      <c r="AI842" s="175">
        <v>1</v>
      </c>
      <c r="AJ842" s="175">
        <v>0</v>
      </c>
      <c r="AK842" s="175">
        <v>0</v>
      </c>
      <c r="AL842" s="175">
        <v>1.5</v>
      </c>
      <c r="AM842" s="172">
        <v>0</v>
      </c>
      <c r="AN842" s="172">
        <v>0.5</v>
      </c>
      <c r="AO842" s="172">
        <v>0</v>
      </c>
      <c r="AP842" s="176">
        <v>0.25</v>
      </c>
      <c r="AQ842" s="172">
        <v>3000</v>
      </c>
      <c r="AR842" s="172">
        <v>0</v>
      </c>
      <c r="AS842" s="172">
        <v>0</v>
      </c>
      <c r="AT842" s="175">
        <v>0</v>
      </c>
      <c r="AU842" s="172" t="s">
        <v>198</v>
      </c>
      <c r="AV842" s="172"/>
      <c r="AW842" s="173" t="s">
        <v>1648</v>
      </c>
      <c r="AX842" s="172" t="s">
        <v>1906</v>
      </c>
      <c r="AY842" s="176">
        <v>0</v>
      </c>
      <c r="AZ842" s="176">
        <v>21101051</v>
      </c>
      <c r="BA842" s="173" t="s">
        <v>1174</v>
      </c>
      <c r="BB842" s="353" t="s">
        <v>1913</v>
      </c>
      <c r="BC842" s="175">
        <v>0</v>
      </c>
      <c r="BD842" s="175">
        <v>0</v>
      </c>
      <c r="BE842" s="206" t="s">
        <v>1914</v>
      </c>
      <c r="BF842" s="206" t="s">
        <v>1915</v>
      </c>
      <c r="BG842" s="172">
        <v>0</v>
      </c>
      <c r="BH842" s="172">
        <v>0</v>
      </c>
      <c r="BI842" s="172">
        <v>0</v>
      </c>
      <c r="BJ842" s="172">
        <v>0</v>
      </c>
      <c r="BK842" s="172">
        <v>0</v>
      </c>
      <c r="BL842" s="172">
        <v>0</v>
      </c>
      <c r="BM842" s="178">
        <v>0</v>
      </c>
      <c r="BN842" s="175">
        <v>0</v>
      </c>
      <c r="BO842" s="175">
        <v>0</v>
      </c>
      <c r="BP842" s="175">
        <v>0</v>
      </c>
      <c r="BQ842" s="175">
        <v>0</v>
      </c>
      <c r="BR842" s="175">
        <v>0</v>
      </c>
      <c r="BS842" s="175">
        <v>0</v>
      </c>
      <c r="BT842" s="12">
        <v>0</v>
      </c>
      <c r="BU842" s="47">
        <v>0</v>
      </c>
      <c r="BV842" s="47"/>
      <c r="BW842" s="47"/>
    </row>
    <row r="843" spans="3:75" ht="19.5" customHeight="1">
      <c r="C843" s="172">
        <v>63011305</v>
      </c>
      <c r="D843" s="173" t="s">
        <v>1406</v>
      </c>
      <c r="E843" s="173" t="s">
        <v>1905</v>
      </c>
      <c r="F843" s="176">
        <v>4</v>
      </c>
      <c r="G843" s="172">
        <v>63011301</v>
      </c>
      <c r="H843" s="172">
        <v>0</v>
      </c>
      <c r="I843" s="204">
        <v>5</v>
      </c>
      <c r="J843" s="16">
        <v>5</v>
      </c>
      <c r="K843" s="16">
        <v>0</v>
      </c>
      <c r="L843" s="176">
        <v>0</v>
      </c>
      <c r="M843" s="172">
        <v>0</v>
      </c>
      <c r="N843" s="172">
        <v>0</v>
      </c>
      <c r="O843" s="172">
        <v>1</v>
      </c>
      <c r="P843" s="172">
        <v>0</v>
      </c>
      <c r="Q843" s="172">
        <v>0</v>
      </c>
      <c r="R843" s="172">
        <v>0</v>
      </c>
      <c r="S843" s="175">
        <v>0</v>
      </c>
      <c r="T843" s="172">
        <v>0</v>
      </c>
      <c r="U843" s="172">
        <v>1</v>
      </c>
      <c r="V843" s="172">
        <v>2</v>
      </c>
      <c r="W843" s="172">
        <v>0</v>
      </c>
      <c r="X843" s="172">
        <v>0</v>
      </c>
      <c r="Y843" s="12">
        <v>0</v>
      </c>
      <c r="Z843" s="172">
        <v>0</v>
      </c>
      <c r="AA843" s="172">
        <v>0</v>
      </c>
      <c r="AB843" s="172">
        <v>20</v>
      </c>
      <c r="AC843" s="172">
        <v>0</v>
      </c>
      <c r="AD843" s="172">
        <v>0</v>
      </c>
      <c r="AE843" s="172">
        <v>0</v>
      </c>
      <c r="AF843" s="172">
        <v>30</v>
      </c>
      <c r="AG843" s="172">
        <v>0</v>
      </c>
      <c r="AH843" s="172">
        <v>0</v>
      </c>
      <c r="AI843" s="175">
        <v>1</v>
      </c>
      <c r="AJ843" s="175">
        <v>0</v>
      </c>
      <c r="AK843" s="175">
        <v>0</v>
      </c>
      <c r="AL843" s="175">
        <v>1.5</v>
      </c>
      <c r="AM843" s="172">
        <v>0</v>
      </c>
      <c r="AN843" s="172">
        <v>0.5</v>
      </c>
      <c r="AO843" s="172">
        <v>0</v>
      </c>
      <c r="AP843" s="176">
        <v>0.25</v>
      </c>
      <c r="AQ843" s="172">
        <v>3000</v>
      </c>
      <c r="AR843" s="172">
        <v>0</v>
      </c>
      <c r="AS843" s="172">
        <v>0</v>
      </c>
      <c r="AT843" s="175">
        <v>0</v>
      </c>
      <c r="AU843" s="172" t="s">
        <v>198</v>
      </c>
      <c r="AV843" s="172"/>
      <c r="AW843" s="173" t="s">
        <v>1648</v>
      </c>
      <c r="AX843" s="172" t="s">
        <v>1906</v>
      </c>
      <c r="AY843" s="176">
        <v>0</v>
      </c>
      <c r="AZ843" s="176">
        <v>21101051</v>
      </c>
      <c r="BA843" s="173" t="s">
        <v>1174</v>
      </c>
      <c r="BB843" s="353" t="s">
        <v>1916</v>
      </c>
      <c r="BC843" s="175">
        <v>0</v>
      </c>
      <c r="BD843" s="175">
        <v>0</v>
      </c>
      <c r="BE843" s="206" t="s">
        <v>1917</v>
      </c>
      <c r="BF843" s="206" t="s">
        <v>1918</v>
      </c>
      <c r="BG843" s="172">
        <v>0</v>
      </c>
      <c r="BH843" s="172">
        <v>0</v>
      </c>
      <c r="BI843" s="172">
        <v>0</v>
      </c>
      <c r="BJ843" s="172">
        <v>0</v>
      </c>
      <c r="BK843" s="172">
        <v>0</v>
      </c>
      <c r="BL843" s="172">
        <v>0</v>
      </c>
      <c r="BM843" s="178">
        <v>0</v>
      </c>
      <c r="BN843" s="175">
        <v>0</v>
      </c>
      <c r="BO843" s="175">
        <v>0</v>
      </c>
      <c r="BP843" s="175">
        <v>0</v>
      </c>
      <c r="BQ843" s="175">
        <v>0</v>
      </c>
      <c r="BR843" s="175">
        <v>0</v>
      </c>
      <c r="BS843" s="175">
        <v>0</v>
      </c>
      <c r="BT843" s="12">
        <v>0</v>
      </c>
      <c r="BU843" s="47">
        <v>0</v>
      </c>
      <c r="BV843" s="47"/>
      <c r="BW843" s="47"/>
    </row>
    <row r="844" spans="3:75" ht="19.5" customHeight="1">
      <c r="C844" s="172">
        <v>63011306</v>
      </c>
      <c r="D844" s="173" t="s">
        <v>1406</v>
      </c>
      <c r="E844" s="173" t="s">
        <v>1905</v>
      </c>
      <c r="F844" s="176">
        <v>5</v>
      </c>
      <c r="G844" s="172">
        <v>63011301</v>
      </c>
      <c r="H844" s="176">
        <v>0</v>
      </c>
      <c r="I844" s="204">
        <v>5</v>
      </c>
      <c r="J844" s="16">
        <v>5</v>
      </c>
      <c r="K844" s="16">
        <v>0</v>
      </c>
      <c r="L844" s="176">
        <v>0</v>
      </c>
      <c r="M844" s="172">
        <v>0</v>
      </c>
      <c r="N844" s="172">
        <v>0</v>
      </c>
      <c r="O844" s="172">
        <v>1</v>
      </c>
      <c r="P844" s="172">
        <v>0</v>
      </c>
      <c r="Q844" s="172">
        <v>0</v>
      </c>
      <c r="R844" s="172">
        <v>0</v>
      </c>
      <c r="S844" s="175">
        <v>0</v>
      </c>
      <c r="T844" s="172">
        <v>0</v>
      </c>
      <c r="U844" s="172">
        <v>1</v>
      </c>
      <c r="V844" s="172">
        <v>2</v>
      </c>
      <c r="W844" s="172">
        <v>0</v>
      </c>
      <c r="X844" s="172">
        <v>0</v>
      </c>
      <c r="Y844" s="12">
        <v>0</v>
      </c>
      <c r="Z844" s="172">
        <v>0</v>
      </c>
      <c r="AA844" s="172">
        <v>0</v>
      </c>
      <c r="AB844" s="172">
        <v>20</v>
      </c>
      <c r="AC844" s="172">
        <v>0</v>
      </c>
      <c r="AD844" s="172">
        <v>0</v>
      </c>
      <c r="AE844" s="172">
        <v>0</v>
      </c>
      <c r="AF844" s="172">
        <v>30</v>
      </c>
      <c r="AG844" s="172">
        <v>0</v>
      </c>
      <c r="AH844" s="172">
        <v>0</v>
      </c>
      <c r="AI844" s="175">
        <v>1</v>
      </c>
      <c r="AJ844" s="175">
        <v>0</v>
      </c>
      <c r="AK844" s="175">
        <v>0</v>
      </c>
      <c r="AL844" s="175">
        <v>1.5</v>
      </c>
      <c r="AM844" s="172">
        <v>0</v>
      </c>
      <c r="AN844" s="172">
        <v>0.5</v>
      </c>
      <c r="AO844" s="172">
        <v>0</v>
      </c>
      <c r="AP844" s="176">
        <v>0.25</v>
      </c>
      <c r="AQ844" s="172">
        <v>3000</v>
      </c>
      <c r="AR844" s="172">
        <v>0</v>
      </c>
      <c r="AS844" s="172">
        <v>0</v>
      </c>
      <c r="AT844" s="175">
        <v>0</v>
      </c>
      <c r="AU844" s="172" t="s">
        <v>198</v>
      </c>
      <c r="AV844" s="172"/>
      <c r="AW844" s="173" t="s">
        <v>1648</v>
      </c>
      <c r="AX844" s="172" t="s">
        <v>1906</v>
      </c>
      <c r="AY844" s="176">
        <v>0</v>
      </c>
      <c r="AZ844" s="176">
        <v>21101051</v>
      </c>
      <c r="BA844" s="173" t="s">
        <v>1174</v>
      </c>
      <c r="BB844" s="353" t="s">
        <v>1919</v>
      </c>
      <c r="BC844" s="175">
        <v>0</v>
      </c>
      <c r="BD844" s="175">
        <v>0</v>
      </c>
      <c r="BE844" s="206" t="s">
        <v>1920</v>
      </c>
      <c r="BF844" s="206" t="s">
        <v>1921</v>
      </c>
      <c r="BG844" s="172">
        <v>0</v>
      </c>
      <c r="BH844" s="172">
        <v>0</v>
      </c>
      <c r="BI844" s="172">
        <v>0</v>
      </c>
      <c r="BJ844" s="172">
        <v>0</v>
      </c>
      <c r="BK844" s="172">
        <v>0</v>
      </c>
      <c r="BL844" s="172">
        <v>0</v>
      </c>
      <c r="BM844" s="178">
        <v>0</v>
      </c>
      <c r="BN844" s="175">
        <v>0</v>
      </c>
      <c r="BO844" s="175">
        <v>0</v>
      </c>
      <c r="BP844" s="175">
        <v>0</v>
      </c>
      <c r="BQ844" s="175">
        <v>0</v>
      </c>
      <c r="BR844" s="175">
        <v>0</v>
      </c>
      <c r="BS844" s="175">
        <v>0</v>
      </c>
      <c r="BT844" s="12">
        <v>0</v>
      </c>
      <c r="BU844" s="47">
        <v>0</v>
      </c>
      <c r="BV844" s="47"/>
      <c r="BW844" s="47"/>
    </row>
    <row r="845" spans="3:75" ht="20.100000000000001" customHeight="1">
      <c r="C845" s="172">
        <v>63011311</v>
      </c>
      <c r="D845" s="17" t="s">
        <v>294</v>
      </c>
      <c r="E845" s="17" t="s">
        <v>295</v>
      </c>
      <c r="F845" s="16">
        <v>1</v>
      </c>
      <c r="G845" s="16">
        <v>60011401</v>
      </c>
      <c r="H845" s="18">
        <v>0</v>
      </c>
      <c r="I845" s="27">
        <v>0</v>
      </c>
      <c r="J845" s="18">
        <v>1</v>
      </c>
      <c r="K845" s="18">
        <v>0</v>
      </c>
      <c r="L845" s="18">
        <v>0</v>
      </c>
      <c r="M845" s="16">
        <v>0</v>
      </c>
      <c r="N845" s="16">
        <v>0</v>
      </c>
      <c r="O845" s="16">
        <v>2</v>
      </c>
      <c r="P845" s="16">
        <v>9</v>
      </c>
      <c r="Q845" s="16">
        <v>1</v>
      </c>
      <c r="R845" s="16">
        <v>0</v>
      </c>
      <c r="S845" s="12">
        <v>0</v>
      </c>
      <c r="T845" s="16">
        <v>0</v>
      </c>
      <c r="U845" s="16">
        <v>1</v>
      </c>
      <c r="V845" s="16">
        <v>2</v>
      </c>
      <c r="W845" s="16">
        <v>0</v>
      </c>
      <c r="X845" s="16">
        <v>0</v>
      </c>
      <c r="Y845" s="12">
        <v>0</v>
      </c>
      <c r="Z845" s="16">
        <v>0</v>
      </c>
      <c r="AA845" s="16">
        <v>0</v>
      </c>
      <c r="AB845" s="16">
        <v>0</v>
      </c>
      <c r="AC845" s="16">
        <v>0</v>
      </c>
      <c r="AD845" s="16">
        <v>0</v>
      </c>
      <c r="AE845" s="16">
        <v>0</v>
      </c>
      <c r="AF845" s="16">
        <v>10</v>
      </c>
      <c r="AG845" s="16">
        <v>0</v>
      </c>
      <c r="AH845" s="16">
        <v>3</v>
      </c>
      <c r="AI845" s="12">
        <v>7</v>
      </c>
      <c r="AJ845" s="12">
        <v>0</v>
      </c>
      <c r="AK845" s="12">
        <v>0</v>
      </c>
      <c r="AL845" s="12">
        <v>10</v>
      </c>
      <c r="AM845" s="16">
        <v>0</v>
      </c>
      <c r="AN845" s="16">
        <v>0</v>
      </c>
      <c r="AO845" s="16">
        <v>0</v>
      </c>
      <c r="AP845" s="16">
        <v>0</v>
      </c>
      <c r="AQ845" s="16">
        <v>3000</v>
      </c>
      <c r="AR845" s="16">
        <v>0.2</v>
      </c>
      <c r="AS845" s="16">
        <v>0</v>
      </c>
      <c r="AT845" s="12">
        <v>0</v>
      </c>
      <c r="AU845" s="16">
        <v>80002005</v>
      </c>
      <c r="AV845" s="16"/>
      <c r="AW845" s="17" t="s">
        <v>199</v>
      </c>
      <c r="AX845" s="16">
        <v>0</v>
      </c>
      <c r="AY845" s="18">
        <v>0</v>
      </c>
      <c r="AZ845" s="18">
        <v>0</v>
      </c>
      <c r="BA845" s="17" t="s">
        <v>200</v>
      </c>
      <c r="BB845" s="16">
        <v>0</v>
      </c>
      <c r="BC845" s="27">
        <v>0</v>
      </c>
      <c r="BD845" s="27">
        <v>0</v>
      </c>
      <c r="BE845" s="44" t="s">
        <v>1922</v>
      </c>
      <c r="BF845" s="44" t="s">
        <v>1923</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63011312</v>
      </c>
      <c r="D846" s="17" t="s">
        <v>1924</v>
      </c>
      <c r="E846" s="17" t="s">
        <v>1925</v>
      </c>
      <c r="F846" s="16">
        <v>1</v>
      </c>
      <c r="G846" s="16">
        <v>60010300</v>
      </c>
      <c r="H846" s="18">
        <v>0</v>
      </c>
      <c r="I846" s="27">
        <v>0</v>
      </c>
      <c r="J846" s="18">
        <v>1</v>
      </c>
      <c r="K846" s="18">
        <v>0</v>
      </c>
      <c r="L846" s="18">
        <v>0</v>
      </c>
      <c r="M846" s="16">
        <v>0</v>
      </c>
      <c r="N846" s="16">
        <v>0</v>
      </c>
      <c r="O846" s="16">
        <v>2</v>
      </c>
      <c r="P846" s="16">
        <v>9</v>
      </c>
      <c r="Q846" s="16">
        <v>0.1</v>
      </c>
      <c r="R846" s="16">
        <v>0</v>
      </c>
      <c r="S846" s="12">
        <v>0</v>
      </c>
      <c r="T846" s="16">
        <v>0</v>
      </c>
      <c r="U846" s="16">
        <v>1</v>
      </c>
      <c r="V846" s="16">
        <v>2</v>
      </c>
      <c r="W846" s="16">
        <v>0</v>
      </c>
      <c r="X846" s="16">
        <v>2</v>
      </c>
      <c r="Y846" s="12">
        <v>0</v>
      </c>
      <c r="Z846" s="16">
        <v>0</v>
      </c>
      <c r="AA846" s="16">
        <v>0</v>
      </c>
      <c r="AB846" s="16">
        <v>0</v>
      </c>
      <c r="AC846" s="16">
        <v>0</v>
      </c>
      <c r="AD846" s="16">
        <v>0</v>
      </c>
      <c r="AE846" s="16">
        <v>0</v>
      </c>
      <c r="AF846" s="16">
        <v>3</v>
      </c>
      <c r="AG846" s="16">
        <v>2</v>
      </c>
      <c r="AH846" s="16" t="s">
        <v>213</v>
      </c>
      <c r="AI846" s="12">
        <v>0</v>
      </c>
      <c r="AJ846" s="12">
        <v>0</v>
      </c>
      <c r="AK846" s="12">
        <v>0</v>
      </c>
      <c r="AL846" s="12">
        <v>1.5</v>
      </c>
      <c r="AM846" s="16">
        <v>0</v>
      </c>
      <c r="AN846" s="16">
        <v>0</v>
      </c>
      <c r="AO846" s="16">
        <v>0</v>
      </c>
      <c r="AP846" s="16">
        <v>0</v>
      </c>
      <c r="AQ846" s="16">
        <v>3000</v>
      </c>
      <c r="AR846" s="16">
        <v>0.5</v>
      </c>
      <c r="AS846" s="16">
        <v>0</v>
      </c>
      <c r="AT846" s="12">
        <v>0</v>
      </c>
      <c r="AU846" s="16">
        <v>0</v>
      </c>
      <c r="AV846" s="16"/>
      <c r="AW846" s="17" t="s">
        <v>199</v>
      </c>
      <c r="AX846" s="16">
        <v>0</v>
      </c>
      <c r="AY846" s="18">
        <v>10000007</v>
      </c>
      <c r="AZ846" s="18">
        <v>21201050</v>
      </c>
      <c r="BA846" s="17" t="s">
        <v>200</v>
      </c>
      <c r="BB846" s="16">
        <v>0</v>
      </c>
      <c r="BC846" s="27">
        <v>0</v>
      </c>
      <c r="BD846" s="27">
        <v>1</v>
      </c>
      <c r="BE846" s="44" t="s">
        <v>1926</v>
      </c>
      <c r="BF846" s="44" t="s">
        <v>1927</v>
      </c>
      <c r="BG846" s="16">
        <v>0</v>
      </c>
      <c r="BH846" s="16">
        <v>0</v>
      </c>
      <c r="BI846" s="16"/>
      <c r="BJ846" s="16"/>
      <c r="BK846" s="16"/>
      <c r="BL846" s="18"/>
      <c r="BM846" s="16">
        <v>0</v>
      </c>
      <c r="BN846" s="12">
        <v>0</v>
      </c>
      <c r="BO846" s="12">
        <v>0</v>
      </c>
      <c r="BP846" s="12">
        <v>0</v>
      </c>
      <c r="BQ846" s="12">
        <v>0</v>
      </c>
      <c r="BR846" s="12">
        <v>0</v>
      </c>
      <c r="BS846" s="12">
        <v>0</v>
      </c>
      <c r="BT846" s="12">
        <v>0</v>
      </c>
      <c r="BU846" s="47">
        <v>0</v>
      </c>
      <c r="BV846" s="47"/>
      <c r="BW846" s="47"/>
    </row>
    <row r="847" spans="3:75" ht="20.100000000000001" customHeight="1">
      <c r="C847" s="172">
        <v>63011313</v>
      </c>
      <c r="D847" s="17" t="s">
        <v>1928</v>
      </c>
      <c r="E847" s="17" t="s">
        <v>551</v>
      </c>
      <c r="F847" s="18">
        <v>1</v>
      </c>
      <c r="G847" s="16">
        <v>60030002</v>
      </c>
      <c r="H847" s="12">
        <v>0</v>
      </c>
      <c r="I847" s="12">
        <v>0</v>
      </c>
      <c r="J847" s="18">
        <v>1</v>
      </c>
      <c r="K847" s="18">
        <v>0</v>
      </c>
      <c r="L847" s="12">
        <v>0</v>
      </c>
      <c r="M847" s="12">
        <v>0</v>
      </c>
      <c r="N847" s="12">
        <v>0</v>
      </c>
      <c r="O847" s="12">
        <v>2</v>
      </c>
      <c r="P847" s="12">
        <v>10</v>
      </c>
      <c r="Q847" s="12">
        <v>0.1</v>
      </c>
      <c r="R847" s="12">
        <v>0</v>
      </c>
      <c r="S847" s="12">
        <v>0</v>
      </c>
      <c r="T847" s="12">
        <v>0</v>
      </c>
      <c r="U847" s="16">
        <v>1</v>
      </c>
      <c r="V847" s="12">
        <v>2</v>
      </c>
      <c r="W847" s="12">
        <v>0</v>
      </c>
      <c r="X847" s="12">
        <v>2.5</v>
      </c>
      <c r="Y847" s="12">
        <v>0</v>
      </c>
      <c r="Z847" s="12">
        <v>0</v>
      </c>
      <c r="AA847" s="12">
        <v>0</v>
      </c>
      <c r="AB847" s="12">
        <v>0</v>
      </c>
      <c r="AC847" s="12">
        <v>0</v>
      </c>
      <c r="AD847" s="18">
        <v>0</v>
      </c>
      <c r="AE847" s="12">
        <v>0</v>
      </c>
      <c r="AF847" s="12">
        <v>10</v>
      </c>
      <c r="AG847" s="12">
        <v>0</v>
      </c>
      <c r="AH847" s="12">
        <v>0</v>
      </c>
      <c r="AI847" s="12">
        <v>7</v>
      </c>
      <c r="AJ847" s="12">
        <v>0</v>
      </c>
      <c r="AK847" s="12">
        <v>0</v>
      </c>
      <c r="AL847" s="12">
        <v>6</v>
      </c>
      <c r="AM847" s="12">
        <v>0</v>
      </c>
      <c r="AN847" s="12">
        <v>0</v>
      </c>
      <c r="AO847" s="12">
        <v>0</v>
      </c>
      <c r="AP847" s="12">
        <v>0</v>
      </c>
      <c r="AQ847" s="12">
        <v>1000</v>
      </c>
      <c r="AR847" s="12">
        <v>0</v>
      </c>
      <c r="AS847" s="12">
        <v>0</v>
      </c>
      <c r="AT847" s="12">
        <v>0</v>
      </c>
      <c r="AU847" s="12">
        <v>90000009</v>
      </c>
      <c r="AV847" s="12"/>
      <c r="AW847" s="17" t="s">
        <v>199</v>
      </c>
      <c r="AX847" s="12" t="s">
        <v>1695</v>
      </c>
      <c r="AY847" s="12" t="s">
        <v>198</v>
      </c>
      <c r="AZ847" s="12" t="s">
        <v>1929</v>
      </c>
      <c r="BA847" s="13" t="s">
        <v>200</v>
      </c>
      <c r="BB847" s="12">
        <v>0</v>
      </c>
      <c r="BC847" s="27">
        <v>0</v>
      </c>
      <c r="BD847" s="27">
        <v>0</v>
      </c>
      <c r="BE847" s="42" t="s">
        <v>1930</v>
      </c>
      <c r="BF847" s="42" t="s">
        <v>1931</v>
      </c>
      <c r="BG847" s="12">
        <v>0</v>
      </c>
      <c r="BH847" s="16">
        <v>0</v>
      </c>
      <c r="BI847" s="16"/>
      <c r="BJ847" s="16"/>
      <c r="BK847" s="16"/>
      <c r="BL847" s="18"/>
      <c r="BM847" s="15">
        <v>0</v>
      </c>
      <c r="BN847" s="12">
        <v>0</v>
      </c>
      <c r="BO847" s="12">
        <v>0</v>
      </c>
      <c r="BP847" s="12">
        <v>0</v>
      </c>
      <c r="BQ847" s="12">
        <v>0</v>
      </c>
      <c r="BR847" s="12">
        <v>0</v>
      </c>
      <c r="BS847" s="12">
        <v>0</v>
      </c>
      <c r="BT847" s="12">
        <v>0</v>
      </c>
      <c r="BU847" s="47">
        <v>0</v>
      </c>
      <c r="BV847" s="47"/>
      <c r="BW847" s="47"/>
    </row>
    <row r="848" spans="3:75" ht="20.100000000000001" customHeight="1">
      <c r="C848" s="172">
        <v>63011314</v>
      </c>
      <c r="D848" s="17" t="s">
        <v>1932</v>
      </c>
      <c r="E848" s="17" t="s">
        <v>1933</v>
      </c>
      <c r="F848" s="16">
        <v>1</v>
      </c>
      <c r="G848" s="16">
        <v>60010601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1934</v>
      </c>
      <c r="BC848" s="27">
        <v>0</v>
      </c>
      <c r="BD848" s="27">
        <v>0</v>
      </c>
      <c r="BE848" s="44" t="s">
        <v>1935</v>
      </c>
      <c r="BF848" s="44" t="s">
        <v>1936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63011315</v>
      </c>
      <c r="D849" s="63" t="s">
        <v>621</v>
      </c>
      <c r="E849" s="63" t="s">
        <v>622</v>
      </c>
      <c r="F849" s="60">
        <v>1</v>
      </c>
      <c r="G849" s="64">
        <v>60010801</v>
      </c>
      <c r="H849" s="64">
        <v>0</v>
      </c>
      <c r="I849" s="66">
        <v>0</v>
      </c>
      <c r="J849" s="64">
        <v>1</v>
      </c>
      <c r="K849" s="64">
        <v>0</v>
      </c>
      <c r="L849" s="60">
        <v>0</v>
      </c>
      <c r="M849" s="64">
        <v>0</v>
      </c>
      <c r="N849" s="64">
        <v>0</v>
      </c>
      <c r="O849" s="64">
        <v>2</v>
      </c>
      <c r="P849" s="64">
        <v>1</v>
      </c>
      <c r="Q849" s="64">
        <v>0</v>
      </c>
      <c r="R849" s="64">
        <v>0</v>
      </c>
      <c r="S849" s="68">
        <v>0</v>
      </c>
      <c r="T849" s="66">
        <v>0</v>
      </c>
      <c r="U849" s="60">
        <v>1</v>
      </c>
      <c r="V849" s="64">
        <v>2</v>
      </c>
      <c r="W849" s="64">
        <v>0</v>
      </c>
      <c r="X849" s="64">
        <v>0.75</v>
      </c>
      <c r="Y849" s="12">
        <v>0</v>
      </c>
      <c r="Z849" s="64">
        <v>0</v>
      </c>
      <c r="AA849" s="64">
        <v>0</v>
      </c>
      <c r="AB849" s="64">
        <v>0</v>
      </c>
      <c r="AC849" s="64">
        <v>0</v>
      </c>
      <c r="AD849" s="64">
        <v>0</v>
      </c>
      <c r="AE849" s="64">
        <v>0</v>
      </c>
      <c r="AF849" s="64">
        <v>30</v>
      </c>
      <c r="AG849" s="64">
        <v>1</v>
      </c>
      <c r="AH849" s="64">
        <v>4</v>
      </c>
      <c r="AI849" s="68">
        <v>9</v>
      </c>
      <c r="AJ849" s="68">
        <v>0</v>
      </c>
      <c r="AK849" s="12">
        <v>0</v>
      </c>
      <c r="AL849" s="68">
        <v>4</v>
      </c>
      <c r="AM849" s="64">
        <v>0</v>
      </c>
      <c r="AN849" s="64">
        <v>0</v>
      </c>
      <c r="AO849" s="64">
        <v>0</v>
      </c>
      <c r="AP849" s="64">
        <v>0</v>
      </c>
      <c r="AQ849" s="64">
        <v>30000</v>
      </c>
      <c r="AR849" s="64">
        <v>0.5</v>
      </c>
      <c r="AS849" s="64">
        <v>0</v>
      </c>
      <c r="AT849" s="68">
        <v>0</v>
      </c>
      <c r="AU849" s="64">
        <v>0</v>
      </c>
      <c r="AV849" s="64"/>
      <c r="AW849" s="63" t="s">
        <v>199</v>
      </c>
      <c r="AX849" s="64" t="s">
        <v>1408</v>
      </c>
      <c r="AY849" s="64">
        <v>10000009</v>
      </c>
      <c r="AZ849" s="64">
        <v>70405005</v>
      </c>
      <c r="BA849" s="63" t="s">
        <v>315</v>
      </c>
      <c r="BB849" s="63" t="s">
        <v>371</v>
      </c>
      <c r="BC849" s="66">
        <v>0</v>
      </c>
      <c r="BD849" s="66">
        <v>0</v>
      </c>
      <c r="BE849" s="207" t="s">
        <v>1937</v>
      </c>
      <c r="BF849" s="207" t="s">
        <v>1938</v>
      </c>
      <c r="BG849" s="64">
        <v>0</v>
      </c>
      <c r="BH849" s="60">
        <v>0</v>
      </c>
      <c r="BI849" s="64">
        <v>0</v>
      </c>
      <c r="BJ849" s="64">
        <v>0</v>
      </c>
      <c r="BK849" s="64">
        <v>0</v>
      </c>
      <c r="BL849" s="64">
        <v>0</v>
      </c>
      <c r="BM849" s="93">
        <v>0</v>
      </c>
      <c r="BN849" s="12">
        <v>0</v>
      </c>
      <c r="BO849" s="12">
        <v>0</v>
      </c>
      <c r="BP849" s="12">
        <v>0</v>
      </c>
      <c r="BQ849" s="12">
        <v>0</v>
      </c>
      <c r="BR849" s="12">
        <v>0</v>
      </c>
      <c r="BS849" s="12">
        <v>0</v>
      </c>
      <c r="BT849" s="12">
        <v>0</v>
      </c>
      <c r="BU849" s="47">
        <v>0</v>
      </c>
      <c r="BV849" s="47"/>
      <c r="BW849" s="47"/>
    </row>
    <row r="850" spans="3:75" ht="20.100000000000001" customHeight="1">
      <c r="C850" s="172">
        <v>63011316</v>
      </c>
      <c r="D850" s="17" t="s">
        <v>1787</v>
      </c>
      <c r="E850" s="17" t="s">
        <v>1788</v>
      </c>
      <c r="F850" s="16">
        <v>1</v>
      </c>
      <c r="G850" s="16">
        <v>60010500</v>
      </c>
      <c r="H850" s="18">
        <v>0</v>
      </c>
      <c r="I850" s="27">
        <v>0</v>
      </c>
      <c r="J850" s="18">
        <v>1</v>
      </c>
      <c r="K850" s="18">
        <v>0</v>
      </c>
      <c r="L850" s="18">
        <v>0</v>
      </c>
      <c r="M850" s="16">
        <v>0</v>
      </c>
      <c r="N850" s="16">
        <v>0</v>
      </c>
      <c r="O850" s="16">
        <v>5</v>
      </c>
      <c r="P850" s="16">
        <v>0</v>
      </c>
      <c r="Q850" s="16">
        <v>0</v>
      </c>
      <c r="R850" s="16">
        <v>0</v>
      </c>
      <c r="S850" s="12">
        <v>0</v>
      </c>
      <c r="T850" s="16">
        <v>0</v>
      </c>
      <c r="U850" s="16">
        <v>1</v>
      </c>
      <c r="V850" s="16">
        <v>2</v>
      </c>
      <c r="W850" s="16">
        <v>0</v>
      </c>
      <c r="X850" s="16">
        <v>0</v>
      </c>
      <c r="Y850" s="12">
        <v>0</v>
      </c>
      <c r="Z850" s="16">
        <v>0</v>
      </c>
      <c r="AA850" s="16">
        <v>0</v>
      </c>
      <c r="AB850" s="16">
        <v>0</v>
      </c>
      <c r="AC850" s="16">
        <v>0</v>
      </c>
      <c r="AD850" s="16">
        <v>0</v>
      </c>
      <c r="AE850" s="16">
        <v>0</v>
      </c>
      <c r="AF850" s="16">
        <v>9</v>
      </c>
      <c r="AG850" s="16">
        <v>2</v>
      </c>
      <c r="AH850" s="16" t="s">
        <v>213</v>
      </c>
      <c r="AI850" s="12">
        <v>2</v>
      </c>
      <c r="AJ850" s="12">
        <v>2</v>
      </c>
      <c r="AK850" s="12">
        <v>0</v>
      </c>
      <c r="AL850" s="12">
        <v>1.5</v>
      </c>
      <c r="AM850" s="16">
        <v>0</v>
      </c>
      <c r="AN850" s="16">
        <v>0</v>
      </c>
      <c r="AO850" s="16">
        <v>0</v>
      </c>
      <c r="AP850" s="16">
        <v>0</v>
      </c>
      <c r="AQ850" s="16">
        <v>3000</v>
      </c>
      <c r="AR850" s="16">
        <v>0.5</v>
      </c>
      <c r="AS850" s="16">
        <v>0</v>
      </c>
      <c r="AT850" s="12">
        <v>0</v>
      </c>
      <c r="AU850" s="16" t="s">
        <v>198</v>
      </c>
      <c r="AV850" s="16"/>
      <c r="AW850" s="17" t="s">
        <v>199</v>
      </c>
      <c r="AX850" s="16">
        <v>0</v>
      </c>
      <c r="AY850" s="18">
        <v>0</v>
      </c>
      <c r="AZ850" s="18">
        <v>0</v>
      </c>
      <c r="BA850" s="17" t="s">
        <v>200</v>
      </c>
      <c r="BB850" s="16" t="s">
        <v>1939</v>
      </c>
      <c r="BC850" s="27">
        <v>0</v>
      </c>
      <c r="BD850" s="27">
        <v>0</v>
      </c>
      <c r="BE850" s="44" t="s">
        <v>1940</v>
      </c>
      <c r="BF850" s="44" t="s">
        <v>1941</v>
      </c>
      <c r="BG850" s="16"/>
      <c r="BH850" s="16">
        <v>0</v>
      </c>
      <c r="BI850" s="16"/>
      <c r="BJ850" s="16"/>
      <c r="BK850" s="16"/>
      <c r="BL850" s="18"/>
      <c r="BM850" s="16">
        <v>0</v>
      </c>
      <c r="BN850" s="12">
        <v>0</v>
      </c>
      <c r="BO850" s="12">
        <v>0</v>
      </c>
      <c r="BP850" s="12">
        <v>0</v>
      </c>
      <c r="BQ850" s="12">
        <v>0</v>
      </c>
      <c r="BR850" s="12">
        <v>0</v>
      </c>
      <c r="BS850" s="12">
        <v>0</v>
      </c>
      <c r="BT850" s="12">
        <v>0</v>
      </c>
      <c r="BU850" s="47">
        <v>0</v>
      </c>
      <c r="BV850" s="47"/>
      <c r="BW850" s="47"/>
    </row>
    <row r="851" spans="3:75" ht="20.100000000000001" customHeight="1">
      <c r="C851" s="172">
        <v>63011317</v>
      </c>
      <c r="D851" s="17" t="s">
        <v>1787</v>
      </c>
      <c r="E851" s="17" t="s">
        <v>1788</v>
      </c>
      <c r="F851" s="16">
        <v>1</v>
      </c>
      <c r="G851" s="16">
        <v>60011301</v>
      </c>
      <c r="H851" s="18">
        <v>0</v>
      </c>
      <c r="I851" s="27">
        <v>0</v>
      </c>
      <c r="J851" s="18">
        <v>1</v>
      </c>
      <c r="K851" s="18">
        <v>0</v>
      </c>
      <c r="L851" s="18">
        <v>0</v>
      </c>
      <c r="M851" s="16">
        <v>0</v>
      </c>
      <c r="N851" s="16">
        <v>0</v>
      </c>
      <c r="O851" s="16">
        <v>5</v>
      </c>
      <c r="P851" s="16">
        <v>0</v>
      </c>
      <c r="Q851" s="16">
        <v>0</v>
      </c>
      <c r="R851" s="16">
        <v>0</v>
      </c>
      <c r="S851" s="12">
        <v>0</v>
      </c>
      <c r="T851" s="16">
        <v>0</v>
      </c>
      <c r="U851" s="16">
        <v>1</v>
      </c>
      <c r="V851" s="16">
        <v>2</v>
      </c>
      <c r="W851" s="16">
        <v>0</v>
      </c>
      <c r="X851" s="16">
        <v>0</v>
      </c>
      <c r="Y851" s="12">
        <v>0</v>
      </c>
      <c r="Z851" s="16">
        <v>0</v>
      </c>
      <c r="AA851" s="16">
        <v>0</v>
      </c>
      <c r="AB851" s="16">
        <v>0</v>
      </c>
      <c r="AC851" s="16">
        <v>0</v>
      </c>
      <c r="AD851" s="16">
        <v>0</v>
      </c>
      <c r="AE851" s="16">
        <v>0</v>
      </c>
      <c r="AF851" s="16">
        <v>9</v>
      </c>
      <c r="AG851" s="16">
        <v>2</v>
      </c>
      <c r="AH851" s="16" t="s">
        <v>213</v>
      </c>
      <c r="AI851" s="12">
        <v>2</v>
      </c>
      <c r="AJ851" s="12">
        <v>2</v>
      </c>
      <c r="AK851" s="12">
        <v>0</v>
      </c>
      <c r="AL851" s="12">
        <v>1.5</v>
      </c>
      <c r="AM851" s="16">
        <v>0</v>
      </c>
      <c r="AN851" s="16">
        <v>0</v>
      </c>
      <c r="AO851" s="16">
        <v>0</v>
      </c>
      <c r="AP851" s="16">
        <v>0</v>
      </c>
      <c r="AQ851" s="16">
        <v>3000</v>
      </c>
      <c r="AR851" s="16">
        <v>0.5</v>
      </c>
      <c r="AS851" s="16">
        <v>0</v>
      </c>
      <c r="AT851" s="12">
        <v>0</v>
      </c>
      <c r="AU851" s="16" t="s">
        <v>198</v>
      </c>
      <c r="AV851" s="16"/>
      <c r="AW851" s="17" t="s">
        <v>199</v>
      </c>
      <c r="AX851" s="16">
        <v>0</v>
      </c>
      <c r="AY851" s="18">
        <v>0</v>
      </c>
      <c r="AZ851" s="18">
        <v>0</v>
      </c>
      <c r="BA851" s="17" t="s">
        <v>200</v>
      </c>
      <c r="BB851" s="16" t="s">
        <v>1942</v>
      </c>
      <c r="BC851" s="27">
        <v>0</v>
      </c>
      <c r="BD851" s="27">
        <v>0</v>
      </c>
      <c r="BE851" s="44" t="s">
        <v>1943</v>
      </c>
      <c r="BF851" s="44" t="s">
        <v>1944</v>
      </c>
      <c r="BG851" s="16"/>
      <c r="BH851" s="16">
        <v>0</v>
      </c>
      <c r="BI851" s="16"/>
      <c r="BJ851" s="16"/>
      <c r="BK851" s="16"/>
      <c r="BL851" s="18"/>
      <c r="BM851" s="16">
        <v>0</v>
      </c>
      <c r="BN851" s="12">
        <v>0</v>
      </c>
      <c r="BO851" s="12">
        <v>0</v>
      </c>
      <c r="BP851" s="12">
        <v>0</v>
      </c>
      <c r="BQ851" s="12">
        <v>0</v>
      </c>
      <c r="BR851" s="12">
        <v>0</v>
      </c>
      <c r="BS851" s="12">
        <v>0</v>
      </c>
      <c r="BT851" s="12">
        <v>0</v>
      </c>
      <c r="BU851" s="47">
        <v>0</v>
      </c>
      <c r="BV851" s="47"/>
      <c r="BW851" s="47"/>
    </row>
    <row r="852" spans="3:75" ht="20.100000000000001" customHeight="1">
      <c r="C852" s="172">
        <v>63011321</v>
      </c>
      <c r="D852" s="173" t="s">
        <v>1406</v>
      </c>
      <c r="E852" s="173" t="s">
        <v>1905</v>
      </c>
      <c r="F852" s="176">
        <v>0</v>
      </c>
      <c r="G852" s="172">
        <v>63011301</v>
      </c>
      <c r="H852" s="172">
        <f t="shared" ref="H852:H854" si="83">C853</f>
        <v>63011322</v>
      </c>
      <c r="I852" s="204">
        <v>5</v>
      </c>
      <c r="J852" s="16">
        <v>5</v>
      </c>
      <c r="K852" s="16">
        <v>5</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3" t="s">
        <v>1945</v>
      </c>
      <c r="BC852" s="175">
        <v>0</v>
      </c>
      <c r="BD852" s="175">
        <v>0</v>
      </c>
      <c r="BE852" s="206" t="s">
        <v>1946</v>
      </c>
      <c r="BF852" s="206" t="s">
        <v>1947</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20.100000000000001" customHeight="1">
      <c r="C853" s="172">
        <v>63011322</v>
      </c>
      <c r="D853" s="173" t="s">
        <v>1406</v>
      </c>
      <c r="E853" s="173" t="s">
        <v>1905</v>
      </c>
      <c r="F853" s="176">
        <v>1</v>
      </c>
      <c r="G853" s="172">
        <v>63011301</v>
      </c>
      <c r="H853" s="172">
        <f t="shared" si="83"/>
        <v>63011323</v>
      </c>
      <c r="I853" s="204">
        <v>5</v>
      </c>
      <c r="J853" s="16">
        <v>5</v>
      </c>
      <c r="K853" s="16">
        <v>2</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3" t="s">
        <v>1945</v>
      </c>
      <c r="BC853" s="175">
        <v>0</v>
      </c>
      <c r="BD853" s="175">
        <v>0</v>
      </c>
      <c r="BE853" s="206" t="s">
        <v>1946</v>
      </c>
      <c r="BF853" s="206" t="s">
        <v>1947</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20.100000000000001" customHeight="1">
      <c r="C854" s="172">
        <v>63011323</v>
      </c>
      <c r="D854" s="173" t="s">
        <v>1406</v>
      </c>
      <c r="E854" s="173" t="s">
        <v>1905</v>
      </c>
      <c r="F854" s="176">
        <v>2</v>
      </c>
      <c r="G854" s="172">
        <v>63011301</v>
      </c>
      <c r="H854" s="172">
        <f t="shared" si="83"/>
        <v>63011324</v>
      </c>
      <c r="I854" s="204">
        <v>5</v>
      </c>
      <c r="J854" s="16">
        <v>5</v>
      </c>
      <c r="K854" s="16">
        <v>2</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3" t="s">
        <v>1948</v>
      </c>
      <c r="BC854" s="175">
        <v>0</v>
      </c>
      <c r="BD854" s="175">
        <v>0</v>
      </c>
      <c r="BE854" s="206" t="s">
        <v>1949</v>
      </c>
      <c r="BF854" s="206" t="s">
        <v>1950</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19.5" customHeight="1">
      <c r="C855" s="172">
        <v>63011324</v>
      </c>
      <c r="D855" s="173" t="s">
        <v>1406</v>
      </c>
      <c r="E855" s="173" t="s">
        <v>1905</v>
      </c>
      <c r="F855" s="176">
        <v>3</v>
      </c>
      <c r="G855" s="172">
        <v>63011301</v>
      </c>
      <c r="H855" s="172">
        <v>0</v>
      </c>
      <c r="I855" s="204">
        <v>5</v>
      </c>
      <c r="J855" s="16">
        <v>5</v>
      </c>
      <c r="K855" s="16">
        <v>0</v>
      </c>
      <c r="L855" s="176">
        <v>0</v>
      </c>
      <c r="M855" s="172">
        <v>0</v>
      </c>
      <c r="N855" s="172">
        <v>0</v>
      </c>
      <c r="O855" s="172">
        <v>1</v>
      </c>
      <c r="P855" s="172">
        <v>0</v>
      </c>
      <c r="Q855" s="172">
        <v>0</v>
      </c>
      <c r="R855" s="172">
        <v>0</v>
      </c>
      <c r="S855" s="175">
        <v>0</v>
      </c>
      <c r="T855" s="172">
        <v>0</v>
      </c>
      <c r="U855" s="172">
        <v>1</v>
      </c>
      <c r="V855" s="172">
        <v>2</v>
      </c>
      <c r="W855" s="172">
        <v>0</v>
      </c>
      <c r="X855" s="172">
        <v>0</v>
      </c>
      <c r="Y855" s="12">
        <v>0</v>
      </c>
      <c r="Z855" s="172">
        <v>0</v>
      </c>
      <c r="AA855" s="172">
        <v>0</v>
      </c>
      <c r="AB855" s="172">
        <v>20</v>
      </c>
      <c r="AC855" s="172">
        <v>0</v>
      </c>
      <c r="AD855" s="172">
        <v>0</v>
      </c>
      <c r="AE855" s="172">
        <v>0</v>
      </c>
      <c r="AF855" s="172">
        <v>30</v>
      </c>
      <c r="AG855" s="172">
        <v>0</v>
      </c>
      <c r="AH855" s="172">
        <v>0</v>
      </c>
      <c r="AI855" s="175">
        <v>1</v>
      </c>
      <c r="AJ855" s="175">
        <v>0</v>
      </c>
      <c r="AK855" s="175">
        <v>0</v>
      </c>
      <c r="AL855" s="175">
        <v>1.5</v>
      </c>
      <c r="AM855" s="172">
        <v>0</v>
      </c>
      <c r="AN855" s="172">
        <v>0</v>
      </c>
      <c r="AO855" s="172">
        <v>0</v>
      </c>
      <c r="AP855" s="176">
        <v>0.25</v>
      </c>
      <c r="AQ855" s="172">
        <v>3000</v>
      </c>
      <c r="AR855" s="172">
        <v>0</v>
      </c>
      <c r="AS855" s="172">
        <v>0</v>
      </c>
      <c r="AT855" s="175">
        <v>0</v>
      </c>
      <c r="AU855" s="172" t="s">
        <v>198</v>
      </c>
      <c r="AV855" s="172"/>
      <c r="AW855" s="173" t="s">
        <v>199</v>
      </c>
      <c r="AX855" s="172" t="s">
        <v>1906</v>
      </c>
      <c r="AY855" s="176">
        <v>0</v>
      </c>
      <c r="AZ855" s="176">
        <v>21101051</v>
      </c>
      <c r="BA855" s="173" t="s">
        <v>1174</v>
      </c>
      <c r="BB855" s="353" t="s">
        <v>1951</v>
      </c>
      <c r="BC855" s="175">
        <v>0</v>
      </c>
      <c r="BD855" s="175">
        <v>0</v>
      </c>
      <c r="BE855" s="206" t="s">
        <v>1952</v>
      </c>
      <c r="BF855" s="206" t="s">
        <v>1953</v>
      </c>
      <c r="BG855" s="172">
        <v>0</v>
      </c>
      <c r="BH855" s="172">
        <v>0</v>
      </c>
      <c r="BI855" s="172">
        <v>0</v>
      </c>
      <c r="BJ855" s="172">
        <v>0</v>
      </c>
      <c r="BK855" s="172">
        <v>0</v>
      </c>
      <c r="BL855" s="172">
        <v>0</v>
      </c>
      <c r="BM855" s="178">
        <v>0</v>
      </c>
      <c r="BN855" s="175">
        <v>0</v>
      </c>
      <c r="BO855" s="175">
        <v>0</v>
      </c>
      <c r="BP855" s="175">
        <v>0</v>
      </c>
      <c r="BQ855" s="175">
        <v>0</v>
      </c>
      <c r="BR855" s="175">
        <v>0</v>
      </c>
      <c r="BS855" s="175">
        <v>0</v>
      </c>
      <c r="BT855" s="12">
        <v>0</v>
      </c>
      <c r="BU855" s="47">
        <v>0</v>
      </c>
      <c r="BV855" s="47"/>
      <c r="BW855" s="47"/>
    </row>
    <row r="856" spans="3:75" ht="19.5" customHeight="1">
      <c r="C856" s="172">
        <v>63011325</v>
      </c>
      <c r="D856" s="173" t="s">
        <v>1406</v>
      </c>
      <c r="E856" s="173" t="s">
        <v>1905</v>
      </c>
      <c r="F856" s="176">
        <v>4</v>
      </c>
      <c r="G856" s="172">
        <v>63011301</v>
      </c>
      <c r="H856" s="172">
        <v>0</v>
      </c>
      <c r="I856" s="204">
        <v>5</v>
      </c>
      <c r="J856" s="16">
        <v>5</v>
      </c>
      <c r="K856" s="16">
        <v>0</v>
      </c>
      <c r="L856" s="176">
        <v>0</v>
      </c>
      <c r="M856" s="172">
        <v>0</v>
      </c>
      <c r="N856" s="172">
        <v>0</v>
      </c>
      <c r="O856" s="172">
        <v>1</v>
      </c>
      <c r="P856" s="172">
        <v>0</v>
      </c>
      <c r="Q856" s="172">
        <v>0</v>
      </c>
      <c r="R856" s="172">
        <v>0</v>
      </c>
      <c r="S856" s="175">
        <v>0</v>
      </c>
      <c r="T856" s="172">
        <v>0</v>
      </c>
      <c r="U856" s="172">
        <v>1</v>
      </c>
      <c r="V856" s="172">
        <v>2</v>
      </c>
      <c r="W856" s="172">
        <v>0</v>
      </c>
      <c r="X856" s="172">
        <v>0</v>
      </c>
      <c r="Y856" s="12">
        <v>0</v>
      </c>
      <c r="Z856" s="172">
        <v>0</v>
      </c>
      <c r="AA856" s="172">
        <v>0</v>
      </c>
      <c r="AB856" s="172">
        <v>20</v>
      </c>
      <c r="AC856" s="172">
        <v>0</v>
      </c>
      <c r="AD856" s="172">
        <v>0</v>
      </c>
      <c r="AE856" s="172">
        <v>0</v>
      </c>
      <c r="AF856" s="172">
        <v>30</v>
      </c>
      <c r="AG856" s="172">
        <v>0</v>
      </c>
      <c r="AH856" s="172">
        <v>0</v>
      </c>
      <c r="AI856" s="175">
        <v>1</v>
      </c>
      <c r="AJ856" s="175">
        <v>0</v>
      </c>
      <c r="AK856" s="175">
        <v>0</v>
      </c>
      <c r="AL856" s="175">
        <v>1.5</v>
      </c>
      <c r="AM856" s="172">
        <v>0</v>
      </c>
      <c r="AN856" s="172">
        <v>0</v>
      </c>
      <c r="AO856" s="172">
        <v>0</v>
      </c>
      <c r="AP856" s="176">
        <v>0.25</v>
      </c>
      <c r="AQ856" s="172">
        <v>3000</v>
      </c>
      <c r="AR856" s="172">
        <v>0</v>
      </c>
      <c r="AS856" s="172">
        <v>0</v>
      </c>
      <c r="AT856" s="175">
        <v>0</v>
      </c>
      <c r="AU856" s="172" t="s">
        <v>198</v>
      </c>
      <c r="AV856" s="172"/>
      <c r="AW856" s="173" t="s">
        <v>199</v>
      </c>
      <c r="AX856" s="172" t="s">
        <v>1906</v>
      </c>
      <c r="AY856" s="176">
        <v>0</v>
      </c>
      <c r="AZ856" s="176">
        <v>21101051</v>
      </c>
      <c r="BA856" s="173" t="s">
        <v>1174</v>
      </c>
      <c r="BB856" s="353" t="s">
        <v>1954</v>
      </c>
      <c r="BC856" s="175">
        <v>0</v>
      </c>
      <c r="BD856" s="175">
        <v>0</v>
      </c>
      <c r="BE856" s="206" t="s">
        <v>1955</v>
      </c>
      <c r="BF856" s="206" t="s">
        <v>1956</v>
      </c>
      <c r="BG856" s="172">
        <v>0</v>
      </c>
      <c r="BH856" s="172">
        <v>0</v>
      </c>
      <c r="BI856" s="172">
        <v>0</v>
      </c>
      <c r="BJ856" s="172">
        <v>0</v>
      </c>
      <c r="BK856" s="172">
        <v>0</v>
      </c>
      <c r="BL856" s="172">
        <v>0</v>
      </c>
      <c r="BM856" s="178">
        <v>0</v>
      </c>
      <c r="BN856" s="175">
        <v>0</v>
      </c>
      <c r="BO856" s="175">
        <v>0</v>
      </c>
      <c r="BP856" s="175">
        <v>0</v>
      </c>
      <c r="BQ856" s="175">
        <v>0</v>
      </c>
      <c r="BR856" s="175">
        <v>0</v>
      </c>
      <c r="BS856" s="175">
        <v>0</v>
      </c>
      <c r="BT856" s="12">
        <v>0</v>
      </c>
      <c r="BU856" s="47">
        <v>0</v>
      </c>
      <c r="BV856" s="47"/>
      <c r="BW856" s="47"/>
    </row>
    <row r="857" spans="3:75" ht="19.5" customHeight="1">
      <c r="C857" s="172">
        <v>63011326</v>
      </c>
      <c r="D857" s="173" t="s">
        <v>1406</v>
      </c>
      <c r="E857" s="173" t="s">
        <v>1905</v>
      </c>
      <c r="F857" s="176">
        <v>5</v>
      </c>
      <c r="G857" s="172">
        <v>63011301</v>
      </c>
      <c r="H857" s="176">
        <v>0</v>
      </c>
      <c r="I857" s="204">
        <v>5</v>
      </c>
      <c r="J857" s="16">
        <v>5</v>
      </c>
      <c r="K857" s="16">
        <v>0</v>
      </c>
      <c r="L857" s="176">
        <v>0</v>
      </c>
      <c r="M857" s="172">
        <v>0</v>
      </c>
      <c r="N857" s="172">
        <v>0</v>
      </c>
      <c r="O857" s="172">
        <v>1</v>
      </c>
      <c r="P857" s="172">
        <v>0</v>
      </c>
      <c r="Q857" s="172">
        <v>0</v>
      </c>
      <c r="R857" s="172">
        <v>0</v>
      </c>
      <c r="S857" s="175">
        <v>0</v>
      </c>
      <c r="T857" s="172">
        <v>0</v>
      </c>
      <c r="U857" s="172">
        <v>1</v>
      </c>
      <c r="V857" s="172">
        <v>2</v>
      </c>
      <c r="W857" s="172">
        <v>0</v>
      </c>
      <c r="X857" s="172">
        <v>0</v>
      </c>
      <c r="Y857" s="12">
        <v>0</v>
      </c>
      <c r="Z857" s="172">
        <v>0</v>
      </c>
      <c r="AA857" s="172">
        <v>0</v>
      </c>
      <c r="AB857" s="172">
        <v>20</v>
      </c>
      <c r="AC857" s="172">
        <v>0</v>
      </c>
      <c r="AD857" s="172">
        <v>0</v>
      </c>
      <c r="AE857" s="172">
        <v>0</v>
      </c>
      <c r="AF857" s="172">
        <v>30</v>
      </c>
      <c r="AG857" s="172">
        <v>0</v>
      </c>
      <c r="AH857" s="172">
        <v>0</v>
      </c>
      <c r="AI857" s="175">
        <v>1</v>
      </c>
      <c r="AJ857" s="175">
        <v>0</v>
      </c>
      <c r="AK857" s="175">
        <v>0</v>
      </c>
      <c r="AL857" s="175">
        <v>1.5</v>
      </c>
      <c r="AM857" s="172">
        <v>0</v>
      </c>
      <c r="AN857" s="172">
        <v>0</v>
      </c>
      <c r="AO857" s="172">
        <v>0</v>
      </c>
      <c r="AP857" s="176">
        <v>0.25</v>
      </c>
      <c r="AQ857" s="172">
        <v>3000</v>
      </c>
      <c r="AR857" s="172">
        <v>0</v>
      </c>
      <c r="AS857" s="172">
        <v>0</v>
      </c>
      <c r="AT857" s="175">
        <v>0</v>
      </c>
      <c r="AU857" s="172" t="s">
        <v>198</v>
      </c>
      <c r="AV857" s="172"/>
      <c r="AW857" s="173" t="s">
        <v>199</v>
      </c>
      <c r="AX857" s="172" t="s">
        <v>1906</v>
      </c>
      <c r="AY857" s="176">
        <v>0</v>
      </c>
      <c r="AZ857" s="176">
        <v>21101051</v>
      </c>
      <c r="BA857" s="173" t="s">
        <v>1174</v>
      </c>
      <c r="BB857" s="353" t="s">
        <v>1957</v>
      </c>
      <c r="BC857" s="175">
        <v>0</v>
      </c>
      <c r="BD857" s="175">
        <v>0</v>
      </c>
      <c r="BE857" s="206" t="s">
        <v>1958</v>
      </c>
      <c r="BF857" s="206" t="s">
        <v>1959</v>
      </c>
      <c r="BG857" s="172">
        <v>0</v>
      </c>
      <c r="BH857" s="172">
        <v>0</v>
      </c>
      <c r="BI857" s="172">
        <v>0</v>
      </c>
      <c r="BJ857" s="172">
        <v>0</v>
      </c>
      <c r="BK857" s="172">
        <v>0</v>
      </c>
      <c r="BL857" s="172">
        <v>0</v>
      </c>
      <c r="BM857" s="178">
        <v>0</v>
      </c>
      <c r="BN857" s="175">
        <v>0</v>
      </c>
      <c r="BO857" s="175">
        <v>0</v>
      </c>
      <c r="BP857" s="175">
        <v>0</v>
      </c>
      <c r="BQ857" s="175">
        <v>0</v>
      </c>
      <c r="BR857" s="175">
        <v>0</v>
      </c>
      <c r="BS857" s="175">
        <v>0</v>
      </c>
      <c r="BT857" s="12">
        <v>0</v>
      </c>
      <c r="BU857" s="47">
        <v>0</v>
      </c>
      <c r="BV857" s="47"/>
      <c r="BW857" s="47"/>
    </row>
    <row r="858" spans="3:75" ht="20.100000000000001" customHeight="1">
      <c r="C858" s="172">
        <v>63012101</v>
      </c>
      <c r="D858" s="203" t="s">
        <v>1960</v>
      </c>
      <c r="E858" s="203" t="s">
        <v>1961</v>
      </c>
      <c r="F858" s="176">
        <v>0</v>
      </c>
      <c r="G858" s="176">
        <v>63012101</v>
      </c>
      <c r="H858" s="172">
        <f t="shared" ref="H858:H860" si="84">C859</f>
        <v>63012102</v>
      </c>
      <c r="I858" s="174">
        <v>1</v>
      </c>
      <c r="J858" s="16">
        <v>1</v>
      </c>
      <c r="K858" s="16">
        <v>5</v>
      </c>
      <c r="L858" s="172">
        <v>0</v>
      </c>
      <c r="M858" s="176">
        <v>0</v>
      </c>
      <c r="N858" s="176">
        <v>0</v>
      </c>
      <c r="O858" s="176">
        <v>1</v>
      </c>
      <c r="P858" s="176">
        <v>0</v>
      </c>
      <c r="Q858" s="176">
        <v>0</v>
      </c>
      <c r="R858" s="176">
        <v>0</v>
      </c>
      <c r="S858" s="175">
        <v>0</v>
      </c>
      <c r="T858" s="176">
        <v>0</v>
      </c>
      <c r="U858" s="172">
        <v>1</v>
      </c>
      <c r="V858" s="176">
        <v>1</v>
      </c>
      <c r="W858" s="176">
        <v>0</v>
      </c>
      <c r="X858" s="176">
        <v>2.5</v>
      </c>
      <c r="Y858" s="12">
        <v>0</v>
      </c>
      <c r="Z858" s="175">
        <v>900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3" t="s">
        <v>250</v>
      </c>
      <c r="BB858" s="203" t="s">
        <v>198</v>
      </c>
      <c r="BC858" s="175">
        <v>0</v>
      </c>
      <c r="BD858" s="175">
        <v>0</v>
      </c>
      <c r="BE858" s="201" t="str">
        <f>"对于当前目标造成"&amp;X858*100&amp;"%攻击伤害+"&amp;Z858&amp;"点固定伤害"&amp;",如目标生命低于30%的则造成伤害提升50%"</f>
        <v>对于当前目标造成250%攻击伤害+900点固定伤害,如目标生命低于30%的则造成伤害提升50%</v>
      </c>
      <c r="BF858" s="201" t="s">
        <v>1962</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63012102</v>
      </c>
      <c r="D859" s="203" t="s">
        <v>1960</v>
      </c>
      <c r="E859" s="203" t="s">
        <v>1961</v>
      </c>
      <c r="F859" s="176">
        <v>1</v>
      </c>
      <c r="G859" s="176">
        <v>63012101</v>
      </c>
      <c r="H859" s="172">
        <f t="shared" si="84"/>
        <v>63012103</v>
      </c>
      <c r="I859" s="174">
        <v>1</v>
      </c>
      <c r="J859" s="16">
        <v>1</v>
      </c>
      <c r="K859" s="16">
        <v>2</v>
      </c>
      <c r="L859" s="172">
        <v>0</v>
      </c>
      <c r="M859" s="176">
        <v>0</v>
      </c>
      <c r="N859" s="176">
        <v>0</v>
      </c>
      <c r="O859" s="176">
        <v>1</v>
      </c>
      <c r="P859" s="176">
        <v>0</v>
      </c>
      <c r="Q859" s="176">
        <v>0</v>
      </c>
      <c r="R859" s="176">
        <v>0</v>
      </c>
      <c r="S859" s="175">
        <v>0</v>
      </c>
      <c r="T859" s="176">
        <v>0</v>
      </c>
      <c r="U859" s="172">
        <v>1</v>
      </c>
      <c r="V859" s="176">
        <v>1</v>
      </c>
      <c r="W859" s="176">
        <v>0</v>
      </c>
      <c r="X859" s="176">
        <v>2.5</v>
      </c>
      <c r="Y859" s="12">
        <v>0</v>
      </c>
      <c r="Z859" s="175">
        <v>900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3" t="s">
        <v>250</v>
      </c>
      <c r="BB859" s="203" t="s">
        <v>198</v>
      </c>
      <c r="BC859" s="175">
        <v>0</v>
      </c>
      <c r="BD859" s="175">
        <v>0</v>
      </c>
      <c r="BE859" s="201" t="str">
        <f t="shared" ref="BE859:BE863" si="85">"对于当前目标造成"&amp;X859*100&amp;"%攻击伤害+"&amp;Z859&amp;"点固定伤害"&amp;",如目标生命低于30%的则造成伤害提升50%"</f>
        <v>对于当前目标造成250%攻击伤害+900点固定伤害,如目标生命低于30%的则造成伤害提升50%</v>
      </c>
      <c r="BF859" s="201" t="s">
        <v>1962</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63012103</v>
      </c>
      <c r="D860" s="203" t="s">
        <v>1960</v>
      </c>
      <c r="E860" s="203" t="s">
        <v>1961</v>
      </c>
      <c r="F860" s="176">
        <v>2</v>
      </c>
      <c r="G860" s="176">
        <v>63012101</v>
      </c>
      <c r="H860" s="172">
        <f t="shared" si="84"/>
        <v>63012104</v>
      </c>
      <c r="I860" s="174">
        <v>1</v>
      </c>
      <c r="J860" s="16">
        <v>1</v>
      </c>
      <c r="K860" s="16">
        <v>2</v>
      </c>
      <c r="L860" s="172">
        <v>0</v>
      </c>
      <c r="M860" s="176">
        <v>0</v>
      </c>
      <c r="N860" s="176">
        <v>0</v>
      </c>
      <c r="O860" s="176">
        <v>1</v>
      </c>
      <c r="P860" s="176">
        <v>0</v>
      </c>
      <c r="Q860" s="176">
        <v>0</v>
      </c>
      <c r="R860" s="176">
        <v>0</v>
      </c>
      <c r="S860" s="175">
        <v>0</v>
      </c>
      <c r="T860" s="176">
        <v>0</v>
      </c>
      <c r="U860" s="172">
        <v>1</v>
      </c>
      <c r="V860" s="176">
        <v>1</v>
      </c>
      <c r="W860" s="176">
        <v>0</v>
      </c>
      <c r="X860" s="176">
        <v>2.75</v>
      </c>
      <c r="Y860" s="12">
        <v>0</v>
      </c>
      <c r="Z860" s="175">
        <v>1800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3" t="s">
        <v>250</v>
      </c>
      <c r="BB860" s="203" t="s">
        <v>198</v>
      </c>
      <c r="BC860" s="175">
        <v>0</v>
      </c>
      <c r="BD860" s="175">
        <v>0</v>
      </c>
      <c r="BE860" s="201" t="str">
        <f t="shared" si="85"/>
        <v>对于当前目标造成275%攻击伤害+1800点固定伤害,如目标生命低于30%的则造成伤害提升50%</v>
      </c>
      <c r="BF860" s="201" t="s">
        <v>1963</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63012104</v>
      </c>
      <c r="D861" s="203" t="s">
        <v>1960</v>
      </c>
      <c r="E861" s="203" t="s">
        <v>1961</v>
      </c>
      <c r="F861" s="176">
        <v>3</v>
      </c>
      <c r="G861" s="176">
        <v>63012101</v>
      </c>
      <c r="H861" s="172">
        <v>0</v>
      </c>
      <c r="I861" s="174">
        <v>1</v>
      </c>
      <c r="J861" s="16">
        <v>1</v>
      </c>
      <c r="K861" s="16">
        <v>0</v>
      </c>
      <c r="L861" s="172">
        <v>0</v>
      </c>
      <c r="M861" s="176">
        <v>0</v>
      </c>
      <c r="N861" s="176">
        <v>0</v>
      </c>
      <c r="O861" s="176">
        <v>1</v>
      </c>
      <c r="P861" s="176">
        <v>0</v>
      </c>
      <c r="Q861" s="176">
        <v>0</v>
      </c>
      <c r="R861" s="176">
        <v>0</v>
      </c>
      <c r="S861" s="175">
        <v>0</v>
      </c>
      <c r="T861" s="176">
        <v>0</v>
      </c>
      <c r="U861" s="172">
        <v>1</v>
      </c>
      <c r="V861" s="176">
        <v>1</v>
      </c>
      <c r="W861" s="176">
        <v>0</v>
      </c>
      <c r="X861" s="176">
        <v>3</v>
      </c>
      <c r="Y861" s="12">
        <v>0</v>
      </c>
      <c r="Z861" s="175">
        <v>2800</v>
      </c>
      <c r="AA861" s="176">
        <v>0</v>
      </c>
      <c r="AB861" s="176">
        <v>15</v>
      </c>
      <c r="AC861" s="176">
        <v>0</v>
      </c>
      <c r="AD861" s="176">
        <v>1</v>
      </c>
      <c r="AE861" s="176">
        <v>0</v>
      </c>
      <c r="AF861" s="176">
        <v>9</v>
      </c>
      <c r="AG861" s="176">
        <v>0</v>
      </c>
      <c r="AH861" s="176">
        <v>0</v>
      </c>
      <c r="AI861" s="175">
        <v>7</v>
      </c>
      <c r="AJ861" s="175">
        <v>0</v>
      </c>
      <c r="AK861" s="175">
        <v>0</v>
      </c>
      <c r="AL861" s="175">
        <v>6</v>
      </c>
      <c r="AM861" s="176">
        <v>0</v>
      </c>
      <c r="AN861" s="176">
        <v>0</v>
      </c>
      <c r="AO861" s="205">
        <v>0</v>
      </c>
      <c r="AP861" s="172">
        <v>0.1</v>
      </c>
      <c r="AQ861" s="176">
        <v>3000</v>
      </c>
      <c r="AR861" s="176">
        <v>0.2</v>
      </c>
      <c r="AS861" s="176">
        <v>20</v>
      </c>
      <c r="AT861" s="175">
        <v>0</v>
      </c>
      <c r="AU861" s="176" t="s">
        <v>198</v>
      </c>
      <c r="AV861" s="176"/>
      <c r="AW861" s="173" t="s">
        <v>762</v>
      </c>
      <c r="AX861" s="176" t="s">
        <v>249</v>
      </c>
      <c r="AY861" s="176">
        <v>21200120</v>
      </c>
      <c r="AZ861" s="176">
        <v>0</v>
      </c>
      <c r="BA861" s="203" t="s">
        <v>250</v>
      </c>
      <c r="BB861" s="203" t="s">
        <v>198</v>
      </c>
      <c r="BC861" s="175">
        <v>0</v>
      </c>
      <c r="BD861" s="175">
        <v>0</v>
      </c>
      <c r="BE861" s="201" t="str">
        <f t="shared" si="85"/>
        <v>对于当前目标造成300%攻击伤害+2800点固定伤害,如目标生命低于30%的则造成伤害提升50%</v>
      </c>
      <c r="BF861" s="201" t="s">
        <v>1964</v>
      </c>
      <c r="BG861" s="176">
        <v>0</v>
      </c>
      <c r="BH861" s="176">
        <v>0</v>
      </c>
      <c r="BI861" s="176">
        <v>0</v>
      </c>
      <c r="BJ861" s="176">
        <v>0</v>
      </c>
      <c r="BK861" s="176">
        <v>0</v>
      </c>
      <c r="BL861" s="176">
        <v>0</v>
      </c>
      <c r="BM861" s="176">
        <v>0</v>
      </c>
      <c r="BN861" s="175">
        <v>0</v>
      </c>
      <c r="BO861" s="175">
        <v>0</v>
      </c>
      <c r="BP861" s="175">
        <v>0</v>
      </c>
      <c r="BQ861" s="175">
        <v>0</v>
      </c>
      <c r="BR861" s="175">
        <v>0</v>
      </c>
      <c r="BS861" s="175">
        <v>0</v>
      </c>
      <c r="BT861" s="12">
        <v>0</v>
      </c>
      <c r="BU861" s="47">
        <v>0</v>
      </c>
      <c r="BV861" s="47"/>
      <c r="BW861" s="47"/>
    </row>
    <row r="862" spans="3:75" ht="20.100000000000001" customHeight="1">
      <c r="C862" s="172">
        <v>63012105</v>
      </c>
      <c r="D862" s="203" t="s">
        <v>1960</v>
      </c>
      <c r="E862" s="203" t="s">
        <v>1961</v>
      </c>
      <c r="F862" s="176">
        <v>4</v>
      </c>
      <c r="G862" s="176">
        <v>63012101</v>
      </c>
      <c r="H862" s="172">
        <v>0</v>
      </c>
      <c r="I862" s="174">
        <v>1</v>
      </c>
      <c r="J862" s="16">
        <v>1</v>
      </c>
      <c r="K862" s="16">
        <v>0</v>
      </c>
      <c r="L862" s="172">
        <v>0</v>
      </c>
      <c r="M862" s="176">
        <v>0</v>
      </c>
      <c r="N862" s="176">
        <v>0</v>
      </c>
      <c r="O862" s="176">
        <v>1</v>
      </c>
      <c r="P862" s="176">
        <v>0</v>
      </c>
      <c r="Q862" s="176">
        <v>0</v>
      </c>
      <c r="R862" s="176">
        <v>0</v>
      </c>
      <c r="S862" s="175">
        <v>0</v>
      </c>
      <c r="T862" s="176">
        <v>0</v>
      </c>
      <c r="U862" s="172">
        <v>1</v>
      </c>
      <c r="V862" s="176">
        <v>1</v>
      </c>
      <c r="W862" s="176">
        <v>0</v>
      </c>
      <c r="X862" s="176">
        <v>3.25</v>
      </c>
      <c r="Y862" s="12">
        <v>0</v>
      </c>
      <c r="Z862" s="175">
        <v>4000</v>
      </c>
      <c r="AA862" s="176">
        <v>0</v>
      </c>
      <c r="AB862" s="176">
        <v>15</v>
      </c>
      <c r="AC862" s="176">
        <v>0</v>
      </c>
      <c r="AD862" s="176">
        <v>1</v>
      </c>
      <c r="AE862" s="176">
        <v>0</v>
      </c>
      <c r="AF862" s="176">
        <v>9</v>
      </c>
      <c r="AG862" s="176">
        <v>0</v>
      </c>
      <c r="AH862" s="176">
        <v>0</v>
      </c>
      <c r="AI862" s="175">
        <v>7</v>
      </c>
      <c r="AJ862" s="175">
        <v>0</v>
      </c>
      <c r="AK862" s="175">
        <v>0</v>
      </c>
      <c r="AL862" s="175">
        <v>6</v>
      </c>
      <c r="AM862" s="176">
        <v>0</v>
      </c>
      <c r="AN862" s="176">
        <v>0</v>
      </c>
      <c r="AO862" s="205">
        <v>0</v>
      </c>
      <c r="AP862" s="172">
        <v>0.1</v>
      </c>
      <c r="AQ862" s="176">
        <v>3000</v>
      </c>
      <c r="AR862" s="176">
        <v>0.2</v>
      </c>
      <c r="AS862" s="176">
        <v>20</v>
      </c>
      <c r="AT862" s="175">
        <v>0</v>
      </c>
      <c r="AU862" s="176" t="s">
        <v>198</v>
      </c>
      <c r="AV862" s="176"/>
      <c r="AW862" s="173" t="s">
        <v>762</v>
      </c>
      <c r="AX862" s="176" t="s">
        <v>249</v>
      </c>
      <c r="AY862" s="176">
        <v>21200120</v>
      </c>
      <c r="AZ862" s="176">
        <v>0</v>
      </c>
      <c r="BA862" s="203" t="s">
        <v>250</v>
      </c>
      <c r="BB862" s="203" t="s">
        <v>198</v>
      </c>
      <c r="BC862" s="175">
        <v>0</v>
      </c>
      <c r="BD862" s="175">
        <v>0</v>
      </c>
      <c r="BE862" s="201" t="str">
        <f t="shared" si="85"/>
        <v>对于当前目标造成325%攻击伤害+4000点固定伤害,如目标生命低于30%的则造成伤害提升50%</v>
      </c>
      <c r="BF862" s="201" t="s">
        <v>1965</v>
      </c>
      <c r="BG862" s="176">
        <v>0</v>
      </c>
      <c r="BH862" s="176">
        <v>0</v>
      </c>
      <c r="BI862" s="176">
        <v>0</v>
      </c>
      <c r="BJ862" s="176">
        <v>0</v>
      </c>
      <c r="BK862" s="176">
        <v>0</v>
      </c>
      <c r="BL862" s="176">
        <v>0</v>
      </c>
      <c r="BM862" s="176">
        <v>0</v>
      </c>
      <c r="BN862" s="175">
        <v>0</v>
      </c>
      <c r="BO862" s="175">
        <v>0</v>
      </c>
      <c r="BP862" s="175">
        <v>0</v>
      </c>
      <c r="BQ862" s="175">
        <v>0</v>
      </c>
      <c r="BR862" s="175">
        <v>0</v>
      </c>
      <c r="BS862" s="175">
        <v>0</v>
      </c>
      <c r="BT862" s="12">
        <v>0</v>
      </c>
      <c r="BU862" s="47">
        <v>0</v>
      </c>
      <c r="BV862" s="47"/>
      <c r="BW862" s="47"/>
    </row>
    <row r="863" spans="3:75" ht="20.100000000000001" customHeight="1">
      <c r="C863" s="172">
        <v>63012106</v>
      </c>
      <c r="D863" s="203" t="s">
        <v>1960</v>
      </c>
      <c r="E863" s="203" t="s">
        <v>1961</v>
      </c>
      <c r="F863" s="176">
        <v>5</v>
      </c>
      <c r="G863" s="176">
        <v>63012101</v>
      </c>
      <c r="H863" s="176">
        <v>0</v>
      </c>
      <c r="I863" s="174">
        <v>1</v>
      </c>
      <c r="J863" s="16">
        <v>1</v>
      </c>
      <c r="K863" s="16">
        <v>0</v>
      </c>
      <c r="L863" s="172">
        <v>0</v>
      </c>
      <c r="M863" s="176">
        <v>0</v>
      </c>
      <c r="N863" s="176">
        <v>0</v>
      </c>
      <c r="O863" s="176">
        <v>1</v>
      </c>
      <c r="P863" s="176">
        <v>0</v>
      </c>
      <c r="Q863" s="176">
        <v>0</v>
      </c>
      <c r="R863" s="176">
        <v>0</v>
      </c>
      <c r="S863" s="175">
        <v>0</v>
      </c>
      <c r="T863" s="176">
        <v>0</v>
      </c>
      <c r="U863" s="172">
        <v>1</v>
      </c>
      <c r="V863" s="176">
        <v>1</v>
      </c>
      <c r="W863" s="176">
        <v>0</v>
      </c>
      <c r="X863" s="176">
        <v>3.5</v>
      </c>
      <c r="Y863" s="12">
        <v>0</v>
      </c>
      <c r="Z863" s="175">
        <v>5200</v>
      </c>
      <c r="AA863" s="176">
        <v>0</v>
      </c>
      <c r="AB863" s="176">
        <v>15</v>
      </c>
      <c r="AC863" s="176">
        <v>0</v>
      </c>
      <c r="AD863" s="176">
        <v>1</v>
      </c>
      <c r="AE863" s="176">
        <v>0</v>
      </c>
      <c r="AF863" s="176">
        <v>9</v>
      </c>
      <c r="AG863" s="176">
        <v>0</v>
      </c>
      <c r="AH863" s="176">
        <v>0</v>
      </c>
      <c r="AI863" s="175">
        <v>7</v>
      </c>
      <c r="AJ863" s="175">
        <v>0</v>
      </c>
      <c r="AK863" s="175">
        <v>0</v>
      </c>
      <c r="AL863" s="175">
        <v>6</v>
      </c>
      <c r="AM863" s="176">
        <v>0</v>
      </c>
      <c r="AN863" s="176">
        <v>0</v>
      </c>
      <c r="AO863" s="205">
        <v>0</v>
      </c>
      <c r="AP863" s="172">
        <v>0.1</v>
      </c>
      <c r="AQ863" s="176">
        <v>3000</v>
      </c>
      <c r="AR863" s="176">
        <v>0.2</v>
      </c>
      <c r="AS863" s="176">
        <v>20</v>
      </c>
      <c r="AT863" s="175">
        <v>0</v>
      </c>
      <c r="AU863" s="176" t="s">
        <v>198</v>
      </c>
      <c r="AV863" s="176"/>
      <c r="AW863" s="173" t="s">
        <v>762</v>
      </c>
      <c r="AX863" s="176" t="s">
        <v>249</v>
      </c>
      <c r="AY863" s="176">
        <v>21200120</v>
      </c>
      <c r="AZ863" s="176">
        <v>0</v>
      </c>
      <c r="BA863" s="203" t="s">
        <v>250</v>
      </c>
      <c r="BB863" s="203" t="s">
        <v>198</v>
      </c>
      <c r="BC863" s="175">
        <v>0</v>
      </c>
      <c r="BD863" s="175">
        <v>0</v>
      </c>
      <c r="BE863" s="201" t="str">
        <f t="shared" si="85"/>
        <v>对于当前目标造成350%攻击伤害+5200点固定伤害,如目标生命低于30%的则造成伤害提升50%</v>
      </c>
      <c r="BF863" s="201" t="s">
        <v>1966</v>
      </c>
      <c r="BG863" s="176">
        <v>0</v>
      </c>
      <c r="BH863" s="176">
        <v>0</v>
      </c>
      <c r="BI863" s="176">
        <v>0</v>
      </c>
      <c r="BJ863" s="176">
        <v>0</v>
      </c>
      <c r="BK863" s="176">
        <v>0</v>
      </c>
      <c r="BL863" s="176">
        <v>0</v>
      </c>
      <c r="BM863" s="176">
        <v>0</v>
      </c>
      <c r="BN863" s="175">
        <v>0</v>
      </c>
      <c r="BO863" s="175">
        <v>0</v>
      </c>
      <c r="BP863" s="175">
        <v>0</v>
      </c>
      <c r="BQ863" s="175">
        <v>0</v>
      </c>
      <c r="BR863" s="175">
        <v>0</v>
      </c>
      <c r="BS863" s="175">
        <v>0</v>
      </c>
      <c r="BT863" s="12">
        <v>0</v>
      </c>
      <c r="BU863" s="47">
        <v>0</v>
      </c>
      <c r="BV863" s="47"/>
      <c r="BW863" s="47"/>
    </row>
    <row r="864" spans="3:75" ht="20.100000000000001" customHeight="1">
      <c r="C864" s="172">
        <v>63012201</v>
      </c>
      <c r="D864" s="200" t="s">
        <v>1414</v>
      </c>
      <c r="E864" s="200" t="s">
        <v>1967</v>
      </c>
      <c r="F864" s="176">
        <v>0</v>
      </c>
      <c r="G864" s="176">
        <v>60031111</v>
      </c>
      <c r="H864" s="172">
        <f t="shared" ref="H864:H866" si="86">C865</f>
        <v>63012202</v>
      </c>
      <c r="I864" s="204">
        <v>5</v>
      </c>
      <c r="J864" s="16">
        <v>3</v>
      </c>
      <c r="K864" s="16">
        <v>5</v>
      </c>
      <c r="L864" s="176">
        <v>0</v>
      </c>
      <c r="M864" s="172">
        <v>0</v>
      </c>
      <c r="N864" s="172">
        <v>0</v>
      </c>
      <c r="O864" s="172">
        <v>1</v>
      </c>
      <c r="P864" s="172">
        <v>0</v>
      </c>
      <c r="Q864" s="172">
        <v>1</v>
      </c>
      <c r="R864" s="172">
        <v>0</v>
      </c>
      <c r="S864" s="175">
        <v>0</v>
      </c>
      <c r="T864" s="172">
        <v>0</v>
      </c>
      <c r="U864" s="172">
        <v>1</v>
      </c>
      <c r="V864" s="172">
        <v>2</v>
      </c>
      <c r="W864" s="172">
        <v>0</v>
      </c>
      <c r="X864" s="175">
        <v>1.75</v>
      </c>
      <c r="Y864" s="12">
        <v>0</v>
      </c>
      <c r="Z864" s="175">
        <v>750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3" t="s">
        <v>586</v>
      </c>
      <c r="BB864" s="175" t="s">
        <v>1969</v>
      </c>
      <c r="BC864" s="175">
        <v>0</v>
      </c>
      <c r="BD864" s="175">
        <v>0</v>
      </c>
      <c r="BE864" s="201" t="str">
        <f>"对前方扇形范围进行散射,造成"&amp;X864*100&amp;"%攻击伤害+"&amp;Z864&amp;"点固定伤害"&amp;",并对目标触发1秒眩晕"</f>
        <v>对前方扇形范围进行散射,造成175%攻击伤害+750点固定伤害,并对目标触发1秒眩晕</v>
      </c>
      <c r="BF864" s="201" t="s">
        <v>1970</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63012202</v>
      </c>
      <c r="D865" s="200" t="s">
        <v>1414</v>
      </c>
      <c r="E865" s="200" t="s">
        <v>1967</v>
      </c>
      <c r="F865" s="176">
        <v>1</v>
      </c>
      <c r="G865" s="176">
        <v>60031111</v>
      </c>
      <c r="H865" s="172">
        <f t="shared" si="86"/>
        <v>63012203</v>
      </c>
      <c r="I865" s="204">
        <v>5</v>
      </c>
      <c r="J865" s="16">
        <v>3</v>
      </c>
      <c r="K865" s="16">
        <v>2</v>
      </c>
      <c r="L865" s="176">
        <v>0</v>
      </c>
      <c r="M865" s="172">
        <v>0</v>
      </c>
      <c r="N865" s="172">
        <v>0</v>
      </c>
      <c r="O865" s="172">
        <v>1</v>
      </c>
      <c r="P865" s="172">
        <v>0</v>
      </c>
      <c r="Q865" s="172">
        <v>1</v>
      </c>
      <c r="R865" s="172">
        <v>0</v>
      </c>
      <c r="S865" s="175">
        <v>0</v>
      </c>
      <c r="T865" s="172">
        <v>0</v>
      </c>
      <c r="U865" s="172">
        <v>1</v>
      </c>
      <c r="V865" s="172">
        <v>2</v>
      </c>
      <c r="W865" s="172">
        <v>0</v>
      </c>
      <c r="X865" s="175">
        <v>1.75</v>
      </c>
      <c r="Y865" s="12">
        <v>0</v>
      </c>
      <c r="Z865" s="175">
        <v>750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3" t="s">
        <v>586</v>
      </c>
      <c r="BB865" s="175" t="s">
        <v>1969</v>
      </c>
      <c r="BC865" s="175">
        <v>0</v>
      </c>
      <c r="BD865" s="175">
        <v>0</v>
      </c>
      <c r="BE865" s="201" t="str">
        <f>"对前方扇形范围进行散射,造成"&amp;X865*100&amp;"%攻击伤害+"&amp;Z865&amp;"点固定伤害"&amp;",并对目标触发1秒眩晕"</f>
        <v>对前方扇形范围进行散射,造成175%攻击伤害+750点固定伤害,并对目标触发1秒眩晕</v>
      </c>
      <c r="BF865" s="201" t="s">
        <v>1970</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63012203</v>
      </c>
      <c r="D866" s="200" t="s">
        <v>1414</v>
      </c>
      <c r="E866" s="200" t="s">
        <v>1967</v>
      </c>
      <c r="F866" s="176">
        <v>2</v>
      </c>
      <c r="G866" s="176">
        <v>60031111</v>
      </c>
      <c r="H866" s="172">
        <f t="shared" si="86"/>
        <v>63012204</v>
      </c>
      <c r="I866" s="204">
        <v>5</v>
      </c>
      <c r="J866" s="16">
        <v>3</v>
      </c>
      <c r="K866" s="16">
        <v>2</v>
      </c>
      <c r="L866" s="176">
        <v>0</v>
      </c>
      <c r="M866" s="172">
        <v>0</v>
      </c>
      <c r="N866" s="172">
        <v>0</v>
      </c>
      <c r="O866" s="172">
        <v>1</v>
      </c>
      <c r="P866" s="172">
        <v>0</v>
      </c>
      <c r="Q866" s="172">
        <v>1</v>
      </c>
      <c r="R866" s="172">
        <v>0</v>
      </c>
      <c r="S866" s="175">
        <v>0</v>
      </c>
      <c r="T866" s="172">
        <v>0</v>
      </c>
      <c r="U866" s="172">
        <v>1</v>
      </c>
      <c r="V866" s="172">
        <v>2</v>
      </c>
      <c r="W866" s="172">
        <v>0</v>
      </c>
      <c r="X866" s="175">
        <v>2</v>
      </c>
      <c r="Y866" s="12">
        <v>0</v>
      </c>
      <c r="Z866" s="175">
        <v>1500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3" t="s">
        <v>586</v>
      </c>
      <c r="BB866" s="175" t="s">
        <v>1969</v>
      </c>
      <c r="BC866" s="175">
        <v>0</v>
      </c>
      <c r="BD866" s="175">
        <v>0</v>
      </c>
      <c r="BE866" s="201" t="str">
        <f t="shared" ref="BE866:BE869" si="87">"对前方扇形范围进行散射,造成"&amp;X866*100&amp;"%攻击伤害+"&amp;Z866&amp;"点固定伤害"&amp;",并对目标触发1秒眩晕"</f>
        <v>对前方扇形范围进行散射,造成200%攻击伤害+1500点固定伤害,并对目标触发1秒眩晕</v>
      </c>
      <c r="BF866" s="201" t="s">
        <v>1971</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20.100000000000001" customHeight="1">
      <c r="C867" s="172">
        <v>63012204</v>
      </c>
      <c r="D867" s="200" t="s">
        <v>1414</v>
      </c>
      <c r="E867" s="200" t="s">
        <v>1967</v>
      </c>
      <c r="F867" s="176">
        <v>3</v>
      </c>
      <c r="G867" s="176">
        <v>60031111</v>
      </c>
      <c r="H867" s="172">
        <v>0</v>
      </c>
      <c r="I867" s="204">
        <v>5</v>
      </c>
      <c r="J867" s="16">
        <v>3</v>
      </c>
      <c r="K867" s="16">
        <v>0</v>
      </c>
      <c r="L867" s="176">
        <v>0</v>
      </c>
      <c r="M867" s="172">
        <v>0</v>
      </c>
      <c r="N867" s="172">
        <v>0</v>
      </c>
      <c r="O867" s="172">
        <v>1</v>
      </c>
      <c r="P867" s="172">
        <v>0</v>
      </c>
      <c r="Q867" s="172">
        <v>1</v>
      </c>
      <c r="R867" s="172">
        <v>0</v>
      </c>
      <c r="S867" s="175">
        <v>0</v>
      </c>
      <c r="T867" s="172">
        <v>0</v>
      </c>
      <c r="U867" s="172">
        <v>1</v>
      </c>
      <c r="V867" s="172">
        <v>2</v>
      </c>
      <c r="W867" s="172">
        <v>0</v>
      </c>
      <c r="X867" s="175">
        <v>2.25</v>
      </c>
      <c r="Y867" s="12">
        <v>0</v>
      </c>
      <c r="Z867" s="175">
        <v>2250</v>
      </c>
      <c r="AA867" s="172">
        <v>1</v>
      </c>
      <c r="AB867" s="176">
        <v>20</v>
      </c>
      <c r="AC867" s="172">
        <v>0</v>
      </c>
      <c r="AD867" s="172">
        <v>0</v>
      </c>
      <c r="AE867" s="172">
        <v>0</v>
      </c>
      <c r="AF867" s="176">
        <v>9</v>
      </c>
      <c r="AG867" s="172">
        <v>2</v>
      </c>
      <c r="AH867" s="172" t="s">
        <v>1968</v>
      </c>
      <c r="AI867" s="175">
        <v>0</v>
      </c>
      <c r="AJ867" s="175">
        <v>3</v>
      </c>
      <c r="AK867" s="175">
        <v>0</v>
      </c>
      <c r="AL867" s="175">
        <v>2</v>
      </c>
      <c r="AM867" s="172">
        <v>0</v>
      </c>
      <c r="AN867" s="172">
        <v>0</v>
      </c>
      <c r="AO867" s="172">
        <v>0</v>
      </c>
      <c r="AP867" s="172">
        <v>0.25</v>
      </c>
      <c r="AQ867" s="172">
        <v>1500</v>
      </c>
      <c r="AR867" s="172">
        <v>0.5</v>
      </c>
      <c r="AS867" s="172">
        <v>20</v>
      </c>
      <c r="AT867" s="175">
        <v>0</v>
      </c>
      <c r="AU867" s="172">
        <v>92003001</v>
      </c>
      <c r="AV867" s="172"/>
      <c r="AW867" s="173" t="s">
        <v>287</v>
      </c>
      <c r="AX867" s="172" t="s">
        <v>1400</v>
      </c>
      <c r="AY867" s="176">
        <v>21200031</v>
      </c>
      <c r="AZ867" s="176">
        <v>21200030</v>
      </c>
      <c r="BA867" s="203" t="s">
        <v>586</v>
      </c>
      <c r="BB867" s="175" t="s">
        <v>1969</v>
      </c>
      <c r="BC867" s="175">
        <v>0</v>
      </c>
      <c r="BD867" s="175">
        <v>0</v>
      </c>
      <c r="BE867" s="201" t="str">
        <f t="shared" si="87"/>
        <v>对前方扇形范围进行散射,造成225%攻击伤害+2250点固定伤害,并对目标触发1秒眩晕</v>
      </c>
      <c r="BF867" s="201" t="s">
        <v>1972</v>
      </c>
      <c r="BG867" s="172">
        <v>0</v>
      </c>
      <c r="BH867" s="172">
        <v>0</v>
      </c>
      <c r="BI867" s="172">
        <v>0</v>
      </c>
      <c r="BJ867" s="172">
        <v>0</v>
      </c>
      <c r="BK867" s="172">
        <v>0</v>
      </c>
      <c r="BL867" s="172">
        <v>0</v>
      </c>
      <c r="BM867" s="178">
        <v>0</v>
      </c>
      <c r="BN867" s="175">
        <v>0</v>
      </c>
      <c r="BO867" s="175">
        <v>0</v>
      </c>
      <c r="BP867" s="175">
        <v>0</v>
      </c>
      <c r="BQ867" s="175">
        <v>0</v>
      </c>
      <c r="BR867" s="175">
        <v>0</v>
      </c>
      <c r="BS867" s="175">
        <v>0</v>
      </c>
      <c r="BT867" s="12">
        <v>0</v>
      </c>
      <c r="BU867" s="47">
        <v>0</v>
      </c>
      <c r="BV867" s="47"/>
      <c r="BW867" s="47"/>
    </row>
    <row r="868" spans="3:75" ht="20.100000000000001" customHeight="1">
      <c r="C868" s="172">
        <v>63012205</v>
      </c>
      <c r="D868" s="200" t="s">
        <v>1414</v>
      </c>
      <c r="E868" s="200" t="s">
        <v>1967</v>
      </c>
      <c r="F868" s="176">
        <v>4</v>
      </c>
      <c r="G868" s="176">
        <v>60031111</v>
      </c>
      <c r="H868" s="172">
        <v>0</v>
      </c>
      <c r="I868" s="204">
        <v>5</v>
      </c>
      <c r="J868" s="16">
        <v>3</v>
      </c>
      <c r="K868" s="16">
        <v>0</v>
      </c>
      <c r="L868" s="176">
        <v>0</v>
      </c>
      <c r="M868" s="172">
        <v>0</v>
      </c>
      <c r="N868" s="172">
        <v>0</v>
      </c>
      <c r="O868" s="172">
        <v>1</v>
      </c>
      <c r="P868" s="172">
        <v>0</v>
      </c>
      <c r="Q868" s="172">
        <v>1</v>
      </c>
      <c r="R868" s="172">
        <v>0</v>
      </c>
      <c r="S868" s="175">
        <v>0</v>
      </c>
      <c r="T868" s="172">
        <v>0</v>
      </c>
      <c r="U868" s="172">
        <v>1</v>
      </c>
      <c r="V868" s="172">
        <v>2</v>
      </c>
      <c r="W868" s="172">
        <v>0</v>
      </c>
      <c r="X868" s="175">
        <v>2.5</v>
      </c>
      <c r="Y868" s="12">
        <v>0</v>
      </c>
      <c r="Z868" s="175">
        <v>3250</v>
      </c>
      <c r="AA868" s="172">
        <v>1</v>
      </c>
      <c r="AB868" s="176">
        <v>20</v>
      </c>
      <c r="AC868" s="172">
        <v>0</v>
      </c>
      <c r="AD868" s="172">
        <v>0</v>
      </c>
      <c r="AE868" s="172">
        <v>0</v>
      </c>
      <c r="AF868" s="176">
        <v>9</v>
      </c>
      <c r="AG868" s="172">
        <v>2</v>
      </c>
      <c r="AH868" s="172" t="s">
        <v>1968</v>
      </c>
      <c r="AI868" s="175">
        <v>0</v>
      </c>
      <c r="AJ868" s="175">
        <v>3</v>
      </c>
      <c r="AK868" s="175">
        <v>0</v>
      </c>
      <c r="AL868" s="175">
        <v>2</v>
      </c>
      <c r="AM868" s="172">
        <v>0</v>
      </c>
      <c r="AN868" s="172">
        <v>0</v>
      </c>
      <c r="AO868" s="172">
        <v>0</v>
      </c>
      <c r="AP868" s="172">
        <v>0.25</v>
      </c>
      <c r="AQ868" s="172">
        <v>1500</v>
      </c>
      <c r="AR868" s="172">
        <v>0.5</v>
      </c>
      <c r="AS868" s="172">
        <v>20</v>
      </c>
      <c r="AT868" s="175">
        <v>0</v>
      </c>
      <c r="AU868" s="172">
        <v>92003001</v>
      </c>
      <c r="AV868" s="172"/>
      <c r="AW868" s="173" t="s">
        <v>287</v>
      </c>
      <c r="AX868" s="172" t="s">
        <v>1400</v>
      </c>
      <c r="AY868" s="176">
        <v>21200031</v>
      </c>
      <c r="AZ868" s="176">
        <v>21200030</v>
      </c>
      <c r="BA868" s="203" t="s">
        <v>586</v>
      </c>
      <c r="BB868" s="175" t="s">
        <v>1969</v>
      </c>
      <c r="BC868" s="175">
        <v>0</v>
      </c>
      <c r="BD868" s="175">
        <v>0</v>
      </c>
      <c r="BE868" s="201" t="str">
        <f t="shared" si="87"/>
        <v>对前方扇形范围进行散射,造成250%攻击伤害+3250点固定伤害,并对目标触发1秒眩晕</v>
      </c>
      <c r="BF868" s="201" t="s">
        <v>1973</v>
      </c>
      <c r="BG868" s="172">
        <v>0</v>
      </c>
      <c r="BH868" s="172">
        <v>0</v>
      </c>
      <c r="BI868" s="172">
        <v>0</v>
      </c>
      <c r="BJ868" s="172">
        <v>0</v>
      </c>
      <c r="BK868" s="172">
        <v>0</v>
      </c>
      <c r="BL868" s="172">
        <v>0</v>
      </c>
      <c r="BM868" s="178">
        <v>0</v>
      </c>
      <c r="BN868" s="175">
        <v>0</v>
      </c>
      <c r="BO868" s="175">
        <v>0</v>
      </c>
      <c r="BP868" s="175">
        <v>0</v>
      </c>
      <c r="BQ868" s="175">
        <v>0</v>
      </c>
      <c r="BR868" s="175">
        <v>0</v>
      </c>
      <c r="BS868" s="175">
        <v>0</v>
      </c>
      <c r="BT868" s="12">
        <v>0</v>
      </c>
      <c r="BU868" s="47">
        <v>0</v>
      </c>
      <c r="BV868" s="47"/>
      <c r="BW868" s="47"/>
    </row>
    <row r="869" spans="3:75" ht="20.100000000000001" customHeight="1">
      <c r="C869" s="172">
        <v>63012206</v>
      </c>
      <c r="D869" s="200" t="s">
        <v>1414</v>
      </c>
      <c r="E869" s="200" t="s">
        <v>1967</v>
      </c>
      <c r="F869" s="176">
        <v>5</v>
      </c>
      <c r="G869" s="176">
        <v>60031111</v>
      </c>
      <c r="H869" s="176">
        <v>0</v>
      </c>
      <c r="I869" s="204">
        <v>5</v>
      </c>
      <c r="J869" s="16">
        <v>3</v>
      </c>
      <c r="K869" s="16">
        <v>0</v>
      </c>
      <c r="L869" s="176">
        <v>0</v>
      </c>
      <c r="M869" s="172">
        <v>0</v>
      </c>
      <c r="N869" s="172">
        <v>0</v>
      </c>
      <c r="O869" s="172">
        <v>1</v>
      </c>
      <c r="P869" s="172">
        <v>0</v>
      </c>
      <c r="Q869" s="172">
        <v>1</v>
      </c>
      <c r="R869" s="172">
        <v>0</v>
      </c>
      <c r="S869" s="175">
        <v>0</v>
      </c>
      <c r="T869" s="172">
        <v>0</v>
      </c>
      <c r="U869" s="172">
        <v>1</v>
      </c>
      <c r="V869" s="172">
        <v>2</v>
      </c>
      <c r="W869" s="172">
        <v>0</v>
      </c>
      <c r="X869" s="175">
        <v>2.75</v>
      </c>
      <c r="Y869" s="12">
        <v>0</v>
      </c>
      <c r="Z869" s="175">
        <v>4250</v>
      </c>
      <c r="AA869" s="172">
        <v>1</v>
      </c>
      <c r="AB869" s="176">
        <v>20</v>
      </c>
      <c r="AC869" s="172">
        <v>0</v>
      </c>
      <c r="AD869" s="172">
        <v>0</v>
      </c>
      <c r="AE869" s="172">
        <v>0</v>
      </c>
      <c r="AF869" s="176">
        <v>9</v>
      </c>
      <c r="AG869" s="172">
        <v>2</v>
      </c>
      <c r="AH869" s="172" t="s">
        <v>1968</v>
      </c>
      <c r="AI869" s="175">
        <v>0</v>
      </c>
      <c r="AJ869" s="175">
        <v>3</v>
      </c>
      <c r="AK869" s="175">
        <v>0</v>
      </c>
      <c r="AL869" s="175">
        <v>2</v>
      </c>
      <c r="AM869" s="172">
        <v>0</v>
      </c>
      <c r="AN869" s="172">
        <v>0</v>
      </c>
      <c r="AO869" s="172">
        <v>0</v>
      </c>
      <c r="AP869" s="172">
        <v>0.25</v>
      </c>
      <c r="AQ869" s="172">
        <v>1500</v>
      </c>
      <c r="AR869" s="172">
        <v>0.5</v>
      </c>
      <c r="AS869" s="172">
        <v>20</v>
      </c>
      <c r="AT869" s="175">
        <v>0</v>
      </c>
      <c r="AU869" s="172">
        <v>92003001</v>
      </c>
      <c r="AV869" s="172"/>
      <c r="AW869" s="173" t="s">
        <v>287</v>
      </c>
      <c r="AX869" s="172" t="s">
        <v>1400</v>
      </c>
      <c r="AY869" s="176">
        <v>21200031</v>
      </c>
      <c r="AZ869" s="176">
        <v>21200030</v>
      </c>
      <c r="BA869" s="203" t="s">
        <v>586</v>
      </c>
      <c r="BB869" s="175" t="s">
        <v>1969</v>
      </c>
      <c r="BC869" s="175">
        <v>0</v>
      </c>
      <c r="BD869" s="175">
        <v>0</v>
      </c>
      <c r="BE869" s="201" t="str">
        <f t="shared" si="87"/>
        <v>对前方扇形范围进行散射,造成275%攻击伤害+4250点固定伤害,并对目标触发1秒眩晕</v>
      </c>
      <c r="BF869" s="201" t="s">
        <v>1974</v>
      </c>
      <c r="BG869" s="172">
        <v>0</v>
      </c>
      <c r="BH869" s="172">
        <v>0</v>
      </c>
      <c r="BI869" s="172">
        <v>0</v>
      </c>
      <c r="BJ869" s="172">
        <v>0</v>
      </c>
      <c r="BK869" s="172">
        <v>0</v>
      </c>
      <c r="BL869" s="172">
        <v>0</v>
      </c>
      <c r="BM869" s="178">
        <v>0</v>
      </c>
      <c r="BN869" s="175">
        <v>0</v>
      </c>
      <c r="BO869" s="175">
        <v>0</v>
      </c>
      <c r="BP869" s="175">
        <v>0</v>
      </c>
      <c r="BQ869" s="175">
        <v>0</v>
      </c>
      <c r="BR869" s="175">
        <v>0</v>
      </c>
      <c r="BS869" s="175">
        <v>0</v>
      </c>
      <c r="BT869" s="12">
        <v>0</v>
      </c>
      <c r="BU869" s="47">
        <v>0</v>
      </c>
      <c r="BV869" s="47"/>
      <c r="BW869" s="47"/>
    </row>
    <row r="870" spans="3:75" ht="19.5" customHeight="1">
      <c r="C870" s="172">
        <v>63012301</v>
      </c>
      <c r="D870" s="203" t="s">
        <v>1975</v>
      </c>
      <c r="E870" s="203" t="s">
        <v>1976</v>
      </c>
      <c r="F870" s="176">
        <v>0</v>
      </c>
      <c r="G870" s="176">
        <v>63012302</v>
      </c>
      <c r="H870" s="172">
        <f t="shared" ref="H870:H872" si="88">C871</f>
        <v>63012302</v>
      </c>
      <c r="I870" s="174">
        <v>1</v>
      </c>
      <c r="J870" s="16">
        <v>5</v>
      </c>
      <c r="K870" s="16">
        <v>5</v>
      </c>
      <c r="L870" s="172">
        <v>0</v>
      </c>
      <c r="M870" s="176">
        <v>0</v>
      </c>
      <c r="N870" s="176">
        <v>0</v>
      </c>
      <c r="O870" s="176">
        <v>1</v>
      </c>
      <c r="P870" s="176">
        <v>0</v>
      </c>
      <c r="Q870" s="176">
        <v>0</v>
      </c>
      <c r="R870" s="176">
        <v>0</v>
      </c>
      <c r="S870" s="175">
        <v>0</v>
      </c>
      <c r="T870" s="174">
        <v>0</v>
      </c>
      <c r="U870" s="172">
        <v>1</v>
      </c>
      <c r="V870" s="176">
        <v>2</v>
      </c>
      <c r="W870" s="176">
        <v>0</v>
      </c>
      <c r="X870" s="176">
        <v>2.5</v>
      </c>
      <c r="Y870" s="12">
        <v>0</v>
      </c>
      <c r="Z870" s="175">
        <v>900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3" t="s">
        <v>256</v>
      </c>
      <c r="AX870" s="172" t="s">
        <v>1416</v>
      </c>
      <c r="AY870" s="176">
        <v>10003002</v>
      </c>
      <c r="AZ870" s="176">
        <v>21200130</v>
      </c>
      <c r="BA870" s="203" t="s">
        <v>200</v>
      </c>
      <c r="BB870" s="203">
        <v>0</v>
      </c>
      <c r="BC870" s="175">
        <v>0</v>
      </c>
      <c r="BD870" s="175">
        <v>0</v>
      </c>
      <c r="BE870" s="208" t="str">
        <f>"立即对当前前方区域的怪物造成"&amp;X870*100&amp;"%攻击伤害+"&amp;Z870&amp;"点固定伤害,且自身会向后方区域进行跳跃"</f>
        <v>立即对当前前方区域的怪物造成250%攻击伤害+900点固定伤害,且自身会向后方区域进行跳跃</v>
      </c>
      <c r="BF870" s="208" t="s">
        <v>1977</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63012302</v>
      </c>
      <c r="D871" s="203" t="s">
        <v>1975</v>
      </c>
      <c r="E871" s="203" t="s">
        <v>1976</v>
      </c>
      <c r="F871" s="176">
        <v>1</v>
      </c>
      <c r="G871" s="176">
        <v>63012302</v>
      </c>
      <c r="H871" s="172">
        <f t="shared" si="88"/>
        <v>63012303</v>
      </c>
      <c r="I871" s="174">
        <v>1</v>
      </c>
      <c r="J871" s="16">
        <v>5</v>
      </c>
      <c r="K871" s="16">
        <v>2</v>
      </c>
      <c r="L871" s="172">
        <v>0</v>
      </c>
      <c r="M871" s="176">
        <v>0</v>
      </c>
      <c r="N871" s="176">
        <v>0</v>
      </c>
      <c r="O871" s="176">
        <v>1</v>
      </c>
      <c r="P871" s="176">
        <v>0</v>
      </c>
      <c r="Q871" s="176">
        <v>0</v>
      </c>
      <c r="R871" s="176">
        <v>0</v>
      </c>
      <c r="S871" s="175">
        <v>0</v>
      </c>
      <c r="T871" s="174">
        <v>0</v>
      </c>
      <c r="U871" s="172">
        <v>1</v>
      </c>
      <c r="V871" s="176">
        <v>2</v>
      </c>
      <c r="W871" s="176">
        <v>0</v>
      </c>
      <c r="X871" s="176">
        <v>2.5</v>
      </c>
      <c r="Y871" s="12">
        <v>0</v>
      </c>
      <c r="Z871" s="175">
        <v>900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3" t="s">
        <v>256</v>
      </c>
      <c r="AX871" s="172" t="s">
        <v>1416</v>
      </c>
      <c r="AY871" s="176">
        <v>10003002</v>
      </c>
      <c r="AZ871" s="176">
        <v>21200130</v>
      </c>
      <c r="BA871" s="203" t="s">
        <v>200</v>
      </c>
      <c r="BB871" s="203">
        <v>0</v>
      </c>
      <c r="BC871" s="175">
        <v>0</v>
      </c>
      <c r="BD871" s="175">
        <v>0</v>
      </c>
      <c r="BE871" s="208" t="str">
        <f t="shared" ref="BE871:BE875" si="89">"立即对当前前方区域的怪物造成"&amp;X871*100&amp;"%攻击伤害+"&amp;Z871&amp;"点固定伤害,且自身会向后方区域进行跳跃"</f>
        <v>立即对当前前方区域的怪物造成250%攻击伤害+900点固定伤害,且自身会向后方区域进行跳跃</v>
      </c>
      <c r="BF871" s="208" t="s">
        <v>1977</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63012303</v>
      </c>
      <c r="D872" s="203" t="s">
        <v>1975</v>
      </c>
      <c r="E872" s="203" t="s">
        <v>1976</v>
      </c>
      <c r="F872" s="176">
        <v>2</v>
      </c>
      <c r="G872" s="176">
        <v>63012302</v>
      </c>
      <c r="H872" s="172">
        <f t="shared" si="88"/>
        <v>63012304</v>
      </c>
      <c r="I872" s="174">
        <v>1</v>
      </c>
      <c r="J872" s="16">
        <v>5</v>
      </c>
      <c r="K872" s="16">
        <v>2</v>
      </c>
      <c r="L872" s="172">
        <v>0</v>
      </c>
      <c r="M872" s="176">
        <v>0</v>
      </c>
      <c r="N872" s="176">
        <v>0</v>
      </c>
      <c r="O872" s="176">
        <v>1</v>
      </c>
      <c r="P872" s="176">
        <v>0</v>
      </c>
      <c r="Q872" s="176">
        <v>0</v>
      </c>
      <c r="R872" s="176">
        <v>0</v>
      </c>
      <c r="S872" s="175">
        <v>0</v>
      </c>
      <c r="T872" s="174">
        <v>0</v>
      </c>
      <c r="U872" s="172">
        <v>1</v>
      </c>
      <c r="V872" s="176">
        <v>2</v>
      </c>
      <c r="W872" s="176">
        <v>0</v>
      </c>
      <c r="X872" s="176">
        <v>2.75</v>
      </c>
      <c r="Y872" s="12">
        <v>0</v>
      </c>
      <c r="Z872" s="175">
        <v>1800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3" t="s">
        <v>256</v>
      </c>
      <c r="AX872" s="172" t="s">
        <v>1416</v>
      </c>
      <c r="AY872" s="176">
        <v>10003002</v>
      </c>
      <c r="AZ872" s="176">
        <v>21200130</v>
      </c>
      <c r="BA872" s="203" t="s">
        <v>200</v>
      </c>
      <c r="BB872" s="203">
        <v>0</v>
      </c>
      <c r="BC872" s="175">
        <v>0</v>
      </c>
      <c r="BD872" s="175">
        <v>0</v>
      </c>
      <c r="BE872" s="208" t="str">
        <f t="shared" si="89"/>
        <v>立即对当前前方区域的怪物造成275%攻击伤害+1800点固定伤害,且自身会向后方区域进行跳跃</v>
      </c>
      <c r="BF872" s="208" t="s">
        <v>1978</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19.5" customHeight="1">
      <c r="C873" s="172">
        <v>63012304</v>
      </c>
      <c r="D873" s="203" t="s">
        <v>1975</v>
      </c>
      <c r="E873" s="203" t="s">
        <v>1976</v>
      </c>
      <c r="F873" s="176">
        <v>3</v>
      </c>
      <c r="G873" s="176">
        <v>63012302</v>
      </c>
      <c r="H873" s="172">
        <v>0</v>
      </c>
      <c r="I873" s="174">
        <v>1</v>
      </c>
      <c r="J873" s="16">
        <v>5</v>
      </c>
      <c r="K873" s="16">
        <v>0</v>
      </c>
      <c r="L873" s="172">
        <v>0</v>
      </c>
      <c r="M873" s="176">
        <v>0</v>
      </c>
      <c r="N873" s="176">
        <v>0</v>
      </c>
      <c r="O873" s="176">
        <v>1</v>
      </c>
      <c r="P873" s="176">
        <v>0</v>
      </c>
      <c r="Q873" s="176">
        <v>0</v>
      </c>
      <c r="R873" s="176">
        <v>0</v>
      </c>
      <c r="S873" s="175">
        <v>0</v>
      </c>
      <c r="T873" s="174">
        <v>0</v>
      </c>
      <c r="U873" s="172">
        <v>1</v>
      </c>
      <c r="V873" s="176">
        <v>2</v>
      </c>
      <c r="W873" s="176">
        <v>0</v>
      </c>
      <c r="X873" s="176">
        <v>3</v>
      </c>
      <c r="Y873" s="12">
        <v>0</v>
      </c>
      <c r="Z873" s="175">
        <v>2800</v>
      </c>
      <c r="AA873" s="176">
        <v>0</v>
      </c>
      <c r="AB873" s="176">
        <v>20</v>
      </c>
      <c r="AC873" s="176">
        <v>0</v>
      </c>
      <c r="AD873" s="176">
        <v>0</v>
      </c>
      <c r="AE873" s="176">
        <v>0</v>
      </c>
      <c r="AF873" s="176">
        <v>9</v>
      </c>
      <c r="AG873" s="176">
        <v>1</v>
      </c>
      <c r="AH873" s="176">
        <v>3</v>
      </c>
      <c r="AI873" s="175">
        <v>0</v>
      </c>
      <c r="AJ873" s="175">
        <v>2</v>
      </c>
      <c r="AK873" s="175">
        <v>0</v>
      </c>
      <c r="AL873" s="175">
        <v>2</v>
      </c>
      <c r="AM873" s="176">
        <v>0</v>
      </c>
      <c r="AN873" s="176">
        <v>0</v>
      </c>
      <c r="AO873" s="176">
        <v>0</v>
      </c>
      <c r="AP873" s="176">
        <v>0.1</v>
      </c>
      <c r="AQ873" s="172">
        <v>3000</v>
      </c>
      <c r="AR873" s="176">
        <v>0</v>
      </c>
      <c r="AS873" s="176">
        <v>0</v>
      </c>
      <c r="AT873" s="175">
        <v>92005002</v>
      </c>
      <c r="AU873" s="176" t="s">
        <v>198</v>
      </c>
      <c r="AV873" s="176"/>
      <c r="AW873" s="203" t="s">
        <v>256</v>
      </c>
      <c r="AX873" s="172" t="s">
        <v>1416</v>
      </c>
      <c r="AY873" s="176">
        <v>10003002</v>
      </c>
      <c r="AZ873" s="176">
        <v>21200130</v>
      </c>
      <c r="BA873" s="203" t="s">
        <v>200</v>
      </c>
      <c r="BB873" s="203">
        <v>0</v>
      </c>
      <c r="BC873" s="175">
        <v>0</v>
      </c>
      <c r="BD873" s="175">
        <v>0</v>
      </c>
      <c r="BE873" s="208" t="str">
        <f t="shared" si="89"/>
        <v>立即对当前前方区域的怪物造成300%攻击伤害+2800点固定伤害,且自身会向后方区域进行跳跃</v>
      </c>
      <c r="BF873" s="208" t="s">
        <v>1979</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19.5" customHeight="1">
      <c r="C874" s="172">
        <v>63012305</v>
      </c>
      <c r="D874" s="203" t="s">
        <v>1975</v>
      </c>
      <c r="E874" s="203" t="s">
        <v>1976</v>
      </c>
      <c r="F874" s="176">
        <v>4</v>
      </c>
      <c r="G874" s="176">
        <v>63012302</v>
      </c>
      <c r="H874" s="172">
        <v>0</v>
      </c>
      <c r="I874" s="174">
        <v>1</v>
      </c>
      <c r="J874" s="16">
        <v>5</v>
      </c>
      <c r="K874" s="16">
        <v>0</v>
      </c>
      <c r="L874" s="172">
        <v>0</v>
      </c>
      <c r="M874" s="176">
        <v>0</v>
      </c>
      <c r="N874" s="176">
        <v>0</v>
      </c>
      <c r="O874" s="176">
        <v>1</v>
      </c>
      <c r="P874" s="176">
        <v>0</v>
      </c>
      <c r="Q874" s="176">
        <v>0</v>
      </c>
      <c r="R874" s="176">
        <v>0</v>
      </c>
      <c r="S874" s="175">
        <v>0</v>
      </c>
      <c r="T874" s="174">
        <v>0</v>
      </c>
      <c r="U874" s="172">
        <v>1</v>
      </c>
      <c r="V874" s="176">
        <v>2</v>
      </c>
      <c r="W874" s="176">
        <v>0</v>
      </c>
      <c r="X874" s="176">
        <v>3.25</v>
      </c>
      <c r="Y874" s="12">
        <v>0</v>
      </c>
      <c r="Z874" s="175">
        <v>4000</v>
      </c>
      <c r="AA874" s="176">
        <v>0</v>
      </c>
      <c r="AB874" s="176">
        <v>20</v>
      </c>
      <c r="AC874" s="176">
        <v>0</v>
      </c>
      <c r="AD874" s="176">
        <v>0</v>
      </c>
      <c r="AE874" s="176">
        <v>0</v>
      </c>
      <c r="AF874" s="176">
        <v>9</v>
      </c>
      <c r="AG874" s="176">
        <v>1</v>
      </c>
      <c r="AH874" s="176">
        <v>3</v>
      </c>
      <c r="AI874" s="175">
        <v>0</v>
      </c>
      <c r="AJ874" s="175">
        <v>2</v>
      </c>
      <c r="AK874" s="175">
        <v>0</v>
      </c>
      <c r="AL874" s="175">
        <v>2</v>
      </c>
      <c r="AM874" s="176">
        <v>0</v>
      </c>
      <c r="AN874" s="176">
        <v>0</v>
      </c>
      <c r="AO874" s="176">
        <v>0</v>
      </c>
      <c r="AP874" s="176">
        <v>0.1</v>
      </c>
      <c r="AQ874" s="172">
        <v>3000</v>
      </c>
      <c r="AR874" s="176">
        <v>0</v>
      </c>
      <c r="AS874" s="176">
        <v>0</v>
      </c>
      <c r="AT874" s="175">
        <v>92005002</v>
      </c>
      <c r="AU874" s="176" t="s">
        <v>198</v>
      </c>
      <c r="AV874" s="176"/>
      <c r="AW874" s="203" t="s">
        <v>256</v>
      </c>
      <c r="AX874" s="172" t="s">
        <v>1416</v>
      </c>
      <c r="AY874" s="176">
        <v>10003002</v>
      </c>
      <c r="AZ874" s="176">
        <v>21200130</v>
      </c>
      <c r="BA874" s="203" t="s">
        <v>200</v>
      </c>
      <c r="BB874" s="203">
        <v>0</v>
      </c>
      <c r="BC874" s="175">
        <v>0</v>
      </c>
      <c r="BD874" s="175">
        <v>0</v>
      </c>
      <c r="BE874" s="208" t="str">
        <f t="shared" si="89"/>
        <v>立即对当前前方区域的怪物造成325%攻击伤害+4000点固定伤害,且自身会向后方区域进行跳跃</v>
      </c>
      <c r="BF874" s="208" t="s">
        <v>1980</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19.5" customHeight="1">
      <c r="C875" s="172">
        <v>63012306</v>
      </c>
      <c r="D875" s="203" t="s">
        <v>1975</v>
      </c>
      <c r="E875" s="203" t="s">
        <v>1976</v>
      </c>
      <c r="F875" s="176">
        <v>5</v>
      </c>
      <c r="G875" s="176">
        <v>63012302</v>
      </c>
      <c r="H875" s="176">
        <v>0</v>
      </c>
      <c r="I875" s="174">
        <v>1</v>
      </c>
      <c r="J875" s="16">
        <v>5</v>
      </c>
      <c r="K875" s="16">
        <v>0</v>
      </c>
      <c r="L875" s="172">
        <v>0</v>
      </c>
      <c r="M875" s="176">
        <v>0</v>
      </c>
      <c r="N875" s="176">
        <v>0</v>
      </c>
      <c r="O875" s="176">
        <v>1</v>
      </c>
      <c r="P875" s="176">
        <v>0</v>
      </c>
      <c r="Q875" s="176">
        <v>0</v>
      </c>
      <c r="R875" s="176">
        <v>0</v>
      </c>
      <c r="S875" s="175">
        <v>0</v>
      </c>
      <c r="T875" s="174">
        <v>0</v>
      </c>
      <c r="U875" s="172">
        <v>1</v>
      </c>
      <c r="V875" s="176">
        <v>2</v>
      </c>
      <c r="W875" s="176">
        <v>0</v>
      </c>
      <c r="X875" s="176">
        <v>3.5</v>
      </c>
      <c r="Y875" s="12">
        <v>0</v>
      </c>
      <c r="Z875" s="175">
        <v>5200</v>
      </c>
      <c r="AA875" s="176">
        <v>0</v>
      </c>
      <c r="AB875" s="176">
        <v>20</v>
      </c>
      <c r="AC875" s="176">
        <v>0</v>
      </c>
      <c r="AD875" s="176">
        <v>0</v>
      </c>
      <c r="AE875" s="176">
        <v>0</v>
      </c>
      <c r="AF875" s="176">
        <v>9</v>
      </c>
      <c r="AG875" s="176">
        <v>1</v>
      </c>
      <c r="AH875" s="176">
        <v>3</v>
      </c>
      <c r="AI875" s="175">
        <v>0</v>
      </c>
      <c r="AJ875" s="175">
        <v>2</v>
      </c>
      <c r="AK875" s="175">
        <v>0</v>
      </c>
      <c r="AL875" s="175">
        <v>2</v>
      </c>
      <c r="AM875" s="176">
        <v>0</v>
      </c>
      <c r="AN875" s="176">
        <v>0</v>
      </c>
      <c r="AO875" s="176">
        <v>0</v>
      </c>
      <c r="AP875" s="176">
        <v>0.1</v>
      </c>
      <c r="AQ875" s="172">
        <v>3000</v>
      </c>
      <c r="AR875" s="176">
        <v>0</v>
      </c>
      <c r="AS875" s="176">
        <v>0</v>
      </c>
      <c r="AT875" s="175">
        <v>92005002</v>
      </c>
      <c r="AU875" s="176" t="s">
        <v>198</v>
      </c>
      <c r="AV875" s="176"/>
      <c r="AW875" s="203" t="s">
        <v>256</v>
      </c>
      <c r="AX875" s="172" t="s">
        <v>1416</v>
      </c>
      <c r="AY875" s="176">
        <v>10003002</v>
      </c>
      <c r="AZ875" s="176">
        <v>21200130</v>
      </c>
      <c r="BA875" s="203" t="s">
        <v>200</v>
      </c>
      <c r="BB875" s="203">
        <v>0</v>
      </c>
      <c r="BC875" s="175">
        <v>0</v>
      </c>
      <c r="BD875" s="175">
        <v>0</v>
      </c>
      <c r="BE875" s="208" t="str">
        <f t="shared" si="89"/>
        <v>立即对当前前方区域的怪物造成350%攻击伤害+5200点固定伤害,且自身会向后方区域进行跳跃</v>
      </c>
      <c r="BF875" s="208" t="s">
        <v>1981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63021101</v>
      </c>
      <c r="D876" s="203" t="s">
        <v>1982</v>
      </c>
      <c r="E876" s="203" t="s">
        <v>1983</v>
      </c>
      <c r="F876" s="176">
        <v>0</v>
      </c>
      <c r="G876" s="176">
        <v>63021101</v>
      </c>
      <c r="H876" s="172">
        <f t="shared" ref="H876:H878" si="90">C877</f>
        <v>63021102</v>
      </c>
      <c r="I876" s="174">
        <v>0</v>
      </c>
      <c r="J876" s="16">
        <v>18</v>
      </c>
      <c r="K876" s="16">
        <v>5</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v>90106001</v>
      </c>
      <c r="AV876" s="176"/>
      <c r="AW876" s="203" t="s">
        <v>1547</v>
      </c>
      <c r="AX876" s="176" t="s">
        <v>1869</v>
      </c>
      <c r="AY876" s="176">
        <v>10002001</v>
      </c>
      <c r="AZ876" s="176">
        <v>21201010</v>
      </c>
      <c r="BA876" s="203" t="s">
        <v>1174</v>
      </c>
      <c r="BB876" s="203" t="s">
        <v>1984</v>
      </c>
      <c r="BC876" s="174">
        <v>0</v>
      </c>
      <c r="BD876" s="174">
        <v>0</v>
      </c>
      <c r="BE876" s="209" t="s">
        <v>1985</v>
      </c>
      <c r="BF876" s="209" t="s">
        <v>1986</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63021102</v>
      </c>
      <c r="D877" s="203" t="s">
        <v>1982</v>
      </c>
      <c r="E877" s="203" t="s">
        <v>1983</v>
      </c>
      <c r="F877" s="176">
        <v>1</v>
      </c>
      <c r="G877" s="176">
        <v>63021101</v>
      </c>
      <c r="H877" s="172">
        <f t="shared" si="90"/>
        <v>63021103</v>
      </c>
      <c r="I877" s="174">
        <v>0</v>
      </c>
      <c r="J877" s="16">
        <v>27</v>
      </c>
      <c r="K877" s="16">
        <v>2</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3" t="s">
        <v>1547</v>
      </c>
      <c r="AX877" s="176" t="s">
        <v>1869</v>
      </c>
      <c r="AY877" s="176">
        <v>10002001</v>
      </c>
      <c r="AZ877" s="176">
        <v>21201010</v>
      </c>
      <c r="BA877" s="203" t="s">
        <v>1174</v>
      </c>
      <c r="BB877" s="203" t="s">
        <v>1984</v>
      </c>
      <c r="BC877" s="174">
        <v>0</v>
      </c>
      <c r="BD877" s="174">
        <v>0</v>
      </c>
      <c r="BE877" s="209" t="s">
        <v>1985</v>
      </c>
      <c r="BF877" s="209" t="s">
        <v>1986</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63021103</v>
      </c>
      <c r="D878" s="203" t="s">
        <v>1982</v>
      </c>
      <c r="E878" s="203" t="s">
        <v>1983</v>
      </c>
      <c r="F878" s="176">
        <v>2</v>
      </c>
      <c r="G878" s="176">
        <v>63021101</v>
      </c>
      <c r="H878" s="172">
        <f t="shared" si="90"/>
        <v>63021104</v>
      </c>
      <c r="I878" s="174">
        <v>0</v>
      </c>
      <c r="J878" s="16">
        <v>32</v>
      </c>
      <c r="K878" s="16">
        <v>2</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v>90106001</v>
      </c>
      <c r="AV878" s="176"/>
      <c r="AW878" s="203" t="s">
        <v>1547</v>
      </c>
      <c r="AX878" s="176" t="s">
        <v>1869</v>
      </c>
      <c r="AY878" s="176">
        <v>10002001</v>
      </c>
      <c r="AZ878" s="176">
        <v>21201010</v>
      </c>
      <c r="BA878" s="203" t="s">
        <v>1174</v>
      </c>
      <c r="BB878" s="203" t="s">
        <v>1987</v>
      </c>
      <c r="BC878" s="174">
        <v>0</v>
      </c>
      <c r="BD878" s="174">
        <v>0</v>
      </c>
      <c r="BE878" s="209" t="s">
        <v>1988</v>
      </c>
      <c r="BF878" s="209" t="s">
        <v>1989</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20.100000000000001" customHeight="1">
      <c r="C879" s="172">
        <v>63021104</v>
      </c>
      <c r="D879" s="203" t="s">
        <v>1982</v>
      </c>
      <c r="E879" s="203" t="s">
        <v>1983</v>
      </c>
      <c r="F879" s="176">
        <v>3</v>
      </c>
      <c r="G879" s="176">
        <v>63021101</v>
      </c>
      <c r="H879" s="172">
        <v>0</v>
      </c>
      <c r="I879" s="174">
        <v>0</v>
      </c>
      <c r="J879" s="16">
        <v>0</v>
      </c>
      <c r="K879" s="179">
        <v>0</v>
      </c>
      <c r="L879" s="176">
        <v>0</v>
      </c>
      <c r="M879" s="176">
        <v>0</v>
      </c>
      <c r="N879" s="176">
        <v>0</v>
      </c>
      <c r="O879" s="176">
        <v>1</v>
      </c>
      <c r="P879" s="176">
        <v>0</v>
      </c>
      <c r="Q879" s="176">
        <v>0</v>
      </c>
      <c r="R879" s="176">
        <v>0</v>
      </c>
      <c r="S879" s="175">
        <v>0</v>
      </c>
      <c r="T879" s="174">
        <v>0</v>
      </c>
      <c r="U879" s="172">
        <v>1</v>
      </c>
      <c r="V879" s="176">
        <v>2</v>
      </c>
      <c r="W879" s="176">
        <v>0</v>
      </c>
      <c r="X879" s="176">
        <v>0</v>
      </c>
      <c r="Y879" s="12">
        <v>0</v>
      </c>
      <c r="Z879" s="176">
        <v>0</v>
      </c>
      <c r="AA879" s="176">
        <v>0</v>
      </c>
      <c r="AB879" s="176">
        <v>20</v>
      </c>
      <c r="AC879" s="176">
        <v>0</v>
      </c>
      <c r="AD879" s="176">
        <v>0</v>
      </c>
      <c r="AE879" s="176">
        <v>0</v>
      </c>
      <c r="AF879" s="176">
        <v>7</v>
      </c>
      <c r="AG879" s="176">
        <v>1</v>
      </c>
      <c r="AH879" s="176">
        <v>4</v>
      </c>
      <c r="AI879" s="175">
        <v>2</v>
      </c>
      <c r="AJ879" s="175">
        <v>1</v>
      </c>
      <c r="AK879" s="175">
        <v>0</v>
      </c>
      <c r="AL879" s="175">
        <v>8</v>
      </c>
      <c r="AM879" s="176">
        <v>0</v>
      </c>
      <c r="AN879" s="176">
        <v>0</v>
      </c>
      <c r="AO879" s="176">
        <v>0</v>
      </c>
      <c r="AP879" s="176">
        <v>0</v>
      </c>
      <c r="AQ879" s="176">
        <v>360000</v>
      </c>
      <c r="AR879" s="176">
        <v>0.5</v>
      </c>
      <c r="AS879" s="176">
        <v>0</v>
      </c>
      <c r="AT879" s="175">
        <v>0</v>
      </c>
      <c r="AU879" s="176" t="s">
        <v>575</v>
      </c>
      <c r="AV879" s="176"/>
      <c r="AW879" s="203" t="s">
        <v>1547</v>
      </c>
      <c r="AX879" s="176" t="s">
        <v>1869</v>
      </c>
      <c r="AY879" s="176">
        <v>10002001</v>
      </c>
      <c r="AZ879" s="176">
        <v>21201010</v>
      </c>
      <c r="BA879" s="203" t="s">
        <v>1174</v>
      </c>
      <c r="BB879" s="203" t="s">
        <v>1990</v>
      </c>
      <c r="BC879" s="174">
        <v>0</v>
      </c>
      <c r="BD879" s="174">
        <v>0</v>
      </c>
      <c r="BE879" s="209" t="s">
        <v>1991</v>
      </c>
      <c r="BF879" s="209" t="s">
        <v>1992</v>
      </c>
      <c r="BG879" s="176">
        <v>0</v>
      </c>
      <c r="BH879" s="172">
        <v>0</v>
      </c>
      <c r="BI879" s="176">
        <v>0</v>
      </c>
      <c r="BJ879" s="176">
        <v>0</v>
      </c>
      <c r="BK879" s="176">
        <v>0</v>
      </c>
      <c r="BL879" s="176">
        <v>0</v>
      </c>
      <c r="BM879" s="178">
        <v>0</v>
      </c>
      <c r="BN879" s="175">
        <v>0</v>
      </c>
      <c r="BO879" s="175">
        <v>0</v>
      </c>
      <c r="BP879" s="175">
        <v>0</v>
      </c>
      <c r="BQ879" s="175">
        <v>0</v>
      </c>
      <c r="BR879" s="175">
        <v>0</v>
      </c>
      <c r="BS879" s="175">
        <v>0</v>
      </c>
      <c r="BT879" s="12">
        <v>0</v>
      </c>
      <c r="BU879" s="47">
        <v>0</v>
      </c>
      <c r="BV879" s="47"/>
      <c r="BW879" s="47"/>
    </row>
    <row r="880" spans="3:75" ht="20.100000000000001" customHeight="1">
      <c r="C880" s="172">
        <v>63021105</v>
      </c>
      <c r="D880" s="203" t="s">
        <v>1982</v>
      </c>
      <c r="E880" s="203" t="s">
        <v>1983</v>
      </c>
      <c r="F880" s="176">
        <v>4</v>
      </c>
      <c r="G880" s="176">
        <v>63021101</v>
      </c>
      <c r="H880" s="172">
        <v>0</v>
      </c>
      <c r="I880" s="174">
        <v>0</v>
      </c>
      <c r="J880" s="16">
        <v>0</v>
      </c>
      <c r="K880" s="16">
        <v>0</v>
      </c>
      <c r="L880" s="176">
        <v>0</v>
      </c>
      <c r="M880" s="176">
        <v>0</v>
      </c>
      <c r="N880" s="176">
        <v>0</v>
      </c>
      <c r="O880" s="176">
        <v>1</v>
      </c>
      <c r="P880" s="176">
        <v>0</v>
      </c>
      <c r="Q880" s="176">
        <v>0</v>
      </c>
      <c r="R880" s="176">
        <v>0</v>
      </c>
      <c r="S880" s="175">
        <v>0</v>
      </c>
      <c r="T880" s="174">
        <v>0</v>
      </c>
      <c r="U880" s="172">
        <v>1</v>
      </c>
      <c r="V880" s="176">
        <v>2</v>
      </c>
      <c r="W880" s="176">
        <v>0</v>
      </c>
      <c r="X880" s="176">
        <v>0</v>
      </c>
      <c r="Y880" s="12">
        <v>0</v>
      </c>
      <c r="Z880" s="176">
        <v>0</v>
      </c>
      <c r="AA880" s="176">
        <v>0</v>
      </c>
      <c r="AB880" s="176">
        <v>20</v>
      </c>
      <c r="AC880" s="176">
        <v>0</v>
      </c>
      <c r="AD880" s="176">
        <v>0</v>
      </c>
      <c r="AE880" s="176">
        <v>0</v>
      </c>
      <c r="AF880" s="176">
        <v>7</v>
      </c>
      <c r="AG880" s="176">
        <v>1</v>
      </c>
      <c r="AH880" s="176">
        <v>4</v>
      </c>
      <c r="AI880" s="175">
        <v>2</v>
      </c>
      <c r="AJ880" s="175">
        <v>1</v>
      </c>
      <c r="AK880" s="175">
        <v>0</v>
      </c>
      <c r="AL880" s="175">
        <v>8</v>
      </c>
      <c r="AM880" s="176">
        <v>0</v>
      </c>
      <c r="AN880" s="176">
        <v>0</v>
      </c>
      <c r="AO880" s="176">
        <v>0</v>
      </c>
      <c r="AP880" s="176">
        <v>0</v>
      </c>
      <c r="AQ880" s="176">
        <v>360000</v>
      </c>
      <c r="AR880" s="176">
        <v>0.5</v>
      </c>
      <c r="AS880" s="176">
        <v>0</v>
      </c>
      <c r="AT880" s="175">
        <v>0</v>
      </c>
      <c r="AU880" s="176" t="s">
        <v>575</v>
      </c>
      <c r="AV880" s="176"/>
      <c r="AW880" s="203" t="s">
        <v>1547</v>
      </c>
      <c r="AX880" s="176" t="s">
        <v>1869</v>
      </c>
      <c r="AY880" s="176">
        <v>10002001</v>
      </c>
      <c r="AZ880" s="176">
        <v>21201010</v>
      </c>
      <c r="BA880" s="203" t="s">
        <v>1174</v>
      </c>
      <c r="BB880" s="203" t="s">
        <v>1993</v>
      </c>
      <c r="BC880" s="174">
        <v>0</v>
      </c>
      <c r="BD880" s="174">
        <v>0</v>
      </c>
      <c r="BE880" s="209" t="s">
        <v>1994</v>
      </c>
      <c r="BF880" s="209" t="s">
        <v>1995</v>
      </c>
      <c r="BG880" s="176">
        <v>0</v>
      </c>
      <c r="BH880" s="172">
        <v>0</v>
      </c>
      <c r="BI880" s="176">
        <v>0</v>
      </c>
      <c r="BJ880" s="176">
        <v>0</v>
      </c>
      <c r="BK880" s="176">
        <v>0</v>
      </c>
      <c r="BL880" s="176">
        <v>0</v>
      </c>
      <c r="BM880" s="178">
        <v>0</v>
      </c>
      <c r="BN880" s="175">
        <v>0</v>
      </c>
      <c r="BO880" s="175">
        <v>0</v>
      </c>
      <c r="BP880" s="175">
        <v>0</v>
      </c>
      <c r="BQ880" s="175">
        <v>0</v>
      </c>
      <c r="BR880" s="175">
        <v>0</v>
      </c>
      <c r="BS880" s="175">
        <v>0</v>
      </c>
      <c r="BT880" s="12">
        <v>0</v>
      </c>
      <c r="BU880" s="47">
        <v>0</v>
      </c>
      <c r="BV880" s="47"/>
      <c r="BW880" s="47"/>
    </row>
    <row r="881" spans="3:75" ht="20.100000000000001" customHeight="1">
      <c r="C881" s="172">
        <v>63021106</v>
      </c>
      <c r="D881" s="203" t="s">
        <v>1982</v>
      </c>
      <c r="E881" s="203" t="s">
        <v>1983</v>
      </c>
      <c r="F881" s="176">
        <v>5</v>
      </c>
      <c r="G881" s="176">
        <v>63021101</v>
      </c>
      <c r="H881" s="176">
        <v>0</v>
      </c>
      <c r="I881" s="174">
        <v>0</v>
      </c>
      <c r="J881" s="16">
        <v>0</v>
      </c>
      <c r="K881" s="16">
        <v>0</v>
      </c>
      <c r="L881" s="176">
        <v>0</v>
      </c>
      <c r="M881" s="176">
        <v>0</v>
      </c>
      <c r="N881" s="176">
        <v>0</v>
      </c>
      <c r="O881" s="176">
        <v>1</v>
      </c>
      <c r="P881" s="176">
        <v>0</v>
      </c>
      <c r="Q881" s="176">
        <v>0</v>
      </c>
      <c r="R881" s="176">
        <v>0</v>
      </c>
      <c r="S881" s="175">
        <v>0</v>
      </c>
      <c r="T881" s="174">
        <v>0</v>
      </c>
      <c r="U881" s="172">
        <v>1</v>
      </c>
      <c r="V881" s="176">
        <v>2</v>
      </c>
      <c r="W881" s="176">
        <v>0</v>
      </c>
      <c r="X881" s="176">
        <v>0</v>
      </c>
      <c r="Y881" s="12">
        <v>0</v>
      </c>
      <c r="Z881" s="176">
        <v>0</v>
      </c>
      <c r="AA881" s="176">
        <v>0</v>
      </c>
      <c r="AB881" s="176">
        <v>20</v>
      </c>
      <c r="AC881" s="176">
        <v>0</v>
      </c>
      <c r="AD881" s="176">
        <v>0</v>
      </c>
      <c r="AE881" s="176">
        <v>0</v>
      </c>
      <c r="AF881" s="176">
        <v>7</v>
      </c>
      <c r="AG881" s="176">
        <v>1</v>
      </c>
      <c r="AH881" s="176">
        <v>4</v>
      </c>
      <c r="AI881" s="175">
        <v>2</v>
      </c>
      <c r="AJ881" s="175">
        <v>1</v>
      </c>
      <c r="AK881" s="175">
        <v>0</v>
      </c>
      <c r="AL881" s="175">
        <v>8</v>
      </c>
      <c r="AM881" s="176">
        <v>0</v>
      </c>
      <c r="AN881" s="176">
        <v>0</v>
      </c>
      <c r="AO881" s="176">
        <v>0</v>
      </c>
      <c r="AP881" s="176">
        <v>0</v>
      </c>
      <c r="AQ881" s="176">
        <v>360000</v>
      </c>
      <c r="AR881" s="176">
        <v>0.5</v>
      </c>
      <c r="AS881" s="176">
        <v>0</v>
      </c>
      <c r="AT881" s="175">
        <v>0</v>
      </c>
      <c r="AU881" s="176" t="s">
        <v>575</v>
      </c>
      <c r="AV881" s="176"/>
      <c r="AW881" s="203" t="s">
        <v>1547</v>
      </c>
      <c r="AX881" s="176" t="s">
        <v>1869</v>
      </c>
      <c r="AY881" s="176">
        <v>10002001</v>
      </c>
      <c r="AZ881" s="176">
        <v>21201010</v>
      </c>
      <c r="BA881" s="203" t="s">
        <v>1174</v>
      </c>
      <c r="BB881" s="203" t="s">
        <v>1996</v>
      </c>
      <c r="BC881" s="174">
        <v>0</v>
      </c>
      <c r="BD881" s="174">
        <v>0</v>
      </c>
      <c r="BE881" s="209" t="s">
        <v>1997</v>
      </c>
      <c r="BF881" s="209" t="s">
        <v>1998</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row>
    <row r="882" spans="3:75" ht="19.5" customHeight="1">
      <c r="C882" s="16">
        <v>63021111</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2.6</v>
      </c>
      <c r="Y882" s="12">
        <v>0</v>
      </c>
      <c r="Z882" s="18">
        <v>750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"在指定区域释放一个冰封陷阱,2秒后陷阱开启触发机制,对触碰的敌人造成"&amp;X882*100&amp;"%攻击伤害+"&amp;Z882&amp;"点固定伤害,并使其减速50%,持续5秒"</f>
        <v>在指定区域释放一个冰封陷阱,2秒后陷阱开启触发机制,对触碰的敌人造成260%攻击伤害+750点固定伤害,并使其减速50%,持续5秒</v>
      </c>
      <c r="BF882" s="183" t="s">
        <v>2001</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63021112</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2.9</v>
      </c>
      <c r="Y883" s="12">
        <v>0</v>
      </c>
      <c r="Z883" s="18">
        <v>1500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ref="BE883:BE886" si="91">"在指定区域释放一个冰封陷阱,2秒后陷阱开启触发机制,对触碰的敌人造成"&amp;X883*100&amp;"%攻击伤害+"&amp;Z883&amp;"点固定伤害,并使其减速50%,持续5秒"</f>
        <v>在指定区域释放一个冰封陷阱,2秒后陷阱开启触发机制,对触碰的敌人造成290%攻击伤害+1500点固定伤害,并使其减速50%,持续5秒</v>
      </c>
      <c r="BF883" s="183" t="s">
        <v>2002</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19.5" customHeight="1">
      <c r="C884" s="16">
        <v>63021113</v>
      </c>
      <c r="D884" s="19" t="s">
        <v>1999</v>
      </c>
      <c r="E884" s="19" t="s">
        <v>2000</v>
      </c>
      <c r="F884" s="16">
        <v>1</v>
      </c>
      <c r="G884" s="18">
        <v>62011101</v>
      </c>
      <c r="H884" s="16">
        <v>0</v>
      </c>
      <c r="I884" s="27">
        <v>0</v>
      </c>
      <c r="J884" s="16">
        <v>1</v>
      </c>
      <c r="K884" s="16">
        <v>0</v>
      </c>
      <c r="L884" s="16">
        <v>0</v>
      </c>
      <c r="M884" s="18">
        <v>0</v>
      </c>
      <c r="N884" s="18">
        <v>0</v>
      </c>
      <c r="O884" s="18">
        <v>2</v>
      </c>
      <c r="P884" s="18">
        <v>10</v>
      </c>
      <c r="Q884" s="18">
        <v>0.8</v>
      </c>
      <c r="R884" s="18">
        <v>0</v>
      </c>
      <c r="S884" s="12">
        <v>0</v>
      </c>
      <c r="T884" s="27">
        <v>0</v>
      </c>
      <c r="U884" s="16">
        <v>1</v>
      </c>
      <c r="V884" s="18">
        <v>2</v>
      </c>
      <c r="W884" s="18">
        <v>0</v>
      </c>
      <c r="X884" s="12">
        <v>3.2</v>
      </c>
      <c r="Y884" s="12">
        <v>0</v>
      </c>
      <c r="Z884" s="18">
        <v>2250</v>
      </c>
      <c r="AA884" s="18">
        <v>0</v>
      </c>
      <c r="AB884" s="18">
        <v>0</v>
      </c>
      <c r="AC884" s="18">
        <v>0</v>
      </c>
      <c r="AD884" s="18">
        <v>0</v>
      </c>
      <c r="AE884" s="18">
        <v>0</v>
      </c>
      <c r="AF884" s="176">
        <v>6</v>
      </c>
      <c r="AG884" s="18">
        <v>1</v>
      </c>
      <c r="AH884" s="18">
        <v>4</v>
      </c>
      <c r="AI884" s="12">
        <v>2</v>
      </c>
      <c r="AJ884" s="12">
        <v>1</v>
      </c>
      <c r="AK884" s="12">
        <v>1</v>
      </c>
      <c r="AL884" s="175">
        <v>2</v>
      </c>
      <c r="AM884" s="18">
        <v>0</v>
      </c>
      <c r="AN884" s="18">
        <v>0</v>
      </c>
      <c r="AO884" s="18">
        <v>0</v>
      </c>
      <c r="AP884" s="18">
        <v>0</v>
      </c>
      <c r="AQ884" s="18">
        <v>3000</v>
      </c>
      <c r="AR884" s="18">
        <v>0.5</v>
      </c>
      <c r="AS884" s="18">
        <v>0</v>
      </c>
      <c r="AT884" s="12">
        <v>0</v>
      </c>
      <c r="AU884" s="12">
        <v>90000011</v>
      </c>
      <c r="AV884" s="12"/>
      <c r="AW884" s="19" t="s">
        <v>199</v>
      </c>
      <c r="AX884" s="18" t="s">
        <v>1695</v>
      </c>
      <c r="AY884" s="176">
        <v>10002001</v>
      </c>
      <c r="AZ884" s="176">
        <v>21201010</v>
      </c>
      <c r="BA884" s="19" t="s">
        <v>200</v>
      </c>
      <c r="BB884" s="19">
        <v>0</v>
      </c>
      <c r="BC884" s="27">
        <v>0</v>
      </c>
      <c r="BD884" s="27">
        <v>0</v>
      </c>
      <c r="BE884" s="183" t="str">
        <f t="shared" si="91"/>
        <v>在指定区域释放一个冰封陷阱,2秒后陷阱开启触发机制,对触碰的敌人造成320%攻击伤害+2250点固定伤害,并使其减速50%,持续5秒</v>
      </c>
      <c r="BF884" s="183" t="s">
        <v>2003</v>
      </c>
      <c r="BG884" s="18">
        <v>0</v>
      </c>
      <c r="BH884" s="16">
        <v>0</v>
      </c>
      <c r="BI884" s="18">
        <v>0</v>
      </c>
      <c r="BJ884" s="18">
        <v>0</v>
      </c>
      <c r="BK884" s="18">
        <v>0</v>
      </c>
      <c r="BL884" s="18">
        <v>0</v>
      </c>
      <c r="BM884" s="15">
        <v>0</v>
      </c>
      <c r="BN884" s="12">
        <v>0</v>
      </c>
      <c r="BO884" s="12">
        <v>0</v>
      </c>
      <c r="BP884" s="12">
        <v>0</v>
      </c>
      <c r="BQ884" s="12">
        <v>0</v>
      </c>
      <c r="BR884" s="12">
        <v>0</v>
      </c>
      <c r="BS884" s="12">
        <v>0</v>
      </c>
      <c r="BT884" s="12">
        <v>0</v>
      </c>
      <c r="BU884" s="47">
        <v>0</v>
      </c>
      <c r="BV884" s="47"/>
      <c r="BW884" s="47"/>
    </row>
    <row r="885" spans="3:75" ht="19.5" customHeight="1">
      <c r="C885" s="16">
        <v>63021114</v>
      </c>
      <c r="D885" s="19" t="s">
        <v>1999</v>
      </c>
      <c r="E885" s="19" t="s">
        <v>2000</v>
      </c>
      <c r="F885" s="16">
        <v>1</v>
      </c>
      <c r="G885" s="18">
        <v>62011101</v>
      </c>
      <c r="H885" s="16">
        <v>0</v>
      </c>
      <c r="I885" s="27">
        <v>0</v>
      </c>
      <c r="J885" s="16">
        <v>1</v>
      </c>
      <c r="K885" s="16">
        <v>0</v>
      </c>
      <c r="L885" s="16">
        <v>0</v>
      </c>
      <c r="M885" s="18">
        <v>0</v>
      </c>
      <c r="N885" s="18">
        <v>0</v>
      </c>
      <c r="O885" s="18">
        <v>2</v>
      </c>
      <c r="P885" s="18">
        <v>10</v>
      </c>
      <c r="Q885" s="18">
        <v>0.8</v>
      </c>
      <c r="R885" s="18">
        <v>0</v>
      </c>
      <c r="S885" s="12">
        <v>0</v>
      </c>
      <c r="T885" s="27">
        <v>0</v>
      </c>
      <c r="U885" s="16">
        <v>1</v>
      </c>
      <c r="V885" s="18">
        <v>2</v>
      </c>
      <c r="W885" s="18">
        <v>0</v>
      </c>
      <c r="X885" s="12">
        <v>3.5</v>
      </c>
      <c r="Y885" s="12">
        <v>0</v>
      </c>
      <c r="Z885" s="18">
        <v>3250</v>
      </c>
      <c r="AA885" s="18">
        <v>0</v>
      </c>
      <c r="AB885" s="18">
        <v>0</v>
      </c>
      <c r="AC885" s="18">
        <v>0</v>
      </c>
      <c r="AD885" s="18">
        <v>0</v>
      </c>
      <c r="AE885" s="18">
        <v>0</v>
      </c>
      <c r="AF885" s="176">
        <v>6</v>
      </c>
      <c r="AG885" s="18">
        <v>1</v>
      </c>
      <c r="AH885" s="18">
        <v>4</v>
      </c>
      <c r="AI885" s="12">
        <v>2</v>
      </c>
      <c r="AJ885" s="12">
        <v>1</v>
      </c>
      <c r="AK885" s="12">
        <v>1</v>
      </c>
      <c r="AL885" s="175">
        <v>2</v>
      </c>
      <c r="AM885" s="18">
        <v>0</v>
      </c>
      <c r="AN885" s="18">
        <v>0</v>
      </c>
      <c r="AO885" s="18">
        <v>0</v>
      </c>
      <c r="AP885" s="18">
        <v>0</v>
      </c>
      <c r="AQ885" s="18">
        <v>3000</v>
      </c>
      <c r="AR885" s="18">
        <v>0.5</v>
      </c>
      <c r="AS885" s="18">
        <v>0</v>
      </c>
      <c r="AT885" s="12">
        <v>0</v>
      </c>
      <c r="AU885" s="12">
        <v>90000011</v>
      </c>
      <c r="AV885" s="12"/>
      <c r="AW885" s="19" t="s">
        <v>199</v>
      </c>
      <c r="AX885" s="18" t="s">
        <v>1695</v>
      </c>
      <c r="AY885" s="176">
        <v>10002001</v>
      </c>
      <c r="AZ885" s="176">
        <v>21201010</v>
      </c>
      <c r="BA885" s="19" t="s">
        <v>200</v>
      </c>
      <c r="BB885" s="19">
        <v>0</v>
      </c>
      <c r="BC885" s="27">
        <v>0</v>
      </c>
      <c r="BD885" s="27">
        <v>0</v>
      </c>
      <c r="BE885" s="183" t="str">
        <f t="shared" si="91"/>
        <v>在指定区域释放一个冰封陷阱,2秒后陷阱开启触发机制,对触碰的敌人造成350%攻击伤害+3250点固定伤害,并使其减速50%,持续5秒</v>
      </c>
      <c r="BF885" s="183" t="s">
        <v>2004</v>
      </c>
      <c r="BG885" s="18">
        <v>0</v>
      </c>
      <c r="BH885" s="16">
        <v>0</v>
      </c>
      <c r="BI885" s="18">
        <v>0</v>
      </c>
      <c r="BJ885" s="18">
        <v>0</v>
      </c>
      <c r="BK885" s="18">
        <v>0</v>
      </c>
      <c r="BL885" s="18">
        <v>0</v>
      </c>
      <c r="BM885" s="15">
        <v>0</v>
      </c>
      <c r="BN885" s="12">
        <v>0</v>
      </c>
      <c r="BO885" s="12">
        <v>0</v>
      </c>
      <c r="BP885" s="12">
        <v>0</v>
      </c>
      <c r="BQ885" s="12">
        <v>0</v>
      </c>
      <c r="BR885" s="12">
        <v>0</v>
      </c>
      <c r="BS885" s="12">
        <v>0</v>
      </c>
      <c r="BT885" s="12">
        <v>0</v>
      </c>
      <c r="BU885" s="47">
        <v>0</v>
      </c>
      <c r="BV885" s="47"/>
      <c r="BW885" s="47"/>
    </row>
    <row r="886" spans="3:75" ht="19.5" customHeight="1">
      <c r="C886" s="16">
        <v>63021115</v>
      </c>
      <c r="D886" s="19" t="s">
        <v>1999</v>
      </c>
      <c r="E886" s="19" t="s">
        <v>2000</v>
      </c>
      <c r="F886" s="16">
        <v>1</v>
      </c>
      <c r="G886" s="18">
        <v>62011101</v>
      </c>
      <c r="H886" s="16">
        <v>0</v>
      </c>
      <c r="I886" s="27">
        <v>0</v>
      </c>
      <c r="J886" s="16">
        <v>1</v>
      </c>
      <c r="K886" s="16">
        <v>0</v>
      </c>
      <c r="L886" s="16">
        <v>0</v>
      </c>
      <c r="M886" s="18">
        <v>0</v>
      </c>
      <c r="N886" s="18">
        <v>0</v>
      </c>
      <c r="O886" s="18">
        <v>2</v>
      </c>
      <c r="P886" s="18">
        <v>10</v>
      </c>
      <c r="Q886" s="18">
        <v>0.8</v>
      </c>
      <c r="R886" s="18">
        <v>0</v>
      </c>
      <c r="S886" s="12">
        <v>0</v>
      </c>
      <c r="T886" s="27">
        <v>0</v>
      </c>
      <c r="U886" s="16">
        <v>1</v>
      </c>
      <c r="V886" s="18">
        <v>2</v>
      </c>
      <c r="W886" s="18">
        <v>0</v>
      </c>
      <c r="X886" s="12">
        <v>3.8</v>
      </c>
      <c r="Y886" s="12">
        <v>0</v>
      </c>
      <c r="Z886" s="18">
        <v>4250</v>
      </c>
      <c r="AA886" s="18">
        <v>0</v>
      </c>
      <c r="AB886" s="18">
        <v>0</v>
      </c>
      <c r="AC886" s="18">
        <v>0</v>
      </c>
      <c r="AD886" s="18">
        <v>0</v>
      </c>
      <c r="AE886" s="18">
        <v>0</v>
      </c>
      <c r="AF886" s="176">
        <v>6</v>
      </c>
      <c r="AG886" s="18">
        <v>1</v>
      </c>
      <c r="AH886" s="18">
        <v>4</v>
      </c>
      <c r="AI886" s="12">
        <v>2</v>
      </c>
      <c r="AJ886" s="12">
        <v>1</v>
      </c>
      <c r="AK886" s="12">
        <v>1</v>
      </c>
      <c r="AL886" s="175">
        <v>2</v>
      </c>
      <c r="AM886" s="18">
        <v>0</v>
      </c>
      <c r="AN886" s="18">
        <v>0</v>
      </c>
      <c r="AO886" s="18">
        <v>0</v>
      </c>
      <c r="AP886" s="18">
        <v>0</v>
      </c>
      <c r="AQ886" s="18">
        <v>3000</v>
      </c>
      <c r="AR886" s="18">
        <v>0.5</v>
      </c>
      <c r="AS886" s="18">
        <v>0</v>
      </c>
      <c r="AT886" s="12">
        <v>0</v>
      </c>
      <c r="AU886" s="12">
        <v>90000011</v>
      </c>
      <c r="AV886" s="12"/>
      <c r="AW886" s="19" t="s">
        <v>199</v>
      </c>
      <c r="AX886" s="18" t="s">
        <v>1695</v>
      </c>
      <c r="AY886" s="176">
        <v>10002001</v>
      </c>
      <c r="AZ886" s="176">
        <v>21201010</v>
      </c>
      <c r="BA886" s="19" t="s">
        <v>200</v>
      </c>
      <c r="BB886" s="19">
        <v>0</v>
      </c>
      <c r="BC886" s="27">
        <v>0</v>
      </c>
      <c r="BD886" s="27">
        <v>0</v>
      </c>
      <c r="BE886" s="183" t="str">
        <f t="shared" si="91"/>
        <v>在指定区域释放一个冰封陷阱,2秒后陷阱开启触发机制,对触碰的敌人造成380%攻击伤害+4250点固定伤害,并使其减速50%,持续5秒</v>
      </c>
      <c r="BF886" s="183" t="s">
        <v>2005</v>
      </c>
      <c r="BG886" s="18">
        <v>0</v>
      </c>
      <c r="BH886" s="16">
        <v>0</v>
      </c>
      <c r="BI886" s="18">
        <v>0</v>
      </c>
      <c r="BJ886" s="18">
        <v>0</v>
      </c>
      <c r="BK886" s="18">
        <v>0</v>
      </c>
      <c r="BL886" s="18">
        <v>0</v>
      </c>
      <c r="BM886" s="15">
        <v>0</v>
      </c>
      <c r="BN886" s="12">
        <v>0</v>
      </c>
      <c r="BO886" s="12">
        <v>0</v>
      </c>
      <c r="BP886" s="12">
        <v>0</v>
      </c>
      <c r="BQ886" s="12">
        <v>0</v>
      </c>
      <c r="BR886" s="12">
        <v>0</v>
      </c>
      <c r="BS886" s="12">
        <v>0</v>
      </c>
      <c r="BT886" s="12">
        <v>0</v>
      </c>
      <c r="BU886" s="47">
        <v>0</v>
      </c>
      <c r="BV886" s="47"/>
      <c r="BW886" s="47"/>
    </row>
    <row r="887" spans="3:75" ht="20.100000000000001" customHeight="1">
      <c r="C887" s="172">
        <v>63021201</v>
      </c>
      <c r="D887" s="203" t="s">
        <v>2006</v>
      </c>
      <c r="E887" s="203" t="s">
        <v>2007</v>
      </c>
      <c r="F887" s="176">
        <v>0</v>
      </c>
      <c r="G887" s="176">
        <v>63021201</v>
      </c>
      <c r="H887" s="172">
        <f t="shared" ref="H887:H889" si="92">C888</f>
        <v>63021202</v>
      </c>
      <c r="I887" s="174">
        <v>0</v>
      </c>
      <c r="J887" s="16">
        <v>25</v>
      </c>
      <c r="K887" s="16">
        <v>5</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3" t="s">
        <v>1547</v>
      </c>
      <c r="AX887" s="176" t="s">
        <v>1869</v>
      </c>
      <c r="AY887" s="176">
        <v>10002001</v>
      </c>
      <c r="AZ887" s="176">
        <v>21201020</v>
      </c>
      <c r="BA887" s="203" t="s">
        <v>1174</v>
      </c>
      <c r="BB887" s="203" t="s">
        <v>2008</v>
      </c>
      <c r="BC887" s="174">
        <v>0</v>
      </c>
      <c r="BD887" s="174">
        <v>0</v>
      </c>
      <c r="BE887" s="209" t="s">
        <v>2009</v>
      </c>
      <c r="BF887" s="209" t="s">
        <v>2010</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63021202</v>
      </c>
      <c r="D888" s="203" t="s">
        <v>2006</v>
      </c>
      <c r="E888" s="203" t="s">
        <v>2007</v>
      </c>
      <c r="F888" s="176">
        <v>1</v>
      </c>
      <c r="G888" s="176">
        <v>63021201</v>
      </c>
      <c r="H888" s="172">
        <f t="shared" si="92"/>
        <v>63021203</v>
      </c>
      <c r="I888" s="174">
        <v>0</v>
      </c>
      <c r="J888" s="16">
        <v>32</v>
      </c>
      <c r="K888" s="16">
        <v>2</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3" t="s">
        <v>1547</v>
      </c>
      <c r="AX888" s="176" t="s">
        <v>1869</v>
      </c>
      <c r="AY888" s="176">
        <v>10002001</v>
      </c>
      <c r="AZ888" s="176">
        <v>21201020</v>
      </c>
      <c r="BA888" s="203" t="s">
        <v>1174</v>
      </c>
      <c r="BB888" s="203" t="s">
        <v>2008</v>
      </c>
      <c r="BC888" s="174">
        <v>0</v>
      </c>
      <c r="BD888" s="174">
        <v>0</v>
      </c>
      <c r="BE888" s="209" t="s">
        <v>2009</v>
      </c>
      <c r="BF888" s="209" t="s">
        <v>2010</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63021203</v>
      </c>
      <c r="D889" s="203" t="s">
        <v>2006</v>
      </c>
      <c r="E889" s="203" t="s">
        <v>2007</v>
      </c>
      <c r="F889" s="176">
        <v>2</v>
      </c>
      <c r="G889" s="176">
        <v>63021201</v>
      </c>
      <c r="H889" s="172">
        <f t="shared" si="92"/>
        <v>63021204</v>
      </c>
      <c r="I889" s="174">
        <v>0</v>
      </c>
      <c r="J889" s="16">
        <v>37</v>
      </c>
      <c r="K889" s="16">
        <v>2</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3" t="s">
        <v>1547</v>
      </c>
      <c r="AX889" s="176" t="s">
        <v>1869</v>
      </c>
      <c r="AY889" s="176">
        <v>10002001</v>
      </c>
      <c r="AZ889" s="176">
        <v>21201020</v>
      </c>
      <c r="BA889" s="203" t="s">
        <v>1174</v>
      </c>
      <c r="BB889" s="203" t="s">
        <v>2011</v>
      </c>
      <c r="BC889" s="174">
        <v>0</v>
      </c>
      <c r="BD889" s="174">
        <v>0</v>
      </c>
      <c r="BE889" s="209" t="s">
        <v>2012</v>
      </c>
      <c r="BF889" s="209" t="s">
        <v>2013</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20.100000000000001" customHeight="1">
      <c r="C890" s="172">
        <v>63021204</v>
      </c>
      <c r="D890" s="203" t="s">
        <v>2006</v>
      </c>
      <c r="E890" s="203" t="s">
        <v>2007</v>
      </c>
      <c r="F890" s="176">
        <v>3</v>
      </c>
      <c r="G890" s="176">
        <v>63021201</v>
      </c>
      <c r="H890" s="172">
        <v>0</v>
      </c>
      <c r="I890" s="174">
        <v>0</v>
      </c>
      <c r="J890" s="16">
        <v>0</v>
      </c>
      <c r="K890" s="16">
        <v>0</v>
      </c>
      <c r="L890" s="176">
        <v>0</v>
      </c>
      <c r="M890" s="176">
        <v>0</v>
      </c>
      <c r="N890" s="176">
        <v>0</v>
      </c>
      <c r="O890" s="176">
        <v>1</v>
      </c>
      <c r="P890" s="176">
        <v>0</v>
      </c>
      <c r="Q890" s="176">
        <v>0</v>
      </c>
      <c r="R890" s="176">
        <v>0</v>
      </c>
      <c r="S890" s="175">
        <v>0</v>
      </c>
      <c r="T890" s="174">
        <v>0</v>
      </c>
      <c r="U890" s="172">
        <v>1</v>
      </c>
      <c r="V890" s="176">
        <v>2</v>
      </c>
      <c r="W890" s="176">
        <v>0</v>
      </c>
      <c r="X890" s="176">
        <v>0</v>
      </c>
      <c r="Y890" s="12">
        <v>0</v>
      </c>
      <c r="Z890" s="176">
        <v>0</v>
      </c>
      <c r="AA890" s="176">
        <v>0</v>
      </c>
      <c r="AB890" s="176">
        <v>20</v>
      </c>
      <c r="AC890" s="176">
        <v>0</v>
      </c>
      <c r="AD890" s="176">
        <v>0</v>
      </c>
      <c r="AE890" s="176">
        <v>0</v>
      </c>
      <c r="AF890" s="176">
        <v>7</v>
      </c>
      <c r="AG890" s="176">
        <v>1</v>
      </c>
      <c r="AH890" s="176">
        <v>4</v>
      </c>
      <c r="AI890" s="175">
        <v>2</v>
      </c>
      <c r="AJ890" s="175">
        <v>1</v>
      </c>
      <c r="AK890" s="175">
        <v>0</v>
      </c>
      <c r="AL890" s="175">
        <v>8</v>
      </c>
      <c r="AM890" s="176">
        <v>0</v>
      </c>
      <c r="AN890" s="176">
        <v>0</v>
      </c>
      <c r="AO890" s="176">
        <v>0</v>
      </c>
      <c r="AP890" s="176">
        <v>0</v>
      </c>
      <c r="AQ890" s="176">
        <v>360000</v>
      </c>
      <c r="AR890" s="176">
        <v>0.5</v>
      </c>
      <c r="AS890" s="176">
        <v>0</v>
      </c>
      <c r="AT890" s="175">
        <v>0</v>
      </c>
      <c r="AU890" s="176" t="s">
        <v>575</v>
      </c>
      <c r="AV890" s="176"/>
      <c r="AW890" s="203" t="s">
        <v>1547</v>
      </c>
      <c r="AX890" s="176" t="s">
        <v>1869</v>
      </c>
      <c r="AY890" s="176">
        <v>10002001</v>
      </c>
      <c r="AZ890" s="176">
        <v>21201020</v>
      </c>
      <c r="BA890" s="203" t="s">
        <v>1174</v>
      </c>
      <c r="BB890" s="203" t="s">
        <v>2014</v>
      </c>
      <c r="BC890" s="174">
        <v>0</v>
      </c>
      <c r="BD890" s="174">
        <v>0</v>
      </c>
      <c r="BE890" s="209" t="s">
        <v>2015</v>
      </c>
      <c r="BF890" s="209" t="s">
        <v>2016</v>
      </c>
      <c r="BG890" s="176">
        <v>0</v>
      </c>
      <c r="BH890" s="172">
        <v>0</v>
      </c>
      <c r="BI890" s="176">
        <v>0</v>
      </c>
      <c r="BJ890" s="176">
        <v>0</v>
      </c>
      <c r="BK890" s="176">
        <v>0</v>
      </c>
      <c r="BL890" s="176">
        <v>0</v>
      </c>
      <c r="BM890" s="178">
        <v>0</v>
      </c>
      <c r="BN890" s="175">
        <v>0</v>
      </c>
      <c r="BO890" s="175">
        <v>0</v>
      </c>
      <c r="BP890" s="175">
        <v>0</v>
      </c>
      <c r="BQ890" s="175">
        <v>0</v>
      </c>
      <c r="BR890" s="175">
        <v>0</v>
      </c>
      <c r="BS890" s="175">
        <v>0</v>
      </c>
      <c r="BT890" s="12">
        <v>0</v>
      </c>
      <c r="BU890" s="47">
        <v>0</v>
      </c>
      <c r="BV890" s="47"/>
      <c r="BW890" s="47"/>
    </row>
    <row r="891" spans="3:75" ht="20.100000000000001" customHeight="1">
      <c r="C891" s="172">
        <v>63021205</v>
      </c>
      <c r="D891" s="203" t="s">
        <v>2006</v>
      </c>
      <c r="E891" s="203" t="s">
        <v>2007</v>
      </c>
      <c r="F891" s="176">
        <v>4</v>
      </c>
      <c r="G891" s="176">
        <v>63021201</v>
      </c>
      <c r="H891" s="172">
        <v>0</v>
      </c>
      <c r="I891" s="174">
        <v>0</v>
      </c>
      <c r="J891" s="16">
        <v>0</v>
      </c>
      <c r="K891" s="16">
        <v>0</v>
      </c>
      <c r="L891" s="176">
        <v>0</v>
      </c>
      <c r="M891" s="176">
        <v>0</v>
      </c>
      <c r="N891" s="176">
        <v>0</v>
      </c>
      <c r="O891" s="176">
        <v>1</v>
      </c>
      <c r="P891" s="176">
        <v>0</v>
      </c>
      <c r="Q891" s="176">
        <v>0</v>
      </c>
      <c r="R891" s="176">
        <v>0</v>
      </c>
      <c r="S891" s="175">
        <v>0</v>
      </c>
      <c r="T891" s="174">
        <v>0</v>
      </c>
      <c r="U891" s="172">
        <v>1</v>
      </c>
      <c r="V891" s="176">
        <v>2</v>
      </c>
      <c r="W891" s="176">
        <v>0</v>
      </c>
      <c r="X891" s="176">
        <v>0</v>
      </c>
      <c r="Y891" s="12">
        <v>0</v>
      </c>
      <c r="Z891" s="176">
        <v>0</v>
      </c>
      <c r="AA891" s="176">
        <v>0</v>
      </c>
      <c r="AB891" s="176">
        <v>20</v>
      </c>
      <c r="AC891" s="176">
        <v>0</v>
      </c>
      <c r="AD891" s="176">
        <v>0</v>
      </c>
      <c r="AE891" s="176">
        <v>0</v>
      </c>
      <c r="AF891" s="176">
        <v>7</v>
      </c>
      <c r="AG891" s="176">
        <v>1</v>
      </c>
      <c r="AH891" s="176">
        <v>4</v>
      </c>
      <c r="AI891" s="175">
        <v>2</v>
      </c>
      <c r="AJ891" s="175">
        <v>1</v>
      </c>
      <c r="AK891" s="175">
        <v>0</v>
      </c>
      <c r="AL891" s="175">
        <v>8</v>
      </c>
      <c r="AM891" s="176">
        <v>0</v>
      </c>
      <c r="AN891" s="176">
        <v>0</v>
      </c>
      <c r="AO891" s="176">
        <v>0</v>
      </c>
      <c r="AP891" s="176">
        <v>0</v>
      </c>
      <c r="AQ891" s="176">
        <v>360000</v>
      </c>
      <c r="AR891" s="176">
        <v>0.5</v>
      </c>
      <c r="AS891" s="176">
        <v>0</v>
      </c>
      <c r="AT891" s="175">
        <v>0</v>
      </c>
      <c r="AU891" s="176" t="s">
        <v>575</v>
      </c>
      <c r="AV891" s="176"/>
      <c r="AW891" s="203" t="s">
        <v>1547</v>
      </c>
      <c r="AX891" s="176" t="s">
        <v>1869</v>
      </c>
      <c r="AY891" s="176">
        <v>10002001</v>
      </c>
      <c r="AZ891" s="176">
        <v>21201020</v>
      </c>
      <c r="BA891" s="203" t="s">
        <v>1174</v>
      </c>
      <c r="BB891" s="203" t="s">
        <v>2017</v>
      </c>
      <c r="BC891" s="174">
        <v>0</v>
      </c>
      <c r="BD891" s="174">
        <v>0</v>
      </c>
      <c r="BE891" s="209" t="s">
        <v>2018</v>
      </c>
      <c r="BF891" s="209" t="s">
        <v>2019</v>
      </c>
      <c r="BG891" s="176">
        <v>0</v>
      </c>
      <c r="BH891" s="172">
        <v>0</v>
      </c>
      <c r="BI891" s="176">
        <v>0</v>
      </c>
      <c r="BJ891" s="176">
        <v>0</v>
      </c>
      <c r="BK891" s="176">
        <v>0</v>
      </c>
      <c r="BL891" s="176">
        <v>0</v>
      </c>
      <c r="BM891" s="178">
        <v>0</v>
      </c>
      <c r="BN891" s="175">
        <v>0</v>
      </c>
      <c r="BO891" s="175">
        <v>0</v>
      </c>
      <c r="BP891" s="175">
        <v>0</v>
      </c>
      <c r="BQ891" s="175">
        <v>0</v>
      </c>
      <c r="BR891" s="175">
        <v>0</v>
      </c>
      <c r="BS891" s="175">
        <v>0</v>
      </c>
      <c r="BT891" s="12">
        <v>0</v>
      </c>
      <c r="BU891" s="47">
        <v>0</v>
      </c>
      <c r="BV891" s="47"/>
      <c r="BW891" s="47"/>
    </row>
    <row r="892" spans="3:75" ht="20.100000000000001" customHeight="1">
      <c r="C892" s="172">
        <v>63021206</v>
      </c>
      <c r="D892" s="203" t="s">
        <v>2006</v>
      </c>
      <c r="E892" s="203" t="s">
        <v>2007</v>
      </c>
      <c r="F892" s="176">
        <v>5</v>
      </c>
      <c r="G892" s="176">
        <v>63021201</v>
      </c>
      <c r="H892" s="176">
        <v>0</v>
      </c>
      <c r="I892" s="174">
        <v>0</v>
      </c>
      <c r="J892" s="16">
        <v>0</v>
      </c>
      <c r="K892" s="16">
        <v>0</v>
      </c>
      <c r="L892" s="176">
        <v>0</v>
      </c>
      <c r="M892" s="176">
        <v>0</v>
      </c>
      <c r="N892" s="176">
        <v>0</v>
      </c>
      <c r="O892" s="176">
        <v>1</v>
      </c>
      <c r="P892" s="176">
        <v>0</v>
      </c>
      <c r="Q892" s="176">
        <v>0</v>
      </c>
      <c r="R892" s="176">
        <v>0</v>
      </c>
      <c r="S892" s="175">
        <v>0</v>
      </c>
      <c r="T892" s="174">
        <v>0</v>
      </c>
      <c r="U892" s="172">
        <v>1</v>
      </c>
      <c r="V892" s="176">
        <v>2</v>
      </c>
      <c r="W892" s="176">
        <v>0</v>
      </c>
      <c r="X892" s="176">
        <v>0</v>
      </c>
      <c r="Y892" s="12">
        <v>0</v>
      </c>
      <c r="Z892" s="176">
        <v>0</v>
      </c>
      <c r="AA892" s="176">
        <v>0</v>
      </c>
      <c r="AB892" s="176">
        <v>20</v>
      </c>
      <c r="AC892" s="176">
        <v>0</v>
      </c>
      <c r="AD892" s="176">
        <v>0</v>
      </c>
      <c r="AE892" s="176">
        <v>0</v>
      </c>
      <c r="AF892" s="176">
        <v>7</v>
      </c>
      <c r="AG892" s="176">
        <v>1</v>
      </c>
      <c r="AH892" s="176">
        <v>4</v>
      </c>
      <c r="AI892" s="175">
        <v>2</v>
      </c>
      <c r="AJ892" s="175">
        <v>1</v>
      </c>
      <c r="AK892" s="175">
        <v>0</v>
      </c>
      <c r="AL892" s="175">
        <v>8</v>
      </c>
      <c r="AM892" s="176">
        <v>0</v>
      </c>
      <c r="AN892" s="176">
        <v>0</v>
      </c>
      <c r="AO892" s="176">
        <v>0</v>
      </c>
      <c r="AP892" s="176">
        <v>0</v>
      </c>
      <c r="AQ892" s="176">
        <v>360000</v>
      </c>
      <c r="AR892" s="176">
        <v>0.5</v>
      </c>
      <c r="AS892" s="176">
        <v>0</v>
      </c>
      <c r="AT892" s="175">
        <v>0</v>
      </c>
      <c r="AU892" s="176" t="s">
        <v>575</v>
      </c>
      <c r="AV892" s="176"/>
      <c r="AW892" s="203" t="s">
        <v>1547</v>
      </c>
      <c r="AX892" s="176" t="s">
        <v>1869</v>
      </c>
      <c r="AY892" s="176">
        <v>10002001</v>
      </c>
      <c r="AZ892" s="176">
        <v>21201020</v>
      </c>
      <c r="BA892" s="203" t="s">
        <v>1174</v>
      </c>
      <c r="BB892" s="203" t="s">
        <v>2020</v>
      </c>
      <c r="BC892" s="174">
        <v>0</v>
      </c>
      <c r="BD892" s="174">
        <v>0</v>
      </c>
      <c r="BE892" s="209" t="s">
        <v>2021</v>
      </c>
      <c r="BF892" s="209" t="s">
        <v>2022</v>
      </c>
      <c r="BG892" s="176">
        <v>0</v>
      </c>
      <c r="BH892" s="172">
        <v>0</v>
      </c>
      <c r="BI892" s="176">
        <v>0</v>
      </c>
      <c r="BJ892" s="176">
        <v>0</v>
      </c>
      <c r="BK892" s="176">
        <v>0</v>
      </c>
      <c r="BL892" s="176">
        <v>0</v>
      </c>
      <c r="BM892" s="178">
        <v>0</v>
      </c>
      <c r="BN892" s="175">
        <v>0</v>
      </c>
      <c r="BO892" s="175">
        <v>0</v>
      </c>
      <c r="BP892" s="175">
        <v>0</v>
      </c>
      <c r="BQ892" s="175">
        <v>0</v>
      </c>
      <c r="BR892" s="175">
        <v>0</v>
      </c>
      <c r="BS892" s="175">
        <v>0</v>
      </c>
      <c r="BT892" s="12">
        <v>0</v>
      </c>
      <c r="BU892" s="47">
        <v>0</v>
      </c>
      <c r="BV892" s="47"/>
      <c r="BW892" s="47"/>
    </row>
    <row r="893" spans="3:75" ht="19.5" customHeight="1">
      <c r="C893" s="172">
        <v>63021211</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2.6</v>
      </c>
      <c r="Y893" s="12">
        <v>0</v>
      </c>
      <c r="Z893" s="18">
        <v>750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ref="BE893:BE897" si="93">"在指定区域释放一个爆炸陷阱,2秒后陷阱开启触发机制,对触碰的敌人造成"&amp;X893*100&amp;"%攻击伤害+"&amp;Z893&amp;"点固定伤害,并使其眩晕1秒"</f>
        <v>在指定区域释放一个爆炸陷阱,2秒后陷阱开启触发机制,对触碰的敌人造成260%攻击伤害+750点固定伤害,并使其眩晕1秒</v>
      </c>
      <c r="BF893" s="183" t="s">
        <v>2025</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63021212</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2.9</v>
      </c>
      <c r="Y894" s="12">
        <v>0</v>
      </c>
      <c r="Z894" s="18">
        <v>1500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在指定区域释放一个爆炸陷阱,2秒后陷阱开启触发机制,对触碰的敌人造成290%攻击伤害+1500点固定伤害,并使其眩晕1秒</v>
      </c>
      <c r="BF894" s="183" t="s">
        <v>2026</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19.5" customHeight="1">
      <c r="C895" s="172">
        <v>63021213</v>
      </c>
      <c r="D895" s="19" t="s">
        <v>2023</v>
      </c>
      <c r="E895" s="19" t="s">
        <v>2024</v>
      </c>
      <c r="F895" s="16">
        <v>1</v>
      </c>
      <c r="G895" s="18">
        <v>62011101</v>
      </c>
      <c r="H895" s="16">
        <v>0</v>
      </c>
      <c r="I895" s="27">
        <v>0</v>
      </c>
      <c r="J895" s="16">
        <v>1</v>
      </c>
      <c r="K895" s="16">
        <v>0</v>
      </c>
      <c r="L895" s="16">
        <v>0</v>
      </c>
      <c r="M895" s="18">
        <v>0</v>
      </c>
      <c r="N895" s="18">
        <v>0</v>
      </c>
      <c r="O895" s="18">
        <v>2</v>
      </c>
      <c r="P895" s="18">
        <v>10</v>
      </c>
      <c r="Q895" s="18">
        <v>0.8</v>
      </c>
      <c r="R895" s="18">
        <v>0</v>
      </c>
      <c r="S895" s="12">
        <v>0</v>
      </c>
      <c r="T895" s="27">
        <v>0</v>
      </c>
      <c r="U895" s="16">
        <v>1</v>
      </c>
      <c r="V895" s="18">
        <v>2</v>
      </c>
      <c r="W895" s="18">
        <v>0</v>
      </c>
      <c r="X895" s="12">
        <v>3.2</v>
      </c>
      <c r="Y895" s="12">
        <v>0</v>
      </c>
      <c r="Z895" s="18">
        <v>2250</v>
      </c>
      <c r="AA895" s="18">
        <v>0</v>
      </c>
      <c r="AB895" s="18">
        <v>0</v>
      </c>
      <c r="AC895" s="18">
        <v>0</v>
      </c>
      <c r="AD895" s="18">
        <v>0</v>
      </c>
      <c r="AE895" s="18">
        <v>0</v>
      </c>
      <c r="AF895" s="176">
        <v>6</v>
      </c>
      <c r="AG895" s="18">
        <v>1</v>
      </c>
      <c r="AH895" s="18">
        <v>4</v>
      </c>
      <c r="AI895" s="12">
        <v>2</v>
      </c>
      <c r="AJ895" s="12">
        <v>1</v>
      </c>
      <c r="AK895" s="12">
        <v>1</v>
      </c>
      <c r="AL895" s="175">
        <v>2</v>
      </c>
      <c r="AM895" s="18">
        <v>0</v>
      </c>
      <c r="AN895" s="18">
        <v>0</v>
      </c>
      <c r="AO895" s="18">
        <v>0</v>
      </c>
      <c r="AP895" s="18">
        <v>0</v>
      </c>
      <c r="AQ895" s="18">
        <v>3000</v>
      </c>
      <c r="AR895" s="18">
        <v>0.5</v>
      </c>
      <c r="AS895" s="18">
        <v>0</v>
      </c>
      <c r="AT895" s="12">
        <v>0</v>
      </c>
      <c r="AU895" s="18">
        <v>90000010</v>
      </c>
      <c r="AV895" s="18"/>
      <c r="AW895" s="19" t="s">
        <v>199</v>
      </c>
      <c r="AX895" s="18" t="s">
        <v>1695</v>
      </c>
      <c r="AY895" s="176">
        <v>10002001</v>
      </c>
      <c r="AZ895" s="176">
        <v>21201020</v>
      </c>
      <c r="BA895" s="19" t="s">
        <v>200</v>
      </c>
      <c r="BB895" s="19">
        <v>0</v>
      </c>
      <c r="BC895" s="27">
        <v>0</v>
      </c>
      <c r="BD895" s="27">
        <v>0</v>
      </c>
      <c r="BE895" s="183" t="str">
        <f t="shared" si="93"/>
        <v>在指定区域释放一个爆炸陷阱,2秒后陷阱开启触发机制,对触碰的敌人造成320%攻击伤害+2250点固定伤害,并使其眩晕1秒</v>
      </c>
      <c r="BF895" s="183" t="s">
        <v>2027</v>
      </c>
      <c r="BG895" s="18">
        <v>0</v>
      </c>
      <c r="BH895" s="16">
        <v>0</v>
      </c>
      <c r="BI895" s="18">
        <v>0</v>
      </c>
      <c r="BJ895" s="18">
        <v>0</v>
      </c>
      <c r="BK895" s="18">
        <v>0</v>
      </c>
      <c r="BL895" s="18">
        <v>0</v>
      </c>
      <c r="BM895" s="15">
        <v>0</v>
      </c>
      <c r="BN895" s="12">
        <v>0</v>
      </c>
      <c r="BO895" s="12">
        <v>0</v>
      </c>
      <c r="BP895" s="12">
        <v>0</v>
      </c>
      <c r="BQ895" s="12">
        <v>0</v>
      </c>
      <c r="BR895" s="12">
        <v>0</v>
      </c>
      <c r="BS895" s="12">
        <v>0</v>
      </c>
      <c r="BT895" s="12">
        <v>0</v>
      </c>
      <c r="BU895" s="47">
        <v>0</v>
      </c>
      <c r="BV895" s="47"/>
      <c r="BW895" s="47"/>
    </row>
    <row r="896" spans="3:75" ht="19.5" customHeight="1">
      <c r="C896" s="172">
        <v>63021214</v>
      </c>
      <c r="D896" s="19" t="s">
        <v>2023</v>
      </c>
      <c r="E896" s="19" t="s">
        <v>2024</v>
      </c>
      <c r="F896" s="16">
        <v>1</v>
      </c>
      <c r="G896" s="18">
        <v>62011101</v>
      </c>
      <c r="H896" s="16">
        <v>0</v>
      </c>
      <c r="I896" s="27">
        <v>0</v>
      </c>
      <c r="J896" s="16">
        <v>1</v>
      </c>
      <c r="K896" s="16">
        <v>0</v>
      </c>
      <c r="L896" s="16">
        <v>0</v>
      </c>
      <c r="M896" s="18">
        <v>0</v>
      </c>
      <c r="N896" s="18">
        <v>0</v>
      </c>
      <c r="O896" s="18">
        <v>2</v>
      </c>
      <c r="P896" s="18">
        <v>10</v>
      </c>
      <c r="Q896" s="18">
        <v>0.8</v>
      </c>
      <c r="R896" s="18">
        <v>0</v>
      </c>
      <c r="S896" s="12">
        <v>0</v>
      </c>
      <c r="T896" s="27">
        <v>0</v>
      </c>
      <c r="U896" s="16">
        <v>1</v>
      </c>
      <c r="V896" s="18">
        <v>2</v>
      </c>
      <c r="W896" s="18">
        <v>0</v>
      </c>
      <c r="X896" s="12">
        <v>3.5</v>
      </c>
      <c r="Y896" s="12">
        <v>0</v>
      </c>
      <c r="Z896" s="18">
        <v>3250</v>
      </c>
      <c r="AA896" s="18">
        <v>0</v>
      </c>
      <c r="AB896" s="18">
        <v>0</v>
      </c>
      <c r="AC896" s="18">
        <v>0</v>
      </c>
      <c r="AD896" s="18">
        <v>0</v>
      </c>
      <c r="AE896" s="18">
        <v>0</v>
      </c>
      <c r="AF896" s="176">
        <v>6</v>
      </c>
      <c r="AG896" s="18">
        <v>1</v>
      </c>
      <c r="AH896" s="18">
        <v>4</v>
      </c>
      <c r="AI896" s="12">
        <v>2</v>
      </c>
      <c r="AJ896" s="12">
        <v>1</v>
      </c>
      <c r="AK896" s="12">
        <v>1</v>
      </c>
      <c r="AL896" s="175">
        <v>2</v>
      </c>
      <c r="AM896" s="18">
        <v>0</v>
      </c>
      <c r="AN896" s="18">
        <v>0</v>
      </c>
      <c r="AO896" s="18">
        <v>0</v>
      </c>
      <c r="AP896" s="18">
        <v>0</v>
      </c>
      <c r="AQ896" s="18">
        <v>3000</v>
      </c>
      <c r="AR896" s="18">
        <v>0.5</v>
      </c>
      <c r="AS896" s="18">
        <v>0</v>
      </c>
      <c r="AT896" s="12">
        <v>0</v>
      </c>
      <c r="AU896" s="18">
        <v>90000010</v>
      </c>
      <c r="AV896" s="18"/>
      <c r="AW896" s="19" t="s">
        <v>199</v>
      </c>
      <c r="AX896" s="18" t="s">
        <v>1695</v>
      </c>
      <c r="AY896" s="176">
        <v>10002001</v>
      </c>
      <c r="AZ896" s="176">
        <v>21201020</v>
      </c>
      <c r="BA896" s="19" t="s">
        <v>200</v>
      </c>
      <c r="BB896" s="19">
        <v>0</v>
      </c>
      <c r="BC896" s="27">
        <v>0</v>
      </c>
      <c r="BD896" s="27">
        <v>0</v>
      </c>
      <c r="BE896" s="183" t="str">
        <f t="shared" si="93"/>
        <v>在指定区域释放一个爆炸陷阱,2秒后陷阱开启触发机制,对触碰的敌人造成350%攻击伤害+3250点固定伤害,并使其眩晕1秒</v>
      </c>
      <c r="BF896" s="183" t="s">
        <v>2028</v>
      </c>
      <c r="BG896" s="18">
        <v>0</v>
      </c>
      <c r="BH896" s="16">
        <v>0</v>
      </c>
      <c r="BI896" s="18">
        <v>0</v>
      </c>
      <c r="BJ896" s="18">
        <v>0</v>
      </c>
      <c r="BK896" s="18">
        <v>0</v>
      </c>
      <c r="BL896" s="18">
        <v>0</v>
      </c>
      <c r="BM896" s="15">
        <v>0</v>
      </c>
      <c r="BN896" s="12">
        <v>0</v>
      </c>
      <c r="BO896" s="12">
        <v>0</v>
      </c>
      <c r="BP896" s="12">
        <v>0</v>
      </c>
      <c r="BQ896" s="12">
        <v>0</v>
      </c>
      <c r="BR896" s="12">
        <v>0</v>
      </c>
      <c r="BS896" s="12">
        <v>0</v>
      </c>
      <c r="BT896" s="12">
        <v>0</v>
      </c>
      <c r="BU896" s="47">
        <v>0</v>
      </c>
      <c r="BV896" s="47"/>
      <c r="BW896" s="47"/>
    </row>
    <row r="897" spans="3:75" ht="19.5" customHeight="1">
      <c r="C897" s="172">
        <v>63021215</v>
      </c>
      <c r="D897" s="19" t="s">
        <v>2023</v>
      </c>
      <c r="E897" s="19" t="s">
        <v>2024</v>
      </c>
      <c r="F897" s="16">
        <v>1</v>
      </c>
      <c r="G897" s="18">
        <v>62011101</v>
      </c>
      <c r="H897" s="16">
        <v>0</v>
      </c>
      <c r="I897" s="27">
        <v>0</v>
      </c>
      <c r="J897" s="16">
        <v>1</v>
      </c>
      <c r="K897" s="16">
        <v>0</v>
      </c>
      <c r="L897" s="16">
        <v>0</v>
      </c>
      <c r="M897" s="18">
        <v>0</v>
      </c>
      <c r="N897" s="18">
        <v>0</v>
      </c>
      <c r="O897" s="18">
        <v>2</v>
      </c>
      <c r="P897" s="18">
        <v>10</v>
      </c>
      <c r="Q897" s="18">
        <v>0.8</v>
      </c>
      <c r="R897" s="18">
        <v>0</v>
      </c>
      <c r="S897" s="12">
        <v>0</v>
      </c>
      <c r="T897" s="27">
        <v>0</v>
      </c>
      <c r="U897" s="16">
        <v>1</v>
      </c>
      <c r="V897" s="18">
        <v>2</v>
      </c>
      <c r="W897" s="18">
        <v>0</v>
      </c>
      <c r="X897" s="12">
        <v>3.8</v>
      </c>
      <c r="Y897" s="12">
        <v>0</v>
      </c>
      <c r="Z897" s="18">
        <v>4250</v>
      </c>
      <c r="AA897" s="18">
        <v>0</v>
      </c>
      <c r="AB897" s="18">
        <v>0</v>
      </c>
      <c r="AC897" s="18">
        <v>0</v>
      </c>
      <c r="AD897" s="18">
        <v>0</v>
      </c>
      <c r="AE897" s="18">
        <v>0</v>
      </c>
      <c r="AF897" s="176">
        <v>6</v>
      </c>
      <c r="AG897" s="18">
        <v>1</v>
      </c>
      <c r="AH897" s="18">
        <v>4</v>
      </c>
      <c r="AI897" s="12">
        <v>2</v>
      </c>
      <c r="AJ897" s="12">
        <v>1</v>
      </c>
      <c r="AK897" s="12">
        <v>1</v>
      </c>
      <c r="AL897" s="175">
        <v>2</v>
      </c>
      <c r="AM897" s="18">
        <v>0</v>
      </c>
      <c r="AN897" s="18">
        <v>0</v>
      </c>
      <c r="AO897" s="18">
        <v>0</v>
      </c>
      <c r="AP897" s="18">
        <v>0</v>
      </c>
      <c r="AQ897" s="18">
        <v>3000</v>
      </c>
      <c r="AR897" s="18">
        <v>0.5</v>
      </c>
      <c r="AS897" s="18">
        <v>0</v>
      </c>
      <c r="AT897" s="12">
        <v>0</v>
      </c>
      <c r="AU897" s="18">
        <v>90000010</v>
      </c>
      <c r="AV897" s="18"/>
      <c r="AW897" s="19" t="s">
        <v>199</v>
      </c>
      <c r="AX897" s="18" t="s">
        <v>1695</v>
      </c>
      <c r="AY897" s="176">
        <v>10002001</v>
      </c>
      <c r="AZ897" s="176">
        <v>21201020</v>
      </c>
      <c r="BA897" s="19" t="s">
        <v>200</v>
      </c>
      <c r="BB897" s="19">
        <v>0</v>
      </c>
      <c r="BC897" s="27">
        <v>0</v>
      </c>
      <c r="BD897" s="27">
        <v>0</v>
      </c>
      <c r="BE897" s="183" t="str">
        <f t="shared" si="93"/>
        <v>在指定区域释放一个爆炸陷阱,2秒后陷阱开启触发机制,对触碰的敌人造成380%攻击伤害+4250点固定伤害,并使其眩晕1秒</v>
      </c>
      <c r="BF897" s="183" t="s">
        <v>2029</v>
      </c>
      <c r="BG897" s="18">
        <v>0</v>
      </c>
      <c r="BH897" s="16">
        <v>0</v>
      </c>
      <c r="BI897" s="18">
        <v>0</v>
      </c>
      <c r="BJ897" s="18">
        <v>0</v>
      </c>
      <c r="BK897" s="18">
        <v>0</v>
      </c>
      <c r="BL897" s="18">
        <v>0</v>
      </c>
      <c r="BM897" s="15">
        <v>0</v>
      </c>
      <c r="BN897" s="12">
        <v>0</v>
      </c>
      <c r="BO897" s="12">
        <v>0</v>
      </c>
      <c r="BP897" s="12">
        <v>0</v>
      </c>
      <c r="BQ897" s="12">
        <v>0</v>
      </c>
      <c r="BR897" s="12">
        <v>0</v>
      </c>
      <c r="BS897" s="12">
        <v>0</v>
      </c>
      <c r="BT897" s="12">
        <v>0</v>
      </c>
      <c r="BU897" s="47">
        <v>0</v>
      </c>
      <c r="BV897" s="47"/>
      <c r="BW897" s="47"/>
    </row>
    <row r="898" spans="3:75" ht="20.100000000000001" customHeight="1">
      <c r="C898" s="172">
        <v>63021301</v>
      </c>
      <c r="D898" s="203" t="s">
        <v>2030</v>
      </c>
      <c r="E898" s="203" t="s">
        <v>2031</v>
      </c>
      <c r="F898" s="176">
        <v>0</v>
      </c>
      <c r="G898" s="176">
        <v>63021301</v>
      </c>
      <c r="H898" s="172">
        <f t="shared" ref="H898:H900" si="94">C899</f>
        <v>63021302</v>
      </c>
      <c r="I898" s="174">
        <v>0</v>
      </c>
      <c r="J898" s="16">
        <v>30</v>
      </c>
      <c r="K898" s="18">
        <v>5</v>
      </c>
      <c r="L898" s="172">
        <v>0</v>
      </c>
      <c r="M898" s="176">
        <v>0</v>
      </c>
      <c r="N898" s="176">
        <v>0</v>
      </c>
      <c r="O898" s="176">
        <v>1</v>
      </c>
      <c r="P898" s="176">
        <v>0</v>
      </c>
      <c r="Q898" s="176">
        <v>0</v>
      </c>
      <c r="R898" s="176">
        <v>0</v>
      </c>
      <c r="S898" s="175">
        <v>0</v>
      </c>
      <c r="T898" s="174">
        <v>0</v>
      </c>
      <c r="U898" s="172">
        <v>1</v>
      </c>
      <c r="V898" s="176">
        <v>2</v>
      </c>
      <c r="W898" s="176">
        <v>0</v>
      </c>
      <c r="X898" s="176">
        <v>0.8</v>
      </c>
      <c r="Y898" s="12">
        <v>0</v>
      </c>
      <c r="Z898" s="176">
        <v>500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3" t="s">
        <v>1557</v>
      </c>
      <c r="AX898" s="176" t="s">
        <v>1408</v>
      </c>
      <c r="AY898" s="176">
        <v>10002001</v>
      </c>
      <c r="AZ898" s="176">
        <v>21201030</v>
      </c>
      <c r="BA898" s="203" t="s">
        <v>315</v>
      </c>
      <c r="BB898" s="203" t="s">
        <v>371</v>
      </c>
      <c r="BC898" s="174">
        <v>0</v>
      </c>
      <c r="BD898" s="174">
        <v>0</v>
      </c>
      <c r="BE898" s="208" t="str">
        <f>"在脚底下立即释放法术,在此范围内的目标每秒造成"&amp;X898*100&amp;"%攻击伤害+"&amp;Z898&amp;"点固定伤害,目标移动速度降低50%,持续10秒"</f>
        <v>在脚底下立即释放法术,在此范围内的目标每秒造成80%攻击伤害+500点固定伤害,目标移动速度降低50%,持续10秒</v>
      </c>
      <c r="BF898" s="208" t="s">
        <v>2032</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63021302</v>
      </c>
      <c r="D899" s="203" t="s">
        <v>2030</v>
      </c>
      <c r="E899" s="203" t="s">
        <v>2031</v>
      </c>
      <c r="F899" s="176">
        <v>1</v>
      </c>
      <c r="G899" s="176">
        <v>63021301</v>
      </c>
      <c r="H899" s="172">
        <f t="shared" si="94"/>
        <v>63021303</v>
      </c>
      <c r="I899" s="174">
        <v>0</v>
      </c>
      <c r="J899" s="16">
        <v>37</v>
      </c>
      <c r="K899" s="18">
        <v>2</v>
      </c>
      <c r="L899" s="172">
        <v>0</v>
      </c>
      <c r="M899" s="176">
        <v>0</v>
      </c>
      <c r="N899" s="176">
        <v>0</v>
      </c>
      <c r="O899" s="176">
        <v>1</v>
      </c>
      <c r="P899" s="176">
        <v>0</v>
      </c>
      <c r="Q899" s="176">
        <v>0</v>
      </c>
      <c r="R899" s="176">
        <v>0</v>
      </c>
      <c r="S899" s="175">
        <v>0</v>
      </c>
      <c r="T899" s="174">
        <v>0</v>
      </c>
      <c r="U899" s="172">
        <v>1</v>
      </c>
      <c r="V899" s="176">
        <v>2</v>
      </c>
      <c r="W899" s="176">
        <v>0</v>
      </c>
      <c r="X899" s="176">
        <v>0.8</v>
      </c>
      <c r="Y899" s="12">
        <v>0</v>
      </c>
      <c r="Z899" s="176">
        <v>500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3" t="s">
        <v>1557</v>
      </c>
      <c r="AX899" s="176" t="s">
        <v>1408</v>
      </c>
      <c r="AY899" s="176">
        <v>10002001</v>
      </c>
      <c r="AZ899" s="176">
        <v>21201030</v>
      </c>
      <c r="BA899" s="203" t="s">
        <v>315</v>
      </c>
      <c r="BB899" s="203" t="s">
        <v>371</v>
      </c>
      <c r="BC899" s="174">
        <v>0</v>
      </c>
      <c r="BD899" s="174">
        <v>0</v>
      </c>
      <c r="BE899" s="208" t="str">
        <f t="shared" ref="BE899:BE903" si="95">"在脚底下立即释放法术,在此范围内的目标每秒造成"&amp;X899*100&amp;"%攻击伤害+"&amp;Z899&amp;"点固定伤害,目标移动速度降低50%,持续10秒"</f>
        <v>在脚底下立即释放法术,在此范围内的目标每秒造成80%攻击伤害+500点固定伤害,目标移动速度降低50%,持续10秒</v>
      </c>
      <c r="BF899" s="208" t="s">
        <v>2032</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63021303</v>
      </c>
      <c r="D900" s="203" t="s">
        <v>2030</v>
      </c>
      <c r="E900" s="203" t="s">
        <v>2031</v>
      </c>
      <c r="F900" s="176">
        <v>2</v>
      </c>
      <c r="G900" s="176">
        <v>63021301</v>
      </c>
      <c r="H900" s="172">
        <f t="shared" si="94"/>
        <v>63021304</v>
      </c>
      <c r="I900" s="174">
        <v>0</v>
      </c>
      <c r="J900" s="16">
        <v>42</v>
      </c>
      <c r="K900" s="18">
        <v>2</v>
      </c>
      <c r="L900" s="172">
        <v>0</v>
      </c>
      <c r="M900" s="176">
        <v>0</v>
      </c>
      <c r="N900" s="176">
        <v>0</v>
      </c>
      <c r="O900" s="176">
        <v>1</v>
      </c>
      <c r="P900" s="176">
        <v>0</v>
      </c>
      <c r="Q900" s="176">
        <v>0</v>
      </c>
      <c r="R900" s="176">
        <v>0</v>
      </c>
      <c r="S900" s="175">
        <v>0</v>
      </c>
      <c r="T900" s="174">
        <v>0</v>
      </c>
      <c r="U900" s="172">
        <v>1</v>
      </c>
      <c r="V900" s="176">
        <v>2</v>
      </c>
      <c r="W900" s="176">
        <v>0</v>
      </c>
      <c r="X900" s="176">
        <v>0.9</v>
      </c>
      <c r="Y900" s="12">
        <v>0</v>
      </c>
      <c r="Z900" s="176">
        <v>800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3" t="s">
        <v>1557</v>
      </c>
      <c r="AX900" s="176" t="s">
        <v>1408</v>
      </c>
      <c r="AY900" s="176">
        <v>10002001</v>
      </c>
      <c r="AZ900" s="176">
        <v>21201030</v>
      </c>
      <c r="BA900" s="203" t="s">
        <v>315</v>
      </c>
      <c r="BB900" s="203" t="s">
        <v>371</v>
      </c>
      <c r="BC900" s="174">
        <v>0</v>
      </c>
      <c r="BD900" s="174">
        <v>0</v>
      </c>
      <c r="BE900" s="208" t="str">
        <f t="shared" si="95"/>
        <v>在脚底下立即释放法术,在此范围内的目标每秒造成90%攻击伤害+800点固定伤害,目标移动速度降低50%,持续10秒</v>
      </c>
      <c r="BF900" s="208" t="s">
        <v>2033</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20.100000000000001" customHeight="1">
      <c r="C901" s="172">
        <v>63021304</v>
      </c>
      <c r="D901" s="203" t="s">
        <v>2030</v>
      </c>
      <c r="E901" s="203" t="s">
        <v>2031</v>
      </c>
      <c r="F901" s="176">
        <v>3</v>
      </c>
      <c r="G901" s="176">
        <v>63021301</v>
      </c>
      <c r="H901" s="172">
        <v>0</v>
      </c>
      <c r="I901" s="174">
        <v>0</v>
      </c>
      <c r="J901" s="18">
        <v>0</v>
      </c>
      <c r="K901" s="18">
        <v>0</v>
      </c>
      <c r="L901" s="172">
        <v>0</v>
      </c>
      <c r="M901" s="176">
        <v>0</v>
      </c>
      <c r="N901" s="176">
        <v>0</v>
      </c>
      <c r="O901" s="176">
        <v>1</v>
      </c>
      <c r="P901" s="176">
        <v>0</v>
      </c>
      <c r="Q901" s="176">
        <v>0</v>
      </c>
      <c r="R901" s="176">
        <v>0</v>
      </c>
      <c r="S901" s="175">
        <v>0</v>
      </c>
      <c r="T901" s="174">
        <v>0</v>
      </c>
      <c r="U901" s="172">
        <v>1</v>
      </c>
      <c r="V901" s="176">
        <v>2</v>
      </c>
      <c r="W901" s="176">
        <v>0</v>
      </c>
      <c r="X901" s="176">
        <v>1</v>
      </c>
      <c r="Y901" s="12">
        <v>0</v>
      </c>
      <c r="Z901" s="176">
        <v>1150</v>
      </c>
      <c r="AA901" s="176">
        <v>0</v>
      </c>
      <c r="AB901" s="176">
        <v>25</v>
      </c>
      <c r="AC901" s="176">
        <v>0</v>
      </c>
      <c r="AD901" s="176">
        <v>0</v>
      </c>
      <c r="AE901" s="176">
        <v>0</v>
      </c>
      <c r="AF901" s="176">
        <v>9</v>
      </c>
      <c r="AG901" s="176">
        <v>1</v>
      </c>
      <c r="AH901" s="176">
        <v>4</v>
      </c>
      <c r="AI901" s="175">
        <v>2</v>
      </c>
      <c r="AJ901" s="175">
        <v>1</v>
      </c>
      <c r="AK901" s="175">
        <v>0</v>
      </c>
      <c r="AL901" s="175">
        <v>8</v>
      </c>
      <c r="AM901" s="176">
        <v>0</v>
      </c>
      <c r="AN901" s="176">
        <v>0</v>
      </c>
      <c r="AO901" s="176">
        <v>0</v>
      </c>
      <c r="AP901" s="176">
        <v>0.5</v>
      </c>
      <c r="AQ901" s="176">
        <v>10000</v>
      </c>
      <c r="AR901" s="176">
        <v>0.5</v>
      </c>
      <c r="AS901" s="176">
        <v>0</v>
      </c>
      <c r="AT901" s="175">
        <v>0</v>
      </c>
      <c r="AU901" s="12">
        <v>90000011</v>
      </c>
      <c r="AV901" s="12"/>
      <c r="AW901" s="203" t="s">
        <v>1557</v>
      </c>
      <c r="AX901" s="176" t="s">
        <v>1408</v>
      </c>
      <c r="AY901" s="176">
        <v>10002001</v>
      </c>
      <c r="AZ901" s="176">
        <v>21201030</v>
      </c>
      <c r="BA901" s="203" t="s">
        <v>315</v>
      </c>
      <c r="BB901" s="203" t="s">
        <v>371</v>
      </c>
      <c r="BC901" s="174">
        <v>0</v>
      </c>
      <c r="BD901" s="174">
        <v>0</v>
      </c>
      <c r="BE901" s="208" t="str">
        <f t="shared" si="95"/>
        <v>在脚底下立即释放法术,在此范围内的目标每秒造成100%攻击伤害+1150点固定伤害,目标移动速度降低50%,持续10秒</v>
      </c>
      <c r="BF901" s="208" t="s">
        <v>2034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20.100000000000001" customHeight="1">
      <c r="C902" s="172">
        <v>63021305</v>
      </c>
      <c r="D902" s="203" t="s">
        <v>2030</v>
      </c>
      <c r="E902" s="203" t="s">
        <v>2031</v>
      </c>
      <c r="F902" s="176">
        <v>4</v>
      </c>
      <c r="G902" s="176">
        <v>63021301</v>
      </c>
      <c r="H902" s="172">
        <v>0</v>
      </c>
      <c r="I902" s="174">
        <v>0</v>
      </c>
      <c r="J902" s="18">
        <v>0</v>
      </c>
      <c r="K902" s="18">
        <v>0</v>
      </c>
      <c r="L902" s="172">
        <v>0</v>
      </c>
      <c r="M902" s="176">
        <v>0</v>
      </c>
      <c r="N902" s="176">
        <v>0</v>
      </c>
      <c r="O902" s="176">
        <v>1</v>
      </c>
      <c r="P902" s="176">
        <v>0</v>
      </c>
      <c r="Q902" s="176">
        <v>0</v>
      </c>
      <c r="R902" s="176">
        <v>0</v>
      </c>
      <c r="S902" s="175">
        <v>0</v>
      </c>
      <c r="T902" s="174">
        <v>0</v>
      </c>
      <c r="U902" s="172">
        <v>1</v>
      </c>
      <c r="V902" s="176">
        <v>2</v>
      </c>
      <c r="W902" s="176">
        <v>0</v>
      </c>
      <c r="X902" s="176">
        <v>1.1000000000000001</v>
      </c>
      <c r="Y902" s="12">
        <v>0</v>
      </c>
      <c r="Z902" s="176">
        <v>1550</v>
      </c>
      <c r="AA902" s="176">
        <v>0</v>
      </c>
      <c r="AB902" s="176">
        <v>25</v>
      </c>
      <c r="AC902" s="176">
        <v>0</v>
      </c>
      <c r="AD902" s="176">
        <v>0</v>
      </c>
      <c r="AE902" s="176">
        <v>0</v>
      </c>
      <c r="AF902" s="176">
        <v>9</v>
      </c>
      <c r="AG902" s="176">
        <v>1</v>
      </c>
      <c r="AH902" s="176">
        <v>4</v>
      </c>
      <c r="AI902" s="175">
        <v>2</v>
      </c>
      <c r="AJ902" s="175">
        <v>1</v>
      </c>
      <c r="AK902" s="175">
        <v>0</v>
      </c>
      <c r="AL902" s="175">
        <v>8</v>
      </c>
      <c r="AM902" s="176">
        <v>0</v>
      </c>
      <c r="AN902" s="176">
        <v>0</v>
      </c>
      <c r="AO902" s="176">
        <v>0</v>
      </c>
      <c r="AP902" s="176">
        <v>0.5</v>
      </c>
      <c r="AQ902" s="176">
        <v>10000</v>
      </c>
      <c r="AR902" s="176">
        <v>0.5</v>
      </c>
      <c r="AS902" s="176">
        <v>0</v>
      </c>
      <c r="AT902" s="175">
        <v>0</v>
      </c>
      <c r="AU902" s="12">
        <v>90000011</v>
      </c>
      <c r="AV902" s="12"/>
      <c r="AW902" s="203" t="s">
        <v>1557</v>
      </c>
      <c r="AX902" s="176" t="s">
        <v>1408</v>
      </c>
      <c r="AY902" s="176">
        <v>10002001</v>
      </c>
      <c r="AZ902" s="176">
        <v>21201030</v>
      </c>
      <c r="BA902" s="203" t="s">
        <v>315</v>
      </c>
      <c r="BB902" s="203" t="s">
        <v>371</v>
      </c>
      <c r="BC902" s="174">
        <v>0</v>
      </c>
      <c r="BD902" s="174">
        <v>0</v>
      </c>
      <c r="BE902" s="208" t="str">
        <f t="shared" si="95"/>
        <v>在脚底下立即释放法术,在此范围内的目标每秒造成110%攻击伤害+1550点固定伤害,目标移动速度降低50%,持续10秒</v>
      </c>
      <c r="BF902" s="208" t="s">
        <v>2035</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20.100000000000001" customHeight="1">
      <c r="C903" s="172">
        <v>63021306</v>
      </c>
      <c r="D903" s="203" t="s">
        <v>2030</v>
      </c>
      <c r="E903" s="203" t="s">
        <v>2031</v>
      </c>
      <c r="F903" s="176">
        <v>5</v>
      </c>
      <c r="G903" s="176">
        <v>63021301</v>
      </c>
      <c r="H903" s="176">
        <v>0</v>
      </c>
      <c r="I903" s="174">
        <v>0</v>
      </c>
      <c r="J903" s="18">
        <v>0</v>
      </c>
      <c r="K903" s="18">
        <v>0</v>
      </c>
      <c r="L903" s="172">
        <v>0</v>
      </c>
      <c r="M903" s="176">
        <v>0</v>
      </c>
      <c r="N903" s="176">
        <v>0</v>
      </c>
      <c r="O903" s="176">
        <v>1</v>
      </c>
      <c r="P903" s="176">
        <v>0</v>
      </c>
      <c r="Q903" s="176">
        <v>0</v>
      </c>
      <c r="R903" s="176">
        <v>0</v>
      </c>
      <c r="S903" s="175">
        <v>0</v>
      </c>
      <c r="T903" s="174">
        <v>0</v>
      </c>
      <c r="U903" s="172">
        <v>1</v>
      </c>
      <c r="V903" s="176">
        <v>2</v>
      </c>
      <c r="W903" s="176">
        <v>0</v>
      </c>
      <c r="X903" s="176">
        <v>1.2</v>
      </c>
      <c r="Y903" s="12">
        <v>0</v>
      </c>
      <c r="Z903" s="176">
        <v>2050</v>
      </c>
      <c r="AA903" s="176">
        <v>0</v>
      </c>
      <c r="AB903" s="176">
        <v>25</v>
      </c>
      <c r="AC903" s="176">
        <v>0</v>
      </c>
      <c r="AD903" s="176">
        <v>0</v>
      </c>
      <c r="AE903" s="176">
        <v>0</v>
      </c>
      <c r="AF903" s="176">
        <v>9</v>
      </c>
      <c r="AG903" s="176">
        <v>1</v>
      </c>
      <c r="AH903" s="176">
        <v>4</v>
      </c>
      <c r="AI903" s="175">
        <v>2</v>
      </c>
      <c r="AJ903" s="175">
        <v>1</v>
      </c>
      <c r="AK903" s="175">
        <v>0</v>
      </c>
      <c r="AL903" s="175">
        <v>8</v>
      </c>
      <c r="AM903" s="176">
        <v>0</v>
      </c>
      <c r="AN903" s="176">
        <v>0</v>
      </c>
      <c r="AO903" s="176">
        <v>0</v>
      </c>
      <c r="AP903" s="176">
        <v>0.5</v>
      </c>
      <c r="AQ903" s="176">
        <v>10000</v>
      </c>
      <c r="AR903" s="176">
        <v>0.5</v>
      </c>
      <c r="AS903" s="176">
        <v>0</v>
      </c>
      <c r="AT903" s="175">
        <v>0</v>
      </c>
      <c r="AU903" s="12">
        <v>90000011</v>
      </c>
      <c r="AV903" s="12"/>
      <c r="AW903" s="203" t="s">
        <v>1557</v>
      </c>
      <c r="AX903" s="176" t="s">
        <v>1408</v>
      </c>
      <c r="AY903" s="176">
        <v>10002001</v>
      </c>
      <c r="AZ903" s="176">
        <v>21201030</v>
      </c>
      <c r="BA903" s="203" t="s">
        <v>315</v>
      </c>
      <c r="BB903" s="203" t="s">
        <v>371</v>
      </c>
      <c r="BC903" s="174">
        <v>0</v>
      </c>
      <c r="BD903" s="174">
        <v>0</v>
      </c>
      <c r="BE903" s="208" t="str">
        <f t="shared" si="95"/>
        <v>在脚底下立即释放法术,在此范围内的目标每秒造成120%攻击伤害+2050点固定伤害,目标移动速度降低50%,持续10秒</v>
      </c>
      <c r="BF903" s="208" t="s">
        <v>2036</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63021401</v>
      </c>
      <c r="D904" s="203" t="s">
        <v>2037</v>
      </c>
      <c r="E904" s="203" t="s">
        <v>2038</v>
      </c>
      <c r="F904" s="176">
        <v>0</v>
      </c>
      <c r="G904" s="176">
        <v>63021401</v>
      </c>
      <c r="H904" s="172">
        <f t="shared" ref="H904:H906" si="96">C905</f>
        <v>63021402</v>
      </c>
      <c r="I904" s="174">
        <v>0</v>
      </c>
      <c r="J904" s="16">
        <v>35</v>
      </c>
      <c r="K904" s="18">
        <v>5</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3" t="s">
        <v>2039</v>
      </c>
      <c r="BB904" s="354" t="s">
        <v>2040</v>
      </c>
      <c r="BC904" s="174">
        <v>0</v>
      </c>
      <c r="BD904" s="174">
        <v>0</v>
      </c>
      <c r="BE904" s="209" t="s">
        <v>2041</v>
      </c>
      <c r="BF904" s="209" t="s">
        <v>2042</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63021402</v>
      </c>
      <c r="D905" s="203" t="s">
        <v>2037</v>
      </c>
      <c r="E905" s="203" t="s">
        <v>2038</v>
      </c>
      <c r="F905" s="176">
        <v>1</v>
      </c>
      <c r="G905" s="176">
        <v>63021401</v>
      </c>
      <c r="H905" s="172">
        <f t="shared" si="96"/>
        <v>63021403</v>
      </c>
      <c r="I905" s="174">
        <v>0</v>
      </c>
      <c r="J905" s="16">
        <v>42</v>
      </c>
      <c r="K905" s="18">
        <v>2</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3" t="s">
        <v>2039</v>
      </c>
      <c r="BB905" s="354" t="s">
        <v>2040</v>
      </c>
      <c r="BC905" s="174">
        <v>0</v>
      </c>
      <c r="BD905" s="174">
        <v>0</v>
      </c>
      <c r="BE905" s="209" t="s">
        <v>2041</v>
      </c>
      <c r="BF905" s="209" t="s">
        <v>2042</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63021403</v>
      </c>
      <c r="D906" s="203" t="s">
        <v>2037</v>
      </c>
      <c r="E906" s="203" t="s">
        <v>2038</v>
      </c>
      <c r="F906" s="176">
        <v>2</v>
      </c>
      <c r="G906" s="176">
        <v>63021401</v>
      </c>
      <c r="H906" s="172">
        <f t="shared" si="96"/>
        <v>63021404</v>
      </c>
      <c r="I906" s="174">
        <v>0</v>
      </c>
      <c r="J906" s="16">
        <v>47</v>
      </c>
      <c r="K906" s="18">
        <v>2</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3" t="s">
        <v>2039</v>
      </c>
      <c r="BB906" s="354" t="s">
        <v>2043</v>
      </c>
      <c r="BC906" s="174">
        <v>0</v>
      </c>
      <c r="BD906" s="174">
        <v>0</v>
      </c>
      <c r="BE906" s="209" t="s">
        <v>2044</v>
      </c>
      <c r="BF906" s="209" t="s">
        <v>2045</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19.5" customHeight="1">
      <c r="C907" s="172">
        <v>63021404</v>
      </c>
      <c r="D907" s="203" t="s">
        <v>2037</v>
      </c>
      <c r="E907" s="203" t="s">
        <v>2038</v>
      </c>
      <c r="F907" s="176">
        <v>3</v>
      </c>
      <c r="G907" s="176">
        <v>63021401</v>
      </c>
      <c r="H907" s="172">
        <v>0</v>
      </c>
      <c r="I907" s="174">
        <v>0</v>
      </c>
      <c r="J907" s="18">
        <v>0</v>
      </c>
      <c r="K907" s="18">
        <v>0</v>
      </c>
      <c r="L907" s="176">
        <v>0</v>
      </c>
      <c r="M907" s="176">
        <v>0</v>
      </c>
      <c r="N907" s="176">
        <v>0</v>
      </c>
      <c r="O907" s="172">
        <v>1</v>
      </c>
      <c r="P907" s="176">
        <v>0</v>
      </c>
      <c r="Q907" s="176">
        <v>0</v>
      </c>
      <c r="R907" s="176">
        <v>0</v>
      </c>
      <c r="S907" s="175">
        <v>0</v>
      </c>
      <c r="T907" s="174">
        <v>0</v>
      </c>
      <c r="U907" s="172">
        <v>1</v>
      </c>
      <c r="V907" s="176">
        <v>2</v>
      </c>
      <c r="W907" s="176">
        <v>0</v>
      </c>
      <c r="X907" s="176">
        <v>0</v>
      </c>
      <c r="Y907" s="12">
        <v>0</v>
      </c>
      <c r="Z907" s="176">
        <v>0</v>
      </c>
      <c r="AA907" s="176">
        <v>0</v>
      </c>
      <c r="AB907" s="176">
        <v>20</v>
      </c>
      <c r="AC907" s="176">
        <v>0</v>
      </c>
      <c r="AD907" s="176">
        <v>0</v>
      </c>
      <c r="AE907" s="176">
        <v>0</v>
      </c>
      <c r="AF907" s="176">
        <v>30</v>
      </c>
      <c r="AG907" s="176">
        <v>1</v>
      </c>
      <c r="AH907" s="176">
        <v>2</v>
      </c>
      <c r="AI907" s="175">
        <v>2</v>
      </c>
      <c r="AJ907" s="175">
        <v>1</v>
      </c>
      <c r="AK907" s="175">
        <v>0</v>
      </c>
      <c r="AL907" s="175">
        <v>5</v>
      </c>
      <c r="AM907" s="176">
        <v>0</v>
      </c>
      <c r="AN907" s="176">
        <v>0</v>
      </c>
      <c r="AO907" s="176">
        <v>0</v>
      </c>
      <c r="AP907" s="176">
        <v>0.5</v>
      </c>
      <c r="AQ907" s="176">
        <v>2000</v>
      </c>
      <c r="AR907" s="176">
        <v>0</v>
      </c>
      <c r="AS907" s="176">
        <v>0</v>
      </c>
      <c r="AT907" s="175">
        <v>0</v>
      </c>
      <c r="AU907" s="176" t="s">
        <v>198</v>
      </c>
      <c r="AV907" s="176"/>
      <c r="AW907" s="173" t="s">
        <v>1648</v>
      </c>
      <c r="AX907" s="176" t="s">
        <v>1041</v>
      </c>
      <c r="AY907" s="176">
        <v>0</v>
      </c>
      <c r="AZ907" s="176">
        <v>21201040</v>
      </c>
      <c r="BA907" s="203" t="s">
        <v>2039</v>
      </c>
      <c r="BB907" s="354" t="s">
        <v>2046</v>
      </c>
      <c r="BC907" s="174">
        <v>0</v>
      </c>
      <c r="BD907" s="174">
        <v>0</v>
      </c>
      <c r="BE907" s="209" t="s">
        <v>2047</v>
      </c>
      <c r="BF907" s="209" t="s">
        <v>2048</v>
      </c>
      <c r="BG907" s="176">
        <v>0</v>
      </c>
      <c r="BH907" s="172">
        <v>0</v>
      </c>
      <c r="BI907" s="176">
        <v>0</v>
      </c>
      <c r="BJ907" s="176">
        <v>0</v>
      </c>
      <c r="BK907" s="176">
        <v>0</v>
      </c>
      <c r="BL907" s="176">
        <v>0</v>
      </c>
      <c r="BM907" s="178">
        <v>0</v>
      </c>
      <c r="BN907" s="175">
        <v>0</v>
      </c>
      <c r="BO907" s="175">
        <v>0</v>
      </c>
      <c r="BP907" s="175">
        <v>0</v>
      </c>
      <c r="BQ907" s="175">
        <v>0</v>
      </c>
      <c r="BR907" s="175">
        <v>0</v>
      </c>
      <c r="BS907" s="175">
        <v>0</v>
      </c>
      <c r="BT907" s="12">
        <v>0</v>
      </c>
      <c r="BU907" s="47">
        <v>0</v>
      </c>
      <c r="BV907" s="47"/>
      <c r="BW907" s="47"/>
    </row>
    <row r="908" spans="3:75" ht="19.5" customHeight="1">
      <c r="C908" s="172">
        <v>63021405</v>
      </c>
      <c r="D908" s="203" t="s">
        <v>2037</v>
      </c>
      <c r="E908" s="203" t="s">
        <v>2038</v>
      </c>
      <c r="F908" s="176">
        <v>4</v>
      </c>
      <c r="G908" s="176">
        <v>63021401</v>
      </c>
      <c r="H908" s="172">
        <v>0</v>
      </c>
      <c r="I908" s="174">
        <v>0</v>
      </c>
      <c r="J908" s="18">
        <v>0</v>
      </c>
      <c r="K908" s="18">
        <v>0</v>
      </c>
      <c r="L908" s="176">
        <v>0</v>
      </c>
      <c r="M908" s="176">
        <v>0</v>
      </c>
      <c r="N908" s="176">
        <v>0</v>
      </c>
      <c r="O908" s="172">
        <v>1</v>
      </c>
      <c r="P908" s="176">
        <v>0</v>
      </c>
      <c r="Q908" s="176">
        <v>0</v>
      </c>
      <c r="R908" s="176">
        <v>0</v>
      </c>
      <c r="S908" s="175">
        <v>0</v>
      </c>
      <c r="T908" s="174">
        <v>0</v>
      </c>
      <c r="U908" s="172">
        <v>1</v>
      </c>
      <c r="V908" s="176">
        <v>2</v>
      </c>
      <c r="W908" s="176">
        <v>0</v>
      </c>
      <c r="X908" s="176">
        <v>0</v>
      </c>
      <c r="Y908" s="12">
        <v>0</v>
      </c>
      <c r="Z908" s="176">
        <v>0</v>
      </c>
      <c r="AA908" s="176">
        <v>0</v>
      </c>
      <c r="AB908" s="176">
        <v>20</v>
      </c>
      <c r="AC908" s="176">
        <v>0</v>
      </c>
      <c r="AD908" s="176">
        <v>0</v>
      </c>
      <c r="AE908" s="176">
        <v>0</v>
      </c>
      <c r="AF908" s="176">
        <v>30</v>
      </c>
      <c r="AG908" s="176">
        <v>1</v>
      </c>
      <c r="AH908" s="176">
        <v>2</v>
      </c>
      <c r="AI908" s="175">
        <v>2</v>
      </c>
      <c r="AJ908" s="175">
        <v>1</v>
      </c>
      <c r="AK908" s="175">
        <v>0</v>
      </c>
      <c r="AL908" s="175">
        <v>5</v>
      </c>
      <c r="AM908" s="176">
        <v>0</v>
      </c>
      <c r="AN908" s="176">
        <v>0</v>
      </c>
      <c r="AO908" s="176">
        <v>0</v>
      </c>
      <c r="AP908" s="176">
        <v>0.5</v>
      </c>
      <c r="AQ908" s="176">
        <v>2000</v>
      </c>
      <c r="AR908" s="176">
        <v>0</v>
      </c>
      <c r="AS908" s="176">
        <v>0</v>
      </c>
      <c r="AT908" s="175">
        <v>0</v>
      </c>
      <c r="AU908" s="176" t="s">
        <v>198</v>
      </c>
      <c r="AV908" s="176"/>
      <c r="AW908" s="173" t="s">
        <v>1648</v>
      </c>
      <c r="AX908" s="176" t="s">
        <v>1041</v>
      </c>
      <c r="AY908" s="176">
        <v>0</v>
      </c>
      <c r="AZ908" s="176">
        <v>21201040</v>
      </c>
      <c r="BA908" s="203" t="s">
        <v>2039</v>
      </c>
      <c r="BB908" s="354" t="s">
        <v>2049</v>
      </c>
      <c r="BC908" s="174">
        <v>0</v>
      </c>
      <c r="BD908" s="174">
        <v>0</v>
      </c>
      <c r="BE908" s="209" t="s">
        <v>2050</v>
      </c>
      <c r="BF908" s="209" t="s">
        <v>2051</v>
      </c>
      <c r="BG908" s="176">
        <v>0</v>
      </c>
      <c r="BH908" s="172">
        <v>0</v>
      </c>
      <c r="BI908" s="176">
        <v>0</v>
      </c>
      <c r="BJ908" s="176">
        <v>0</v>
      </c>
      <c r="BK908" s="176">
        <v>0</v>
      </c>
      <c r="BL908" s="176">
        <v>0</v>
      </c>
      <c r="BM908" s="178">
        <v>0</v>
      </c>
      <c r="BN908" s="175">
        <v>0</v>
      </c>
      <c r="BO908" s="175">
        <v>0</v>
      </c>
      <c r="BP908" s="175">
        <v>0</v>
      </c>
      <c r="BQ908" s="175">
        <v>0</v>
      </c>
      <c r="BR908" s="175">
        <v>0</v>
      </c>
      <c r="BS908" s="175">
        <v>0</v>
      </c>
      <c r="BT908" s="12">
        <v>0</v>
      </c>
      <c r="BU908" s="47">
        <v>0</v>
      </c>
      <c r="BV908" s="47"/>
      <c r="BW908" s="47"/>
    </row>
    <row r="909" spans="3:75" ht="19.5" customHeight="1">
      <c r="C909" s="172">
        <v>63021406</v>
      </c>
      <c r="D909" s="203" t="s">
        <v>2037</v>
      </c>
      <c r="E909" s="203" t="s">
        <v>2038</v>
      </c>
      <c r="F909" s="176">
        <v>5</v>
      </c>
      <c r="G909" s="176">
        <v>63021401</v>
      </c>
      <c r="H909" s="176">
        <v>0</v>
      </c>
      <c r="I909" s="174">
        <v>0</v>
      </c>
      <c r="J909" s="18">
        <v>0</v>
      </c>
      <c r="K909" s="18">
        <v>0</v>
      </c>
      <c r="L909" s="176">
        <v>0</v>
      </c>
      <c r="M909" s="176">
        <v>0</v>
      </c>
      <c r="N909" s="176">
        <v>0</v>
      </c>
      <c r="O909" s="172">
        <v>1</v>
      </c>
      <c r="P909" s="176">
        <v>0</v>
      </c>
      <c r="Q909" s="176">
        <v>0</v>
      </c>
      <c r="R909" s="176">
        <v>0</v>
      </c>
      <c r="S909" s="175">
        <v>0</v>
      </c>
      <c r="T909" s="174">
        <v>0</v>
      </c>
      <c r="U909" s="172">
        <v>1</v>
      </c>
      <c r="V909" s="176">
        <v>2</v>
      </c>
      <c r="W909" s="176">
        <v>0</v>
      </c>
      <c r="X909" s="176">
        <v>0</v>
      </c>
      <c r="Y909" s="12">
        <v>0</v>
      </c>
      <c r="Z909" s="176">
        <v>0</v>
      </c>
      <c r="AA909" s="176">
        <v>0</v>
      </c>
      <c r="AB909" s="176">
        <v>20</v>
      </c>
      <c r="AC909" s="176">
        <v>0</v>
      </c>
      <c r="AD909" s="176">
        <v>0</v>
      </c>
      <c r="AE909" s="176">
        <v>0</v>
      </c>
      <c r="AF909" s="176">
        <v>30</v>
      </c>
      <c r="AG909" s="176">
        <v>1</v>
      </c>
      <c r="AH909" s="176">
        <v>2</v>
      </c>
      <c r="AI909" s="175">
        <v>2</v>
      </c>
      <c r="AJ909" s="175">
        <v>1</v>
      </c>
      <c r="AK909" s="175">
        <v>0</v>
      </c>
      <c r="AL909" s="175">
        <v>5</v>
      </c>
      <c r="AM909" s="176">
        <v>0</v>
      </c>
      <c r="AN909" s="176">
        <v>0</v>
      </c>
      <c r="AO909" s="176">
        <v>0</v>
      </c>
      <c r="AP909" s="176">
        <v>0.5</v>
      </c>
      <c r="AQ909" s="176">
        <v>2000</v>
      </c>
      <c r="AR909" s="176">
        <v>0</v>
      </c>
      <c r="AS909" s="176">
        <v>0</v>
      </c>
      <c r="AT909" s="175">
        <v>0</v>
      </c>
      <c r="AU909" s="176" t="s">
        <v>198</v>
      </c>
      <c r="AV909" s="176"/>
      <c r="AW909" s="173" t="s">
        <v>1648</v>
      </c>
      <c r="AX909" s="176" t="s">
        <v>1041</v>
      </c>
      <c r="AY909" s="176">
        <v>0</v>
      </c>
      <c r="AZ909" s="176">
        <v>21201040</v>
      </c>
      <c r="BA909" s="203" t="s">
        <v>2039</v>
      </c>
      <c r="BB909" s="354" t="s">
        <v>2052</v>
      </c>
      <c r="BC909" s="174">
        <v>0</v>
      </c>
      <c r="BD909" s="174">
        <v>0</v>
      </c>
      <c r="BE909" s="209" t="s">
        <v>2053</v>
      </c>
      <c r="BF909" s="209" t="s">
        <v>2054</v>
      </c>
      <c r="BG909" s="176">
        <v>0</v>
      </c>
      <c r="BH909" s="172">
        <v>0</v>
      </c>
      <c r="BI909" s="176">
        <v>0</v>
      </c>
      <c r="BJ909" s="176">
        <v>0</v>
      </c>
      <c r="BK909" s="176">
        <v>0</v>
      </c>
      <c r="BL909" s="176">
        <v>0</v>
      </c>
      <c r="BM909" s="178">
        <v>0</v>
      </c>
      <c r="BN909" s="175">
        <v>0</v>
      </c>
      <c r="BO909" s="175">
        <v>0</v>
      </c>
      <c r="BP909" s="175">
        <v>0</v>
      </c>
      <c r="BQ909" s="175">
        <v>0</v>
      </c>
      <c r="BR909" s="175">
        <v>0</v>
      </c>
      <c r="BS909" s="175">
        <v>0</v>
      </c>
      <c r="BT909" s="12">
        <v>0</v>
      </c>
      <c r="BU909" s="47">
        <v>0</v>
      </c>
      <c r="BV909" s="47"/>
      <c r="BW909" s="47"/>
    </row>
    <row r="910" spans="3:75" ht="20.100000000000001" customHeight="1">
      <c r="C910" s="172">
        <v>63021411</v>
      </c>
      <c r="D910" s="17" t="s">
        <v>2055</v>
      </c>
      <c r="E910" s="17" t="s">
        <v>2056</v>
      </c>
      <c r="F910" s="16">
        <v>1</v>
      </c>
      <c r="G910" s="16">
        <v>60010500</v>
      </c>
      <c r="H910" s="18">
        <v>0</v>
      </c>
      <c r="I910" s="27">
        <v>0</v>
      </c>
      <c r="J910" s="18">
        <v>1</v>
      </c>
      <c r="K910" s="18">
        <v>0</v>
      </c>
      <c r="L910" s="18">
        <v>0</v>
      </c>
      <c r="M910" s="16">
        <v>0</v>
      </c>
      <c r="N910" s="16">
        <v>0</v>
      </c>
      <c r="O910" s="16">
        <v>5</v>
      </c>
      <c r="P910" s="16">
        <v>0</v>
      </c>
      <c r="Q910" s="16">
        <v>0</v>
      </c>
      <c r="R910" s="16">
        <v>0</v>
      </c>
      <c r="S910" s="12">
        <v>0</v>
      </c>
      <c r="T910" s="16">
        <v>0</v>
      </c>
      <c r="U910" s="16">
        <v>1</v>
      </c>
      <c r="V910" s="16">
        <v>2</v>
      </c>
      <c r="W910" s="16">
        <v>0</v>
      </c>
      <c r="X910" s="16">
        <v>0</v>
      </c>
      <c r="Y910" s="12">
        <v>0</v>
      </c>
      <c r="Z910" s="16">
        <v>0</v>
      </c>
      <c r="AA910" s="16">
        <v>0</v>
      </c>
      <c r="AB910" s="16">
        <v>0</v>
      </c>
      <c r="AC910" s="16">
        <v>0</v>
      </c>
      <c r="AD910" s="16">
        <v>0</v>
      </c>
      <c r="AE910" s="16">
        <v>0</v>
      </c>
      <c r="AF910" s="16">
        <v>9</v>
      </c>
      <c r="AG910" s="16">
        <v>2</v>
      </c>
      <c r="AH910" s="16" t="s">
        <v>213</v>
      </c>
      <c r="AI910" s="12">
        <v>2</v>
      </c>
      <c r="AJ910" s="12">
        <v>2</v>
      </c>
      <c r="AK910" s="12">
        <v>0</v>
      </c>
      <c r="AL910" s="12">
        <v>1.5</v>
      </c>
      <c r="AM910" s="16">
        <v>0</v>
      </c>
      <c r="AN910" s="16">
        <v>0</v>
      </c>
      <c r="AO910" s="16">
        <v>0</v>
      </c>
      <c r="AP910" s="16">
        <v>0</v>
      </c>
      <c r="AQ910" s="16">
        <v>3000</v>
      </c>
      <c r="AR910" s="16">
        <v>0.5</v>
      </c>
      <c r="AS910" s="16">
        <v>0</v>
      </c>
      <c r="AT910" s="12">
        <v>0</v>
      </c>
      <c r="AU910" s="16" t="s">
        <v>198</v>
      </c>
      <c r="AV910" s="16"/>
      <c r="AW910" s="17" t="s">
        <v>199</v>
      </c>
      <c r="AX910" s="16">
        <v>0</v>
      </c>
      <c r="AY910" s="18">
        <v>0</v>
      </c>
      <c r="AZ910" s="18">
        <v>0</v>
      </c>
      <c r="BA910" s="17" t="s">
        <v>200</v>
      </c>
      <c r="BB910" s="16" t="s">
        <v>2057</v>
      </c>
      <c r="BC910" s="27">
        <v>0</v>
      </c>
      <c r="BD910" s="27">
        <v>0</v>
      </c>
      <c r="BE910" s="44" t="s">
        <v>2058</v>
      </c>
      <c r="BF910" s="44" t="s">
        <v>2059</v>
      </c>
      <c r="BG910" s="16"/>
      <c r="BH910" s="16">
        <v>0</v>
      </c>
      <c r="BI910" s="16"/>
      <c r="BJ910" s="16"/>
      <c r="BK910" s="16"/>
      <c r="BL910" s="18"/>
      <c r="BM910" s="16">
        <v>0</v>
      </c>
      <c r="BN910" s="12">
        <v>0</v>
      </c>
      <c r="BO910" s="12">
        <v>0</v>
      </c>
      <c r="BP910" s="12">
        <v>0</v>
      </c>
      <c r="BQ910" s="12">
        <v>0</v>
      </c>
      <c r="BR910" s="12">
        <v>0</v>
      </c>
      <c r="BS910" s="12">
        <v>0</v>
      </c>
      <c r="BT910" s="12">
        <v>0</v>
      </c>
      <c r="BU910" s="47">
        <v>0</v>
      </c>
      <c r="BV910" s="47"/>
      <c r="BW910" s="47"/>
    </row>
    <row r="911" spans="3:75" ht="20.100000000000001" customHeight="1">
      <c r="C911" s="172">
        <v>63021412</v>
      </c>
      <c r="D911" s="17" t="s">
        <v>2060</v>
      </c>
      <c r="E911" s="17" t="s">
        <v>2061</v>
      </c>
      <c r="F911" s="16">
        <v>1</v>
      </c>
      <c r="G911" s="16">
        <v>60010500</v>
      </c>
      <c r="H911" s="18">
        <v>0</v>
      </c>
      <c r="I911" s="27">
        <v>0</v>
      </c>
      <c r="J911" s="18">
        <v>1</v>
      </c>
      <c r="K911" s="18">
        <v>0</v>
      </c>
      <c r="L911" s="18">
        <v>0</v>
      </c>
      <c r="M911" s="16">
        <v>0</v>
      </c>
      <c r="N911" s="16">
        <v>0</v>
      </c>
      <c r="O911" s="16">
        <v>5</v>
      </c>
      <c r="P911" s="16">
        <v>0</v>
      </c>
      <c r="Q911" s="16">
        <v>0</v>
      </c>
      <c r="R911" s="16">
        <v>0</v>
      </c>
      <c r="S911" s="12">
        <v>0</v>
      </c>
      <c r="T911" s="16">
        <v>0</v>
      </c>
      <c r="U911" s="16">
        <v>1</v>
      </c>
      <c r="V911" s="16">
        <v>2</v>
      </c>
      <c r="W911" s="16">
        <v>0</v>
      </c>
      <c r="X911" s="16">
        <v>0</v>
      </c>
      <c r="Y911" s="12">
        <v>0</v>
      </c>
      <c r="Z911" s="16">
        <v>0</v>
      </c>
      <c r="AA911" s="16">
        <v>0</v>
      </c>
      <c r="AB911" s="16">
        <v>0</v>
      </c>
      <c r="AC911" s="16">
        <v>0</v>
      </c>
      <c r="AD911" s="16">
        <v>0</v>
      </c>
      <c r="AE911" s="16">
        <v>0</v>
      </c>
      <c r="AF911" s="16">
        <v>9</v>
      </c>
      <c r="AG911" s="16">
        <v>2</v>
      </c>
      <c r="AH911" s="16" t="s">
        <v>213</v>
      </c>
      <c r="AI911" s="12">
        <v>2</v>
      </c>
      <c r="AJ911" s="12">
        <v>2</v>
      </c>
      <c r="AK911" s="12">
        <v>0</v>
      </c>
      <c r="AL911" s="12">
        <v>1.5</v>
      </c>
      <c r="AM911" s="16">
        <v>0</v>
      </c>
      <c r="AN911" s="16">
        <v>0</v>
      </c>
      <c r="AO911" s="16">
        <v>0</v>
      </c>
      <c r="AP911" s="16">
        <v>0</v>
      </c>
      <c r="AQ911" s="16">
        <v>3000</v>
      </c>
      <c r="AR911" s="16">
        <v>0.5</v>
      </c>
      <c r="AS911" s="16">
        <v>0</v>
      </c>
      <c r="AT911" s="12">
        <v>0</v>
      </c>
      <c r="AU911" s="16" t="s">
        <v>198</v>
      </c>
      <c r="AV911" s="16"/>
      <c r="AW911" s="17" t="s">
        <v>199</v>
      </c>
      <c r="AX911" s="16">
        <v>0</v>
      </c>
      <c r="AY911" s="18">
        <v>0</v>
      </c>
      <c r="AZ911" s="18">
        <v>0</v>
      </c>
      <c r="BA911" s="17" t="s">
        <v>200</v>
      </c>
      <c r="BB911" s="16" t="s">
        <v>2062</v>
      </c>
      <c r="BC911" s="27">
        <v>0</v>
      </c>
      <c r="BD911" s="27">
        <v>0</v>
      </c>
      <c r="BE911" s="44" t="s">
        <v>2063</v>
      </c>
      <c r="BF911" s="44" t="s">
        <v>2064</v>
      </c>
      <c r="BG911" s="16"/>
      <c r="BH911" s="16">
        <v>0</v>
      </c>
      <c r="BI911" s="16"/>
      <c r="BJ911" s="16"/>
      <c r="BK911" s="16"/>
      <c r="BL911" s="18"/>
      <c r="BM911" s="16">
        <v>0</v>
      </c>
      <c r="BN911" s="12">
        <v>0</v>
      </c>
      <c r="BO911" s="12">
        <v>0</v>
      </c>
      <c r="BP911" s="12">
        <v>0</v>
      </c>
      <c r="BQ911" s="12">
        <v>0</v>
      </c>
      <c r="BR911" s="12">
        <v>0</v>
      </c>
      <c r="BS911" s="12">
        <v>0</v>
      </c>
      <c r="BT911" s="12">
        <v>0</v>
      </c>
      <c r="BU911" s="47">
        <v>0</v>
      </c>
      <c r="BV911" s="47"/>
      <c r="BW911" s="47"/>
    </row>
    <row r="912" spans="3:75" ht="20.100000000000001" customHeight="1">
      <c r="C912" s="172">
        <v>63021413</v>
      </c>
      <c r="D912" s="17" t="s">
        <v>2065</v>
      </c>
      <c r="E912" s="17" t="s">
        <v>2066</v>
      </c>
      <c r="F912" s="16">
        <v>1</v>
      </c>
      <c r="G912" s="16">
        <v>60010500</v>
      </c>
      <c r="H912" s="18">
        <v>0</v>
      </c>
      <c r="I912" s="27">
        <v>0</v>
      </c>
      <c r="J912" s="18">
        <v>1</v>
      </c>
      <c r="K912" s="18">
        <v>0</v>
      </c>
      <c r="L912" s="18">
        <v>0</v>
      </c>
      <c r="M912" s="16">
        <v>0</v>
      </c>
      <c r="N912" s="16">
        <v>0</v>
      </c>
      <c r="O912" s="16">
        <v>5</v>
      </c>
      <c r="P912" s="16">
        <v>0</v>
      </c>
      <c r="Q912" s="16">
        <v>0</v>
      </c>
      <c r="R912" s="16">
        <v>0</v>
      </c>
      <c r="S912" s="12">
        <v>0</v>
      </c>
      <c r="T912" s="16">
        <v>0</v>
      </c>
      <c r="U912" s="16">
        <v>1</v>
      </c>
      <c r="V912" s="16">
        <v>2</v>
      </c>
      <c r="W912" s="16">
        <v>0</v>
      </c>
      <c r="X912" s="16">
        <v>0</v>
      </c>
      <c r="Y912" s="12">
        <v>0</v>
      </c>
      <c r="Z912" s="16">
        <v>0</v>
      </c>
      <c r="AA912" s="16">
        <v>0</v>
      </c>
      <c r="AB912" s="16">
        <v>0</v>
      </c>
      <c r="AC912" s="16">
        <v>0</v>
      </c>
      <c r="AD912" s="16">
        <v>0</v>
      </c>
      <c r="AE912" s="16">
        <v>0</v>
      </c>
      <c r="AF912" s="16">
        <v>9</v>
      </c>
      <c r="AG912" s="16">
        <v>2</v>
      </c>
      <c r="AH912" s="16" t="s">
        <v>213</v>
      </c>
      <c r="AI912" s="12">
        <v>2</v>
      </c>
      <c r="AJ912" s="12">
        <v>2</v>
      </c>
      <c r="AK912" s="12">
        <v>0</v>
      </c>
      <c r="AL912" s="12">
        <v>1.5</v>
      </c>
      <c r="AM912" s="16">
        <v>0</v>
      </c>
      <c r="AN912" s="16">
        <v>0</v>
      </c>
      <c r="AO912" s="16">
        <v>0</v>
      </c>
      <c r="AP912" s="16">
        <v>0</v>
      </c>
      <c r="AQ912" s="16">
        <v>3000</v>
      </c>
      <c r="AR912" s="16">
        <v>0.5</v>
      </c>
      <c r="AS912" s="16">
        <v>0</v>
      </c>
      <c r="AT912" s="12">
        <v>0</v>
      </c>
      <c r="AU912" s="16" t="s">
        <v>198</v>
      </c>
      <c r="AV912" s="16"/>
      <c r="AW912" s="17" t="s">
        <v>199</v>
      </c>
      <c r="AX912" s="16">
        <v>0</v>
      </c>
      <c r="AY912" s="18">
        <v>0</v>
      </c>
      <c r="AZ912" s="18">
        <v>0</v>
      </c>
      <c r="BA912" s="17" t="s">
        <v>200</v>
      </c>
      <c r="BB912" s="16" t="s">
        <v>2067</v>
      </c>
      <c r="BC912" s="27">
        <v>0</v>
      </c>
      <c r="BD912" s="27">
        <v>0</v>
      </c>
      <c r="BE912" s="44" t="s">
        <v>2068</v>
      </c>
      <c r="BF912" s="44" t="s">
        <v>2069</v>
      </c>
      <c r="BG912" s="16"/>
      <c r="BH912" s="16">
        <v>0</v>
      </c>
      <c r="BI912" s="16"/>
      <c r="BJ912" s="16"/>
      <c r="BK912" s="16"/>
      <c r="BL912" s="18"/>
      <c r="BM912" s="16">
        <v>0</v>
      </c>
      <c r="BN912" s="12">
        <v>0</v>
      </c>
      <c r="BO912" s="12">
        <v>0</v>
      </c>
      <c r="BP912" s="12">
        <v>0</v>
      </c>
      <c r="BQ912" s="12">
        <v>0</v>
      </c>
      <c r="BR912" s="12">
        <v>0</v>
      </c>
      <c r="BS912" s="12">
        <v>0</v>
      </c>
      <c r="BT912" s="12">
        <v>0</v>
      </c>
      <c r="BU912" s="47">
        <v>0</v>
      </c>
      <c r="BV912" s="47"/>
      <c r="BW912" s="47"/>
    </row>
    <row r="913" spans="3:75" ht="19.5" customHeight="1">
      <c r="C913" s="172">
        <v>63022101</v>
      </c>
      <c r="D913" s="210" t="s">
        <v>2070</v>
      </c>
      <c r="E913" s="210" t="s">
        <v>2071</v>
      </c>
      <c r="F913" s="204">
        <v>0</v>
      </c>
      <c r="G913" s="204">
        <v>63022101</v>
      </c>
      <c r="H913" s="172">
        <f t="shared" ref="H913:H915" si="97">C914</f>
        <v>63022102</v>
      </c>
      <c r="I913" s="174">
        <v>0</v>
      </c>
      <c r="J913" s="16">
        <v>18</v>
      </c>
      <c r="K913" s="16">
        <v>5</v>
      </c>
      <c r="L913" s="204">
        <v>0</v>
      </c>
      <c r="M913" s="204">
        <v>0</v>
      </c>
      <c r="N913" s="204">
        <v>0</v>
      </c>
      <c r="O913" s="204">
        <v>1</v>
      </c>
      <c r="P913" s="204">
        <v>0</v>
      </c>
      <c r="Q913" s="204">
        <v>0</v>
      </c>
      <c r="R913" s="204">
        <v>0</v>
      </c>
      <c r="S913" s="204">
        <v>0</v>
      </c>
      <c r="T913" s="204">
        <v>0</v>
      </c>
      <c r="U913" s="204">
        <v>1</v>
      </c>
      <c r="V913" s="204">
        <v>2</v>
      </c>
      <c r="W913" s="176">
        <v>0</v>
      </c>
      <c r="X913" s="176">
        <v>3</v>
      </c>
      <c r="Y913" s="12">
        <v>0</v>
      </c>
      <c r="Z913" s="176">
        <v>1800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0" t="s">
        <v>199</v>
      </c>
      <c r="AX913" s="204" t="s">
        <v>1400</v>
      </c>
      <c r="AY913" s="204">
        <v>10003002</v>
      </c>
      <c r="AZ913" s="204">
        <v>21202010</v>
      </c>
      <c r="BA913" s="210" t="s">
        <v>586</v>
      </c>
      <c r="BB913" s="210">
        <v>0</v>
      </c>
      <c r="BC913" s="204">
        <v>0</v>
      </c>
      <c r="BD913" s="204">
        <v>0</v>
      </c>
      <c r="BE913" s="211" t="str">
        <f>"立即对目标范围内的怪物造成"&amp;X913*100&amp;"%攻击伤害+"&amp;Z913&amp;"点固定伤害"&amp;",并使目标移动速度降低50%,持续3秒,如果目标为怪物则附带易伤状态,使其受到伤害在提升20%,持续6秒"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3" s="211" t="s">
        <v>2072</v>
      </c>
      <c r="BG913" s="204">
        <v>0</v>
      </c>
      <c r="BH913" s="204">
        <v>0</v>
      </c>
      <c r="BI913" s="204">
        <v>0</v>
      </c>
      <c r="BJ913" s="204">
        <v>0</v>
      </c>
      <c r="BK913" s="204">
        <v>0</v>
      </c>
      <c r="BL913" s="204">
        <v>0</v>
      </c>
      <c r="BM913" s="213">
        <v>0</v>
      </c>
      <c r="BN913" s="204">
        <v>0</v>
      </c>
      <c r="BO913" s="204">
        <v>0</v>
      </c>
      <c r="BP913" s="204">
        <v>0</v>
      </c>
      <c r="BQ913" s="204">
        <v>0</v>
      </c>
      <c r="BR913" s="204">
        <v>0</v>
      </c>
      <c r="BS913" s="204">
        <v>0</v>
      </c>
      <c r="BT913" s="12">
        <v>0</v>
      </c>
      <c r="BU913" s="47">
        <v>0</v>
      </c>
      <c r="BV913" s="47"/>
      <c r="BW913" s="47"/>
    </row>
    <row r="914" spans="3:75" ht="19.5" customHeight="1">
      <c r="C914" s="172">
        <v>63022102</v>
      </c>
      <c r="D914" s="210" t="s">
        <v>2070</v>
      </c>
      <c r="E914" s="210" t="s">
        <v>2071</v>
      </c>
      <c r="F914" s="204">
        <v>1</v>
      </c>
      <c r="G914" s="204">
        <v>63022101</v>
      </c>
      <c r="H914" s="172">
        <f t="shared" si="97"/>
        <v>63022103</v>
      </c>
      <c r="I914" s="174">
        <v>0</v>
      </c>
      <c r="J914" s="16">
        <v>27</v>
      </c>
      <c r="K914" s="16">
        <v>2</v>
      </c>
      <c r="L914" s="204">
        <v>0</v>
      </c>
      <c r="M914" s="204">
        <v>0</v>
      </c>
      <c r="N914" s="204">
        <v>0</v>
      </c>
      <c r="O914" s="204">
        <v>1</v>
      </c>
      <c r="P914" s="204">
        <v>0</v>
      </c>
      <c r="Q914" s="204">
        <v>0</v>
      </c>
      <c r="R914" s="204">
        <v>0</v>
      </c>
      <c r="S914" s="204">
        <v>0</v>
      </c>
      <c r="T914" s="204">
        <v>0</v>
      </c>
      <c r="U914" s="204">
        <v>1</v>
      </c>
      <c r="V914" s="204">
        <v>2</v>
      </c>
      <c r="W914" s="176">
        <v>0</v>
      </c>
      <c r="X914" s="176">
        <v>3</v>
      </c>
      <c r="Y914" s="12">
        <v>0</v>
      </c>
      <c r="Z914" s="176">
        <v>1800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0" t="s">
        <v>199</v>
      </c>
      <c r="AX914" s="204" t="s">
        <v>1400</v>
      </c>
      <c r="AY914" s="204">
        <v>10003002</v>
      </c>
      <c r="AZ914" s="204">
        <v>21202010</v>
      </c>
      <c r="BA914" s="210" t="s">
        <v>586</v>
      </c>
      <c r="BB914" s="210">
        <v>0</v>
      </c>
      <c r="BC914" s="204">
        <v>0</v>
      </c>
      <c r="BD914" s="204">
        <v>0</v>
      </c>
      <c r="BE914" s="211" t="str">
        <f t="shared" ref="BE914:BE918" si="98">"立即对目标范围内的怪物造成"&amp;X914*100&amp;"%攻击伤害+"&amp;Z914&amp;"点固定伤害"&amp;",并使目标移动速度降低50%,持续3秒,如果目标为怪物则附带易伤状态,使其受到伤害在提升20%,持续6秒"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4" s="211" t="s">
        <v>2072</v>
      </c>
      <c r="BG914" s="204">
        <v>0</v>
      </c>
      <c r="BH914" s="204">
        <v>0</v>
      </c>
      <c r="BI914" s="204">
        <v>0</v>
      </c>
      <c r="BJ914" s="204">
        <v>0</v>
      </c>
      <c r="BK914" s="204">
        <v>0</v>
      </c>
      <c r="BL914" s="204">
        <v>0</v>
      </c>
      <c r="BM914" s="213">
        <v>0</v>
      </c>
      <c r="BN914" s="204">
        <v>0</v>
      </c>
      <c r="BO914" s="204">
        <v>0</v>
      </c>
      <c r="BP914" s="204">
        <v>0</v>
      </c>
      <c r="BQ914" s="204">
        <v>0</v>
      </c>
      <c r="BR914" s="204">
        <v>0</v>
      </c>
      <c r="BS914" s="204">
        <v>0</v>
      </c>
      <c r="BT914" s="12">
        <v>0</v>
      </c>
      <c r="BU914" s="47">
        <v>0</v>
      </c>
      <c r="BV914" s="47"/>
      <c r="BW914" s="47"/>
    </row>
    <row r="915" spans="3:75" ht="19.5" customHeight="1">
      <c r="C915" s="172">
        <v>63022103</v>
      </c>
      <c r="D915" s="210" t="s">
        <v>2070</v>
      </c>
      <c r="E915" s="210" t="s">
        <v>2071</v>
      </c>
      <c r="F915" s="204">
        <v>2</v>
      </c>
      <c r="G915" s="204">
        <v>63022101</v>
      </c>
      <c r="H915" s="172">
        <f t="shared" si="97"/>
        <v>63022104</v>
      </c>
      <c r="I915" s="174">
        <v>0</v>
      </c>
      <c r="J915" s="16">
        <v>32</v>
      </c>
      <c r="K915" s="16">
        <v>2</v>
      </c>
      <c r="L915" s="204">
        <v>0</v>
      </c>
      <c r="M915" s="204">
        <v>0</v>
      </c>
      <c r="N915" s="204">
        <v>0</v>
      </c>
      <c r="O915" s="204">
        <v>1</v>
      </c>
      <c r="P915" s="204">
        <v>0</v>
      </c>
      <c r="Q915" s="204">
        <v>0</v>
      </c>
      <c r="R915" s="204">
        <v>0</v>
      </c>
      <c r="S915" s="204">
        <v>0</v>
      </c>
      <c r="T915" s="204">
        <v>0</v>
      </c>
      <c r="U915" s="204">
        <v>1</v>
      </c>
      <c r="V915" s="204">
        <v>2</v>
      </c>
      <c r="W915" s="176">
        <v>0</v>
      </c>
      <c r="X915" s="176">
        <v>3.5</v>
      </c>
      <c r="Y915" s="12">
        <v>0</v>
      </c>
      <c r="Z915" s="176">
        <v>3600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0" t="s">
        <v>199</v>
      </c>
      <c r="AX915" s="204" t="s">
        <v>1400</v>
      </c>
      <c r="AY915" s="204">
        <v>10003002</v>
      </c>
      <c r="AZ915" s="204">
        <v>21202010</v>
      </c>
      <c r="BA915" s="210" t="s">
        <v>586</v>
      </c>
      <c r="BB915" s="210">
        <v>0</v>
      </c>
      <c r="BC915" s="204">
        <v>0</v>
      </c>
      <c r="BD915" s="204">
        <v>0</v>
      </c>
      <c r="BE915" s="211" t="str">
        <f t="shared" si="98"/>
        <v>立即对目标范围内的怪物造成350%攻击伤害+3600点固定伤害,并使目标移动速度降低50%,持续3秒,如果目标为怪物则附带易伤状态,使其受到伤害在提升20%,持续6秒</v>
      </c>
      <c r="BF915" s="211" t="s">
        <v>2073</v>
      </c>
      <c r="BG915" s="204">
        <v>0</v>
      </c>
      <c r="BH915" s="204">
        <v>0</v>
      </c>
      <c r="BI915" s="204">
        <v>0</v>
      </c>
      <c r="BJ915" s="204">
        <v>0</v>
      </c>
      <c r="BK915" s="204">
        <v>0</v>
      </c>
      <c r="BL915" s="204">
        <v>0</v>
      </c>
      <c r="BM915" s="213">
        <v>0</v>
      </c>
      <c r="BN915" s="204">
        <v>0</v>
      </c>
      <c r="BO915" s="204">
        <v>0</v>
      </c>
      <c r="BP915" s="204">
        <v>0</v>
      </c>
      <c r="BQ915" s="204">
        <v>0</v>
      </c>
      <c r="BR915" s="204">
        <v>0</v>
      </c>
      <c r="BS915" s="204">
        <v>0</v>
      </c>
      <c r="BT915" s="12">
        <v>0</v>
      </c>
      <c r="BU915" s="47">
        <v>0</v>
      </c>
      <c r="BV915" s="47"/>
      <c r="BW915" s="47"/>
    </row>
    <row r="916" spans="3:75" ht="19.5" customHeight="1">
      <c r="C916" s="172">
        <v>63022104</v>
      </c>
      <c r="D916" s="210" t="s">
        <v>2070</v>
      </c>
      <c r="E916" s="210" t="s">
        <v>2071</v>
      </c>
      <c r="F916" s="204">
        <v>3</v>
      </c>
      <c r="G916" s="204">
        <v>63022101</v>
      </c>
      <c r="H916" s="172">
        <v>0</v>
      </c>
      <c r="I916" s="174">
        <v>0</v>
      </c>
      <c r="J916" s="16">
        <v>0</v>
      </c>
      <c r="K916" s="179">
        <v>0</v>
      </c>
      <c r="L916" s="204">
        <v>0</v>
      </c>
      <c r="M916" s="204">
        <v>0</v>
      </c>
      <c r="N916" s="204">
        <v>0</v>
      </c>
      <c r="O916" s="204">
        <v>1</v>
      </c>
      <c r="P916" s="204">
        <v>0</v>
      </c>
      <c r="Q916" s="204">
        <v>0</v>
      </c>
      <c r="R916" s="204">
        <v>0</v>
      </c>
      <c r="S916" s="204">
        <v>0</v>
      </c>
      <c r="T916" s="204">
        <v>0</v>
      </c>
      <c r="U916" s="204">
        <v>1</v>
      </c>
      <c r="V916" s="204">
        <v>2</v>
      </c>
      <c r="W916" s="176">
        <v>0</v>
      </c>
      <c r="X916" s="176">
        <v>4</v>
      </c>
      <c r="Y916" s="12">
        <v>0</v>
      </c>
      <c r="Z916" s="176">
        <v>5600</v>
      </c>
      <c r="AA916" s="204">
        <v>0</v>
      </c>
      <c r="AB916" s="204">
        <v>15</v>
      </c>
      <c r="AC916" s="204">
        <v>0</v>
      </c>
      <c r="AD916" s="204">
        <v>0</v>
      </c>
      <c r="AE916" s="204">
        <v>0</v>
      </c>
      <c r="AF916" s="204">
        <v>9</v>
      </c>
      <c r="AG916" s="204">
        <v>1</v>
      </c>
      <c r="AH916" s="204">
        <v>3</v>
      </c>
      <c r="AI916" s="204">
        <v>2</v>
      </c>
      <c r="AJ916" s="204">
        <v>2</v>
      </c>
      <c r="AK916" s="204">
        <v>0</v>
      </c>
      <c r="AL916" s="204">
        <v>4</v>
      </c>
      <c r="AM916" s="204">
        <v>0</v>
      </c>
      <c r="AN916" s="204">
        <v>0</v>
      </c>
      <c r="AO916" s="204">
        <v>0</v>
      </c>
      <c r="AP916" s="204">
        <v>0.25</v>
      </c>
      <c r="AQ916" s="204">
        <v>1500</v>
      </c>
      <c r="AR916" s="204">
        <v>0.25</v>
      </c>
      <c r="AS916" s="204">
        <v>20</v>
      </c>
      <c r="AT916" s="204">
        <v>0</v>
      </c>
      <c r="AU916" s="204">
        <v>92002001</v>
      </c>
      <c r="AV916" s="204"/>
      <c r="AW916" s="210" t="s">
        <v>199</v>
      </c>
      <c r="AX916" s="204" t="s">
        <v>1400</v>
      </c>
      <c r="AY916" s="204">
        <v>10003002</v>
      </c>
      <c r="AZ916" s="204">
        <v>21202010</v>
      </c>
      <c r="BA916" s="210" t="s">
        <v>586</v>
      </c>
      <c r="BB916" s="210">
        <v>0</v>
      </c>
      <c r="BC916" s="204">
        <v>0</v>
      </c>
      <c r="BD916" s="204">
        <v>0</v>
      </c>
      <c r="BE916" s="211" t="str">
        <f t="shared" si="98"/>
        <v>立即对目标范围内的怪物造成400%攻击伤害+5600点固定伤害,并使目标移动速度降低50%,持续3秒,如果目标为怪物则附带易伤状态,使其受到伤害在提升20%,持续6秒</v>
      </c>
      <c r="BF916" s="211" t="s">
        <v>2074</v>
      </c>
      <c r="BG916" s="204">
        <v>0</v>
      </c>
      <c r="BH916" s="204">
        <v>0</v>
      </c>
      <c r="BI916" s="204">
        <v>0</v>
      </c>
      <c r="BJ916" s="204">
        <v>0</v>
      </c>
      <c r="BK916" s="204">
        <v>0</v>
      </c>
      <c r="BL916" s="204">
        <v>0</v>
      </c>
      <c r="BM916" s="213">
        <v>0</v>
      </c>
      <c r="BN916" s="204">
        <v>0</v>
      </c>
      <c r="BO916" s="204">
        <v>0</v>
      </c>
      <c r="BP916" s="204">
        <v>0</v>
      </c>
      <c r="BQ916" s="204">
        <v>0</v>
      </c>
      <c r="BR916" s="204">
        <v>0</v>
      </c>
      <c r="BS916" s="204">
        <v>0</v>
      </c>
      <c r="BT916" s="12">
        <v>0</v>
      </c>
      <c r="BU916" s="47">
        <v>0</v>
      </c>
      <c r="BV916" s="47"/>
      <c r="BW916" s="47"/>
    </row>
    <row r="917" spans="3:75" ht="19.5" customHeight="1">
      <c r="C917" s="172">
        <v>63022105</v>
      </c>
      <c r="D917" s="210" t="s">
        <v>2070</v>
      </c>
      <c r="E917" s="210" t="s">
        <v>2071</v>
      </c>
      <c r="F917" s="204">
        <v>4</v>
      </c>
      <c r="G917" s="204">
        <v>63022101</v>
      </c>
      <c r="H917" s="172">
        <v>0</v>
      </c>
      <c r="I917" s="174">
        <v>0</v>
      </c>
      <c r="J917" s="16">
        <v>0</v>
      </c>
      <c r="K917" s="16">
        <v>0</v>
      </c>
      <c r="L917" s="204">
        <v>0</v>
      </c>
      <c r="M917" s="204">
        <v>0</v>
      </c>
      <c r="N917" s="204">
        <v>0</v>
      </c>
      <c r="O917" s="204">
        <v>1</v>
      </c>
      <c r="P917" s="204">
        <v>0</v>
      </c>
      <c r="Q917" s="204">
        <v>0</v>
      </c>
      <c r="R917" s="204">
        <v>0</v>
      </c>
      <c r="S917" s="204">
        <v>0</v>
      </c>
      <c r="T917" s="204">
        <v>0</v>
      </c>
      <c r="U917" s="204">
        <v>1</v>
      </c>
      <c r="V917" s="204">
        <v>2</v>
      </c>
      <c r="W917" s="176">
        <v>0</v>
      </c>
      <c r="X917" s="176">
        <v>4.5</v>
      </c>
      <c r="Y917" s="12">
        <v>0</v>
      </c>
      <c r="Z917" s="176">
        <v>8000</v>
      </c>
      <c r="AA917" s="204">
        <v>0</v>
      </c>
      <c r="AB917" s="204">
        <v>15</v>
      </c>
      <c r="AC917" s="204">
        <v>0</v>
      </c>
      <c r="AD917" s="204">
        <v>0</v>
      </c>
      <c r="AE917" s="204">
        <v>0</v>
      </c>
      <c r="AF917" s="204">
        <v>9</v>
      </c>
      <c r="AG917" s="204">
        <v>1</v>
      </c>
      <c r="AH917" s="204">
        <v>3</v>
      </c>
      <c r="AI917" s="204">
        <v>2</v>
      </c>
      <c r="AJ917" s="204">
        <v>2</v>
      </c>
      <c r="AK917" s="204">
        <v>0</v>
      </c>
      <c r="AL917" s="204">
        <v>4</v>
      </c>
      <c r="AM917" s="204">
        <v>0</v>
      </c>
      <c r="AN917" s="204">
        <v>0</v>
      </c>
      <c r="AO917" s="204">
        <v>0</v>
      </c>
      <c r="AP917" s="204">
        <v>0.25</v>
      </c>
      <c r="AQ917" s="204">
        <v>1500</v>
      </c>
      <c r="AR917" s="204">
        <v>0.25</v>
      </c>
      <c r="AS917" s="204">
        <v>20</v>
      </c>
      <c r="AT917" s="204">
        <v>0</v>
      </c>
      <c r="AU917" s="204">
        <v>92002001</v>
      </c>
      <c r="AV917" s="204"/>
      <c r="AW917" s="210" t="s">
        <v>199</v>
      </c>
      <c r="AX917" s="204" t="s">
        <v>1400</v>
      </c>
      <c r="AY917" s="204">
        <v>10003002</v>
      </c>
      <c r="AZ917" s="204">
        <v>21202010</v>
      </c>
      <c r="BA917" s="210" t="s">
        <v>586</v>
      </c>
      <c r="BB917" s="210">
        <v>0</v>
      </c>
      <c r="BC917" s="204">
        <v>0</v>
      </c>
      <c r="BD917" s="204">
        <v>0</v>
      </c>
      <c r="BE917" s="211" t="str">
        <f t="shared" si="98"/>
        <v>立即对目标范围内的怪物造成450%攻击伤害+8000点固定伤害,并使目标移动速度降低50%,持续3秒,如果目标为怪物则附带易伤状态,使其受到伤害在提升20%,持续6秒</v>
      </c>
      <c r="BF917" s="211" t="s">
        <v>2075</v>
      </c>
      <c r="BG917" s="204">
        <v>0</v>
      </c>
      <c r="BH917" s="204">
        <v>0</v>
      </c>
      <c r="BI917" s="204">
        <v>0</v>
      </c>
      <c r="BJ917" s="204">
        <v>0</v>
      </c>
      <c r="BK917" s="204">
        <v>0</v>
      </c>
      <c r="BL917" s="204">
        <v>0</v>
      </c>
      <c r="BM917" s="213">
        <v>0</v>
      </c>
      <c r="BN917" s="204">
        <v>0</v>
      </c>
      <c r="BO917" s="204">
        <v>0</v>
      </c>
      <c r="BP917" s="204">
        <v>0</v>
      </c>
      <c r="BQ917" s="204">
        <v>0</v>
      </c>
      <c r="BR917" s="204">
        <v>0</v>
      </c>
      <c r="BS917" s="204">
        <v>0</v>
      </c>
      <c r="BT917" s="12">
        <v>0</v>
      </c>
      <c r="BU917" s="47">
        <v>0</v>
      </c>
      <c r="BV917" s="47"/>
      <c r="BW917" s="47"/>
    </row>
    <row r="918" spans="3:75" ht="19.5" customHeight="1">
      <c r="C918" s="172">
        <v>63022106</v>
      </c>
      <c r="D918" s="210" t="s">
        <v>2070</v>
      </c>
      <c r="E918" s="210" t="s">
        <v>2071</v>
      </c>
      <c r="F918" s="204">
        <v>5</v>
      </c>
      <c r="G918" s="204">
        <v>63022101</v>
      </c>
      <c r="H918" s="176">
        <v>0</v>
      </c>
      <c r="I918" s="174">
        <v>0</v>
      </c>
      <c r="J918" s="16">
        <v>0</v>
      </c>
      <c r="K918" s="16">
        <v>0</v>
      </c>
      <c r="L918" s="204">
        <v>0</v>
      </c>
      <c r="M918" s="204">
        <v>0</v>
      </c>
      <c r="N918" s="204">
        <v>0</v>
      </c>
      <c r="O918" s="204">
        <v>1</v>
      </c>
      <c r="P918" s="204">
        <v>0</v>
      </c>
      <c r="Q918" s="204">
        <v>0</v>
      </c>
      <c r="R918" s="204">
        <v>0</v>
      </c>
      <c r="S918" s="204">
        <v>0</v>
      </c>
      <c r="T918" s="204">
        <v>0</v>
      </c>
      <c r="U918" s="204">
        <v>1</v>
      </c>
      <c r="V918" s="204">
        <v>2</v>
      </c>
      <c r="W918" s="176">
        <v>0</v>
      </c>
      <c r="X918" s="176">
        <v>5</v>
      </c>
      <c r="Y918" s="12">
        <v>0</v>
      </c>
      <c r="Z918" s="176">
        <v>10400</v>
      </c>
      <c r="AA918" s="204">
        <v>0</v>
      </c>
      <c r="AB918" s="204">
        <v>15</v>
      </c>
      <c r="AC918" s="204">
        <v>0</v>
      </c>
      <c r="AD918" s="204">
        <v>0</v>
      </c>
      <c r="AE918" s="204">
        <v>0</v>
      </c>
      <c r="AF918" s="204">
        <v>9</v>
      </c>
      <c r="AG918" s="204">
        <v>1</v>
      </c>
      <c r="AH918" s="204">
        <v>3</v>
      </c>
      <c r="AI918" s="204">
        <v>2</v>
      </c>
      <c r="AJ918" s="204">
        <v>2</v>
      </c>
      <c r="AK918" s="204">
        <v>0</v>
      </c>
      <c r="AL918" s="204">
        <v>4</v>
      </c>
      <c r="AM918" s="204">
        <v>0</v>
      </c>
      <c r="AN918" s="204">
        <v>0</v>
      </c>
      <c r="AO918" s="204">
        <v>0</v>
      </c>
      <c r="AP918" s="204">
        <v>0.25</v>
      </c>
      <c r="AQ918" s="204">
        <v>1500</v>
      </c>
      <c r="AR918" s="204">
        <v>0.25</v>
      </c>
      <c r="AS918" s="204">
        <v>20</v>
      </c>
      <c r="AT918" s="204">
        <v>0</v>
      </c>
      <c r="AU918" s="204">
        <v>92002001</v>
      </c>
      <c r="AV918" s="204"/>
      <c r="AW918" s="210" t="s">
        <v>199</v>
      </c>
      <c r="AX918" s="204" t="s">
        <v>1400</v>
      </c>
      <c r="AY918" s="204">
        <v>10003002</v>
      </c>
      <c r="AZ918" s="204">
        <v>21202010</v>
      </c>
      <c r="BA918" s="210" t="s">
        <v>586</v>
      </c>
      <c r="BB918" s="210">
        <v>0</v>
      </c>
      <c r="BC918" s="204">
        <v>0</v>
      </c>
      <c r="BD918" s="204">
        <v>0</v>
      </c>
      <c r="BE918" s="211" t="str">
        <f t="shared" si="98"/>
        <v>立即对目标范围内的怪物造成500%攻击伤害+10400点固定伤害,并使目标移动速度降低50%,持续3秒,如果目标为怪物则附带易伤状态,使其受到伤害在提升20%,持续6秒</v>
      </c>
      <c r="BF918" s="211" t="s">
        <v>2076</v>
      </c>
      <c r="BG918" s="204">
        <v>0</v>
      </c>
      <c r="BH918" s="204">
        <v>0</v>
      </c>
      <c r="BI918" s="204">
        <v>0</v>
      </c>
      <c r="BJ918" s="204">
        <v>0</v>
      </c>
      <c r="BK918" s="204">
        <v>0</v>
      </c>
      <c r="BL918" s="204">
        <v>0</v>
      </c>
      <c r="BM918" s="213">
        <v>0</v>
      </c>
      <c r="BN918" s="204">
        <v>0</v>
      </c>
      <c r="BO918" s="204">
        <v>0</v>
      </c>
      <c r="BP918" s="204">
        <v>0</v>
      </c>
      <c r="BQ918" s="204">
        <v>0</v>
      </c>
      <c r="BR918" s="204">
        <v>0</v>
      </c>
      <c r="BS918" s="204">
        <v>0</v>
      </c>
      <c r="BT918" s="12">
        <v>0</v>
      </c>
      <c r="BU918" s="47">
        <v>0</v>
      </c>
      <c r="BV918" s="47"/>
      <c r="BW918" s="47"/>
    </row>
    <row r="919" spans="3:75" ht="20.100000000000001" customHeight="1">
      <c r="C919" s="172">
        <v>63022201</v>
      </c>
      <c r="D919" s="200" t="s">
        <v>2077</v>
      </c>
      <c r="E919" s="200" t="s">
        <v>2078</v>
      </c>
      <c r="F919" s="176">
        <v>0</v>
      </c>
      <c r="G919" s="176">
        <v>63022201</v>
      </c>
      <c r="H919" s="172">
        <f t="shared" ref="H919:H921" si="99">C920</f>
        <v>63022202</v>
      </c>
      <c r="I919" s="174">
        <v>0</v>
      </c>
      <c r="J919" s="16">
        <v>25</v>
      </c>
      <c r="K919" s="16">
        <v>5</v>
      </c>
      <c r="L919" s="176">
        <v>0</v>
      </c>
      <c r="M919" s="172">
        <v>0</v>
      </c>
      <c r="N919" s="172">
        <v>0</v>
      </c>
      <c r="O919" s="172">
        <v>1</v>
      </c>
      <c r="P919" s="172">
        <v>0</v>
      </c>
      <c r="Q919" s="172">
        <v>1</v>
      </c>
      <c r="R919" s="172">
        <v>0</v>
      </c>
      <c r="S919" s="175">
        <v>0</v>
      </c>
      <c r="T919" s="172">
        <v>0</v>
      </c>
      <c r="U919" s="172">
        <v>1</v>
      </c>
      <c r="V919" s="172">
        <v>2</v>
      </c>
      <c r="W919" s="172">
        <v>0</v>
      </c>
      <c r="X919" s="175">
        <v>2</v>
      </c>
      <c r="Y919" s="12">
        <v>0</v>
      </c>
      <c r="Z919" s="175">
        <v>750</v>
      </c>
      <c r="AA919" s="204">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4">
        <v>1500</v>
      </c>
      <c r="AR919" s="172">
        <v>0.5</v>
      </c>
      <c r="AS919" s="204">
        <v>20</v>
      </c>
      <c r="AT919" s="175">
        <v>0</v>
      </c>
      <c r="AU919" s="172">
        <v>92000028</v>
      </c>
      <c r="AV919" s="172"/>
      <c r="AW919" s="203" t="s">
        <v>256</v>
      </c>
      <c r="AX919" s="172" t="s">
        <v>2079</v>
      </c>
      <c r="AY919" s="176">
        <v>10000007</v>
      </c>
      <c r="AZ919" s="176">
        <v>21202020</v>
      </c>
      <c r="BA919" s="203" t="s">
        <v>586</v>
      </c>
      <c r="BB919" s="175" t="s">
        <v>1969</v>
      </c>
      <c r="BC919" s="174">
        <v>0</v>
      </c>
      <c r="BD919" s="174">
        <v>0</v>
      </c>
      <c r="BE919" s="211" t="str">
        <f>"每次向前方释放5个烈焰飓风，每个飓风可以对目标造成"&amp;X919*100&amp;"%攻击伤害+"&amp;Z919&amp;"点固定伤害"&amp;",并使目标造成眩晕效果,持续1秒"</f>
        <v>每次向前方释放5个烈焰飓风，每个飓风可以对目标造成200%攻击伤害+750点固定伤害,并使目标造成眩晕效果,持续1秒</v>
      </c>
      <c r="BF919" s="211" t="s">
        <v>2080</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63022202</v>
      </c>
      <c r="D920" s="200" t="s">
        <v>2077</v>
      </c>
      <c r="E920" s="200" t="s">
        <v>2078</v>
      </c>
      <c r="F920" s="176">
        <v>1</v>
      </c>
      <c r="G920" s="176">
        <v>63022201</v>
      </c>
      <c r="H920" s="172">
        <f t="shared" si="99"/>
        <v>63022203</v>
      </c>
      <c r="I920" s="174">
        <v>0</v>
      </c>
      <c r="J920" s="16">
        <v>32</v>
      </c>
      <c r="K920" s="16">
        <v>2</v>
      </c>
      <c r="L920" s="176">
        <v>0</v>
      </c>
      <c r="M920" s="172">
        <v>0</v>
      </c>
      <c r="N920" s="172">
        <v>0</v>
      </c>
      <c r="O920" s="172">
        <v>1</v>
      </c>
      <c r="P920" s="172">
        <v>0</v>
      </c>
      <c r="Q920" s="172">
        <v>1</v>
      </c>
      <c r="R920" s="172">
        <v>0</v>
      </c>
      <c r="S920" s="175">
        <v>0</v>
      </c>
      <c r="T920" s="172">
        <v>0</v>
      </c>
      <c r="U920" s="172">
        <v>1</v>
      </c>
      <c r="V920" s="172">
        <v>2</v>
      </c>
      <c r="W920" s="172">
        <v>0</v>
      </c>
      <c r="X920" s="175">
        <v>2</v>
      </c>
      <c r="Y920" s="12">
        <v>0</v>
      </c>
      <c r="Z920" s="175">
        <v>750</v>
      </c>
      <c r="AA920" s="204">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4">
        <v>1500</v>
      </c>
      <c r="AR920" s="172">
        <v>0.5</v>
      </c>
      <c r="AS920" s="204">
        <v>20</v>
      </c>
      <c r="AT920" s="175">
        <v>0</v>
      </c>
      <c r="AU920" s="172">
        <v>92000028</v>
      </c>
      <c r="AV920" s="172"/>
      <c r="AW920" s="203" t="s">
        <v>256</v>
      </c>
      <c r="AX920" s="172" t="s">
        <v>2079</v>
      </c>
      <c r="AY920" s="176">
        <v>10000007</v>
      </c>
      <c r="AZ920" s="176">
        <v>21202020</v>
      </c>
      <c r="BA920" s="203" t="s">
        <v>586</v>
      </c>
      <c r="BB920" s="175" t="s">
        <v>1969</v>
      </c>
      <c r="BC920" s="174">
        <v>0</v>
      </c>
      <c r="BD920" s="174">
        <v>0</v>
      </c>
      <c r="BE920" s="211" t="str">
        <f t="shared" ref="BE920:BE924" si="100">"每次向前方释放5个烈焰飓风，每个飓风可以对目标造成"&amp;X920*100&amp;"%攻击伤害+"&amp;Z920&amp;"点固定伤害"&amp;",并使目标造成眩晕效果,持续1秒"</f>
        <v>每次向前方释放5个烈焰飓风，每个飓风可以对目标造成200%攻击伤害+750点固定伤害,并使目标造成眩晕效果,持续1秒</v>
      </c>
      <c r="BF920" s="211" t="s">
        <v>2080</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63022203</v>
      </c>
      <c r="D921" s="200" t="s">
        <v>2077</v>
      </c>
      <c r="E921" s="200" t="s">
        <v>2078</v>
      </c>
      <c r="F921" s="176">
        <v>2</v>
      </c>
      <c r="G921" s="176">
        <v>63022201</v>
      </c>
      <c r="H921" s="172">
        <f t="shared" si="99"/>
        <v>63022204</v>
      </c>
      <c r="I921" s="174">
        <v>0</v>
      </c>
      <c r="J921" s="16">
        <v>37</v>
      </c>
      <c r="K921" s="16">
        <v>2</v>
      </c>
      <c r="L921" s="176">
        <v>0</v>
      </c>
      <c r="M921" s="172">
        <v>0</v>
      </c>
      <c r="N921" s="172">
        <v>0</v>
      </c>
      <c r="O921" s="172">
        <v>1</v>
      </c>
      <c r="P921" s="172">
        <v>0</v>
      </c>
      <c r="Q921" s="172">
        <v>1</v>
      </c>
      <c r="R921" s="172">
        <v>0</v>
      </c>
      <c r="S921" s="175">
        <v>0</v>
      </c>
      <c r="T921" s="172">
        <v>0</v>
      </c>
      <c r="U921" s="172">
        <v>1</v>
      </c>
      <c r="V921" s="172">
        <v>2</v>
      </c>
      <c r="W921" s="172">
        <v>0</v>
      </c>
      <c r="X921" s="175">
        <v>2.25</v>
      </c>
      <c r="Y921" s="12">
        <v>0</v>
      </c>
      <c r="Z921" s="175">
        <v>1500</v>
      </c>
      <c r="AA921" s="204">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4">
        <v>1500</v>
      </c>
      <c r="AR921" s="172">
        <v>0.5</v>
      </c>
      <c r="AS921" s="204">
        <v>20</v>
      </c>
      <c r="AT921" s="175">
        <v>0</v>
      </c>
      <c r="AU921" s="172">
        <v>92000028</v>
      </c>
      <c r="AV921" s="172"/>
      <c r="AW921" s="203" t="s">
        <v>256</v>
      </c>
      <c r="AX921" s="172" t="s">
        <v>2079</v>
      </c>
      <c r="AY921" s="176">
        <v>10000007</v>
      </c>
      <c r="AZ921" s="176">
        <v>21202020</v>
      </c>
      <c r="BA921" s="203" t="s">
        <v>586</v>
      </c>
      <c r="BB921" s="175" t="s">
        <v>1969</v>
      </c>
      <c r="BC921" s="174">
        <v>0</v>
      </c>
      <c r="BD921" s="174">
        <v>0</v>
      </c>
      <c r="BE921" s="211" t="str">
        <f t="shared" si="100"/>
        <v>每次向前方释放5个烈焰飓风，每个飓风可以对目标造成225%攻击伤害+1500点固定伤害,并使目标造成眩晕效果,持续1秒</v>
      </c>
      <c r="BF921" s="211" t="s">
        <v>2081</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20.100000000000001" customHeight="1">
      <c r="C922" s="172">
        <v>63022204</v>
      </c>
      <c r="D922" s="200" t="s">
        <v>2077</v>
      </c>
      <c r="E922" s="200" t="s">
        <v>2078</v>
      </c>
      <c r="F922" s="176">
        <v>3</v>
      </c>
      <c r="G922" s="176">
        <v>63022201</v>
      </c>
      <c r="H922" s="172">
        <v>0</v>
      </c>
      <c r="I922" s="174">
        <v>0</v>
      </c>
      <c r="J922" s="16">
        <v>0</v>
      </c>
      <c r="K922" s="16">
        <v>0</v>
      </c>
      <c r="L922" s="176">
        <v>0</v>
      </c>
      <c r="M922" s="172">
        <v>0</v>
      </c>
      <c r="N922" s="172">
        <v>0</v>
      </c>
      <c r="O922" s="172">
        <v>1</v>
      </c>
      <c r="P922" s="172">
        <v>0</v>
      </c>
      <c r="Q922" s="172">
        <v>1</v>
      </c>
      <c r="R922" s="172">
        <v>0</v>
      </c>
      <c r="S922" s="175">
        <v>0</v>
      </c>
      <c r="T922" s="172">
        <v>0</v>
      </c>
      <c r="U922" s="172">
        <v>1</v>
      </c>
      <c r="V922" s="172">
        <v>2</v>
      </c>
      <c r="W922" s="172">
        <v>0</v>
      </c>
      <c r="X922" s="175">
        <v>2.5</v>
      </c>
      <c r="Y922" s="12">
        <v>0</v>
      </c>
      <c r="Z922" s="175">
        <v>2250</v>
      </c>
      <c r="AA922" s="204">
        <v>0</v>
      </c>
      <c r="AB922" s="172">
        <v>20</v>
      </c>
      <c r="AC922" s="172">
        <v>0</v>
      </c>
      <c r="AD922" s="172">
        <v>0</v>
      </c>
      <c r="AE922" s="172">
        <v>0</v>
      </c>
      <c r="AF922" s="172">
        <v>9</v>
      </c>
      <c r="AG922" s="172">
        <v>1</v>
      </c>
      <c r="AH922" s="172">
        <v>3</v>
      </c>
      <c r="AI922" s="175">
        <v>0</v>
      </c>
      <c r="AJ922" s="175">
        <v>2</v>
      </c>
      <c r="AK922" s="175">
        <v>0</v>
      </c>
      <c r="AL922" s="175">
        <v>2</v>
      </c>
      <c r="AM922" s="172">
        <v>0</v>
      </c>
      <c r="AN922" s="172">
        <v>0</v>
      </c>
      <c r="AO922" s="172">
        <v>0</v>
      </c>
      <c r="AP922" s="172">
        <v>0.5</v>
      </c>
      <c r="AQ922" s="204">
        <v>1500</v>
      </c>
      <c r="AR922" s="172">
        <v>0.5</v>
      </c>
      <c r="AS922" s="204">
        <v>20</v>
      </c>
      <c r="AT922" s="175">
        <v>0</v>
      </c>
      <c r="AU922" s="172">
        <v>92000028</v>
      </c>
      <c r="AV922" s="172"/>
      <c r="AW922" s="203" t="s">
        <v>256</v>
      </c>
      <c r="AX922" s="172" t="s">
        <v>2079</v>
      </c>
      <c r="AY922" s="176">
        <v>10000007</v>
      </c>
      <c r="AZ922" s="176">
        <v>21202020</v>
      </c>
      <c r="BA922" s="203" t="s">
        <v>586</v>
      </c>
      <c r="BB922" s="175" t="s">
        <v>1969</v>
      </c>
      <c r="BC922" s="174">
        <v>0</v>
      </c>
      <c r="BD922" s="174">
        <v>0</v>
      </c>
      <c r="BE922" s="211" t="str">
        <f t="shared" si="100"/>
        <v>每次向前方释放5个烈焰飓风，每个飓风可以对目标造成250%攻击伤害+2250点固定伤害,并使目标造成眩晕效果,持续1秒</v>
      </c>
      <c r="BF922" s="211" t="s">
        <v>2082</v>
      </c>
      <c r="BG922" s="172">
        <v>0</v>
      </c>
      <c r="BH922" s="172">
        <v>0</v>
      </c>
      <c r="BI922" s="172">
        <v>0</v>
      </c>
      <c r="BJ922" s="172">
        <v>0</v>
      </c>
      <c r="BK922" s="172">
        <v>0</v>
      </c>
      <c r="BL922" s="172">
        <v>0</v>
      </c>
      <c r="BM922" s="178">
        <v>0</v>
      </c>
      <c r="BN922" s="175">
        <v>0</v>
      </c>
      <c r="BO922" s="175">
        <v>0</v>
      </c>
      <c r="BP922" s="175">
        <v>0</v>
      </c>
      <c r="BQ922" s="175">
        <v>0</v>
      </c>
      <c r="BR922" s="175">
        <v>0</v>
      </c>
      <c r="BS922" s="175">
        <v>0</v>
      </c>
      <c r="BT922" s="12">
        <v>0</v>
      </c>
      <c r="BU922" s="47">
        <v>0</v>
      </c>
      <c r="BV922" s="47"/>
      <c r="BW922" s="47"/>
    </row>
    <row r="923" spans="3:75" ht="20.100000000000001" customHeight="1">
      <c r="C923" s="172">
        <v>63022205</v>
      </c>
      <c r="D923" s="200" t="s">
        <v>2077</v>
      </c>
      <c r="E923" s="200" t="s">
        <v>2078</v>
      </c>
      <c r="F923" s="176">
        <v>4</v>
      </c>
      <c r="G923" s="176">
        <v>63022201</v>
      </c>
      <c r="H923" s="172">
        <v>0</v>
      </c>
      <c r="I923" s="174">
        <v>0</v>
      </c>
      <c r="J923" s="16">
        <v>0</v>
      </c>
      <c r="K923" s="16">
        <v>0</v>
      </c>
      <c r="L923" s="176">
        <v>0</v>
      </c>
      <c r="M923" s="172">
        <v>0</v>
      </c>
      <c r="N923" s="172">
        <v>0</v>
      </c>
      <c r="O923" s="172">
        <v>1</v>
      </c>
      <c r="P923" s="172">
        <v>0</v>
      </c>
      <c r="Q923" s="172">
        <v>1</v>
      </c>
      <c r="R923" s="172">
        <v>0</v>
      </c>
      <c r="S923" s="175">
        <v>0</v>
      </c>
      <c r="T923" s="172">
        <v>0</v>
      </c>
      <c r="U923" s="172">
        <v>1</v>
      </c>
      <c r="V923" s="172">
        <v>2</v>
      </c>
      <c r="W923" s="172">
        <v>0</v>
      </c>
      <c r="X923" s="175">
        <v>2.75</v>
      </c>
      <c r="Y923" s="12">
        <v>0</v>
      </c>
      <c r="Z923" s="175">
        <v>3250</v>
      </c>
      <c r="AA923" s="204">
        <v>0</v>
      </c>
      <c r="AB923" s="172">
        <v>20</v>
      </c>
      <c r="AC923" s="172">
        <v>0</v>
      </c>
      <c r="AD923" s="172">
        <v>0</v>
      </c>
      <c r="AE923" s="172">
        <v>0</v>
      </c>
      <c r="AF923" s="172">
        <v>9</v>
      </c>
      <c r="AG923" s="172">
        <v>1</v>
      </c>
      <c r="AH923" s="172">
        <v>3</v>
      </c>
      <c r="AI923" s="175">
        <v>0</v>
      </c>
      <c r="AJ923" s="175">
        <v>2</v>
      </c>
      <c r="AK923" s="175">
        <v>0</v>
      </c>
      <c r="AL923" s="175">
        <v>2</v>
      </c>
      <c r="AM923" s="172">
        <v>0</v>
      </c>
      <c r="AN923" s="172">
        <v>0</v>
      </c>
      <c r="AO923" s="172">
        <v>0</v>
      </c>
      <c r="AP923" s="172">
        <v>0.5</v>
      </c>
      <c r="AQ923" s="204">
        <v>1500</v>
      </c>
      <c r="AR923" s="172">
        <v>0.5</v>
      </c>
      <c r="AS923" s="204">
        <v>20</v>
      </c>
      <c r="AT923" s="175">
        <v>0</v>
      </c>
      <c r="AU923" s="172">
        <v>92000028</v>
      </c>
      <c r="AV923" s="172"/>
      <c r="AW923" s="203" t="s">
        <v>256</v>
      </c>
      <c r="AX923" s="172" t="s">
        <v>2079</v>
      </c>
      <c r="AY923" s="176">
        <v>10000007</v>
      </c>
      <c r="AZ923" s="176">
        <v>21202020</v>
      </c>
      <c r="BA923" s="203" t="s">
        <v>586</v>
      </c>
      <c r="BB923" s="175" t="s">
        <v>1969</v>
      </c>
      <c r="BC923" s="174">
        <v>0</v>
      </c>
      <c r="BD923" s="174">
        <v>0</v>
      </c>
      <c r="BE923" s="211" t="str">
        <f t="shared" si="100"/>
        <v>每次向前方释放5个烈焰飓风，每个飓风可以对目标造成275%攻击伤害+3250点固定伤害,并使目标造成眩晕效果,持续1秒</v>
      </c>
      <c r="BF923" s="211" t="s">
        <v>2083</v>
      </c>
      <c r="BG923" s="172">
        <v>0</v>
      </c>
      <c r="BH923" s="172">
        <v>0</v>
      </c>
      <c r="BI923" s="172">
        <v>0</v>
      </c>
      <c r="BJ923" s="172">
        <v>0</v>
      </c>
      <c r="BK923" s="172">
        <v>0</v>
      </c>
      <c r="BL923" s="172">
        <v>0</v>
      </c>
      <c r="BM923" s="178">
        <v>0</v>
      </c>
      <c r="BN923" s="175">
        <v>0</v>
      </c>
      <c r="BO923" s="175">
        <v>0</v>
      </c>
      <c r="BP923" s="175">
        <v>0</v>
      </c>
      <c r="BQ923" s="175">
        <v>0</v>
      </c>
      <c r="BR923" s="175">
        <v>0</v>
      </c>
      <c r="BS923" s="175">
        <v>0</v>
      </c>
      <c r="BT923" s="12">
        <v>0</v>
      </c>
      <c r="BU923" s="47">
        <v>0</v>
      </c>
      <c r="BV923" s="47"/>
      <c r="BW923" s="47"/>
    </row>
    <row r="924" spans="3:75" ht="20.100000000000001" customHeight="1">
      <c r="C924" s="172">
        <v>63022206</v>
      </c>
      <c r="D924" s="200" t="s">
        <v>2077</v>
      </c>
      <c r="E924" s="200" t="s">
        <v>2078</v>
      </c>
      <c r="F924" s="176">
        <v>5</v>
      </c>
      <c r="G924" s="176">
        <v>63022201</v>
      </c>
      <c r="H924" s="176">
        <v>0</v>
      </c>
      <c r="I924" s="174">
        <v>0</v>
      </c>
      <c r="J924" s="16">
        <v>0</v>
      </c>
      <c r="K924" s="16">
        <v>0</v>
      </c>
      <c r="L924" s="176">
        <v>0</v>
      </c>
      <c r="M924" s="172">
        <v>0</v>
      </c>
      <c r="N924" s="172">
        <v>0</v>
      </c>
      <c r="O924" s="172">
        <v>1</v>
      </c>
      <c r="P924" s="172">
        <v>0</v>
      </c>
      <c r="Q924" s="172">
        <v>1</v>
      </c>
      <c r="R924" s="172">
        <v>0</v>
      </c>
      <c r="S924" s="175">
        <v>0</v>
      </c>
      <c r="T924" s="172">
        <v>0</v>
      </c>
      <c r="U924" s="172">
        <v>1</v>
      </c>
      <c r="V924" s="172">
        <v>2</v>
      </c>
      <c r="W924" s="172">
        <v>0</v>
      </c>
      <c r="X924" s="175">
        <v>3</v>
      </c>
      <c r="Y924" s="12">
        <v>0</v>
      </c>
      <c r="Z924" s="175">
        <v>4250</v>
      </c>
      <c r="AA924" s="204">
        <v>0</v>
      </c>
      <c r="AB924" s="172">
        <v>20</v>
      </c>
      <c r="AC924" s="172">
        <v>0</v>
      </c>
      <c r="AD924" s="172">
        <v>0</v>
      </c>
      <c r="AE924" s="172">
        <v>0</v>
      </c>
      <c r="AF924" s="172">
        <v>9</v>
      </c>
      <c r="AG924" s="172">
        <v>1</v>
      </c>
      <c r="AH924" s="172">
        <v>3</v>
      </c>
      <c r="AI924" s="175">
        <v>0</v>
      </c>
      <c r="AJ924" s="175">
        <v>2</v>
      </c>
      <c r="AK924" s="175">
        <v>0</v>
      </c>
      <c r="AL924" s="175">
        <v>2</v>
      </c>
      <c r="AM924" s="172">
        <v>0</v>
      </c>
      <c r="AN924" s="172">
        <v>0</v>
      </c>
      <c r="AO924" s="172">
        <v>0</v>
      </c>
      <c r="AP924" s="172">
        <v>0.5</v>
      </c>
      <c r="AQ924" s="204">
        <v>1500</v>
      </c>
      <c r="AR924" s="172">
        <v>0.5</v>
      </c>
      <c r="AS924" s="204">
        <v>20</v>
      </c>
      <c r="AT924" s="175">
        <v>0</v>
      </c>
      <c r="AU924" s="172">
        <v>92000028</v>
      </c>
      <c r="AV924" s="172"/>
      <c r="AW924" s="203" t="s">
        <v>256</v>
      </c>
      <c r="AX924" s="172" t="s">
        <v>2079</v>
      </c>
      <c r="AY924" s="176">
        <v>10000007</v>
      </c>
      <c r="AZ924" s="176">
        <v>21202020</v>
      </c>
      <c r="BA924" s="203" t="s">
        <v>586</v>
      </c>
      <c r="BB924" s="175" t="s">
        <v>1969</v>
      </c>
      <c r="BC924" s="174">
        <v>0</v>
      </c>
      <c r="BD924" s="174">
        <v>0</v>
      </c>
      <c r="BE924" s="211" t="str">
        <f t="shared" si="100"/>
        <v>每次向前方释放5个烈焰飓风，每个飓风可以对目标造成300%攻击伤害+4250点固定伤害,并使目标造成眩晕效果,持续1秒</v>
      </c>
      <c r="BF924" s="211" t="s">
        <v>2084</v>
      </c>
      <c r="BG924" s="172">
        <v>0</v>
      </c>
      <c r="BH924" s="172">
        <v>0</v>
      </c>
      <c r="BI924" s="172">
        <v>0</v>
      </c>
      <c r="BJ924" s="172">
        <v>0</v>
      </c>
      <c r="BK924" s="172">
        <v>0</v>
      </c>
      <c r="BL924" s="172">
        <v>0</v>
      </c>
      <c r="BM924" s="178">
        <v>0</v>
      </c>
      <c r="BN924" s="175">
        <v>0</v>
      </c>
      <c r="BO924" s="175">
        <v>0</v>
      </c>
      <c r="BP924" s="175">
        <v>0</v>
      </c>
      <c r="BQ924" s="175">
        <v>0</v>
      </c>
      <c r="BR924" s="175">
        <v>0</v>
      </c>
      <c r="BS924" s="175">
        <v>0</v>
      </c>
      <c r="BT924" s="12">
        <v>0</v>
      </c>
      <c r="BU924" s="47">
        <v>0</v>
      </c>
      <c r="BV924" s="47"/>
      <c r="BW924" s="47"/>
    </row>
    <row r="925" spans="3:75" ht="19.5" customHeight="1">
      <c r="C925" s="172">
        <v>63022301</v>
      </c>
      <c r="D925" s="210" t="s">
        <v>1120</v>
      </c>
      <c r="E925" s="210" t="s">
        <v>1121</v>
      </c>
      <c r="F925" s="204">
        <v>0</v>
      </c>
      <c r="G925" s="204">
        <v>63022301</v>
      </c>
      <c r="H925" s="172">
        <f t="shared" ref="H925:H927" si="101">C926</f>
        <v>63022302</v>
      </c>
      <c r="I925" s="174">
        <v>0</v>
      </c>
      <c r="J925" s="16">
        <v>30</v>
      </c>
      <c r="K925" s="18">
        <v>5</v>
      </c>
      <c r="L925" s="204">
        <v>0</v>
      </c>
      <c r="M925" s="204">
        <v>0</v>
      </c>
      <c r="N925" s="204">
        <v>0</v>
      </c>
      <c r="O925" s="204">
        <v>1</v>
      </c>
      <c r="P925" s="204">
        <v>2</v>
      </c>
      <c r="Q925" s="204">
        <v>0</v>
      </c>
      <c r="R925" s="204">
        <v>0</v>
      </c>
      <c r="S925" s="204">
        <v>0</v>
      </c>
      <c r="T925" s="204">
        <v>0</v>
      </c>
      <c r="U925" s="204">
        <v>1</v>
      </c>
      <c r="V925" s="204">
        <v>2</v>
      </c>
      <c r="W925" s="204">
        <v>0</v>
      </c>
      <c r="X925" s="175">
        <v>7.5</v>
      </c>
      <c r="Y925" s="12">
        <v>0</v>
      </c>
      <c r="Z925" s="175">
        <v>1500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1400</v>
      </c>
      <c r="AY925" s="204">
        <v>10003002</v>
      </c>
      <c r="AZ925" s="204">
        <v>21202030</v>
      </c>
      <c r="BA925" s="210" t="s">
        <v>586</v>
      </c>
      <c r="BB925" s="210">
        <v>0</v>
      </c>
      <c r="BC925" s="204">
        <v>0</v>
      </c>
      <c r="BD925" s="204">
        <v>0</v>
      </c>
      <c r="BE925" s="211" t="str">
        <f>"蓄力1秒,立即对目标范围内的怪物造成"&amp;X925*100&amp;"%攻击伤害+"&amp;Z925&amp;"点固定伤害"&amp;",中途可随时取消蓄力直接释放,但是技能伤害会相应降低"</f>
        <v>蓄力1秒,立即对目标范围内的怪物造成750%攻击伤害+1500点固定伤害,中途可随时取消蓄力直接释放,但是技能伤害会相应降低</v>
      </c>
      <c r="BF925" s="211" t="s">
        <v>2085</v>
      </c>
      <c r="BG925" s="204">
        <v>0</v>
      </c>
      <c r="BH925" s="204">
        <v>0</v>
      </c>
      <c r="BI925" s="204">
        <v>0</v>
      </c>
      <c r="BJ925" s="204">
        <v>0</v>
      </c>
      <c r="BK925" s="204">
        <v>0</v>
      </c>
      <c r="BL925" s="204">
        <v>0</v>
      </c>
      <c r="BM925" s="213">
        <v>0</v>
      </c>
      <c r="BN925" s="204">
        <v>0</v>
      </c>
      <c r="BO925" s="204">
        <v>0</v>
      </c>
      <c r="BP925" s="204">
        <v>0</v>
      </c>
      <c r="BQ925" s="204">
        <v>0</v>
      </c>
      <c r="BR925" s="204">
        <v>0</v>
      </c>
      <c r="BS925" s="204">
        <v>0</v>
      </c>
      <c r="BT925" s="12">
        <v>0</v>
      </c>
      <c r="BU925" s="47">
        <v>0</v>
      </c>
      <c r="BV925" s="47"/>
      <c r="BW925" s="47"/>
    </row>
    <row r="926" spans="3:75" ht="19.5" customHeight="1">
      <c r="C926" s="172">
        <v>63022302</v>
      </c>
      <c r="D926" s="210" t="s">
        <v>1120</v>
      </c>
      <c r="E926" s="210" t="s">
        <v>1121</v>
      </c>
      <c r="F926" s="204">
        <v>1</v>
      </c>
      <c r="G926" s="204">
        <v>63022301</v>
      </c>
      <c r="H926" s="172">
        <f t="shared" si="101"/>
        <v>63022303</v>
      </c>
      <c r="I926" s="174">
        <v>0</v>
      </c>
      <c r="J926" s="16">
        <v>37</v>
      </c>
      <c r="K926" s="18">
        <v>2</v>
      </c>
      <c r="L926" s="204">
        <v>0</v>
      </c>
      <c r="M926" s="204">
        <v>0</v>
      </c>
      <c r="N926" s="204">
        <v>0</v>
      </c>
      <c r="O926" s="204">
        <v>1</v>
      </c>
      <c r="P926" s="204">
        <v>2</v>
      </c>
      <c r="Q926" s="204">
        <v>0</v>
      </c>
      <c r="R926" s="204">
        <v>0</v>
      </c>
      <c r="S926" s="204">
        <v>0</v>
      </c>
      <c r="T926" s="204">
        <v>0</v>
      </c>
      <c r="U926" s="204">
        <v>1</v>
      </c>
      <c r="V926" s="204">
        <v>2</v>
      </c>
      <c r="W926" s="204">
        <v>0</v>
      </c>
      <c r="X926" s="175">
        <v>7.5</v>
      </c>
      <c r="Y926" s="12">
        <v>0</v>
      </c>
      <c r="Z926" s="175">
        <v>1500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1400</v>
      </c>
      <c r="AY926" s="204">
        <v>10003002</v>
      </c>
      <c r="AZ926" s="204">
        <v>21202030</v>
      </c>
      <c r="BA926" s="210" t="s">
        <v>586</v>
      </c>
      <c r="BB926" s="210">
        <v>0</v>
      </c>
      <c r="BC926" s="204">
        <v>0</v>
      </c>
      <c r="BD926" s="204">
        <v>0</v>
      </c>
      <c r="BE926" s="211" t="str">
        <f t="shared" ref="BE926:BE930" si="102">"蓄力1秒,立即对目标范围内的怪物造成"&amp;X926*100&amp;"%攻击伤害+"&amp;Z926&amp;"点固定伤害"&amp;",中途可随时取消蓄力直接释放,但是技能伤害会相应降低"</f>
        <v>蓄力1秒,立即对目标范围内的怪物造成750%攻击伤害+1500点固定伤害,中途可随时取消蓄力直接释放,但是技能伤害会相应降低</v>
      </c>
      <c r="BF926" s="211" t="s">
        <v>2085</v>
      </c>
      <c r="BG926" s="204">
        <v>0</v>
      </c>
      <c r="BH926" s="204">
        <v>0</v>
      </c>
      <c r="BI926" s="204">
        <v>0</v>
      </c>
      <c r="BJ926" s="204">
        <v>0</v>
      </c>
      <c r="BK926" s="204">
        <v>0</v>
      </c>
      <c r="BL926" s="204">
        <v>0</v>
      </c>
      <c r="BM926" s="213">
        <v>0</v>
      </c>
      <c r="BN926" s="204">
        <v>0</v>
      </c>
      <c r="BO926" s="204">
        <v>0</v>
      </c>
      <c r="BP926" s="204">
        <v>0</v>
      </c>
      <c r="BQ926" s="204">
        <v>0</v>
      </c>
      <c r="BR926" s="204">
        <v>0</v>
      </c>
      <c r="BS926" s="204">
        <v>0</v>
      </c>
      <c r="BT926" s="12">
        <v>0</v>
      </c>
      <c r="BU926" s="47">
        <v>0</v>
      </c>
      <c r="BV926" s="47"/>
      <c r="BW926" s="47"/>
    </row>
    <row r="927" spans="3:75" ht="19.5" customHeight="1">
      <c r="C927" s="172">
        <v>63022303</v>
      </c>
      <c r="D927" s="210" t="s">
        <v>1120</v>
      </c>
      <c r="E927" s="210" t="s">
        <v>1121</v>
      </c>
      <c r="F927" s="204">
        <v>2</v>
      </c>
      <c r="G927" s="204">
        <v>63022301</v>
      </c>
      <c r="H927" s="172">
        <f t="shared" si="101"/>
        <v>63022304</v>
      </c>
      <c r="I927" s="174">
        <v>0</v>
      </c>
      <c r="J927" s="16">
        <v>42</v>
      </c>
      <c r="K927" s="18">
        <v>2</v>
      </c>
      <c r="L927" s="204">
        <v>0</v>
      </c>
      <c r="M927" s="204">
        <v>0</v>
      </c>
      <c r="N927" s="204">
        <v>0</v>
      </c>
      <c r="O927" s="204">
        <v>1</v>
      </c>
      <c r="P927" s="204">
        <v>2</v>
      </c>
      <c r="Q927" s="204">
        <v>0</v>
      </c>
      <c r="R927" s="204">
        <v>0</v>
      </c>
      <c r="S927" s="204">
        <v>0</v>
      </c>
      <c r="T927" s="204">
        <v>0</v>
      </c>
      <c r="U927" s="204">
        <v>1</v>
      </c>
      <c r="V927" s="204">
        <v>2</v>
      </c>
      <c r="W927" s="204">
        <v>0</v>
      </c>
      <c r="X927" s="175">
        <v>8.25</v>
      </c>
      <c r="Y927" s="12">
        <v>0</v>
      </c>
      <c r="Z927" s="175">
        <v>3000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1400</v>
      </c>
      <c r="AY927" s="204">
        <v>10003002</v>
      </c>
      <c r="AZ927" s="204">
        <v>21202030</v>
      </c>
      <c r="BA927" s="210" t="s">
        <v>586</v>
      </c>
      <c r="BB927" s="210">
        <v>0</v>
      </c>
      <c r="BC927" s="204">
        <v>0</v>
      </c>
      <c r="BD927" s="204">
        <v>0</v>
      </c>
      <c r="BE927" s="211" t="str">
        <f t="shared" si="102"/>
        <v>蓄力1秒,立即对目标范围内的怪物造成825%攻击伤害+3000点固定伤害,中途可随时取消蓄力直接释放,但是技能伤害会相应降低</v>
      </c>
      <c r="BF927" s="211" t="s">
        <v>2086</v>
      </c>
      <c r="BG927" s="204">
        <v>0</v>
      </c>
      <c r="BH927" s="204">
        <v>0</v>
      </c>
      <c r="BI927" s="204">
        <v>0</v>
      </c>
      <c r="BJ927" s="204">
        <v>0</v>
      </c>
      <c r="BK927" s="204">
        <v>0</v>
      </c>
      <c r="BL927" s="204">
        <v>0</v>
      </c>
      <c r="BM927" s="213">
        <v>0</v>
      </c>
      <c r="BN927" s="204">
        <v>0</v>
      </c>
      <c r="BO927" s="204">
        <v>0</v>
      </c>
      <c r="BP927" s="204">
        <v>0</v>
      </c>
      <c r="BQ927" s="204">
        <v>0</v>
      </c>
      <c r="BR927" s="204">
        <v>0</v>
      </c>
      <c r="BS927" s="204">
        <v>0</v>
      </c>
      <c r="BT927" s="12">
        <v>0</v>
      </c>
      <c r="BU927" s="47">
        <v>0</v>
      </c>
      <c r="BV927" s="47"/>
      <c r="BW927" s="47"/>
    </row>
    <row r="928" spans="3:75" ht="19.5" customHeight="1">
      <c r="C928" s="172">
        <v>63022304</v>
      </c>
      <c r="D928" s="210" t="s">
        <v>1120</v>
      </c>
      <c r="E928" s="210" t="s">
        <v>1121</v>
      </c>
      <c r="F928" s="204">
        <v>3</v>
      </c>
      <c r="G928" s="204">
        <v>63022301</v>
      </c>
      <c r="H928" s="172">
        <v>0</v>
      </c>
      <c r="I928" s="174">
        <v>0</v>
      </c>
      <c r="J928" s="18">
        <v>0</v>
      </c>
      <c r="K928" s="18">
        <v>0</v>
      </c>
      <c r="L928" s="204">
        <v>0</v>
      </c>
      <c r="M928" s="204">
        <v>0</v>
      </c>
      <c r="N928" s="204">
        <v>0</v>
      </c>
      <c r="O928" s="204">
        <v>1</v>
      </c>
      <c r="P928" s="204">
        <v>2</v>
      </c>
      <c r="Q928" s="204">
        <v>0</v>
      </c>
      <c r="R928" s="204">
        <v>0</v>
      </c>
      <c r="S928" s="204">
        <v>0</v>
      </c>
      <c r="T928" s="204">
        <v>0</v>
      </c>
      <c r="U928" s="204">
        <v>1</v>
      </c>
      <c r="V928" s="204">
        <v>2</v>
      </c>
      <c r="W928" s="204">
        <v>0</v>
      </c>
      <c r="X928" s="175">
        <v>9</v>
      </c>
      <c r="Y928" s="12">
        <v>0</v>
      </c>
      <c r="Z928" s="175">
        <v>4500</v>
      </c>
      <c r="AA928" s="204">
        <v>0</v>
      </c>
      <c r="AB928" s="204">
        <v>25</v>
      </c>
      <c r="AC928" s="204">
        <v>0</v>
      </c>
      <c r="AD928" s="204">
        <v>0</v>
      </c>
      <c r="AE928" s="204">
        <v>0</v>
      </c>
      <c r="AF928" s="204">
        <v>9</v>
      </c>
      <c r="AG928" s="204">
        <v>1</v>
      </c>
      <c r="AH928" s="204">
        <v>3</v>
      </c>
      <c r="AI928" s="204">
        <v>2</v>
      </c>
      <c r="AJ928" s="204">
        <v>2</v>
      </c>
      <c r="AK928" s="204">
        <v>0</v>
      </c>
      <c r="AL928" s="204">
        <v>4</v>
      </c>
      <c r="AM928" s="204">
        <v>0</v>
      </c>
      <c r="AN928" s="204">
        <v>1</v>
      </c>
      <c r="AO928" s="204">
        <v>0</v>
      </c>
      <c r="AP928" s="204">
        <v>0</v>
      </c>
      <c r="AQ928" s="204">
        <v>2000</v>
      </c>
      <c r="AR928" s="204">
        <v>0.25</v>
      </c>
      <c r="AS928" s="204">
        <v>30</v>
      </c>
      <c r="AT928" s="204">
        <v>0</v>
      </c>
      <c r="AU928" s="204">
        <v>92002001</v>
      </c>
      <c r="AV928" s="204"/>
      <c r="AW928" s="203" t="s">
        <v>256</v>
      </c>
      <c r="AX928" s="204" t="s">
        <v>1400</v>
      </c>
      <c r="AY928" s="204">
        <v>10003002</v>
      </c>
      <c r="AZ928" s="204">
        <v>21202030</v>
      </c>
      <c r="BA928" s="210" t="s">
        <v>586</v>
      </c>
      <c r="BB928" s="210">
        <v>0</v>
      </c>
      <c r="BC928" s="204">
        <v>0</v>
      </c>
      <c r="BD928" s="204">
        <v>0</v>
      </c>
      <c r="BE928" s="211" t="str">
        <f t="shared" si="102"/>
        <v>蓄力1秒,立即对目标范围内的怪物造成900%攻击伤害+4500点固定伤害,中途可随时取消蓄力直接释放,但是技能伤害会相应降低</v>
      </c>
      <c r="BF928" s="211" t="s">
        <v>2087</v>
      </c>
      <c r="BG928" s="204">
        <v>0</v>
      </c>
      <c r="BH928" s="204">
        <v>0</v>
      </c>
      <c r="BI928" s="204">
        <v>0</v>
      </c>
      <c r="BJ928" s="204">
        <v>0</v>
      </c>
      <c r="BK928" s="204">
        <v>0</v>
      </c>
      <c r="BL928" s="204">
        <v>0</v>
      </c>
      <c r="BM928" s="213">
        <v>0</v>
      </c>
      <c r="BN928" s="204">
        <v>0</v>
      </c>
      <c r="BO928" s="204">
        <v>0</v>
      </c>
      <c r="BP928" s="204">
        <v>0</v>
      </c>
      <c r="BQ928" s="204">
        <v>0</v>
      </c>
      <c r="BR928" s="204">
        <v>0</v>
      </c>
      <c r="BS928" s="204">
        <v>0</v>
      </c>
      <c r="BT928" s="12">
        <v>0</v>
      </c>
      <c r="BU928" s="47">
        <v>0</v>
      </c>
      <c r="BV928" s="47"/>
      <c r="BW928" s="47"/>
    </row>
    <row r="929" spans="3:75" ht="19.5" customHeight="1">
      <c r="C929" s="172">
        <v>63022305</v>
      </c>
      <c r="D929" s="210" t="s">
        <v>1120</v>
      </c>
      <c r="E929" s="210" t="s">
        <v>1121</v>
      </c>
      <c r="F929" s="204">
        <v>4</v>
      </c>
      <c r="G929" s="204">
        <v>63022301</v>
      </c>
      <c r="H929" s="172">
        <v>0</v>
      </c>
      <c r="I929" s="174">
        <v>0</v>
      </c>
      <c r="J929" s="18">
        <v>0</v>
      </c>
      <c r="K929" s="18">
        <v>0</v>
      </c>
      <c r="L929" s="204">
        <v>0</v>
      </c>
      <c r="M929" s="204">
        <v>0</v>
      </c>
      <c r="N929" s="204">
        <v>0</v>
      </c>
      <c r="O929" s="204">
        <v>1</v>
      </c>
      <c r="P929" s="204">
        <v>2</v>
      </c>
      <c r="Q929" s="204">
        <v>0</v>
      </c>
      <c r="R929" s="204">
        <v>0</v>
      </c>
      <c r="S929" s="204">
        <v>0</v>
      </c>
      <c r="T929" s="204">
        <v>0</v>
      </c>
      <c r="U929" s="204">
        <v>1</v>
      </c>
      <c r="V929" s="204">
        <v>2</v>
      </c>
      <c r="W929" s="204">
        <v>0</v>
      </c>
      <c r="X929" s="175">
        <v>9.75</v>
      </c>
      <c r="Y929" s="12">
        <v>0</v>
      </c>
      <c r="Z929" s="175">
        <v>6500</v>
      </c>
      <c r="AA929" s="204">
        <v>0</v>
      </c>
      <c r="AB929" s="204">
        <v>25</v>
      </c>
      <c r="AC929" s="204">
        <v>0</v>
      </c>
      <c r="AD929" s="204">
        <v>0</v>
      </c>
      <c r="AE929" s="204">
        <v>0</v>
      </c>
      <c r="AF929" s="204">
        <v>9</v>
      </c>
      <c r="AG929" s="204">
        <v>1</v>
      </c>
      <c r="AH929" s="204">
        <v>3</v>
      </c>
      <c r="AI929" s="204">
        <v>2</v>
      </c>
      <c r="AJ929" s="204">
        <v>2</v>
      </c>
      <c r="AK929" s="204">
        <v>0</v>
      </c>
      <c r="AL929" s="204">
        <v>4</v>
      </c>
      <c r="AM929" s="204">
        <v>0</v>
      </c>
      <c r="AN929" s="204">
        <v>1</v>
      </c>
      <c r="AO929" s="204">
        <v>0</v>
      </c>
      <c r="AP929" s="204">
        <v>0</v>
      </c>
      <c r="AQ929" s="204">
        <v>2000</v>
      </c>
      <c r="AR929" s="204">
        <v>0.25</v>
      </c>
      <c r="AS929" s="204">
        <v>30</v>
      </c>
      <c r="AT929" s="204">
        <v>0</v>
      </c>
      <c r="AU929" s="204">
        <v>92002001</v>
      </c>
      <c r="AV929" s="204"/>
      <c r="AW929" s="203" t="s">
        <v>256</v>
      </c>
      <c r="AX929" s="204" t="s">
        <v>1400</v>
      </c>
      <c r="AY929" s="204">
        <v>10003002</v>
      </c>
      <c r="AZ929" s="204">
        <v>21202030</v>
      </c>
      <c r="BA929" s="210" t="s">
        <v>586</v>
      </c>
      <c r="BB929" s="210">
        <v>0</v>
      </c>
      <c r="BC929" s="204">
        <v>0</v>
      </c>
      <c r="BD929" s="204">
        <v>0</v>
      </c>
      <c r="BE929" s="211" t="str">
        <f t="shared" si="102"/>
        <v>蓄力1秒,立即对目标范围内的怪物造成975%攻击伤害+6500点固定伤害,中途可随时取消蓄力直接释放,但是技能伤害会相应降低</v>
      </c>
      <c r="BF929" s="211" t="s">
        <v>2088</v>
      </c>
      <c r="BG929" s="204">
        <v>0</v>
      </c>
      <c r="BH929" s="204">
        <v>0</v>
      </c>
      <c r="BI929" s="204">
        <v>0</v>
      </c>
      <c r="BJ929" s="204">
        <v>0</v>
      </c>
      <c r="BK929" s="204">
        <v>0</v>
      </c>
      <c r="BL929" s="204">
        <v>0</v>
      </c>
      <c r="BM929" s="213">
        <v>0</v>
      </c>
      <c r="BN929" s="204">
        <v>0</v>
      </c>
      <c r="BO929" s="204">
        <v>0</v>
      </c>
      <c r="BP929" s="204">
        <v>0</v>
      </c>
      <c r="BQ929" s="204">
        <v>0</v>
      </c>
      <c r="BR929" s="204">
        <v>0</v>
      </c>
      <c r="BS929" s="204">
        <v>0</v>
      </c>
      <c r="BT929" s="12">
        <v>0</v>
      </c>
      <c r="BU929" s="47">
        <v>0</v>
      </c>
      <c r="BV929" s="47"/>
      <c r="BW929" s="47"/>
    </row>
    <row r="930" spans="3:75" ht="19.5" customHeight="1">
      <c r="C930" s="172">
        <v>63022306</v>
      </c>
      <c r="D930" s="210" t="s">
        <v>1120</v>
      </c>
      <c r="E930" s="210" t="s">
        <v>1121</v>
      </c>
      <c r="F930" s="204">
        <v>5</v>
      </c>
      <c r="G930" s="204">
        <v>63022301</v>
      </c>
      <c r="H930" s="176">
        <v>0</v>
      </c>
      <c r="I930" s="174">
        <v>0</v>
      </c>
      <c r="J930" s="18">
        <v>0</v>
      </c>
      <c r="K930" s="18">
        <v>0</v>
      </c>
      <c r="L930" s="204">
        <v>0</v>
      </c>
      <c r="M930" s="204">
        <v>0</v>
      </c>
      <c r="N930" s="204">
        <v>0</v>
      </c>
      <c r="O930" s="204">
        <v>1</v>
      </c>
      <c r="P930" s="204">
        <v>2</v>
      </c>
      <c r="Q930" s="204">
        <v>0</v>
      </c>
      <c r="R930" s="204">
        <v>0</v>
      </c>
      <c r="S930" s="204">
        <v>0</v>
      </c>
      <c r="T930" s="204">
        <v>0</v>
      </c>
      <c r="U930" s="204">
        <v>1</v>
      </c>
      <c r="V930" s="204">
        <v>2</v>
      </c>
      <c r="W930" s="204">
        <v>0</v>
      </c>
      <c r="X930" s="175">
        <v>10.5</v>
      </c>
      <c r="Y930" s="12">
        <v>0</v>
      </c>
      <c r="Z930" s="175">
        <v>8500</v>
      </c>
      <c r="AA930" s="204">
        <v>0</v>
      </c>
      <c r="AB930" s="204">
        <v>25</v>
      </c>
      <c r="AC930" s="204">
        <v>0</v>
      </c>
      <c r="AD930" s="204">
        <v>0</v>
      </c>
      <c r="AE930" s="204">
        <v>0</v>
      </c>
      <c r="AF930" s="204">
        <v>9</v>
      </c>
      <c r="AG930" s="204">
        <v>1</v>
      </c>
      <c r="AH930" s="204">
        <v>3</v>
      </c>
      <c r="AI930" s="204">
        <v>2</v>
      </c>
      <c r="AJ930" s="204">
        <v>2</v>
      </c>
      <c r="AK930" s="204">
        <v>0</v>
      </c>
      <c r="AL930" s="204">
        <v>4</v>
      </c>
      <c r="AM930" s="204">
        <v>0</v>
      </c>
      <c r="AN930" s="204">
        <v>1</v>
      </c>
      <c r="AO930" s="204">
        <v>0</v>
      </c>
      <c r="AP930" s="204">
        <v>0</v>
      </c>
      <c r="AQ930" s="204">
        <v>2000</v>
      </c>
      <c r="AR930" s="204">
        <v>0.25</v>
      </c>
      <c r="AS930" s="204">
        <v>30</v>
      </c>
      <c r="AT930" s="204">
        <v>0</v>
      </c>
      <c r="AU930" s="204">
        <v>92002001</v>
      </c>
      <c r="AV930" s="204"/>
      <c r="AW930" s="203" t="s">
        <v>256</v>
      </c>
      <c r="AX930" s="204" t="s">
        <v>1400</v>
      </c>
      <c r="AY930" s="204">
        <v>10003002</v>
      </c>
      <c r="AZ930" s="204">
        <v>21202030</v>
      </c>
      <c r="BA930" s="210" t="s">
        <v>586</v>
      </c>
      <c r="BB930" s="210">
        <v>0</v>
      </c>
      <c r="BC930" s="204">
        <v>0</v>
      </c>
      <c r="BD930" s="204">
        <v>0</v>
      </c>
      <c r="BE930" s="211" t="str">
        <f t="shared" si="102"/>
        <v>蓄力1秒,立即对目标范围内的怪物造成1050%攻击伤害+8500点固定伤害,中途可随时取消蓄力直接释放,但是技能伤害会相应降低</v>
      </c>
      <c r="BF930" s="211" t="s">
        <v>2089</v>
      </c>
      <c r="BG930" s="204">
        <v>0</v>
      </c>
      <c r="BH930" s="204">
        <v>0</v>
      </c>
      <c r="BI930" s="204">
        <v>0</v>
      </c>
      <c r="BJ930" s="204">
        <v>0</v>
      </c>
      <c r="BK930" s="204">
        <v>0</v>
      </c>
      <c r="BL930" s="204">
        <v>0</v>
      </c>
      <c r="BM930" s="213">
        <v>0</v>
      </c>
      <c r="BN930" s="204">
        <v>0</v>
      </c>
      <c r="BO930" s="204">
        <v>0</v>
      </c>
      <c r="BP930" s="204">
        <v>0</v>
      </c>
      <c r="BQ930" s="204">
        <v>0</v>
      </c>
      <c r="BR930" s="204">
        <v>0</v>
      </c>
      <c r="BS930" s="204">
        <v>0</v>
      </c>
      <c r="BT930" s="12">
        <v>0</v>
      </c>
      <c r="BU930" s="47">
        <v>0</v>
      </c>
      <c r="BV930" s="47"/>
      <c r="BW930" s="47"/>
    </row>
    <row r="931" spans="3:75" ht="20.100000000000001" customHeight="1">
      <c r="C931" s="172">
        <v>63022401</v>
      </c>
      <c r="D931" s="203" t="s">
        <v>2090</v>
      </c>
      <c r="E931" s="203" t="s">
        <v>2091</v>
      </c>
      <c r="F931" s="172">
        <v>0</v>
      </c>
      <c r="G931" s="172">
        <v>63022401</v>
      </c>
      <c r="H931" s="172">
        <f t="shared" ref="H931:H933" si="103">C932</f>
        <v>63022402</v>
      </c>
      <c r="I931" s="174">
        <v>0</v>
      </c>
      <c r="J931" s="16">
        <v>35</v>
      </c>
      <c r="K931" s="18">
        <v>5</v>
      </c>
      <c r="L931" s="172">
        <v>0</v>
      </c>
      <c r="M931" s="176">
        <v>0</v>
      </c>
      <c r="N931" s="176">
        <v>0</v>
      </c>
      <c r="O931" s="176">
        <v>1</v>
      </c>
      <c r="P931" s="176">
        <v>0</v>
      </c>
      <c r="Q931" s="176">
        <v>0</v>
      </c>
      <c r="R931" s="176">
        <v>0</v>
      </c>
      <c r="S931" s="175">
        <v>0</v>
      </c>
      <c r="T931" s="174">
        <v>0</v>
      </c>
      <c r="U931" s="172">
        <v>1</v>
      </c>
      <c r="V931" s="176">
        <v>1</v>
      </c>
      <c r="W931" s="176">
        <v>0</v>
      </c>
      <c r="X931" s="176">
        <v>1.3</v>
      </c>
      <c r="Y931" s="12">
        <v>0</v>
      </c>
      <c r="Z931" s="176">
        <v>600</v>
      </c>
      <c r="AA931" s="204">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3" t="s">
        <v>2092</v>
      </c>
      <c r="AV931" s="203"/>
      <c r="AW931" s="203" t="s">
        <v>617</v>
      </c>
      <c r="AX931" s="176" t="s">
        <v>1826</v>
      </c>
      <c r="AY931" s="176">
        <v>10002001</v>
      </c>
      <c r="AZ931" s="176">
        <v>21202040</v>
      </c>
      <c r="BA931" s="203" t="s">
        <v>315</v>
      </c>
      <c r="BB931" s="203" t="s">
        <v>371</v>
      </c>
      <c r="BC931" s="174">
        <v>0</v>
      </c>
      <c r="BD931" s="174">
        <v>0</v>
      </c>
      <c r="BE931" s="208" t="str">
        <f>"对目标区域释放箭域,在此范围内的目标每秒造成"&amp;X931*100&amp;"%攻击伤害+"&amp;Z931&amp;"点固定伤害,在剑域内的目标受到物理伤害会额外提升20%,并使其移动速度降低50%"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1" s="208" t="s">
        <v>2093</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63022402</v>
      </c>
      <c r="D932" s="203" t="s">
        <v>2090</v>
      </c>
      <c r="E932" s="203" t="s">
        <v>2091</v>
      </c>
      <c r="F932" s="172">
        <v>1</v>
      </c>
      <c r="G932" s="172">
        <v>63022401</v>
      </c>
      <c r="H932" s="172">
        <f t="shared" si="103"/>
        <v>63022403</v>
      </c>
      <c r="I932" s="174">
        <v>0</v>
      </c>
      <c r="J932" s="16">
        <v>42</v>
      </c>
      <c r="K932" s="18">
        <v>2</v>
      </c>
      <c r="L932" s="172">
        <v>0</v>
      </c>
      <c r="M932" s="176">
        <v>0</v>
      </c>
      <c r="N932" s="176">
        <v>0</v>
      </c>
      <c r="O932" s="176">
        <v>1</v>
      </c>
      <c r="P932" s="176">
        <v>0</v>
      </c>
      <c r="Q932" s="176">
        <v>0</v>
      </c>
      <c r="R932" s="176">
        <v>0</v>
      </c>
      <c r="S932" s="175">
        <v>0</v>
      </c>
      <c r="T932" s="174">
        <v>0</v>
      </c>
      <c r="U932" s="172">
        <v>1</v>
      </c>
      <c r="V932" s="176">
        <v>1</v>
      </c>
      <c r="W932" s="176">
        <v>0</v>
      </c>
      <c r="X932" s="176">
        <v>1.3</v>
      </c>
      <c r="Y932" s="12">
        <v>0</v>
      </c>
      <c r="Z932" s="176">
        <v>600</v>
      </c>
      <c r="AA932" s="204">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3" t="s">
        <v>2092</v>
      </c>
      <c r="AV932" s="203"/>
      <c r="AW932" s="203" t="s">
        <v>617</v>
      </c>
      <c r="AX932" s="176" t="s">
        <v>1826</v>
      </c>
      <c r="AY932" s="176">
        <v>10002001</v>
      </c>
      <c r="AZ932" s="176">
        <v>21202040</v>
      </c>
      <c r="BA932" s="203" t="s">
        <v>315</v>
      </c>
      <c r="BB932" s="203" t="s">
        <v>371</v>
      </c>
      <c r="BC932" s="174">
        <v>0</v>
      </c>
      <c r="BD932" s="174">
        <v>0</v>
      </c>
      <c r="BE932" s="208" t="str">
        <f t="shared" ref="BE932:BE936" si="104">"对目标区域释放箭域,在此范围内的目标每秒造成"&amp;X932*100&amp;"%攻击伤害+"&amp;Z932&amp;"点固定伤害,在剑域内的目标受到物理伤害会额外提升20%,并使其移动速度降低50%"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2" s="208" t="s">
        <v>2093</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63022403</v>
      </c>
      <c r="D933" s="203" t="s">
        <v>2090</v>
      </c>
      <c r="E933" s="203" t="s">
        <v>2091</v>
      </c>
      <c r="F933" s="172">
        <v>2</v>
      </c>
      <c r="G933" s="172">
        <v>63022401</v>
      </c>
      <c r="H933" s="172">
        <f t="shared" si="103"/>
        <v>63022404</v>
      </c>
      <c r="I933" s="174">
        <v>0</v>
      </c>
      <c r="J933" s="16">
        <v>47</v>
      </c>
      <c r="K933" s="18">
        <v>2</v>
      </c>
      <c r="L933" s="172">
        <v>0</v>
      </c>
      <c r="M933" s="176">
        <v>0</v>
      </c>
      <c r="N933" s="176">
        <v>0</v>
      </c>
      <c r="O933" s="176">
        <v>1</v>
      </c>
      <c r="P933" s="176">
        <v>0</v>
      </c>
      <c r="Q933" s="176">
        <v>0</v>
      </c>
      <c r="R933" s="176">
        <v>0</v>
      </c>
      <c r="S933" s="175">
        <v>0</v>
      </c>
      <c r="T933" s="174">
        <v>0</v>
      </c>
      <c r="U933" s="172">
        <v>1</v>
      </c>
      <c r="V933" s="176">
        <v>1</v>
      </c>
      <c r="W933" s="176">
        <v>0</v>
      </c>
      <c r="X933" s="176">
        <v>1.45</v>
      </c>
      <c r="Y933" s="12">
        <v>0</v>
      </c>
      <c r="Z933" s="176">
        <v>960</v>
      </c>
      <c r="AA933" s="204">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3" t="s">
        <v>2092</v>
      </c>
      <c r="AV933" s="203"/>
      <c r="AW933" s="203" t="s">
        <v>617</v>
      </c>
      <c r="AX933" s="176" t="s">
        <v>1826</v>
      </c>
      <c r="AY933" s="176">
        <v>10002001</v>
      </c>
      <c r="AZ933" s="176">
        <v>21202040</v>
      </c>
      <c r="BA933" s="203" t="s">
        <v>315</v>
      </c>
      <c r="BB933" s="203" t="s">
        <v>371</v>
      </c>
      <c r="BC933" s="174">
        <v>0</v>
      </c>
      <c r="BD933" s="174">
        <v>0</v>
      </c>
      <c r="BE933" s="208" t="str">
        <f t="shared" si="104"/>
        <v>对目标区域释放箭域,在此范围内的目标每秒造成145%攻击伤害+960点固定伤害,在剑域内的目标受到物理伤害会额外提升20%,并使其移动速度降低50%</v>
      </c>
      <c r="BF933" s="208" t="s">
        <v>2094</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63022404</v>
      </c>
      <c r="D934" s="203" t="s">
        <v>2090</v>
      </c>
      <c r="E934" s="203" t="s">
        <v>2091</v>
      </c>
      <c r="F934" s="172">
        <v>3</v>
      </c>
      <c r="G934" s="172">
        <v>63022401</v>
      </c>
      <c r="H934" s="172">
        <v>0</v>
      </c>
      <c r="I934" s="174">
        <v>0</v>
      </c>
      <c r="J934" s="18">
        <v>0</v>
      </c>
      <c r="K934" s="18">
        <v>0</v>
      </c>
      <c r="L934" s="172">
        <v>0</v>
      </c>
      <c r="M934" s="176">
        <v>0</v>
      </c>
      <c r="N934" s="176">
        <v>0</v>
      </c>
      <c r="O934" s="176">
        <v>1</v>
      </c>
      <c r="P934" s="176">
        <v>0</v>
      </c>
      <c r="Q934" s="176">
        <v>0</v>
      </c>
      <c r="R934" s="176">
        <v>0</v>
      </c>
      <c r="S934" s="175">
        <v>0</v>
      </c>
      <c r="T934" s="174">
        <v>0</v>
      </c>
      <c r="U934" s="172">
        <v>1</v>
      </c>
      <c r="V934" s="176">
        <v>1</v>
      </c>
      <c r="W934" s="176">
        <v>0</v>
      </c>
      <c r="X934" s="176">
        <v>1.6</v>
      </c>
      <c r="Y934" s="12">
        <v>0</v>
      </c>
      <c r="Z934" s="176">
        <v>1380</v>
      </c>
      <c r="AA934" s="204">
        <v>0</v>
      </c>
      <c r="AB934" s="176">
        <v>30</v>
      </c>
      <c r="AC934" s="176">
        <v>0</v>
      </c>
      <c r="AD934" s="176">
        <v>0</v>
      </c>
      <c r="AE934" s="176">
        <v>0</v>
      </c>
      <c r="AF934" s="175">
        <v>9</v>
      </c>
      <c r="AG934" s="176">
        <v>1</v>
      </c>
      <c r="AH934" s="176">
        <v>5</v>
      </c>
      <c r="AI934" s="175">
        <v>2</v>
      </c>
      <c r="AJ934" s="175">
        <v>1</v>
      </c>
      <c r="AK934" s="175">
        <v>0</v>
      </c>
      <c r="AL934" s="175">
        <v>10</v>
      </c>
      <c r="AM934" s="176">
        <v>0</v>
      </c>
      <c r="AN934" s="176">
        <v>0</v>
      </c>
      <c r="AO934" s="176">
        <v>0</v>
      </c>
      <c r="AP934" s="175">
        <v>0.25</v>
      </c>
      <c r="AQ934" s="176">
        <v>6000</v>
      </c>
      <c r="AR934" s="176">
        <v>0.5</v>
      </c>
      <c r="AS934" s="176">
        <v>0</v>
      </c>
      <c r="AT934" s="175">
        <v>0</v>
      </c>
      <c r="AU934" s="203" t="s">
        <v>2092</v>
      </c>
      <c r="AV934" s="203"/>
      <c r="AW934" s="203" t="s">
        <v>617</v>
      </c>
      <c r="AX934" s="176" t="s">
        <v>1826</v>
      </c>
      <c r="AY934" s="176">
        <v>10002001</v>
      </c>
      <c r="AZ934" s="176">
        <v>21202040</v>
      </c>
      <c r="BA934" s="203" t="s">
        <v>315</v>
      </c>
      <c r="BB934" s="203" t="s">
        <v>371</v>
      </c>
      <c r="BC934" s="174">
        <v>0</v>
      </c>
      <c r="BD934" s="174">
        <v>0</v>
      </c>
      <c r="BE934" s="208" t="str">
        <f t="shared" si="104"/>
        <v>对目标区域释放箭域,在此范围内的目标每秒造成160%攻击伤害+1380点固定伤害,在剑域内的目标受到物理伤害会额外提升20%,并使其移动速度降低50%</v>
      </c>
      <c r="BF934" s="208" t="s">
        <v>2095</v>
      </c>
      <c r="BG934" s="176">
        <v>0</v>
      </c>
      <c r="BH934" s="172">
        <v>0</v>
      </c>
      <c r="BI934" s="176">
        <v>0</v>
      </c>
      <c r="BJ934" s="176">
        <v>0</v>
      </c>
      <c r="BK934" s="176">
        <v>0</v>
      </c>
      <c r="BL934" s="176">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63022405</v>
      </c>
      <c r="D935" s="203" t="s">
        <v>2090</v>
      </c>
      <c r="E935" s="203" t="s">
        <v>2091</v>
      </c>
      <c r="F935" s="172">
        <v>4</v>
      </c>
      <c r="G935" s="172">
        <v>63022401</v>
      </c>
      <c r="H935" s="172">
        <v>0</v>
      </c>
      <c r="I935" s="174">
        <v>0</v>
      </c>
      <c r="J935" s="18">
        <v>0</v>
      </c>
      <c r="K935" s="18">
        <v>0</v>
      </c>
      <c r="L935" s="172">
        <v>0</v>
      </c>
      <c r="M935" s="176">
        <v>0</v>
      </c>
      <c r="N935" s="176">
        <v>0</v>
      </c>
      <c r="O935" s="176">
        <v>1</v>
      </c>
      <c r="P935" s="176">
        <v>0</v>
      </c>
      <c r="Q935" s="176">
        <v>0</v>
      </c>
      <c r="R935" s="176">
        <v>0</v>
      </c>
      <c r="S935" s="175">
        <v>0</v>
      </c>
      <c r="T935" s="174">
        <v>0</v>
      </c>
      <c r="U935" s="172">
        <v>1</v>
      </c>
      <c r="V935" s="176">
        <v>1</v>
      </c>
      <c r="W935" s="176">
        <v>0</v>
      </c>
      <c r="X935" s="176">
        <v>1.75</v>
      </c>
      <c r="Y935" s="12">
        <v>0</v>
      </c>
      <c r="Z935" s="176">
        <v>1860</v>
      </c>
      <c r="AA935" s="204">
        <v>0</v>
      </c>
      <c r="AB935" s="176">
        <v>30</v>
      </c>
      <c r="AC935" s="176">
        <v>0</v>
      </c>
      <c r="AD935" s="176">
        <v>0</v>
      </c>
      <c r="AE935" s="176">
        <v>0</v>
      </c>
      <c r="AF935" s="175">
        <v>9</v>
      </c>
      <c r="AG935" s="176">
        <v>1</v>
      </c>
      <c r="AH935" s="176">
        <v>5</v>
      </c>
      <c r="AI935" s="175">
        <v>2</v>
      </c>
      <c r="AJ935" s="175">
        <v>1</v>
      </c>
      <c r="AK935" s="175">
        <v>0</v>
      </c>
      <c r="AL935" s="175">
        <v>10</v>
      </c>
      <c r="AM935" s="176">
        <v>0</v>
      </c>
      <c r="AN935" s="176">
        <v>0</v>
      </c>
      <c r="AO935" s="176">
        <v>0</v>
      </c>
      <c r="AP935" s="175">
        <v>0.25</v>
      </c>
      <c r="AQ935" s="176">
        <v>6000</v>
      </c>
      <c r="AR935" s="176">
        <v>0.5</v>
      </c>
      <c r="AS935" s="176">
        <v>0</v>
      </c>
      <c r="AT935" s="175">
        <v>0</v>
      </c>
      <c r="AU935" s="203" t="s">
        <v>2092</v>
      </c>
      <c r="AV935" s="203"/>
      <c r="AW935" s="203" t="s">
        <v>617</v>
      </c>
      <c r="AX935" s="176" t="s">
        <v>1826</v>
      </c>
      <c r="AY935" s="176">
        <v>10002001</v>
      </c>
      <c r="AZ935" s="176">
        <v>21202040</v>
      </c>
      <c r="BA935" s="203" t="s">
        <v>315</v>
      </c>
      <c r="BB935" s="203" t="s">
        <v>371</v>
      </c>
      <c r="BC935" s="174">
        <v>0</v>
      </c>
      <c r="BD935" s="174">
        <v>0</v>
      </c>
      <c r="BE935" s="208" t="str">
        <f t="shared" si="104"/>
        <v>对目标区域释放箭域,在此范围内的目标每秒造成175%攻击伤害+1860点固定伤害,在剑域内的目标受到物理伤害会额外提升20%,并使其移动速度降低50%</v>
      </c>
      <c r="BF935" s="208" t="s">
        <v>2096</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63022406</v>
      </c>
      <c r="D936" s="203" t="s">
        <v>2090</v>
      </c>
      <c r="E936" s="203" t="s">
        <v>2091</v>
      </c>
      <c r="F936" s="172">
        <v>5</v>
      </c>
      <c r="G936" s="172">
        <v>63022401</v>
      </c>
      <c r="H936" s="176">
        <v>0</v>
      </c>
      <c r="I936" s="174">
        <v>0</v>
      </c>
      <c r="J936" s="18">
        <v>0</v>
      </c>
      <c r="K936" s="18">
        <v>0</v>
      </c>
      <c r="L936" s="172">
        <v>0</v>
      </c>
      <c r="M936" s="176">
        <v>0</v>
      </c>
      <c r="N936" s="176">
        <v>0</v>
      </c>
      <c r="O936" s="176">
        <v>1</v>
      </c>
      <c r="P936" s="176">
        <v>0</v>
      </c>
      <c r="Q936" s="176">
        <v>0</v>
      </c>
      <c r="R936" s="176">
        <v>0</v>
      </c>
      <c r="S936" s="175">
        <v>0</v>
      </c>
      <c r="T936" s="174">
        <v>0</v>
      </c>
      <c r="U936" s="172">
        <v>1</v>
      </c>
      <c r="V936" s="176">
        <v>1</v>
      </c>
      <c r="W936" s="176">
        <v>0</v>
      </c>
      <c r="X936" s="176">
        <v>1.9</v>
      </c>
      <c r="Y936" s="12">
        <v>0</v>
      </c>
      <c r="Z936" s="176">
        <v>2460</v>
      </c>
      <c r="AA936" s="204">
        <v>0</v>
      </c>
      <c r="AB936" s="176">
        <v>30</v>
      </c>
      <c r="AC936" s="176">
        <v>0</v>
      </c>
      <c r="AD936" s="176">
        <v>0</v>
      </c>
      <c r="AE936" s="176">
        <v>0</v>
      </c>
      <c r="AF936" s="175">
        <v>9</v>
      </c>
      <c r="AG936" s="176">
        <v>1</v>
      </c>
      <c r="AH936" s="176">
        <v>5</v>
      </c>
      <c r="AI936" s="175">
        <v>2</v>
      </c>
      <c r="AJ936" s="175">
        <v>1</v>
      </c>
      <c r="AK936" s="175">
        <v>0</v>
      </c>
      <c r="AL936" s="175">
        <v>10</v>
      </c>
      <c r="AM936" s="176">
        <v>0</v>
      </c>
      <c r="AN936" s="176">
        <v>0</v>
      </c>
      <c r="AO936" s="176">
        <v>0</v>
      </c>
      <c r="AP936" s="175">
        <v>0.25</v>
      </c>
      <c r="AQ936" s="176">
        <v>6000</v>
      </c>
      <c r="AR936" s="176">
        <v>0.5</v>
      </c>
      <c r="AS936" s="176">
        <v>0</v>
      </c>
      <c r="AT936" s="175">
        <v>0</v>
      </c>
      <c r="AU936" s="203" t="s">
        <v>2092</v>
      </c>
      <c r="AV936" s="203"/>
      <c r="AW936" s="203" t="s">
        <v>617</v>
      </c>
      <c r="AX936" s="176" t="s">
        <v>1826</v>
      </c>
      <c r="AY936" s="176">
        <v>10002001</v>
      </c>
      <c r="AZ936" s="176">
        <v>21202040</v>
      </c>
      <c r="BA936" s="203" t="s">
        <v>315</v>
      </c>
      <c r="BB936" s="203" t="s">
        <v>371</v>
      </c>
      <c r="BC936" s="174">
        <v>0</v>
      </c>
      <c r="BD936" s="174">
        <v>0</v>
      </c>
      <c r="BE936" s="208" t="str">
        <f t="shared" si="104"/>
        <v>对目标区域释放箭域,在此范围内的目标每秒造成190%攻击伤害+2460点固定伤害,在剑域内的目标受到物理伤害会额外提升20%,并使其移动速度降低50%</v>
      </c>
      <c r="BF936" s="208" t="s">
        <v>2097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63023101</v>
      </c>
      <c r="D937" s="200" t="s">
        <v>2098</v>
      </c>
      <c r="E937" s="200" t="s">
        <v>2099</v>
      </c>
      <c r="F937" s="172">
        <v>0</v>
      </c>
      <c r="G937" s="175">
        <v>63023101</v>
      </c>
      <c r="H937" s="172">
        <f t="shared" ref="H937:H939" si="105">C938</f>
        <v>63023102</v>
      </c>
      <c r="I937" s="174">
        <v>0</v>
      </c>
      <c r="J937" s="16">
        <v>18</v>
      </c>
      <c r="K937" s="16">
        <v>5</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204">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203" t="s">
        <v>2100</v>
      </c>
      <c r="AU937" s="354" t="s">
        <v>2101</v>
      </c>
      <c r="AV937" s="203"/>
      <c r="AW937" s="203" t="s">
        <v>1547</v>
      </c>
      <c r="AX937" s="175" t="s">
        <v>2102</v>
      </c>
      <c r="AY937" s="175" t="s">
        <v>198</v>
      </c>
      <c r="AZ937" s="175">
        <v>21203010</v>
      </c>
      <c r="BA937" s="200" t="s">
        <v>200</v>
      </c>
      <c r="BB937" s="175">
        <v>0</v>
      </c>
      <c r="BC937" s="175">
        <v>0</v>
      </c>
      <c r="BD937" s="175">
        <v>0</v>
      </c>
      <c r="BE937" s="212" t="s">
        <v>2103</v>
      </c>
      <c r="BF937" s="212" t="s">
        <v>2104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63023102</v>
      </c>
      <c r="D938" s="200" t="s">
        <v>2098</v>
      </c>
      <c r="E938" s="200" t="s">
        <v>2099</v>
      </c>
      <c r="F938" s="172">
        <v>1</v>
      </c>
      <c r="G938" s="175">
        <v>63023101</v>
      </c>
      <c r="H938" s="172">
        <f t="shared" si="105"/>
        <v>63023103</v>
      </c>
      <c r="I938" s="174">
        <v>0</v>
      </c>
      <c r="J938" s="16">
        <v>27</v>
      </c>
      <c r="K938" s="16">
        <v>2</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3" t="s">
        <v>2100</v>
      </c>
      <c r="AU938" s="354" t="s">
        <v>2101</v>
      </c>
      <c r="AV938" s="203"/>
      <c r="AW938" s="203" t="s">
        <v>1547</v>
      </c>
      <c r="AX938" s="175" t="s">
        <v>2102</v>
      </c>
      <c r="AY938" s="175" t="s">
        <v>198</v>
      </c>
      <c r="AZ938" s="175">
        <v>21203010</v>
      </c>
      <c r="BA938" s="200" t="s">
        <v>200</v>
      </c>
      <c r="BB938" s="175">
        <v>0</v>
      </c>
      <c r="BC938" s="175">
        <v>0</v>
      </c>
      <c r="BD938" s="175">
        <v>0</v>
      </c>
      <c r="BE938" s="212" t="s">
        <v>2103</v>
      </c>
      <c r="BF938" s="212" t="s">
        <v>2104</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63023103</v>
      </c>
      <c r="D939" s="200" t="s">
        <v>2098</v>
      </c>
      <c r="E939" s="200" t="s">
        <v>2099</v>
      </c>
      <c r="F939" s="172">
        <v>2</v>
      </c>
      <c r="G939" s="175">
        <v>63023101</v>
      </c>
      <c r="H939" s="172">
        <f t="shared" si="105"/>
        <v>63023104</v>
      </c>
      <c r="I939" s="174">
        <v>0</v>
      </c>
      <c r="J939" s="16">
        <v>32</v>
      </c>
      <c r="K939" s="16">
        <v>2</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3" t="s">
        <v>2105</v>
      </c>
      <c r="AU939" s="354" t="s">
        <v>2106</v>
      </c>
      <c r="AV939" s="203"/>
      <c r="AW939" s="203" t="s">
        <v>1547</v>
      </c>
      <c r="AX939" s="175" t="s">
        <v>2102</v>
      </c>
      <c r="AY939" s="175" t="s">
        <v>198</v>
      </c>
      <c r="AZ939" s="175">
        <v>21203010</v>
      </c>
      <c r="BA939" s="200" t="s">
        <v>200</v>
      </c>
      <c r="BB939" s="175">
        <v>0</v>
      </c>
      <c r="BC939" s="175">
        <v>0</v>
      </c>
      <c r="BD939" s="175">
        <v>0</v>
      </c>
      <c r="BE939" s="212" t="s">
        <v>2107</v>
      </c>
      <c r="BF939" s="212" t="s">
        <v>2108</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63023104</v>
      </c>
      <c r="D940" s="200" t="s">
        <v>2098</v>
      </c>
      <c r="E940" s="200" t="s">
        <v>2099</v>
      </c>
      <c r="F940" s="172">
        <v>3</v>
      </c>
      <c r="G940" s="175">
        <v>63023101</v>
      </c>
      <c r="H940" s="172">
        <v>0</v>
      </c>
      <c r="I940" s="174">
        <v>0</v>
      </c>
      <c r="J940" s="16">
        <v>0</v>
      </c>
      <c r="K940" s="179">
        <v>0</v>
      </c>
      <c r="L940" s="172">
        <v>0</v>
      </c>
      <c r="M940" s="175">
        <v>0</v>
      </c>
      <c r="N940" s="175">
        <v>0</v>
      </c>
      <c r="O940" s="175">
        <v>1</v>
      </c>
      <c r="P940" s="175">
        <v>0</v>
      </c>
      <c r="Q940" s="175">
        <v>0</v>
      </c>
      <c r="R940" s="175">
        <v>0</v>
      </c>
      <c r="S940" s="175">
        <v>0</v>
      </c>
      <c r="T940" s="175">
        <v>0</v>
      </c>
      <c r="U940" s="172">
        <v>1</v>
      </c>
      <c r="V940" s="175">
        <v>2</v>
      </c>
      <c r="W940" s="175">
        <v>0</v>
      </c>
      <c r="X940" s="176">
        <v>0</v>
      </c>
      <c r="Y940" s="12">
        <v>0</v>
      </c>
      <c r="Z940" s="176">
        <v>0</v>
      </c>
      <c r="AA940" s="175">
        <v>0</v>
      </c>
      <c r="AB940" s="175">
        <v>15</v>
      </c>
      <c r="AC940" s="175">
        <v>0</v>
      </c>
      <c r="AD940" s="176">
        <v>0</v>
      </c>
      <c r="AE940" s="175">
        <v>0</v>
      </c>
      <c r="AF940" s="176">
        <v>15</v>
      </c>
      <c r="AG940" s="175">
        <v>1</v>
      </c>
      <c r="AH940" s="176">
        <v>20</v>
      </c>
      <c r="AI940" s="175">
        <v>2</v>
      </c>
      <c r="AJ940" s="175">
        <v>1</v>
      </c>
      <c r="AK940" s="175">
        <v>1</v>
      </c>
      <c r="AL940" s="175">
        <v>6</v>
      </c>
      <c r="AM940" s="175">
        <v>0</v>
      </c>
      <c r="AN940" s="175">
        <v>0</v>
      </c>
      <c r="AO940" s="175">
        <v>0</v>
      </c>
      <c r="AP940" s="176">
        <v>0.25</v>
      </c>
      <c r="AQ940" s="176">
        <v>2000</v>
      </c>
      <c r="AR940" s="175">
        <v>0.1</v>
      </c>
      <c r="AS940" s="175">
        <v>0</v>
      </c>
      <c r="AT940" s="354" t="s">
        <v>2109</v>
      </c>
      <c r="AU940" s="354" t="s">
        <v>2110</v>
      </c>
      <c r="AV940" s="203"/>
      <c r="AW940" s="203" t="s">
        <v>1547</v>
      </c>
      <c r="AX940" s="175" t="s">
        <v>2102</v>
      </c>
      <c r="AY940" s="175" t="s">
        <v>198</v>
      </c>
      <c r="AZ940" s="175">
        <v>21203010</v>
      </c>
      <c r="BA940" s="200" t="s">
        <v>200</v>
      </c>
      <c r="BB940" s="175">
        <v>0</v>
      </c>
      <c r="BC940" s="175">
        <v>0</v>
      </c>
      <c r="BD940" s="175">
        <v>0</v>
      </c>
      <c r="BE940" s="212" t="s">
        <v>2111</v>
      </c>
      <c r="BF940" s="212" t="s">
        <v>2112</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63023105</v>
      </c>
      <c r="D941" s="200" t="s">
        <v>2098</v>
      </c>
      <c r="E941" s="200" t="s">
        <v>2099</v>
      </c>
      <c r="F941" s="172">
        <v>4</v>
      </c>
      <c r="G941" s="175">
        <v>63023101</v>
      </c>
      <c r="H941" s="172">
        <v>0</v>
      </c>
      <c r="I941" s="174">
        <v>0</v>
      </c>
      <c r="J941" s="16">
        <v>0</v>
      </c>
      <c r="K941" s="16">
        <v>0</v>
      </c>
      <c r="L941" s="172">
        <v>0</v>
      </c>
      <c r="M941" s="175">
        <v>0</v>
      </c>
      <c r="N941" s="175">
        <v>0</v>
      </c>
      <c r="O941" s="175">
        <v>1</v>
      </c>
      <c r="P941" s="175">
        <v>0</v>
      </c>
      <c r="Q941" s="175">
        <v>0</v>
      </c>
      <c r="R941" s="175">
        <v>0</v>
      </c>
      <c r="S941" s="175">
        <v>0</v>
      </c>
      <c r="T941" s="175">
        <v>0</v>
      </c>
      <c r="U941" s="172">
        <v>1</v>
      </c>
      <c r="V941" s="175">
        <v>2</v>
      </c>
      <c r="W941" s="175">
        <v>0</v>
      </c>
      <c r="X941" s="176">
        <v>0</v>
      </c>
      <c r="Y941" s="12">
        <v>0</v>
      </c>
      <c r="Z941" s="176">
        <v>0</v>
      </c>
      <c r="AA941" s="175">
        <v>0</v>
      </c>
      <c r="AB941" s="175">
        <v>15</v>
      </c>
      <c r="AC941" s="175">
        <v>0</v>
      </c>
      <c r="AD941" s="176">
        <v>0</v>
      </c>
      <c r="AE941" s="175">
        <v>0</v>
      </c>
      <c r="AF941" s="176">
        <v>15</v>
      </c>
      <c r="AG941" s="175">
        <v>1</v>
      </c>
      <c r="AH941" s="176">
        <v>20</v>
      </c>
      <c r="AI941" s="175">
        <v>2</v>
      </c>
      <c r="AJ941" s="175">
        <v>1</v>
      </c>
      <c r="AK941" s="175">
        <v>1</v>
      </c>
      <c r="AL941" s="175">
        <v>6</v>
      </c>
      <c r="AM941" s="175">
        <v>0</v>
      </c>
      <c r="AN941" s="175">
        <v>0</v>
      </c>
      <c r="AO941" s="175">
        <v>0</v>
      </c>
      <c r="AP941" s="176">
        <v>0.25</v>
      </c>
      <c r="AQ941" s="176">
        <v>2000</v>
      </c>
      <c r="AR941" s="175">
        <v>0.1</v>
      </c>
      <c r="AS941" s="175">
        <v>0</v>
      </c>
      <c r="AT941" s="203" t="s">
        <v>2113</v>
      </c>
      <c r="AU941" s="354" t="s">
        <v>2114</v>
      </c>
      <c r="AV941" s="203"/>
      <c r="AW941" s="203" t="s">
        <v>1547</v>
      </c>
      <c r="AX941" s="175" t="s">
        <v>2102</v>
      </c>
      <c r="AY941" s="175" t="s">
        <v>198</v>
      </c>
      <c r="AZ941" s="175">
        <v>21203010</v>
      </c>
      <c r="BA941" s="200" t="s">
        <v>200</v>
      </c>
      <c r="BB941" s="175">
        <v>0</v>
      </c>
      <c r="BC941" s="175">
        <v>0</v>
      </c>
      <c r="BD941" s="175">
        <v>0</v>
      </c>
      <c r="BE941" s="212" t="s">
        <v>2115</v>
      </c>
      <c r="BF941" s="212" t="s">
        <v>2116</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63023106</v>
      </c>
      <c r="D942" s="200" t="s">
        <v>2098</v>
      </c>
      <c r="E942" s="200" t="s">
        <v>2099</v>
      </c>
      <c r="F942" s="172">
        <v>5</v>
      </c>
      <c r="G942" s="175">
        <v>63023101</v>
      </c>
      <c r="H942" s="176">
        <v>0</v>
      </c>
      <c r="I942" s="174">
        <v>0</v>
      </c>
      <c r="J942" s="16">
        <v>0</v>
      </c>
      <c r="K942" s="16">
        <v>0</v>
      </c>
      <c r="L942" s="172">
        <v>0</v>
      </c>
      <c r="M942" s="175">
        <v>0</v>
      </c>
      <c r="N942" s="175">
        <v>0</v>
      </c>
      <c r="O942" s="175">
        <v>1</v>
      </c>
      <c r="P942" s="175">
        <v>0</v>
      </c>
      <c r="Q942" s="175">
        <v>0</v>
      </c>
      <c r="R942" s="175">
        <v>0</v>
      </c>
      <c r="S942" s="175">
        <v>0</v>
      </c>
      <c r="T942" s="175">
        <v>0</v>
      </c>
      <c r="U942" s="172">
        <v>1</v>
      </c>
      <c r="V942" s="175">
        <v>2</v>
      </c>
      <c r="W942" s="175">
        <v>0</v>
      </c>
      <c r="X942" s="176">
        <v>0</v>
      </c>
      <c r="Y942" s="12">
        <v>0</v>
      </c>
      <c r="Z942" s="176">
        <v>0</v>
      </c>
      <c r="AA942" s="175">
        <v>0</v>
      </c>
      <c r="AB942" s="175">
        <v>15</v>
      </c>
      <c r="AC942" s="175">
        <v>0</v>
      </c>
      <c r="AD942" s="176">
        <v>0</v>
      </c>
      <c r="AE942" s="175">
        <v>0</v>
      </c>
      <c r="AF942" s="176">
        <v>15</v>
      </c>
      <c r="AG942" s="175">
        <v>1</v>
      </c>
      <c r="AH942" s="176">
        <v>20</v>
      </c>
      <c r="AI942" s="175">
        <v>2</v>
      </c>
      <c r="AJ942" s="175">
        <v>1</v>
      </c>
      <c r="AK942" s="175">
        <v>1</v>
      </c>
      <c r="AL942" s="175">
        <v>6</v>
      </c>
      <c r="AM942" s="175">
        <v>0</v>
      </c>
      <c r="AN942" s="175">
        <v>0</v>
      </c>
      <c r="AO942" s="175">
        <v>0</v>
      </c>
      <c r="AP942" s="176">
        <v>0.25</v>
      </c>
      <c r="AQ942" s="176">
        <v>2000</v>
      </c>
      <c r="AR942" s="175">
        <v>0.1</v>
      </c>
      <c r="AS942" s="175">
        <v>0</v>
      </c>
      <c r="AT942" s="203" t="s">
        <v>2117</v>
      </c>
      <c r="AU942" s="354" t="s">
        <v>2118</v>
      </c>
      <c r="AV942" s="203"/>
      <c r="AW942" s="203" t="s">
        <v>1547</v>
      </c>
      <c r="AX942" s="175" t="s">
        <v>2102</v>
      </c>
      <c r="AY942" s="175" t="s">
        <v>198</v>
      </c>
      <c r="AZ942" s="175">
        <v>21203010</v>
      </c>
      <c r="BA942" s="200" t="s">
        <v>200</v>
      </c>
      <c r="BB942" s="175">
        <v>0</v>
      </c>
      <c r="BC942" s="175">
        <v>0</v>
      </c>
      <c r="BD942" s="175">
        <v>0</v>
      </c>
      <c r="BE942" s="212" t="s">
        <v>2119</v>
      </c>
      <c r="BF942" s="212" t="s">
        <v>2120</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63023201</v>
      </c>
      <c r="D943" s="200" t="s">
        <v>2121</v>
      </c>
      <c r="E943" s="200" t="s">
        <v>2122</v>
      </c>
      <c r="F943" s="172">
        <v>0</v>
      </c>
      <c r="G943" s="172">
        <v>63023201</v>
      </c>
      <c r="H943" s="172">
        <f t="shared" ref="H943:H945" si="106">C944</f>
        <v>63023202</v>
      </c>
      <c r="I943" s="174">
        <v>0</v>
      </c>
      <c r="J943" s="16">
        <v>25</v>
      </c>
      <c r="K943" s="16">
        <v>5</v>
      </c>
      <c r="L943" s="172">
        <v>0</v>
      </c>
      <c r="M943" s="175">
        <v>0</v>
      </c>
      <c r="N943" s="175">
        <v>0</v>
      </c>
      <c r="O943" s="175">
        <v>1</v>
      </c>
      <c r="P943" s="175">
        <v>0</v>
      </c>
      <c r="Q943" s="175">
        <v>0</v>
      </c>
      <c r="R943" s="175">
        <v>0</v>
      </c>
      <c r="S943" s="175">
        <v>0</v>
      </c>
      <c r="T943" s="175">
        <v>0</v>
      </c>
      <c r="U943" s="172">
        <v>1</v>
      </c>
      <c r="V943" s="175">
        <v>2</v>
      </c>
      <c r="W943" s="175">
        <v>0</v>
      </c>
      <c r="X943" s="176">
        <v>2</v>
      </c>
      <c r="Y943" s="12">
        <v>0</v>
      </c>
      <c r="Z943" s="176">
        <v>900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92033003</v>
      </c>
      <c r="AV943" s="175"/>
      <c r="AW943" s="203" t="s">
        <v>1547</v>
      </c>
      <c r="AX943" s="175" t="s">
        <v>1695</v>
      </c>
      <c r="AY943" s="175">
        <v>21203020</v>
      </c>
      <c r="AZ943" s="175">
        <v>21203020</v>
      </c>
      <c r="BA943" s="200" t="s">
        <v>200</v>
      </c>
      <c r="BB943" s="175">
        <v>0</v>
      </c>
      <c r="BC943" s="174">
        <v>0</v>
      </c>
      <c r="BD943" s="174">
        <v>0</v>
      </c>
      <c r="BE943" s="208" t="str">
        <f t="shared" ref="BE943:BE945" si="107">"立即对目标区域的怪物造成"&amp;X943*100&amp;"%攻击伤害+"&amp;Z943&amp;"点固定伤害,并让其附带一个狩猎印记,使其受到伤害额外提升20%,持续15秒"</f>
        <v>立即对目标区域的怪物造成200%攻击伤害+900点固定伤害,并让其附带一个狩猎印记,使其受到伤害额外提升20%,持续15秒</v>
      </c>
      <c r="BF943" s="208" t="s">
        <v>2123</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63023202</v>
      </c>
      <c r="D944" s="200" t="s">
        <v>2121</v>
      </c>
      <c r="E944" s="200" t="s">
        <v>2122</v>
      </c>
      <c r="F944" s="172">
        <v>1</v>
      </c>
      <c r="G944" s="172">
        <v>63023201</v>
      </c>
      <c r="H944" s="172">
        <f t="shared" si="106"/>
        <v>63023203</v>
      </c>
      <c r="I944" s="174">
        <v>0</v>
      </c>
      <c r="J944" s="16">
        <v>32</v>
      </c>
      <c r="K944" s="16">
        <v>2</v>
      </c>
      <c r="L944" s="172">
        <v>0</v>
      </c>
      <c r="M944" s="175">
        <v>0</v>
      </c>
      <c r="N944" s="175">
        <v>0</v>
      </c>
      <c r="O944" s="175">
        <v>1</v>
      </c>
      <c r="P944" s="175">
        <v>0</v>
      </c>
      <c r="Q944" s="175">
        <v>0</v>
      </c>
      <c r="R944" s="175">
        <v>0</v>
      </c>
      <c r="S944" s="175">
        <v>0</v>
      </c>
      <c r="T944" s="175">
        <v>0</v>
      </c>
      <c r="U944" s="172">
        <v>1</v>
      </c>
      <c r="V944" s="175">
        <v>2</v>
      </c>
      <c r="W944" s="175">
        <v>0</v>
      </c>
      <c r="X944" s="176">
        <v>2</v>
      </c>
      <c r="Y944" s="12">
        <v>0</v>
      </c>
      <c r="Z944" s="176">
        <v>900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92033003</v>
      </c>
      <c r="AV944" s="175"/>
      <c r="AW944" s="203" t="s">
        <v>1547</v>
      </c>
      <c r="AX944" s="175" t="s">
        <v>1695</v>
      </c>
      <c r="AY944" s="175">
        <v>21203020</v>
      </c>
      <c r="AZ944" s="175">
        <v>21203020</v>
      </c>
      <c r="BA944" s="200" t="s">
        <v>200</v>
      </c>
      <c r="BB944" s="175">
        <v>0</v>
      </c>
      <c r="BC944" s="174">
        <v>0</v>
      </c>
      <c r="BD944" s="174">
        <v>0</v>
      </c>
      <c r="BE944" s="208" t="str">
        <f t="shared" si="107"/>
        <v>立即对目标区域的怪物造成200%攻击伤害+900点固定伤害,并让其附带一个狩猎印记,使其受到伤害额外提升20%,持续15秒</v>
      </c>
      <c r="BF944" s="208" t="s">
        <v>2123</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63023203</v>
      </c>
      <c r="D945" s="200" t="s">
        <v>2121</v>
      </c>
      <c r="E945" s="200" t="s">
        <v>2122</v>
      </c>
      <c r="F945" s="172">
        <v>2</v>
      </c>
      <c r="G945" s="172">
        <v>63023201</v>
      </c>
      <c r="H945" s="172">
        <f t="shared" si="106"/>
        <v>63023204</v>
      </c>
      <c r="I945" s="174">
        <v>0</v>
      </c>
      <c r="J945" s="16">
        <v>37</v>
      </c>
      <c r="K945" s="16">
        <v>2</v>
      </c>
      <c r="L945" s="172">
        <v>0</v>
      </c>
      <c r="M945" s="175">
        <v>0</v>
      </c>
      <c r="N945" s="175">
        <v>0</v>
      </c>
      <c r="O945" s="175">
        <v>1</v>
      </c>
      <c r="P945" s="175">
        <v>0</v>
      </c>
      <c r="Q945" s="175">
        <v>0</v>
      </c>
      <c r="R945" s="175">
        <v>0</v>
      </c>
      <c r="S945" s="175">
        <v>0</v>
      </c>
      <c r="T945" s="175">
        <v>0</v>
      </c>
      <c r="U945" s="172">
        <v>1</v>
      </c>
      <c r="V945" s="175">
        <v>2</v>
      </c>
      <c r="W945" s="175">
        <v>0</v>
      </c>
      <c r="X945" s="176">
        <v>2.25</v>
      </c>
      <c r="Y945" s="12">
        <v>0</v>
      </c>
      <c r="Z945" s="176">
        <v>1800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92033003</v>
      </c>
      <c r="AV945" s="175"/>
      <c r="AW945" s="203" t="s">
        <v>1547</v>
      </c>
      <c r="AX945" s="175" t="s">
        <v>1695</v>
      </c>
      <c r="AY945" s="175">
        <v>21203020</v>
      </c>
      <c r="AZ945" s="175">
        <v>21203020</v>
      </c>
      <c r="BA945" s="200" t="s">
        <v>200</v>
      </c>
      <c r="BB945" s="175">
        <v>0</v>
      </c>
      <c r="BC945" s="174">
        <v>0</v>
      </c>
      <c r="BD945" s="174">
        <v>0</v>
      </c>
      <c r="BE945" s="208" t="str">
        <f t="shared" si="107"/>
        <v>立即对目标区域的怪物造成225%攻击伤害+1800点固定伤害,并让其附带一个狩猎印记,使其受到伤害额外提升20%,持续15秒</v>
      </c>
      <c r="BF945" s="208" t="s">
        <v>2124</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20.100000000000001" customHeight="1">
      <c r="C946" s="172">
        <v>63023204</v>
      </c>
      <c r="D946" s="200" t="s">
        <v>2121</v>
      </c>
      <c r="E946" s="200" t="s">
        <v>2122</v>
      </c>
      <c r="F946" s="172">
        <v>3</v>
      </c>
      <c r="G946" s="172">
        <v>63023201</v>
      </c>
      <c r="H946" s="172">
        <v>0</v>
      </c>
      <c r="I946" s="174">
        <v>0</v>
      </c>
      <c r="J946" s="16">
        <v>0</v>
      </c>
      <c r="K946" s="16">
        <v>0</v>
      </c>
      <c r="L946" s="172">
        <v>0</v>
      </c>
      <c r="M946" s="175">
        <v>0</v>
      </c>
      <c r="N946" s="175">
        <v>0</v>
      </c>
      <c r="O946" s="175">
        <v>1</v>
      </c>
      <c r="P946" s="175">
        <v>0</v>
      </c>
      <c r="Q946" s="175">
        <v>0</v>
      </c>
      <c r="R946" s="175">
        <v>0</v>
      </c>
      <c r="S946" s="175">
        <v>0</v>
      </c>
      <c r="T946" s="175">
        <v>0</v>
      </c>
      <c r="U946" s="172">
        <v>1</v>
      </c>
      <c r="V946" s="175">
        <v>2</v>
      </c>
      <c r="W946" s="175">
        <v>0</v>
      </c>
      <c r="X946" s="176">
        <v>2.5</v>
      </c>
      <c r="Y946" s="12">
        <v>0</v>
      </c>
      <c r="Z946" s="176">
        <v>2800</v>
      </c>
      <c r="AA946" s="175">
        <v>0</v>
      </c>
      <c r="AB946" s="175">
        <v>20</v>
      </c>
      <c r="AC946" s="175">
        <v>0</v>
      </c>
      <c r="AD946" s="175">
        <v>0</v>
      </c>
      <c r="AE946" s="175">
        <v>0</v>
      </c>
      <c r="AF946" s="175">
        <v>10</v>
      </c>
      <c r="AG946" s="175">
        <v>0</v>
      </c>
      <c r="AH946" s="176">
        <v>4</v>
      </c>
      <c r="AI946" s="175">
        <v>2</v>
      </c>
      <c r="AJ946" s="175">
        <v>1</v>
      </c>
      <c r="AK946" s="175">
        <v>0</v>
      </c>
      <c r="AL946" s="175">
        <v>8</v>
      </c>
      <c r="AM946" s="175">
        <v>0</v>
      </c>
      <c r="AN946" s="175">
        <v>0</v>
      </c>
      <c r="AO946" s="175">
        <v>0</v>
      </c>
      <c r="AP946" s="175">
        <v>0.25</v>
      </c>
      <c r="AQ946" s="175">
        <v>1000</v>
      </c>
      <c r="AR946" s="175">
        <v>0</v>
      </c>
      <c r="AS946" s="175">
        <v>0</v>
      </c>
      <c r="AT946" s="175">
        <v>0</v>
      </c>
      <c r="AU946" s="175">
        <v>92033004</v>
      </c>
      <c r="AV946" s="175"/>
      <c r="AW946" s="203" t="s">
        <v>1547</v>
      </c>
      <c r="AX946" s="175" t="s">
        <v>1695</v>
      </c>
      <c r="AY946" s="175">
        <v>21203020</v>
      </c>
      <c r="AZ946" s="175">
        <v>21203020</v>
      </c>
      <c r="BA946" s="200" t="s">
        <v>200</v>
      </c>
      <c r="BB946" s="175">
        <v>0</v>
      </c>
      <c r="BC946" s="174">
        <v>0</v>
      </c>
      <c r="BD946" s="174">
        <v>0</v>
      </c>
      <c r="BE946" s="208" t="str">
        <f>"立即对目标区域的怪物造成"&amp;X946*100&amp;"%攻击伤害+"&amp;Z946&amp;"点固定伤害,并让其附带一个狩猎印记,使其受到伤害额外提升25%,持续15秒"</f>
        <v>立即对目标区域的怪物造成250%攻击伤害+2800点固定伤害,并让其附带一个狩猎印记,使其受到伤害额外提升25%,持续15秒</v>
      </c>
      <c r="BF946" s="208" t="s">
        <v>2125</v>
      </c>
      <c r="BG946" s="175">
        <v>0</v>
      </c>
      <c r="BH946" s="172">
        <v>0</v>
      </c>
      <c r="BI946" s="175">
        <v>0</v>
      </c>
      <c r="BJ946" s="175">
        <v>0</v>
      </c>
      <c r="BK946" s="175">
        <v>0</v>
      </c>
      <c r="BL946" s="175">
        <v>0</v>
      </c>
      <c r="BM946" s="178">
        <v>0</v>
      </c>
      <c r="BN946" s="175">
        <v>0</v>
      </c>
      <c r="BO946" s="175">
        <v>0</v>
      </c>
      <c r="BP946" s="175">
        <v>0</v>
      </c>
      <c r="BQ946" s="175">
        <v>0</v>
      </c>
      <c r="BR946" s="175">
        <v>0</v>
      </c>
      <c r="BS946" s="175">
        <v>0</v>
      </c>
      <c r="BT946" s="12">
        <v>0</v>
      </c>
      <c r="BU946" s="47">
        <v>0</v>
      </c>
      <c r="BV946" s="47"/>
      <c r="BW946" s="47"/>
    </row>
    <row r="947" spans="3:75" ht="20.100000000000001" customHeight="1">
      <c r="C947" s="172">
        <v>63023205</v>
      </c>
      <c r="D947" s="200" t="s">
        <v>2121</v>
      </c>
      <c r="E947" s="200" t="s">
        <v>2122</v>
      </c>
      <c r="F947" s="172">
        <v>4</v>
      </c>
      <c r="G947" s="172">
        <v>63023201</v>
      </c>
      <c r="H947" s="172">
        <v>0</v>
      </c>
      <c r="I947" s="174">
        <v>0</v>
      </c>
      <c r="J947" s="16">
        <v>0</v>
      </c>
      <c r="K947" s="16">
        <v>0</v>
      </c>
      <c r="L947" s="172">
        <v>0</v>
      </c>
      <c r="M947" s="175">
        <v>0</v>
      </c>
      <c r="N947" s="175">
        <v>0</v>
      </c>
      <c r="O947" s="175">
        <v>1</v>
      </c>
      <c r="P947" s="175">
        <v>0</v>
      </c>
      <c r="Q947" s="175">
        <v>0</v>
      </c>
      <c r="R947" s="175">
        <v>0</v>
      </c>
      <c r="S947" s="175">
        <v>0</v>
      </c>
      <c r="T947" s="175">
        <v>0</v>
      </c>
      <c r="U947" s="172">
        <v>1</v>
      </c>
      <c r="V947" s="175">
        <v>2</v>
      </c>
      <c r="W947" s="175">
        <v>0</v>
      </c>
      <c r="X947" s="176">
        <v>2.75</v>
      </c>
      <c r="Y947" s="12">
        <v>0</v>
      </c>
      <c r="Z947" s="176">
        <v>4000</v>
      </c>
      <c r="AA947" s="175">
        <v>0</v>
      </c>
      <c r="AB947" s="175">
        <v>20</v>
      </c>
      <c r="AC947" s="175">
        <v>0</v>
      </c>
      <c r="AD947" s="175">
        <v>0</v>
      </c>
      <c r="AE947" s="175">
        <v>0</v>
      </c>
      <c r="AF947" s="175">
        <v>10</v>
      </c>
      <c r="AG947" s="175">
        <v>0</v>
      </c>
      <c r="AH947" s="176">
        <v>4</v>
      </c>
      <c r="AI947" s="175">
        <v>2</v>
      </c>
      <c r="AJ947" s="175">
        <v>1</v>
      </c>
      <c r="AK947" s="175">
        <v>0</v>
      </c>
      <c r="AL947" s="175">
        <v>8</v>
      </c>
      <c r="AM947" s="175">
        <v>0</v>
      </c>
      <c r="AN947" s="175">
        <v>0</v>
      </c>
      <c r="AO947" s="175">
        <v>0</v>
      </c>
      <c r="AP947" s="175">
        <v>0.25</v>
      </c>
      <c r="AQ947" s="175">
        <v>1000</v>
      </c>
      <c r="AR947" s="175">
        <v>0</v>
      </c>
      <c r="AS947" s="175">
        <v>0</v>
      </c>
      <c r="AT947" s="175">
        <v>0</v>
      </c>
      <c r="AU947" s="175">
        <v>92033004</v>
      </c>
      <c r="AV947" s="175"/>
      <c r="AW947" s="203" t="s">
        <v>1547</v>
      </c>
      <c r="AX947" s="175" t="s">
        <v>1695</v>
      </c>
      <c r="AY947" s="175">
        <v>21203020</v>
      </c>
      <c r="AZ947" s="175">
        <v>21203020</v>
      </c>
      <c r="BA947" s="200" t="s">
        <v>200</v>
      </c>
      <c r="BB947" s="175">
        <v>0</v>
      </c>
      <c r="BC947" s="174">
        <v>0</v>
      </c>
      <c r="BD947" s="174">
        <v>0</v>
      </c>
      <c r="BE947" s="208" t="str">
        <f>"立即对目标区域的怪物造成"&amp;X947*100&amp;"%攻击伤害+"&amp;Z947&amp;"点固定伤害,并让其附带一个狩猎印记,使其受到伤害额外提升25%,持续15秒"</f>
        <v>立即对目标区域的怪物造成275%攻击伤害+4000点固定伤害,并让其附带一个狩猎印记,使其受到伤害额外提升25%,持续15秒</v>
      </c>
      <c r="BF947" s="208" t="s">
        <v>2126</v>
      </c>
      <c r="BG947" s="175">
        <v>0</v>
      </c>
      <c r="BH947" s="172">
        <v>0</v>
      </c>
      <c r="BI947" s="175">
        <v>0</v>
      </c>
      <c r="BJ947" s="175">
        <v>0</v>
      </c>
      <c r="BK947" s="175">
        <v>0</v>
      </c>
      <c r="BL947" s="175">
        <v>0</v>
      </c>
      <c r="BM947" s="178">
        <v>0</v>
      </c>
      <c r="BN947" s="175">
        <v>0</v>
      </c>
      <c r="BO947" s="175">
        <v>0</v>
      </c>
      <c r="BP947" s="175">
        <v>0</v>
      </c>
      <c r="BQ947" s="175">
        <v>0</v>
      </c>
      <c r="BR947" s="175">
        <v>0</v>
      </c>
      <c r="BS947" s="175">
        <v>0</v>
      </c>
      <c r="BT947" s="12">
        <v>0</v>
      </c>
      <c r="BU947" s="47">
        <v>0</v>
      </c>
      <c r="BV947" s="47"/>
      <c r="BW947" s="47"/>
    </row>
    <row r="948" spans="3:75" ht="20.100000000000001" customHeight="1">
      <c r="C948" s="172">
        <v>63023206</v>
      </c>
      <c r="D948" s="200" t="s">
        <v>2121</v>
      </c>
      <c r="E948" s="200" t="s">
        <v>2122</v>
      </c>
      <c r="F948" s="172">
        <v>5</v>
      </c>
      <c r="G948" s="172">
        <v>63023201</v>
      </c>
      <c r="H948" s="176">
        <v>0</v>
      </c>
      <c r="I948" s="174">
        <v>0</v>
      </c>
      <c r="J948" s="16">
        <v>0</v>
      </c>
      <c r="K948" s="16">
        <v>0</v>
      </c>
      <c r="L948" s="172">
        <v>0</v>
      </c>
      <c r="M948" s="175">
        <v>0</v>
      </c>
      <c r="N948" s="175">
        <v>0</v>
      </c>
      <c r="O948" s="175">
        <v>1</v>
      </c>
      <c r="P948" s="175">
        <v>0</v>
      </c>
      <c r="Q948" s="175">
        <v>0</v>
      </c>
      <c r="R948" s="175">
        <v>0</v>
      </c>
      <c r="S948" s="175">
        <v>0</v>
      </c>
      <c r="T948" s="175">
        <v>0</v>
      </c>
      <c r="U948" s="172">
        <v>1</v>
      </c>
      <c r="V948" s="175">
        <v>2</v>
      </c>
      <c r="W948" s="175">
        <v>0</v>
      </c>
      <c r="X948" s="176">
        <v>3</v>
      </c>
      <c r="Y948" s="12">
        <v>0</v>
      </c>
      <c r="Z948" s="176">
        <v>5200</v>
      </c>
      <c r="AA948" s="175">
        <v>0</v>
      </c>
      <c r="AB948" s="175">
        <v>20</v>
      </c>
      <c r="AC948" s="175">
        <v>0</v>
      </c>
      <c r="AD948" s="175">
        <v>0</v>
      </c>
      <c r="AE948" s="175">
        <v>0</v>
      </c>
      <c r="AF948" s="175">
        <v>10</v>
      </c>
      <c r="AG948" s="175">
        <v>0</v>
      </c>
      <c r="AH948" s="176">
        <v>4</v>
      </c>
      <c r="AI948" s="175">
        <v>2</v>
      </c>
      <c r="AJ948" s="175">
        <v>1</v>
      </c>
      <c r="AK948" s="175">
        <v>0</v>
      </c>
      <c r="AL948" s="175">
        <v>8</v>
      </c>
      <c r="AM948" s="175">
        <v>0</v>
      </c>
      <c r="AN948" s="175">
        <v>0</v>
      </c>
      <c r="AO948" s="175">
        <v>0</v>
      </c>
      <c r="AP948" s="175">
        <v>0.25</v>
      </c>
      <c r="AQ948" s="175">
        <v>1000</v>
      </c>
      <c r="AR948" s="175">
        <v>0</v>
      </c>
      <c r="AS948" s="175">
        <v>0</v>
      </c>
      <c r="AT948" s="175">
        <v>0</v>
      </c>
      <c r="AU948" s="175">
        <v>92033005</v>
      </c>
      <c r="AV948" s="175"/>
      <c r="AW948" s="203" t="s">
        <v>1547</v>
      </c>
      <c r="AX948" s="175" t="s">
        <v>1695</v>
      </c>
      <c r="AY948" s="175">
        <v>21203020</v>
      </c>
      <c r="AZ948" s="175">
        <v>21203020</v>
      </c>
      <c r="BA948" s="200" t="s">
        <v>200</v>
      </c>
      <c r="BB948" s="175">
        <v>0</v>
      </c>
      <c r="BC948" s="174">
        <v>0</v>
      </c>
      <c r="BD948" s="174">
        <v>0</v>
      </c>
      <c r="BE948" s="208" t="str">
        <f>"立即对目标区域的怪物造成"&amp;X948*100&amp;"%攻击伤害+"&amp;Z948&amp;"点固定伤害,并让其附带一个狩猎印记,使其受到伤害额外提升30%,持续15秒"</f>
        <v>立即对目标区域的怪物造成300%攻击伤害+5200点固定伤害,并让其附带一个狩猎印记,使其受到伤害额外提升30%,持续15秒</v>
      </c>
      <c r="BF948" s="208" t="s">
        <v>2127</v>
      </c>
      <c r="BG948" s="175">
        <v>0</v>
      </c>
      <c r="BH948" s="172">
        <v>0</v>
      </c>
      <c r="BI948" s="175">
        <v>0</v>
      </c>
      <c r="BJ948" s="175">
        <v>0</v>
      </c>
      <c r="BK948" s="175">
        <v>0</v>
      </c>
      <c r="BL948" s="175">
        <v>0</v>
      </c>
      <c r="BM948" s="178">
        <v>0</v>
      </c>
      <c r="BN948" s="175">
        <v>0</v>
      </c>
      <c r="BO948" s="175">
        <v>0</v>
      </c>
      <c r="BP948" s="175">
        <v>0</v>
      </c>
      <c r="BQ948" s="175">
        <v>0</v>
      </c>
      <c r="BR948" s="175">
        <v>0</v>
      </c>
      <c r="BS948" s="175">
        <v>0</v>
      </c>
      <c r="BT948" s="12">
        <v>0</v>
      </c>
      <c r="BU948" s="47">
        <v>0</v>
      </c>
      <c r="BV948" s="47"/>
      <c r="BW948" s="47"/>
    </row>
    <row r="949" spans="3:75" ht="19.5" customHeight="1">
      <c r="C949" s="172">
        <v>63023301</v>
      </c>
      <c r="D949" s="19" t="s">
        <v>2128</v>
      </c>
      <c r="E949" s="19" t="s">
        <v>2129</v>
      </c>
      <c r="F949" s="176">
        <v>0</v>
      </c>
      <c r="G949" s="176">
        <v>66001002</v>
      </c>
      <c r="H949" s="172">
        <f t="shared" ref="H949:H951" si="108">C950</f>
        <v>63023302</v>
      </c>
      <c r="I949" s="174">
        <v>0</v>
      </c>
      <c r="J949" s="16">
        <v>30</v>
      </c>
      <c r="K949" s="18">
        <v>5</v>
      </c>
      <c r="L949" s="16">
        <v>0</v>
      </c>
      <c r="M949" s="18">
        <v>0</v>
      </c>
      <c r="N949" s="18">
        <v>0</v>
      </c>
      <c r="O949" s="18">
        <v>1</v>
      </c>
      <c r="P949" s="18">
        <v>0</v>
      </c>
      <c r="Q949" s="18">
        <v>0</v>
      </c>
      <c r="R949" s="18">
        <v>0</v>
      </c>
      <c r="S949" s="12">
        <v>0</v>
      </c>
      <c r="T949" s="27">
        <v>0</v>
      </c>
      <c r="U949" s="16">
        <v>1</v>
      </c>
      <c r="V949" s="18">
        <v>2</v>
      </c>
      <c r="W949" s="18">
        <v>0</v>
      </c>
      <c r="X949" s="176">
        <v>2</v>
      </c>
      <c r="Y949" s="12">
        <v>0</v>
      </c>
      <c r="Z949" s="176">
        <v>900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3" t="s">
        <v>287</v>
      </c>
      <c r="AX949" s="18" t="s">
        <v>215</v>
      </c>
      <c r="AY949" s="18">
        <v>10000006</v>
      </c>
      <c r="AZ949" s="18">
        <v>21203030</v>
      </c>
      <c r="BA949" s="19" t="s">
        <v>200</v>
      </c>
      <c r="BB949" s="19">
        <v>0</v>
      </c>
      <c r="BC949" s="27">
        <v>0</v>
      </c>
      <c r="BD949" s="27">
        <v>0</v>
      </c>
      <c r="BE949" s="183" t="str">
        <f>"野兽怒吼发出的烈焰,对指定区域内的目标造成"&amp;X949*100&amp;"%攻击伤害+"&amp;Z949&amp;"点固定伤害,并眩晕目标2秒"</f>
        <v>野兽怒吼发出的烈焰,对指定区域内的目标造成200%攻击伤害+900点固定伤害,并眩晕目标2秒</v>
      </c>
      <c r="BF949" s="183" t="s">
        <v>2130</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63023302</v>
      </c>
      <c r="D950" s="19" t="s">
        <v>2128</v>
      </c>
      <c r="E950" s="19" t="s">
        <v>2129</v>
      </c>
      <c r="F950" s="176">
        <v>1</v>
      </c>
      <c r="G950" s="176">
        <v>66001002</v>
      </c>
      <c r="H950" s="172">
        <f t="shared" si="108"/>
        <v>63023303</v>
      </c>
      <c r="I950" s="174">
        <v>0</v>
      </c>
      <c r="J950" s="16">
        <v>37</v>
      </c>
      <c r="K950" s="18">
        <v>2</v>
      </c>
      <c r="L950" s="16">
        <v>0</v>
      </c>
      <c r="M950" s="18">
        <v>0</v>
      </c>
      <c r="N950" s="18">
        <v>0</v>
      </c>
      <c r="O950" s="18">
        <v>1</v>
      </c>
      <c r="P950" s="18">
        <v>0</v>
      </c>
      <c r="Q950" s="18">
        <v>0</v>
      </c>
      <c r="R950" s="18">
        <v>0</v>
      </c>
      <c r="S950" s="12">
        <v>0</v>
      </c>
      <c r="T950" s="27">
        <v>0</v>
      </c>
      <c r="U950" s="16">
        <v>1</v>
      </c>
      <c r="V950" s="18">
        <v>2</v>
      </c>
      <c r="W950" s="18">
        <v>0</v>
      </c>
      <c r="X950" s="176">
        <v>2</v>
      </c>
      <c r="Y950" s="12">
        <v>0</v>
      </c>
      <c r="Z950" s="176">
        <v>900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3" t="s">
        <v>287</v>
      </c>
      <c r="AX950" s="18" t="s">
        <v>215</v>
      </c>
      <c r="AY950" s="18">
        <v>10000006</v>
      </c>
      <c r="AZ950" s="18">
        <v>21203030</v>
      </c>
      <c r="BA950" s="19" t="s">
        <v>200</v>
      </c>
      <c r="BB950" s="19">
        <v>0</v>
      </c>
      <c r="BC950" s="27">
        <v>0</v>
      </c>
      <c r="BD950" s="27">
        <v>0</v>
      </c>
      <c r="BE950" s="183" t="str">
        <f t="shared" ref="BE950:BE954" si="109">"野兽怒吼发出的烈焰,对指定区域内的目标造成"&amp;X950*100&amp;"%攻击伤害+"&amp;Z950&amp;"点固定伤害,并眩晕目标2秒"</f>
        <v>野兽怒吼发出的烈焰,对指定区域内的目标造成200%攻击伤害+900点固定伤害,并眩晕目标2秒</v>
      </c>
      <c r="BF950" s="183" t="s">
        <v>2130</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63023303</v>
      </c>
      <c r="D951" s="19" t="s">
        <v>2128</v>
      </c>
      <c r="E951" s="19" t="s">
        <v>2129</v>
      </c>
      <c r="F951" s="176">
        <v>2</v>
      </c>
      <c r="G951" s="176">
        <v>66001002</v>
      </c>
      <c r="H951" s="172">
        <f t="shared" si="108"/>
        <v>63023304</v>
      </c>
      <c r="I951" s="174">
        <v>0</v>
      </c>
      <c r="J951" s="16">
        <v>42</v>
      </c>
      <c r="K951" s="18">
        <v>2</v>
      </c>
      <c r="L951" s="16">
        <v>0</v>
      </c>
      <c r="M951" s="18">
        <v>0</v>
      </c>
      <c r="N951" s="18">
        <v>0</v>
      </c>
      <c r="O951" s="18">
        <v>1</v>
      </c>
      <c r="P951" s="18">
        <v>0</v>
      </c>
      <c r="Q951" s="18">
        <v>0</v>
      </c>
      <c r="R951" s="18">
        <v>0</v>
      </c>
      <c r="S951" s="12">
        <v>0</v>
      </c>
      <c r="T951" s="27">
        <v>0</v>
      </c>
      <c r="U951" s="16">
        <v>1</v>
      </c>
      <c r="V951" s="18">
        <v>2</v>
      </c>
      <c r="W951" s="18">
        <v>0</v>
      </c>
      <c r="X951" s="176">
        <v>2.25</v>
      </c>
      <c r="Y951" s="12">
        <v>0</v>
      </c>
      <c r="Z951" s="176">
        <v>1800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3" t="s">
        <v>287</v>
      </c>
      <c r="AX951" s="18" t="s">
        <v>215</v>
      </c>
      <c r="AY951" s="18">
        <v>10000006</v>
      </c>
      <c r="AZ951" s="18">
        <v>21203030</v>
      </c>
      <c r="BA951" s="19" t="s">
        <v>200</v>
      </c>
      <c r="BB951" s="19">
        <v>0</v>
      </c>
      <c r="BC951" s="27">
        <v>0</v>
      </c>
      <c r="BD951" s="27">
        <v>0</v>
      </c>
      <c r="BE951" s="183" t="str">
        <f t="shared" si="109"/>
        <v>野兽怒吼发出的烈焰,对指定区域内的目标造成225%攻击伤害+1800点固定伤害,并眩晕目标2秒</v>
      </c>
      <c r="BF951" s="183" t="s">
        <v>2131</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19.5" customHeight="1">
      <c r="C952" s="172">
        <v>63023304</v>
      </c>
      <c r="D952" s="19" t="s">
        <v>2128</v>
      </c>
      <c r="E952" s="19" t="s">
        <v>2129</v>
      </c>
      <c r="F952" s="176">
        <v>3</v>
      </c>
      <c r="G952" s="176">
        <v>66001002</v>
      </c>
      <c r="H952" s="172">
        <v>0</v>
      </c>
      <c r="I952" s="174">
        <v>0</v>
      </c>
      <c r="J952" s="18">
        <v>0</v>
      </c>
      <c r="K952" s="18">
        <v>0</v>
      </c>
      <c r="L952" s="16">
        <v>0</v>
      </c>
      <c r="M952" s="18">
        <v>0</v>
      </c>
      <c r="N952" s="18">
        <v>0</v>
      </c>
      <c r="O952" s="18">
        <v>1</v>
      </c>
      <c r="P952" s="18">
        <v>0</v>
      </c>
      <c r="Q952" s="18">
        <v>0</v>
      </c>
      <c r="R952" s="18">
        <v>0</v>
      </c>
      <c r="S952" s="12">
        <v>0</v>
      </c>
      <c r="T952" s="27">
        <v>0</v>
      </c>
      <c r="U952" s="16">
        <v>1</v>
      </c>
      <c r="V952" s="18">
        <v>2</v>
      </c>
      <c r="W952" s="18">
        <v>0</v>
      </c>
      <c r="X952" s="176">
        <v>2.5</v>
      </c>
      <c r="Y952" s="12">
        <v>0</v>
      </c>
      <c r="Z952" s="176">
        <v>2800</v>
      </c>
      <c r="AA952" s="18">
        <v>0</v>
      </c>
      <c r="AB952" s="18">
        <v>25</v>
      </c>
      <c r="AC952" s="18">
        <v>0</v>
      </c>
      <c r="AD952" s="18">
        <v>0</v>
      </c>
      <c r="AE952" s="18">
        <v>0</v>
      </c>
      <c r="AF952" s="18">
        <v>7</v>
      </c>
      <c r="AG952" s="18">
        <v>1</v>
      </c>
      <c r="AH952" s="18">
        <v>3</v>
      </c>
      <c r="AI952" s="12">
        <v>2</v>
      </c>
      <c r="AJ952" s="12">
        <v>1</v>
      </c>
      <c r="AK952" s="12">
        <v>0</v>
      </c>
      <c r="AL952" s="12">
        <v>6</v>
      </c>
      <c r="AM952" s="18">
        <v>0</v>
      </c>
      <c r="AN952" s="18">
        <v>0</v>
      </c>
      <c r="AO952" s="18">
        <v>0</v>
      </c>
      <c r="AP952" s="18">
        <v>0.25</v>
      </c>
      <c r="AQ952" s="18">
        <v>2000</v>
      </c>
      <c r="AR952" s="18">
        <v>0.25</v>
      </c>
      <c r="AS952" s="18">
        <v>0</v>
      </c>
      <c r="AT952" s="12">
        <v>0</v>
      </c>
      <c r="AU952" s="172">
        <v>92002005</v>
      </c>
      <c r="AV952" s="172"/>
      <c r="AW952" s="203" t="s">
        <v>287</v>
      </c>
      <c r="AX952" s="18" t="s">
        <v>215</v>
      </c>
      <c r="AY952" s="18">
        <v>10000006</v>
      </c>
      <c r="AZ952" s="18">
        <v>21203030</v>
      </c>
      <c r="BA952" s="19" t="s">
        <v>200</v>
      </c>
      <c r="BB952" s="19">
        <v>0</v>
      </c>
      <c r="BC952" s="27">
        <v>0</v>
      </c>
      <c r="BD952" s="27">
        <v>0</v>
      </c>
      <c r="BE952" s="183" t="str">
        <f t="shared" si="109"/>
        <v>野兽怒吼发出的烈焰,对指定区域内的目标造成250%攻击伤害+2800点固定伤害,并眩晕目标2秒</v>
      </c>
      <c r="BF952" s="183" t="s">
        <v>2132</v>
      </c>
      <c r="BG952" s="18">
        <v>0</v>
      </c>
      <c r="BH952" s="16">
        <v>0</v>
      </c>
      <c r="BI952" s="18">
        <v>0</v>
      </c>
      <c r="BJ952" s="18">
        <v>0</v>
      </c>
      <c r="BK952" s="18">
        <v>0</v>
      </c>
      <c r="BL952" s="18">
        <v>0</v>
      </c>
      <c r="BM952" s="15">
        <v>0</v>
      </c>
      <c r="BN952" s="12">
        <v>0</v>
      </c>
      <c r="BO952" s="12">
        <v>0</v>
      </c>
      <c r="BP952" s="12">
        <v>0</v>
      </c>
      <c r="BQ952" s="12">
        <v>0</v>
      </c>
      <c r="BR952" s="12">
        <v>0</v>
      </c>
      <c r="BS952" s="12">
        <v>0</v>
      </c>
      <c r="BT952" s="12">
        <v>0</v>
      </c>
      <c r="BU952" s="47">
        <v>0</v>
      </c>
      <c r="BV952" s="47"/>
      <c r="BW952" s="47"/>
    </row>
    <row r="953" spans="3:75" ht="19.5" customHeight="1">
      <c r="C953" s="172">
        <v>63023305</v>
      </c>
      <c r="D953" s="19" t="s">
        <v>2128</v>
      </c>
      <c r="E953" s="19" t="s">
        <v>2129</v>
      </c>
      <c r="F953" s="176">
        <v>4</v>
      </c>
      <c r="G953" s="176">
        <v>66001002</v>
      </c>
      <c r="H953" s="172">
        <v>0</v>
      </c>
      <c r="I953" s="174">
        <v>0</v>
      </c>
      <c r="J953" s="18">
        <v>0</v>
      </c>
      <c r="K953" s="18">
        <v>0</v>
      </c>
      <c r="L953" s="16">
        <v>0</v>
      </c>
      <c r="M953" s="18">
        <v>0</v>
      </c>
      <c r="N953" s="18">
        <v>0</v>
      </c>
      <c r="O953" s="18">
        <v>1</v>
      </c>
      <c r="P953" s="18">
        <v>0</v>
      </c>
      <c r="Q953" s="18">
        <v>0</v>
      </c>
      <c r="R953" s="18">
        <v>0</v>
      </c>
      <c r="S953" s="12">
        <v>0</v>
      </c>
      <c r="T953" s="27">
        <v>0</v>
      </c>
      <c r="U953" s="16">
        <v>1</v>
      </c>
      <c r="V953" s="18">
        <v>2</v>
      </c>
      <c r="W953" s="18">
        <v>0</v>
      </c>
      <c r="X953" s="176">
        <v>2.75</v>
      </c>
      <c r="Y953" s="12">
        <v>0</v>
      </c>
      <c r="Z953" s="176">
        <v>4000</v>
      </c>
      <c r="AA953" s="18">
        <v>0</v>
      </c>
      <c r="AB953" s="18">
        <v>25</v>
      </c>
      <c r="AC953" s="18">
        <v>0</v>
      </c>
      <c r="AD953" s="18">
        <v>0</v>
      </c>
      <c r="AE953" s="18">
        <v>0</v>
      </c>
      <c r="AF953" s="18">
        <v>7</v>
      </c>
      <c r="AG953" s="18">
        <v>1</v>
      </c>
      <c r="AH953" s="18">
        <v>3</v>
      </c>
      <c r="AI953" s="12">
        <v>2</v>
      </c>
      <c r="AJ953" s="12">
        <v>1</v>
      </c>
      <c r="AK953" s="12">
        <v>0</v>
      </c>
      <c r="AL953" s="12">
        <v>6</v>
      </c>
      <c r="AM953" s="18">
        <v>0</v>
      </c>
      <c r="AN953" s="18">
        <v>0</v>
      </c>
      <c r="AO953" s="18">
        <v>0</v>
      </c>
      <c r="AP953" s="18">
        <v>0.25</v>
      </c>
      <c r="AQ953" s="18">
        <v>2000</v>
      </c>
      <c r="AR953" s="18">
        <v>0.25</v>
      </c>
      <c r="AS953" s="18">
        <v>0</v>
      </c>
      <c r="AT953" s="12">
        <v>0</v>
      </c>
      <c r="AU953" s="172">
        <v>92002005</v>
      </c>
      <c r="AV953" s="172"/>
      <c r="AW953" s="203" t="s">
        <v>287</v>
      </c>
      <c r="AX953" s="18" t="s">
        <v>215</v>
      </c>
      <c r="AY953" s="18">
        <v>10000006</v>
      </c>
      <c r="AZ953" s="18">
        <v>21203030</v>
      </c>
      <c r="BA953" s="19" t="s">
        <v>200</v>
      </c>
      <c r="BB953" s="19">
        <v>0</v>
      </c>
      <c r="BC953" s="27">
        <v>0</v>
      </c>
      <c r="BD953" s="27">
        <v>0</v>
      </c>
      <c r="BE953" s="183" t="str">
        <f t="shared" si="109"/>
        <v>野兽怒吼发出的烈焰,对指定区域内的目标造成275%攻击伤害+4000点固定伤害,并眩晕目标2秒</v>
      </c>
      <c r="BF953" s="183" t="s">
        <v>2133</v>
      </c>
      <c r="BG953" s="18">
        <v>0</v>
      </c>
      <c r="BH953" s="16">
        <v>0</v>
      </c>
      <c r="BI953" s="18">
        <v>0</v>
      </c>
      <c r="BJ953" s="18">
        <v>0</v>
      </c>
      <c r="BK953" s="18">
        <v>0</v>
      </c>
      <c r="BL953" s="18">
        <v>0</v>
      </c>
      <c r="BM953" s="15">
        <v>0</v>
      </c>
      <c r="BN953" s="12">
        <v>0</v>
      </c>
      <c r="BO953" s="12">
        <v>0</v>
      </c>
      <c r="BP953" s="12">
        <v>0</v>
      </c>
      <c r="BQ953" s="12">
        <v>0</v>
      </c>
      <c r="BR953" s="12">
        <v>0</v>
      </c>
      <c r="BS953" s="12">
        <v>0</v>
      </c>
      <c r="BT953" s="12">
        <v>0</v>
      </c>
      <c r="BU953" s="47">
        <v>0</v>
      </c>
      <c r="BV953" s="47"/>
      <c r="BW953" s="47"/>
    </row>
    <row r="954" spans="3:75" ht="19.5" customHeight="1">
      <c r="C954" s="172">
        <v>63023306</v>
      </c>
      <c r="D954" s="19" t="s">
        <v>2128</v>
      </c>
      <c r="E954" s="19" t="s">
        <v>2129</v>
      </c>
      <c r="F954" s="176">
        <v>5</v>
      </c>
      <c r="G954" s="176">
        <v>66001002</v>
      </c>
      <c r="H954" s="176">
        <v>0</v>
      </c>
      <c r="I954" s="174">
        <v>0</v>
      </c>
      <c r="J954" s="18">
        <v>0</v>
      </c>
      <c r="K954" s="18">
        <v>0</v>
      </c>
      <c r="L954" s="16">
        <v>0</v>
      </c>
      <c r="M954" s="18">
        <v>0</v>
      </c>
      <c r="N954" s="18">
        <v>0</v>
      </c>
      <c r="O954" s="18">
        <v>1</v>
      </c>
      <c r="P954" s="18">
        <v>0</v>
      </c>
      <c r="Q954" s="18">
        <v>0</v>
      </c>
      <c r="R954" s="18">
        <v>0</v>
      </c>
      <c r="S954" s="12">
        <v>0</v>
      </c>
      <c r="T954" s="27">
        <v>0</v>
      </c>
      <c r="U954" s="16">
        <v>1</v>
      </c>
      <c r="V954" s="18">
        <v>2</v>
      </c>
      <c r="W954" s="18">
        <v>0</v>
      </c>
      <c r="X954" s="176">
        <v>3</v>
      </c>
      <c r="Y954" s="12">
        <v>0</v>
      </c>
      <c r="Z954" s="176">
        <v>5200</v>
      </c>
      <c r="AA954" s="18">
        <v>0</v>
      </c>
      <c r="AB954" s="18">
        <v>25</v>
      </c>
      <c r="AC954" s="18">
        <v>0</v>
      </c>
      <c r="AD954" s="18">
        <v>0</v>
      </c>
      <c r="AE954" s="18">
        <v>0</v>
      </c>
      <c r="AF954" s="18">
        <v>7</v>
      </c>
      <c r="AG954" s="18">
        <v>1</v>
      </c>
      <c r="AH954" s="18">
        <v>3</v>
      </c>
      <c r="AI954" s="12">
        <v>2</v>
      </c>
      <c r="AJ954" s="12">
        <v>1</v>
      </c>
      <c r="AK954" s="12">
        <v>0</v>
      </c>
      <c r="AL954" s="12">
        <v>6</v>
      </c>
      <c r="AM954" s="18">
        <v>0</v>
      </c>
      <c r="AN954" s="18">
        <v>0</v>
      </c>
      <c r="AO954" s="18">
        <v>0</v>
      </c>
      <c r="AP954" s="18">
        <v>0.25</v>
      </c>
      <c r="AQ954" s="18">
        <v>2000</v>
      </c>
      <c r="AR954" s="18">
        <v>0.25</v>
      </c>
      <c r="AS954" s="18">
        <v>0</v>
      </c>
      <c r="AT954" s="12">
        <v>0</v>
      </c>
      <c r="AU954" s="172">
        <v>92002005</v>
      </c>
      <c r="AV954" s="172"/>
      <c r="AW954" s="203" t="s">
        <v>287</v>
      </c>
      <c r="AX954" s="18" t="s">
        <v>215</v>
      </c>
      <c r="AY954" s="18">
        <v>10000006</v>
      </c>
      <c r="AZ954" s="18">
        <v>21203030</v>
      </c>
      <c r="BA954" s="19" t="s">
        <v>200</v>
      </c>
      <c r="BB954" s="19">
        <v>0</v>
      </c>
      <c r="BC954" s="27">
        <v>0</v>
      </c>
      <c r="BD954" s="27">
        <v>0</v>
      </c>
      <c r="BE954" s="183" t="str">
        <f t="shared" si="109"/>
        <v>野兽怒吼发出的烈焰,对指定区域内的目标造成300%攻击伤害+5200点固定伤害,并眩晕目标2秒</v>
      </c>
      <c r="BF954" s="183" t="s">
        <v>2134</v>
      </c>
      <c r="BG954" s="18">
        <v>0</v>
      </c>
      <c r="BH954" s="16">
        <v>0</v>
      </c>
      <c r="BI954" s="18">
        <v>0</v>
      </c>
      <c r="BJ954" s="18">
        <v>0</v>
      </c>
      <c r="BK954" s="18">
        <v>0</v>
      </c>
      <c r="BL954" s="18">
        <v>0</v>
      </c>
      <c r="BM954" s="15">
        <v>0</v>
      </c>
      <c r="BN954" s="12">
        <v>0</v>
      </c>
      <c r="BO954" s="12">
        <v>0</v>
      </c>
      <c r="BP954" s="12">
        <v>0</v>
      </c>
      <c r="BQ954" s="12">
        <v>0</v>
      </c>
      <c r="BR954" s="12">
        <v>0</v>
      </c>
      <c r="BS954" s="12">
        <v>0</v>
      </c>
      <c r="BT954" s="12">
        <v>0</v>
      </c>
      <c r="BU954" s="47">
        <v>0</v>
      </c>
      <c r="BV954" s="47"/>
      <c r="BW954" s="47"/>
    </row>
    <row r="955" spans="3:75" ht="20.100000000000001" customHeight="1">
      <c r="C955" s="172">
        <v>63023401</v>
      </c>
      <c r="D955" s="173" t="s">
        <v>2135</v>
      </c>
      <c r="E955" s="173" t="s">
        <v>2136</v>
      </c>
      <c r="F955" s="176">
        <v>0</v>
      </c>
      <c r="G955" s="172">
        <v>63023401</v>
      </c>
      <c r="H955" s="172">
        <f t="shared" ref="H955:H957" si="110">C956</f>
        <v>63023402</v>
      </c>
      <c r="I955" s="174">
        <v>0</v>
      </c>
      <c r="J955" s="16">
        <v>35</v>
      </c>
      <c r="K955" s="18">
        <v>5</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3" t="s">
        <v>2137</v>
      </c>
      <c r="BC955" s="174">
        <v>0</v>
      </c>
      <c r="BD955" s="174">
        <v>0</v>
      </c>
      <c r="BE955" s="206" t="s">
        <v>2138</v>
      </c>
      <c r="BF955" s="206" t="s">
        <v>2139</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20.100000000000001" customHeight="1">
      <c r="C956" s="172">
        <v>63023402</v>
      </c>
      <c r="D956" s="173" t="s">
        <v>2135</v>
      </c>
      <c r="E956" s="173" t="s">
        <v>2136</v>
      </c>
      <c r="F956" s="176">
        <v>1</v>
      </c>
      <c r="G956" s="172">
        <v>63023401</v>
      </c>
      <c r="H956" s="172">
        <f t="shared" si="110"/>
        <v>63023403</v>
      </c>
      <c r="I956" s="174">
        <v>0</v>
      </c>
      <c r="J956" s="16">
        <v>42</v>
      </c>
      <c r="K956" s="18">
        <v>2</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3" t="s">
        <v>2140</v>
      </c>
      <c r="BC956" s="174">
        <v>0</v>
      </c>
      <c r="BD956" s="174">
        <v>0</v>
      </c>
      <c r="BE956" s="206" t="s">
        <v>2138</v>
      </c>
      <c r="BF956" s="206" t="s">
        <v>2139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20.100000000000001" customHeight="1">
      <c r="C957" s="172">
        <v>63023403</v>
      </c>
      <c r="D957" s="173" t="s">
        <v>2135</v>
      </c>
      <c r="E957" s="173" t="s">
        <v>2136</v>
      </c>
      <c r="F957" s="176">
        <v>2</v>
      </c>
      <c r="G957" s="172">
        <v>63023401</v>
      </c>
      <c r="H957" s="172">
        <f t="shared" si="110"/>
        <v>63023404</v>
      </c>
      <c r="I957" s="174">
        <v>0</v>
      </c>
      <c r="J957" s="16">
        <v>47</v>
      </c>
      <c r="K957" s="18">
        <v>2</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3" t="s">
        <v>2141</v>
      </c>
      <c r="BC957" s="174">
        <v>0</v>
      </c>
      <c r="BD957" s="174">
        <v>0</v>
      </c>
      <c r="BE957" s="206" t="s">
        <v>2142</v>
      </c>
      <c r="BF957" s="206" t="s">
        <v>2143</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19.5" customHeight="1">
      <c r="C958" s="172">
        <v>63023404</v>
      </c>
      <c r="D958" s="173" t="s">
        <v>2135</v>
      </c>
      <c r="E958" s="173" t="s">
        <v>2136</v>
      </c>
      <c r="F958" s="176">
        <v>3</v>
      </c>
      <c r="G958" s="172">
        <v>63023401</v>
      </c>
      <c r="H958" s="172">
        <v>0</v>
      </c>
      <c r="I958" s="174">
        <v>0</v>
      </c>
      <c r="J958" s="18">
        <v>0</v>
      </c>
      <c r="K958" s="18">
        <v>0</v>
      </c>
      <c r="L958" s="176">
        <v>0</v>
      </c>
      <c r="M958" s="172">
        <v>0</v>
      </c>
      <c r="N958" s="172">
        <v>0</v>
      </c>
      <c r="O958" s="172">
        <v>1</v>
      </c>
      <c r="P958" s="172">
        <v>0</v>
      </c>
      <c r="Q958" s="172">
        <v>0</v>
      </c>
      <c r="R958" s="172">
        <v>0</v>
      </c>
      <c r="S958" s="175">
        <v>0</v>
      </c>
      <c r="T958" s="172">
        <v>0</v>
      </c>
      <c r="U958" s="172">
        <v>1</v>
      </c>
      <c r="V958" s="172">
        <v>2</v>
      </c>
      <c r="W958" s="172">
        <v>0</v>
      </c>
      <c r="X958" s="172">
        <v>0</v>
      </c>
      <c r="Y958" s="12">
        <v>0</v>
      </c>
      <c r="Z958" s="172">
        <v>0</v>
      </c>
      <c r="AA958" s="172">
        <v>0</v>
      </c>
      <c r="AB958" s="172">
        <v>30</v>
      </c>
      <c r="AC958" s="172">
        <v>0</v>
      </c>
      <c r="AD958" s="172">
        <v>0</v>
      </c>
      <c r="AE958" s="172">
        <v>0</v>
      </c>
      <c r="AF958" s="172">
        <v>40</v>
      </c>
      <c r="AG958" s="172">
        <v>0</v>
      </c>
      <c r="AH958" s="172">
        <v>0</v>
      </c>
      <c r="AI958" s="175">
        <v>1</v>
      </c>
      <c r="AJ958" s="175">
        <v>0</v>
      </c>
      <c r="AK958" s="175">
        <v>0</v>
      </c>
      <c r="AL958" s="175">
        <v>1.5</v>
      </c>
      <c r="AM958" s="172">
        <v>0</v>
      </c>
      <c r="AN958" s="172">
        <v>0</v>
      </c>
      <c r="AO958" s="172">
        <v>0</v>
      </c>
      <c r="AP958" s="176">
        <v>0.25</v>
      </c>
      <c r="AQ958" s="172">
        <v>3000</v>
      </c>
      <c r="AR958" s="172">
        <v>0</v>
      </c>
      <c r="AS958" s="172">
        <v>0</v>
      </c>
      <c r="AT958" s="175">
        <v>0</v>
      </c>
      <c r="AU958" s="172" t="s">
        <v>198</v>
      </c>
      <c r="AV958" s="172"/>
      <c r="AW958" s="173" t="s">
        <v>1648</v>
      </c>
      <c r="AX958" s="172" t="s">
        <v>1041</v>
      </c>
      <c r="AY958" s="176">
        <v>0</v>
      </c>
      <c r="AZ958" s="176">
        <v>21201040</v>
      </c>
      <c r="BA958" s="173" t="s">
        <v>1174</v>
      </c>
      <c r="BB958" s="203" t="s">
        <v>2144</v>
      </c>
      <c r="BC958" s="174">
        <v>0</v>
      </c>
      <c r="BD958" s="174">
        <v>0</v>
      </c>
      <c r="BE958" s="206" t="s">
        <v>2145</v>
      </c>
      <c r="BF958" s="206" t="s">
        <v>2146</v>
      </c>
      <c r="BG958" s="172">
        <v>0</v>
      </c>
      <c r="BH958" s="172">
        <v>0</v>
      </c>
      <c r="BI958" s="172">
        <v>0</v>
      </c>
      <c r="BJ958" s="172">
        <v>0</v>
      </c>
      <c r="BK958" s="172">
        <v>0</v>
      </c>
      <c r="BL958" s="172">
        <v>0</v>
      </c>
      <c r="BM958" s="178">
        <v>0</v>
      </c>
      <c r="BN958" s="175">
        <v>0</v>
      </c>
      <c r="BO958" s="175">
        <v>0</v>
      </c>
      <c r="BP958" s="175">
        <v>0</v>
      </c>
      <c r="BQ958" s="175">
        <v>0</v>
      </c>
      <c r="BR958" s="175">
        <v>0</v>
      </c>
      <c r="BS958" s="175">
        <v>0</v>
      </c>
      <c r="BT958" s="12">
        <v>0</v>
      </c>
      <c r="BU958" s="47">
        <v>0</v>
      </c>
      <c r="BV958" s="47"/>
      <c r="BW958" s="47"/>
    </row>
    <row r="959" spans="3:75" ht="19.5" customHeight="1">
      <c r="C959" s="172">
        <v>63023405</v>
      </c>
      <c r="D959" s="173" t="s">
        <v>2135</v>
      </c>
      <c r="E959" s="173" t="s">
        <v>2136</v>
      </c>
      <c r="F959" s="176">
        <v>4</v>
      </c>
      <c r="G959" s="172">
        <v>63023401</v>
      </c>
      <c r="H959" s="172">
        <v>0</v>
      </c>
      <c r="I959" s="174">
        <v>0</v>
      </c>
      <c r="J959" s="18">
        <v>0</v>
      </c>
      <c r="K959" s="18">
        <v>0</v>
      </c>
      <c r="L959" s="176">
        <v>0</v>
      </c>
      <c r="M959" s="172">
        <v>0</v>
      </c>
      <c r="N959" s="172">
        <v>0</v>
      </c>
      <c r="O959" s="172">
        <v>1</v>
      </c>
      <c r="P959" s="172">
        <v>0</v>
      </c>
      <c r="Q959" s="172">
        <v>0</v>
      </c>
      <c r="R959" s="172">
        <v>0</v>
      </c>
      <c r="S959" s="175">
        <v>0</v>
      </c>
      <c r="T959" s="172">
        <v>0</v>
      </c>
      <c r="U959" s="172">
        <v>1</v>
      </c>
      <c r="V959" s="172">
        <v>2</v>
      </c>
      <c r="W959" s="172">
        <v>0</v>
      </c>
      <c r="X959" s="172">
        <v>0</v>
      </c>
      <c r="Y959" s="12">
        <v>0</v>
      </c>
      <c r="Z959" s="172">
        <v>0</v>
      </c>
      <c r="AA959" s="172">
        <v>0</v>
      </c>
      <c r="AB959" s="172">
        <v>30</v>
      </c>
      <c r="AC959" s="172">
        <v>0</v>
      </c>
      <c r="AD959" s="172">
        <v>0</v>
      </c>
      <c r="AE959" s="172">
        <v>0</v>
      </c>
      <c r="AF959" s="172">
        <v>40</v>
      </c>
      <c r="AG959" s="172">
        <v>0</v>
      </c>
      <c r="AH959" s="172">
        <v>0</v>
      </c>
      <c r="AI959" s="175">
        <v>1</v>
      </c>
      <c r="AJ959" s="175">
        <v>0</v>
      </c>
      <c r="AK959" s="175">
        <v>0</v>
      </c>
      <c r="AL959" s="175">
        <v>1.5</v>
      </c>
      <c r="AM959" s="172">
        <v>0</v>
      </c>
      <c r="AN959" s="172">
        <v>0</v>
      </c>
      <c r="AO959" s="172">
        <v>0</v>
      </c>
      <c r="AP959" s="176">
        <v>0.25</v>
      </c>
      <c r="AQ959" s="172">
        <v>3000</v>
      </c>
      <c r="AR959" s="172">
        <v>0</v>
      </c>
      <c r="AS959" s="172">
        <v>0</v>
      </c>
      <c r="AT959" s="175">
        <v>0</v>
      </c>
      <c r="AU959" s="172" t="s">
        <v>198</v>
      </c>
      <c r="AV959" s="172"/>
      <c r="AW959" s="173" t="s">
        <v>1648</v>
      </c>
      <c r="AX959" s="172" t="s">
        <v>1041</v>
      </c>
      <c r="AY959" s="176">
        <v>0</v>
      </c>
      <c r="AZ959" s="176">
        <v>21201040</v>
      </c>
      <c r="BA959" s="173" t="s">
        <v>1174</v>
      </c>
      <c r="BB959" s="203" t="s">
        <v>2147</v>
      </c>
      <c r="BC959" s="174">
        <v>0</v>
      </c>
      <c r="BD959" s="174">
        <v>0</v>
      </c>
      <c r="BE959" s="206" t="s">
        <v>2148</v>
      </c>
      <c r="BF959" s="206" t="s">
        <v>2149</v>
      </c>
      <c r="BG959" s="172">
        <v>0</v>
      </c>
      <c r="BH959" s="172">
        <v>0</v>
      </c>
      <c r="BI959" s="172">
        <v>0</v>
      </c>
      <c r="BJ959" s="172">
        <v>0</v>
      </c>
      <c r="BK959" s="172">
        <v>0</v>
      </c>
      <c r="BL959" s="172">
        <v>0</v>
      </c>
      <c r="BM959" s="178">
        <v>0</v>
      </c>
      <c r="BN959" s="175">
        <v>0</v>
      </c>
      <c r="BO959" s="175">
        <v>0</v>
      </c>
      <c r="BP959" s="175">
        <v>0</v>
      </c>
      <c r="BQ959" s="175">
        <v>0</v>
      </c>
      <c r="BR959" s="175">
        <v>0</v>
      </c>
      <c r="BS959" s="175">
        <v>0</v>
      </c>
      <c r="BT959" s="12">
        <v>0</v>
      </c>
      <c r="BU959" s="47">
        <v>0</v>
      </c>
      <c r="BV959" s="47"/>
      <c r="BW959" s="47"/>
    </row>
    <row r="960" spans="3:75" ht="19.5" customHeight="1">
      <c r="C960" s="172">
        <v>63023406</v>
      </c>
      <c r="D960" s="173" t="s">
        <v>2135</v>
      </c>
      <c r="E960" s="173" t="s">
        <v>2136</v>
      </c>
      <c r="F960" s="176">
        <v>5</v>
      </c>
      <c r="G960" s="172">
        <v>63023401</v>
      </c>
      <c r="H960" s="176">
        <v>0</v>
      </c>
      <c r="I960" s="174">
        <v>0</v>
      </c>
      <c r="J960" s="18">
        <v>0</v>
      </c>
      <c r="K960" s="18">
        <v>0</v>
      </c>
      <c r="L960" s="176">
        <v>0</v>
      </c>
      <c r="M960" s="172">
        <v>0</v>
      </c>
      <c r="N960" s="172">
        <v>0</v>
      </c>
      <c r="O960" s="172">
        <v>1</v>
      </c>
      <c r="P960" s="172">
        <v>0</v>
      </c>
      <c r="Q960" s="172">
        <v>0</v>
      </c>
      <c r="R960" s="172">
        <v>0</v>
      </c>
      <c r="S960" s="175">
        <v>0</v>
      </c>
      <c r="T960" s="172">
        <v>0</v>
      </c>
      <c r="U960" s="172">
        <v>1</v>
      </c>
      <c r="V960" s="172">
        <v>2</v>
      </c>
      <c r="W960" s="172">
        <v>0</v>
      </c>
      <c r="X960" s="172">
        <v>0</v>
      </c>
      <c r="Y960" s="12">
        <v>0</v>
      </c>
      <c r="Z960" s="172">
        <v>0</v>
      </c>
      <c r="AA960" s="172">
        <v>0</v>
      </c>
      <c r="AB960" s="172">
        <v>30</v>
      </c>
      <c r="AC960" s="172">
        <v>0</v>
      </c>
      <c r="AD960" s="172">
        <v>0</v>
      </c>
      <c r="AE960" s="172">
        <v>0</v>
      </c>
      <c r="AF960" s="172">
        <v>40</v>
      </c>
      <c r="AG960" s="172">
        <v>0</v>
      </c>
      <c r="AH960" s="172">
        <v>0</v>
      </c>
      <c r="AI960" s="175">
        <v>1</v>
      </c>
      <c r="AJ960" s="175">
        <v>0</v>
      </c>
      <c r="AK960" s="175">
        <v>0</v>
      </c>
      <c r="AL960" s="175">
        <v>1.5</v>
      </c>
      <c r="AM960" s="172">
        <v>0</v>
      </c>
      <c r="AN960" s="172">
        <v>0</v>
      </c>
      <c r="AO960" s="172">
        <v>0</v>
      </c>
      <c r="AP960" s="176">
        <v>0.25</v>
      </c>
      <c r="AQ960" s="172">
        <v>3000</v>
      </c>
      <c r="AR960" s="172">
        <v>0</v>
      </c>
      <c r="AS960" s="172">
        <v>0</v>
      </c>
      <c r="AT960" s="175">
        <v>0</v>
      </c>
      <c r="AU960" s="172" t="s">
        <v>198</v>
      </c>
      <c r="AV960" s="172"/>
      <c r="AW960" s="173" t="s">
        <v>1648</v>
      </c>
      <c r="AX960" s="172" t="s">
        <v>1041</v>
      </c>
      <c r="AY960" s="176">
        <v>0</v>
      </c>
      <c r="AZ960" s="176">
        <v>21201040</v>
      </c>
      <c r="BA960" s="173" t="s">
        <v>1174</v>
      </c>
      <c r="BB960" s="203" t="s">
        <v>2150</v>
      </c>
      <c r="BC960" s="174">
        <v>0</v>
      </c>
      <c r="BD960" s="174">
        <v>0</v>
      </c>
      <c r="BE960" s="206" t="s">
        <v>2151</v>
      </c>
      <c r="BF960" s="206" t="s">
        <v>2152</v>
      </c>
      <c r="BG960" s="172">
        <v>0</v>
      </c>
      <c r="BH960" s="172">
        <v>0</v>
      </c>
      <c r="BI960" s="172">
        <v>0</v>
      </c>
      <c r="BJ960" s="172">
        <v>0</v>
      </c>
      <c r="BK960" s="172">
        <v>0</v>
      </c>
      <c r="BL960" s="172">
        <v>0</v>
      </c>
      <c r="BM960" s="178">
        <v>0</v>
      </c>
      <c r="BN960" s="175">
        <v>0</v>
      </c>
      <c r="BO960" s="175">
        <v>0</v>
      </c>
      <c r="BP960" s="175">
        <v>0</v>
      </c>
      <c r="BQ960" s="175">
        <v>0</v>
      </c>
      <c r="BR960" s="175">
        <v>0</v>
      </c>
      <c r="BS960" s="175">
        <v>0</v>
      </c>
      <c r="BT960" s="12">
        <v>0</v>
      </c>
      <c r="BU960" s="47">
        <v>0</v>
      </c>
      <c r="BV960" s="47"/>
      <c r="BW960" s="47"/>
    </row>
    <row r="961" spans="1:75" ht="20.100000000000001" customHeight="1">
      <c r="C961" s="172">
        <v>63023411</v>
      </c>
      <c r="D961" s="19" t="s">
        <v>1605</v>
      </c>
      <c r="E961" s="19" t="s">
        <v>1606</v>
      </c>
      <c r="F961" s="18">
        <v>1</v>
      </c>
      <c r="G961" s="172">
        <v>60031141</v>
      </c>
      <c r="H961" s="18">
        <v>0</v>
      </c>
      <c r="I961" s="27">
        <v>0</v>
      </c>
      <c r="J961" s="18">
        <v>1</v>
      </c>
      <c r="K961" s="18">
        <v>0</v>
      </c>
      <c r="L961" s="18">
        <v>0</v>
      </c>
      <c r="M961" s="18">
        <v>0</v>
      </c>
      <c r="N961" s="18">
        <v>0</v>
      </c>
      <c r="O961" s="18">
        <v>2</v>
      </c>
      <c r="P961" s="18">
        <v>10</v>
      </c>
      <c r="Q961" s="18">
        <v>0.5</v>
      </c>
      <c r="R961" s="18">
        <v>0</v>
      </c>
      <c r="S961" s="12">
        <v>0</v>
      </c>
      <c r="T961" s="27">
        <v>0</v>
      </c>
      <c r="U961" s="16">
        <v>1</v>
      </c>
      <c r="V961" s="18">
        <v>1</v>
      </c>
      <c r="W961" s="18">
        <v>0</v>
      </c>
      <c r="X961" s="18">
        <v>1.5</v>
      </c>
      <c r="Y961" s="12">
        <v>0</v>
      </c>
      <c r="Z961" s="18">
        <v>0</v>
      </c>
      <c r="AA961" s="18">
        <v>0</v>
      </c>
      <c r="AB961" s="18">
        <v>0</v>
      </c>
      <c r="AC961" s="18">
        <v>0</v>
      </c>
      <c r="AD961" s="18">
        <v>1</v>
      </c>
      <c r="AE961" s="18">
        <v>0</v>
      </c>
      <c r="AF961" s="18">
        <v>5</v>
      </c>
      <c r="AG961" s="18">
        <v>1</v>
      </c>
      <c r="AH961" s="18">
        <v>3</v>
      </c>
      <c r="AI961" s="12">
        <v>2</v>
      </c>
      <c r="AJ961" s="12">
        <v>1</v>
      </c>
      <c r="AK961" s="12">
        <v>0</v>
      </c>
      <c r="AL961" s="12">
        <v>6</v>
      </c>
      <c r="AM961" s="18">
        <v>0</v>
      </c>
      <c r="AN961" s="18">
        <v>0</v>
      </c>
      <c r="AO961" s="18">
        <v>0</v>
      </c>
      <c r="AP961" s="18">
        <v>0</v>
      </c>
      <c r="AQ961" s="18">
        <v>5000</v>
      </c>
      <c r="AR961" s="18">
        <v>0</v>
      </c>
      <c r="AS961" s="18">
        <v>0</v>
      </c>
      <c r="AT961" s="12">
        <v>0</v>
      </c>
      <c r="AU961" s="18" t="s">
        <v>198</v>
      </c>
      <c r="AV961" s="18"/>
      <c r="AW961" s="19" t="s">
        <v>199</v>
      </c>
      <c r="AX961" s="18">
        <v>0</v>
      </c>
      <c r="AY961" s="18">
        <v>10000006</v>
      </c>
      <c r="AZ961" s="26">
        <v>60000004</v>
      </c>
      <c r="BA961" s="19" t="s">
        <v>1609</v>
      </c>
      <c r="BB961" s="19" t="s">
        <v>198</v>
      </c>
      <c r="BC961" s="27">
        <v>0</v>
      </c>
      <c r="BD961" s="27">
        <v>0</v>
      </c>
      <c r="BE961" s="87"/>
      <c r="BF961" s="87"/>
      <c r="BG961" s="18">
        <v>0</v>
      </c>
      <c r="BH961" s="16">
        <v>0</v>
      </c>
      <c r="BI961" s="18">
        <v>0</v>
      </c>
      <c r="BJ961" s="18">
        <v>0</v>
      </c>
      <c r="BK961" s="18">
        <v>0</v>
      </c>
      <c r="BL961" s="18">
        <v>0</v>
      </c>
      <c r="BM961" s="15">
        <v>0</v>
      </c>
      <c r="BN961" s="12">
        <v>0</v>
      </c>
      <c r="BO961" s="12">
        <v>0</v>
      </c>
      <c r="BP961" s="12">
        <v>0</v>
      </c>
      <c r="BQ961" s="12">
        <v>0</v>
      </c>
      <c r="BR961" s="12">
        <v>0</v>
      </c>
      <c r="BS961" s="12">
        <v>0</v>
      </c>
      <c r="BT961" s="12">
        <v>0</v>
      </c>
      <c r="BU961" s="47">
        <v>0</v>
      </c>
      <c r="BV961" s="47"/>
      <c r="BW961" s="47"/>
    </row>
    <row r="962" spans="1:75" ht="20.100000000000001" customHeight="1">
      <c r="C962" s="214">
        <v>63023412</v>
      </c>
      <c r="D962" s="38" t="s">
        <v>2153</v>
      </c>
      <c r="E962" s="38" t="s">
        <v>2154</v>
      </c>
      <c r="F962" s="30">
        <v>1</v>
      </c>
      <c r="G962" s="214">
        <v>60093001</v>
      </c>
      <c r="H962" s="30">
        <v>0</v>
      </c>
      <c r="I962" s="30">
        <v>0</v>
      </c>
      <c r="J962" s="30">
        <v>1</v>
      </c>
      <c r="K962" s="30">
        <v>0</v>
      </c>
      <c r="L962" s="30">
        <v>0</v>
      </c>
      <c r="M962" s="30">
        <v>0</v>
      </c>
      <c r="N962" s="30">
        <v>0</v>
      </c>
      <c r="O962" s="30">
        <v>5</v>
      </c>
      <c r="P962" s="30">
        <v>0</v>
      </c>
      <c r="Q962" s="30">
        <v>0</v>
      </c>
      <c r="R962" s="30">
        <v>0</v>
      </c>
      <c r="S962" s="30">
        <v>0</v>
      </c>
      <c r="T962" s="30">
        <v>0</v>
      </c>
      <c r="U962" s="30">
        <v>1</v>
      </c>
      <c r="V962" s="30">
        <v>2</v>
      </c>
      <c r="W962" s="30">
        <v>0</v>
      </c>
      <c r="X962" s="30">
        <v>0</v>
      </c>
      <c r="Y962" s="12">
        <v>0</v>
      </c>
      <c r="Z962" s="30">
        <v>0</v>
      </c>
      <c r="AA962" s="30">
        <v>0</v>
      </c>
      <c r="AB962" s="30">
        <v>0</v>
      </c>
      <c r="AC962" s="30">
        <v>0</v>
      </c>
      <c r="AD962" s="30">
        <v>0</v>
      </c>
      <c r="AE962" s="30">
        <v>0</v>
      </c>
      <c r="AF962" s="30">
        <v>9</v>
      </c>
      <c r="AG962" s="30">
        <v>2</v>
      </c>
      <c r="AH962" s="30" t="s">
        <v>213</v>
      </c>
      <c r="AI962" s="30">
        <v>2</v>
      </c>
      <c r="AJ962" s="30">
        <v>2</v>
      </c>
      <c r="AK962" s="30">
        <v>0</v>
      </c>
      <c r="AL962" s="30">
        <v>1.5</v>
      </c>
      <c r="AM962" s="30">
        <v>0</v>
      </c>
      <c r="AN962" s="30">
        <v>0</v>
      </c>
      <c r="AO962" s="30">
        <v>0</v>
      </c>
      <c r="AP962" s="30">
        <v>0</v>
      </c>
      <c r="AQ962" s="30">
        <v>3000</v>
      </c>
      <c r="AR962" s="30">
        <v>0</v>
      </c>
      <c r="AS962" s="30">
        <v>0</v>
      </c>
      <c r="AT962" s="30">
        <v>0</v>
      </c>
      <c r="AU962" s="30" t="s">
        <v>198</v>
      </c>
      <c r="AV962" s="30"/>
      <c r="AW962" s="38" t="s">
        <v>199</v>
      </c>
      <c r="AX962" s="30">
        <v>0</v>
      </c>
      <c r="AY962" s="30">
        <v>0</v>
      </c>
      <c r="AZ962" s="30">
        <v>0</v>
      </c>
      <c r="BA962" s="38" t="s">
        <v>200</v>
      </c>
      <c r="BB962" s="30" t="s">
        <v>2155</v>
      </c>
      <c r="BC962" s="30">
        <v>0</v>
      </c>
      <c r="BD962" s="30">
        <v>0</v>
      </c>
      <c r="BE962" s="227" t="s">
        <v>2156</v>
      </c>
      <c r="BF962" s="227" t="s">
        <v>2157</v>
      </c>
      <c r="BG962" s="30"/>
      <c r="BH962" s="30">
        <v>0</v>
      </c>
      <c r="BI962" s="30"/>
      <c r="BJ962" s="30"/>
      <c r="BK962" s="30"/>
      <c r="BL962" s="30"/>
      <c r="BM962" s="30">
        <v>0</v>
      </c>
      <c r="BN962" s="30">
        <v>0</v>
      </c>
      <c r="BO962" s="30">
        <v>0</v>
      </c>
      <c r="BP962" s="30">
        <v>0</v>
      </c>
      <c r="BQ962" s="30">
        <v>0</v>
      </c>
      <c r="BR962" s="30">
        <v>0</v>
      </c>
      <c r="BS962" s="30">
        <v>0</v>
      </c>
      <c r="BT962" s="12">
        <v>0</v>
      </c>
      <c r="BU962" s="47">
        <v>0</v>
      </c>
      <c r="BV962" s="47"/>
      <c r="BW962" s="47"/>
    </row>
    <row r="963" spans="1:75" ht="20.25" customHeight="1">
      <c r="C963" s="172">
        <v>63023413</v>
      </c>
      <c r="D963" s="17" t="s">
        <v>2158</v>
      </c>
      <c r="E963" s="17" t="s">
        <v>2159</v>
      </c>
      <c r="F963" s="18">
        <v>1</v>
      </c>
      <c r="G963" s="172">
        <v>60030102</v>
      </c>
      <c r="H963" s="18">
        <v>0</v>
      </c>
      <c r="I963" s="27">
        <v>0</v>
      </c>
      <c r="J963" s="18">
        <v>1</v>
      </c>
      <c r="K963" s="18">
        <v>0</v>
      </c>
      <c r="L963" s="18">
        <v>0</v>
      </c>
      <c r="M963" s="16">
        <v>0</v>
      </c>
      <c r="N963" s="16">
        <v>0</v>
      </c>
      <c r="O963" s="16">
        <v>2</v>
      </c>
      <c r="P963" s="16">
        <v>10</v>
      </c>
      <c r="Q963" s="16">
        <v>0.3</v>
      </c>
      <c r="R963" s="16">
        <v>0</v>
      </c>
      <c r="S963" s="12">
        <v>0</v>
      </c>
      <c r="T963" s="16">
        <v>0</v>
      </c>
      <c r="U963" s="16">
        <v>1</v>
      </c>
      <c r="V963" s="16">
        <v>2</v>
      </c>
      <c r="W963" s="16">
        <v>0</v>
      </c>
      <c r="X963" s="16">
        <v>3</v>
      </c>
      <c r="Y963" s="12">
        <v>0</v>
      </c>
      <c r="Z963" s="16">
        <v>0</v>
      </c>
      <c r="AA963" s="16">
        <v>0</v>
      </c>
      <c r="AB963" s="16">
        <v>0</v>
      </c>
      <c r="AC963" s="16">
        <v>0</v>
      </c>
      <c r="AD963" s="16">
        <v>0</v>
      </c>
      <c r="AE963" s="16">
        <v>0</v>
      </c>
      <c r="AF963" s="16">
        <v>5</v>
      </c>
      <c r="AG963" s="16">
        <v>1</v>
      </c>
      <c r="AH963" s="16">
        <v>3</v>
      </c>
      <c r="AI963" s="12">
        <v>1</v>
      </c>
      <c r="AJ963" s="12">
        <v>1</v>
      </c>
      <c r="AK963" s="12">
        <v>0</v>
      </c>
      <c r="AL963" s="12">
        <v>3</v>
      </c>
      <c r="AM963" s="16">
        <v>0</v>
      </c>
      <c r="AN963" s="16">
        <v>0</v>
      </c>
      <c r="AO963" s="16">
        <v>0</v>
      </c>
      <c r="AP963" s="16">
        <v>0</v>
      </c>
      <c r="AQ963" s="16">
        <v>5000</v>
      </c>
      <c r="AR963" s="16">
        <v>0</v>
      </c>
      <c r="AS963" s="16">
        <v>0</v>
      </c>
      <c r="AT963" s="12">
        <v>0</v>
      </c>
      <c r="AU963" s="16">
        <v>0</v>
      </c>
      <c r="AV963" s="16"/>
      <c r="AW963" s="17" t="s">
        <v>199</v>
      </c>
      <c r="AX963" s="12" t="s">
        <v>1695</v>
      </c>
      <c r="AY963" s="18">
        <v>10000007</v>
      </c>
      <c r="AZ963" s="18">
        <v>23000080</v>
      </c>
      <c r="BA963" s="17" t="s">
        <v>200</v>
      </c>
      <c r="BB963" s="19" t="s">
        <v>198</v>
      </c>
      <c r="BC963" s="27">
        <v>0</v>
      </c>
      <c r="BD963" s="27">
        <v>0</v>
      </c>
      <c r="BE963" s="44" t="s">
        <v>2160</v>
      </c>
      <c r="BF963" s="44" t="s">
        <v>2161</v>
      </c>
      <c r="BG963" s="18">
        <v>0</v>
      </c>
      <c r="BH963" s="16">
        <v>0</v>
      </c>
      <c r="BI963" s="16"/>
      <c r="BJ963" s="16"/>
      <c r="BK963" s="16"/>
      <c r="BL963" s="18"/>
      <c r="BM963" s="15">
        <v>0</v>
      </c>
      <c r="BN963" s="12">
        <v>0</v>
      </c>
      <c r="BO963" s="12">
        <v>0</v>
      </c>
      <c r="BP963" s="12">
        <v>0</v>
      </c>
      <c r="BQ963" s="12">
        <v>0</v>
      </c>
      <c r="BR963" s="12">
        <v>0</v>
      </c>
      <c r="BS963" s="12">
        <v>0</v>
      </c>
      <c r="BT963" s="12">
        <v>0</v>
      </c>
      <c r="BU963" s="47">
        <v>0</v>
      </c>
      <c r="BV963" s="47"/>
      <c r="BW963" s="47"/>
    </row>
    <row r="964" spans="1:75" ht="20.100000000000001" customHeight="1">
      <c r="C964" s="172">
        <v>63023414</v>
      </c>
      <c r="D964" s="17" t="s">
        <v>2162</v>
      </c>
      <c r="E964" s="17" t="s">
        <v>2163</v>
      </c>
      <c r="F964" s="18">
        <v>1</v>
      </c>
      <c r="G964" s="172">
        <v>62000107</v>
      </c>
      <c r="H964" s="12">
        <v>0</v>
      </c>
      <c r="I964" s="12">
        <v>0</v>
      </c>
      <c r="J964" s="18">
        <v>1</v>
      </c>
      <c r="K964" s="18">
        <v>0</v>
      </c>
      <c r="L964" s="12">
        <v>0</v>
      </c>
      <c r="M964" s="12">
        <v>0</v>
      </c>
      <c r="N964" s="12">
        <v>0</v>
      </c>
      <c r="O964" s="12">
        <v>2</v>
      </c>
      <c r="P964" s="12">
        <v>10</v>
      </c>
      <c r="Q964" s="12">
        <v>0.2</v>
      </c>
      <c r="R964" s="12">
        <v>0</v>
      </c>
      <c r="S964" s="12">
        <v>0</v>
      </c>
      <c r="T964" s="12">
        <v>0</v>
      </c>
      <c r="U964" s="16">
        <v>1</v>
      </c>
      <c r="V964" s="12">
        <v>2</v>
      </c>
      <c r="W964" s="12">
        <v>0</v>
      </c>
      <c r="X964" s="12">
        <v>0</v>
      </c>
      <c r="Y964" s="12">
        <v>0</v>
      </c>
      <c r="Z964" s="12">
        <v>0</v>
      </c>
      <c r="AA964" s="12">
        <v>0</v>
      </c>
      <c r="AB964" s="12">
        <v>0</v>
      </c>
      <c r="AC964" s="12">
        <v>0</v>
      </c>
      <c r="AD964" s="18">
        <v>0</v>
      </c>
      <c r="AE964" s="12">
        <v>0</v>
      </c>
      <c r="AF964" s="12">
        <v>10</v>
      </c>
      <c r="AG964" s="12">
        <v>0</v>
      </c>
      <c r="AH964" s="12">
        <v>0</v>
      </c>
      <c r="AI964" s="12">
        <v>7</v>
      </c>
      <c r="AJ964" s="12">
        <v>0</v>
      </c>
      <c r="AK964" s="12">
        <v>0</v>
      </c>
      <c r="AL964" s="12">
        <v>6</v>
      </c>
      <c r="AM964" s="12">
        <v>0</v>
      </c>
      <c r="AN964" s="12">
        <v>0</v>
      </c>
      <c r="AO964" s="12">
        <v>0</v>
      </c>
      <c r="AP964" s="12">
        <v>0</v>
      </c>
      <c r="AQ964" s="12">
        <v>1000</v>
      </c>
      <c r="AR964" s="12">
        <v>0</v>
      </c>
      <c r="AS964" s="12">
        <v>0</v>
      </c>
      <c r="AT964" s="12">
        <v>0</v>
      </c>
      <c r="AU964" s="341" t="s">
        <v>2164</v>
      </c>
      <c r="AV964" s="12"/>
      <c r="AW964" s="17" t="s">
        <v>199</v>
      </c>
      <c r="AX964" s="12" t="s">
        <v>1695</v>
      </c>
      <c r="AY964" s="12" t="s">
        <v>198</v>
      </c>
      <c r="AZ964" s="12">
        <v>0</v>
      </c>
      <c r="BA964" s="13" t="s">
        <v>200</v>
      </c>
      <c r="BB964" s="12">
        <v>0</v>
      </c>
      <c r="BC964" s="27">
        <v>0</v>
      </c>
      <c r="BD964" s="27">
        <v>0</v>
      </c>
      <c r="BE964" s="44" t="s">
        <v>2165</v>
      </c>
      <c r="BF964" s="44" t="s">
        <v>2166</v>
      </c>
      <c r="BG964" s="12">
        <v>0</v>
      </c>
      <c r="BH964" s="16">
        <v>0</v>
      </c>
      <c r="BI964" s="16"/>
      <c r="BJ964" s="16"/>
      <c r="BK964" s="16"/>
      <c r="BL964" s="18"/>
      <c r="BM964" s="15">
        <v>0</v>
      </c>
      <c r="BN964" s="12">
        <v>0</v>
      </c>
      <c r="BO964" s="12">
        <v>0</v>
      </c>
      <c r="BP964" s="12">
        <v>0</v>
      </c>
      <c r="BQ964" s="12">
        <v>0</v>
      </c>
      <c r="BR964" s="12">
        <v>0</v>
      </c>
      <c r="BS964" s="12">
        <v>0</v>
      </c>
      <c r="BT964" s="12">
        <v>0</v>
      </c>
      <c r="BU964" s="47">
        <v>0</v>
      </c>
      <c r="BV964" s="47"/>
      <c r="BW964" s="47"/>
    </row>
    <row r="965" spans="1:75" ht="20.100000000000001" customHeight="1">
      <c r="C965" s="172">
        <v>63023415</v>
      </c>
      <c r="D965" s="59" t="s">
        <v>2167</v>
      </c>
      <c r="E965" s="59" t="s">
        <v>2168</v>
      </c>
      <c r="F965" s="16">
        <v>1</v>
      </c>
      <c r="G965" s="172">
        <v>62011101</v>
      </c>
      <c r="H965" s="60">
        <v>0</v>
      </c>
      <c r="I965" s="27">
        <v>0</v>
      </c>
      <c r="J965" s="18">
        <v>1</v>
      </c>
      <c r="K965" s="18">
        <v>0</v>
      </c>
      <c r="L965" s="18">
        <v>0</v>
      </c>
      <c r="M965" s="60">
        <v>0</v>
      </c>
      <c r="N965" s="60">
        <v>0</v>
      </c>
      <c r="O965" s="60">
        <v>2</v>
      </c>
      <c r="P965" s="16">
        <v>10</v>
      </c>
      <c r="Q965" s="16">
        <v>0.2</v>
      </c>
      <c r="R965" s="60">
        <v>0</v>
      </c>
      <c r="S965" s="12">
        <v>0</v>
      </c>
      <c r="T965" s="60">
        <v>0</v>
      </c>
      <c r="U965" s="16">
        <v>1</v>
      </c>
      <c r="V965" s="60">
        <v>2</v>
      </c>
      <c r="W965" s="60">
        <v>0</v>
      </c>
      <c r="X965" s="60">
        <v>3</v>
      </c>
      <c r="Y965" s="12">
        <v>0</v>
      </c>
      <c r="Z965" s="16">
        <v>0</v>
      </c>
      <c r="AA965" s="60">
        <v>0</v>
      </c>
      <c r="AB965" s="60">
        <v>0</v>
      </c>
      <c r="AC965" s="60">
        <v>0</v>
      </c>
      <c r="AD965" s="60">
        <v>0</v>
      </c>
      <c r="AE965" s="60">
        <v>0</v>
      </c>
      <c r="AF965" s="60">
        <v>10</v>
      </c>
      <c r="AG965" s="60">
        <v>2</v>
      </c>
      <c r="AH965" s="60" t="s">
        <v>2169</v>
      </c>
      <c r="AI965" s="68">
        <v>0</v>
      </c>
      <c r="AJ965" s="12">
        <v>0</v>
      </c>
      <c r="AK965" s="12">
        <v>0</v>
      </c>
      <c r="AL965" s="68">
        <v>1.5</v>
      </c>
      <c r="AM965" s="60">
        <v>0</v>
      </c>
      <c r="AN965" s="60">
        <v>0</v>
      </c>
      <c r="AO965" s="60">
        <v>0</v>
      </c>
      <c r="AP965" s="60">
        <v>0</v>
      </c>
      <c r="AQ965" s="60">
        <v>3000</v>
      </c>
      <c r="AR965" s="60">
        <v>0</v>
      </c>
      <c r="AS965" s="60">
        <v>0</v>
      </c>
      <c r="AT965" s="12">
        <v>0</v>
      </c>
      <c r="AU965" s="60" t="s">
        <v>198</v>
      </c>
      <c r="AV965" s="60"/>
      <c r="AW965" s="59" t="s">
        <v>287</v>
      </c>
      <c r="AX965" s="16">
        <v>0</v>
      </c>
      <c r="AY965" s="64">
        <v>10000007</v>
      </c>
      <c r="AZ965" s="18">
        <v>23000010</v>
      </c>
      <c r="BA965" s="59" t="s">
        <v>200</v>
      </c>
      <c r="BB965" s="60">
        <v>0</v>
      </c>
      <c r="BC965" s="66">
        <v>0</v>
      </c>
      <c r="BD965" s="27">
        <v>1</v>
      </c>
      <c r="BE965" s="90" t="s">
        <v>2170</v>
      </c>
      <c r="BF965" s="90" t="s">
        <v>2171</v>
      </c>
      <c r="BG965" s="60">
        <v>0</v>
      </c>
      <c r="BH965" s="16">
        <v>0</v>
      </c>
      <c r="BI965" s="60">
        <v>0</v>
      </c>
      <c r="BJ965" s="60">
        <v>0</v>
      </c>
      <c r="BK965" s="60">
        <v>0</v>
      </c>
      <c r="BL965" s="60">
        <v>0</v>
      </c>
      <c r="BM965" s="16">
        <v>0</v>
      </c>
      <c r="BN965" s="12">
        <v>0</v>
      </c>
      <c r="BO965" s="12">
        <v>0</v>
      </c>
      <c r="BP965" s="12">
        <v>0</v>
      </c>
      <c r="BQ965" s="12">
        <v>0</v>
      </c>
      <c r="BR965" s="12">
        <v>0</v>
      </c>
      <c r="BS965" s="12">
        <v>0</v>
      </c>
      <c r="BT965" s="12">
        <v>0</v>
      </c>
      <c r="BU965" s="47">
        <v>0</v>
      </c>
      <c r="BV965" s="47"/>
      <c r="BW965" s="47"/>
    </row>
    <row r="966" spans="1:75" ht="20.100000000000001" customHeight="1">
      <c r="C966" s="172">
        <v>63023416</v>
      </c>
      <c r="D966" s="17" t="s">
        <v>1787</v>
      </c>
      <c r="E966" s="17" t="s">
        <v>1788</v>
      </c>
      <c r="F966" s="16">
        <v>1</v>
      </c>
      <c r="G966" s="16">
        <v>60010500</v>
      </c>
      <c r="H966" s="18">
        <v>0</v>
      </c>
      <c r="I966" s="27">
        <v>0</v>
      </c>
      <c r="J966" s="18">
        <v>1</v>
      </c>
      <c r="K966" s="18">
        <v>0</v>
      </c>
      <c r="L966" s="18">
        <v>0</v>
      </c>
      <c r="M966" s="16">
        <v>0</v>
      </c>
      <c r="N966" s="16">
        <v>0</v>
      </c>
      <c r="O966" s="16">
        <v>5</v>
      </c>
      <c r="P966" s="16">
        <v>0</v>
      </c>
      <c r="Q966" s="16">
        <v>0</v>
      </c>
      <c r="R966" s="16">
        <v>0</v>
      </c>
      <c r="S966" s="12">
        <v>0</v>
      </c>
      <c r="T966" s="16">
        <v>0</v>
      </c>
      <c r="U966" s="16">
        <v>1</v>
      </c>
      <c r="V966" s="16">
        <v>2</v>
      </c>
      <c r="W966" s="16">
        <v>0</v>
      </c>
      <c r="X966" s="16">
        <v>0</v>
      </c>
      <c r="Y966" s="12">
        <v>0</v>
      </c>
      <c r="Z966" s="16">
        <v>0</v>
      </c>
      <c r="AA966" s="16">
        <v>0</v>
      </c>
      <c r="AB966" s="16">
        <v>0</v>
      </c>
      <c r="AC966" s="16">
        <v>0</v>
      </c>
      <c r="AD966" s="16">
        <v>0</v>
      </c>
      <c r="AE966" s="16">
        <v>0</v>
      </c>
      <c r="AF966" s="16">
        <v>9</v>
      </c>
      <c r="AG966" s="16">
        <v>2</v>
      </c>
      <c r="AH966" s="16" t="s">
        <v>213</v>
      </c>
      <c r="AI966" s="12">
        <v>2</v>
      </c>
      <c r="AJ966" s="12">
        <v>2</v>
      </c>
      <c r="AK966" s="12">
        <v>0</v>
      </c>
      <c r="AL966" s="12">
        <v>1.5</v>
      </c>
      <c r="AM966" s="16">
        <v>0</v>
      </c>
      <c r="AN966" s="16">
        <v>0</v>
      </c>
      <c r="AO966" s="16">
        <v>0</v>
      </c>
      <c r="AP966" s="16">
        <v>0</v>
      </c>
      <c r="AQ966" s="16">
        <v>3000</v>
      </c>
      <c r="AR966" s="16">
        <v>0</v>
      </c>
      <c r="AS966" s="16">
        <v>0</v>
      </c>
      <c r="AT966" s="12">
        <v>0</v>
      </c>
      <c r="AU966" s="16" t="s">
        <v>198</v>
      </c>
      <c r="AV966" s="16"/>
      <c r="AW966" s="17" t="s">
        <v>199</v>
      </c>
      <c r="AX966" s="16">
        <v>0</v>
      </c>
      <c r="AY966" s="18">
        <v>0</v>
      </c>
      <c r="AZ966" s="18">
        <v>0</v>
      </c>
      <c r="BA966" s="17" t="s">
        <v>200</v>
      </c>
      <c r="BB966" s="16" t="s">
        <v>1939</v>
      </c>
      <c r="BC966" s="27">
        <v>0</v>
      </c>
      <c r="BD966" s="27">
        <v>0</v>
      </c>
      <c r="BE966" s="44" t="s">
        <v>1940</v>
      </c>
      <c r="BF966" s="44" t="s">
        <v>1941</v>
      </c>
      <c r="BG966" s="16"/>
      <c r="BH966" s="16">
        <v>0</v>
      </c>
      <c r="BI966" s="16"/>
      <c r="BJ966" s="16"/>
      <c r="BK966" s="16"/>
      <c r="BL966" s="18"/>
      <c r="BM966" s="16">
        <v>0</v>
      </c>
      <c r="BN966" s="12">
        <v>0</v>
      </c>
      <c r="BO966" s="12">
        <v>0</v>
      </c>
      <c r="BP966" s="12">
        <v>0</v>
      </c>
      <c r="BQ966" s="12">
        <v>0</v>
      </c>
      <c r="BR966" s="12">
        <v>0</v>
      </c>
      <c r="BS966" s="12">
        <v>0</v>
      </c>
      <c r="BT966" s="12">
        <v>0</v>
      </c>
      <c r="BU966" s="47">
        <v>0</v>
      </c>
      <c r="BV966" s="47"/>
      <c r="BW966" s="47"/>
    </row>
    <row r="967" spans="1:75" ht="20.100000000000001" customHeight="1">
      <c r="C967" s="172">
        <v>63023417</v>
      </c>
      <c r="D967" s="17" t="s">
        <v>1787</v>
      </c>
      <c r="E967" s="17" t="s">
        <v>1788</v>
      </c>
      <c r="F967" s="16">
        <v>1</v>
      </c>
      <c r="G967" s="16">
        <v>60011301</v>
      </c>
      <c r="H967" s="18">
        <v>0</v>
      </c>
      <c r="I967" s="27">
        <v>0</v>
      </c>
      <c r="J967" s="18">
        <v>1</v>
      </c>
      <c r="K967" s="18">
        <v>0</v>
      </c>
      <c r="L967" s="18">
        <v>0</v>
      </c>
      <c r="M967" s="16">
        <v>0</v>
      </c>
      <c r="N967" s="16">
        <v>0</v>
      </c>
      <c r="O967" s="16">
        <v>5</v>
      </c>
      <c r="P967" s="16">
        <v>0</v>
      </c>
      <c r="Q967" s="16">
        <v>0</v>
      </c>
      <c r="R967" s="16">
        <v>0</v>
      </c>
      <c r="S967" s="12">
        <v>0</v>
      </c>
      <c r="T967" s="16">
        <v>0</v>
      </c>
      <c r="U967" s="16">
        <v>1</v>
      </c>
      <c r="V967" s="16">
        <v>2</v>
      </c>
      <c r="W967" s="16">
        <v>0</v>
      </c>
      <c r="X967" s="16">
        <v>0</v>
      </c>
      <c r="Y967" s="12">
        <v>0</v>
      </c>
      <c r="Z967" s="16">
        <v>0</v>
      </c>
      <c r="AA967" s="16">
        <v>0</v>
      </c>
      <c r="AB967" s="16">
        <v>0</v>
      </c>
      <c r="AC967" s="16">
        <v>0</v>
      </c>
      <c r="AD967" s="16">
        <v>0</v>
      </c>
      <c r="AE967" s="16">
        <v>0</v>
      </c>
      <c r="AF967" s="16">
        <v>9</v>
      </c>
      <c r="AG967" s="16">
        <v>2</v>
      </c>
      <c r="AH967" s="16" t="s">
        <v>213</v>
      </c>
      <c r="AI967" s="12">
        <v>2</v>
      </c>
      <c r="AJ967" s="12">
        <v>2</v>
      </c>
      <c r="AK967" s="12">
        <v>0</v>
      </c>
      <c r="AL967" s="12">
        <v>1.5</v>
      </c>
      <c r="AM967" s="16">
        <v>0</v>
      </c>
      <c r="AN967" s="16">
        <v>0</v>
      </c>
      <c r="AO967" s="16">
        <v>0</v>
      </c>
      <c r="AP967" s="16">
        <v>0</v>
      </c>
      <c r="AQ967" s="16">
        <v>3000</v>
      </c>
      <c r="AR967" s="16">
        <v>0</v>
      </c>
      <c r="AS967" s="16">
        <v>0</v>
      </c>
      <c r="AT967" s="12">
        <v>0</v>
      </c>
      <c r="AU967" s="16" t="s">
        <v>198</v>
      </c>
      <c r="AV967" s="16"/>
      <c r="AW967" s="17" t="s">
        <v>199</v>
      </c>
      <c r="AX967" s="16">
        <v>0</v>
      </c>
      <c r="AY967" s="18">
        <v>0</v>
      </c>
      <c r="AZ967" s="18">
        <v>0</v>
      </c>
      <c r="BA967" s="17" t="s">
        <v>200</v>
      </c>
      <c r="BB967" s="16" t="s">
        <v>2172</v>
      </c>
      <c r="BC967" s="27">
        <v>0</v>
      </c>
      <c r="BD967" s="27">
        <v>0</v>
      </c>
      <c r="BE967" s="44" t="s">
        <v>2173</v>
      </c>
      <c r="BF967" s="44" t="s">
        <v>2174</v>
      </c>
      <c r="BG967" s="16"/>
      <c r="BH967" s="16">
        <v>0</v>
      </c>
      <c r="BI967" s="16"/>
      <c r="BJ967" s="16"/>
      <c r="BK967" s="16"/>
      <c r="BL967" s="18"/>
      <c r="BM967" s="16">
        <v>0</v>
      </c>
      <c r="BN967" s="12">
        <v>0</v>
      </c>
      <c r="BO967" s="12">
        <v>0</v>
      </c>
      <c r="BP967" s="12">
        <v>0</v>
      </c>
      <c r="BQ967" s="12">
        <v>0</v>
      </c>
      <c r="BR967" s="12">
        <v>0</v>
      </c>
      <c r="BS967" s="12">
        <v>0</v>
      </c>
      <c r="BT967" s="12">
        <v>0</v>
      </c>
      <c r="BU967" s="47">
        <v>0</v>
      </c>
      <c r="BV967" s="47"/>
      <c r="BW967" s="47"/>
    </row>
    <row r="968" spans="1:75" s="1" customFormat="1" ht="19.5" customHeight="1">
      <c r="A968" s="215"/>
      <c r="B968" s="215"/>
      <c r="C968" s="64">
        <v>64011101</v>
      </c>
      <c r="D968" s="59" t="s">
        <v>1422</v>
      </c>
      <c r="E968" s="59" t="s">
        <v>2175</v>
      </c>
      <c r="F968" s="172">
        <v>0</v>
      </c>
      <c r="G968" s="64">
        <v>64011101</v>
      </c>
      <c r="H968" s="64">
        <v>64011102</v>
      </c>
      <c r="I968" s="66">
        <v>0</v>
      </c>
      <c r="J968" s="12">
        <v>1</v>
      </c>
      <c r="K968" s="12">
        <v>5</v>
      </c>
      <c r="L968" s="60">
        <v>0</v>
      </c>
      <c r="M968" s="60">
        <v>0</v>
      </c>
      <c r="N968" s="60">
        <v>0</v>
      </c>
      <c r="O968" s="60">
        <v>1</v>
      </c>
      <c r="P968" s="60">
        <v>0</v>
      </c>
      <c r="Q968" s="60">
        <v>1</v>
      </c>
      <c r="R968" s="60">
        <v>0</v>
      </c>
      <c r="S968" s="68">
        <v>0</v>
      </c>
      <c r="T968" s="60">
        <v>0</v>
      </c>
      <c r="U968" s="60">
        <v>1</v>
      </c>
      <c r="V968" s="60">
        <v>2</v>
      </c>
      <c r="W968" s="60">
        <v>0</v>
      </c>
      <c r="X968" s="60">
        <v>2</v>
      </c>
      <c r="Y968" s="12">
        <v>0</v>
      </c>
      <c r="Z968" s="60">
        <v>750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5" t="s">
        <v>2176</v>
      </c>
      <c r="AW968" s="19" t="s">
        <v>199</v>
      </c>
      <c r="AX968" s="60" t="s">
        <v>534</v>
      </c>
      <c r="AY968" s="64">
        <v>10000001</v>
      </c>
      <c r="AZ968" s="64">
        <v>21300010</v>
      </c>
      <c r="BA968" s="59" t="s">
        <v>586</v>
      </c>
      <c r="BB968" s="60" t="s">
        <v>2177</v>
      </c>
      <c r="BC968" s="68">
        <v>0</v>
      </c>
      <c r="BD968" s="68">
        <v>0</v>
      </c>
      <c r="BE968" s="183" t="str">
        <f>"将手中的武器幻化成魔法,对指定前方区域内的目标造成"&amp;X968*100&amp;"%攻击伤害+"&amp;Z968&amp;"点固定伤害,并附带魔法印记,其状态每秒会对目标造成30%伤害,持续6秒.此印记可以叠加"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8" s="183" t="s">
        <v>2178</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5"/>
      <c r="B969" s="215"/>
      <c r="C969" s="64">
        <v>64011102</v>
      </c>
      <c r="D969" s="59" t="s">
        <v>1422</v>
      </c>
      <c r="E969" s="59" t="s">
        <v>2175</v>
      </c>
      <c r="F969" s="172">
        <v>1</v>
      </c>
      <c r="G969" s="64">
        <v>64011101</v>
      </c>
      <c r="H969" s="64">
        <v>64011103</v>
      </c>
      <c r="I969" s="66">
        <v>0</v>
      </c>
      <c r="J969" s="12">
        <v>1</v>
      </c>
      <c r="K969" s="12">
        <v>2</v>
      </c>
      <c r="L969" s="60">
        <v>0</v>
      </c>
      <c r="M969" s="60">
        <v>0</v>
      </c>
      <c r="N969" s="60">
        <v>0</v>
      </c>
      <c r="O969" s="60">
        <v>1</v>
      </c>
      <c r="P969" s="60">
        <v>0</v>
      </c>
      <c r="Q969" s="60">
        <v>1</v>
      </c>
      <c r="R969" s="60">
        <v>0</v>
      </c>
      <c r="S969" s="68">
        <v>0</v>
      </c>
      <c r="T969" s="60">
        <v>0</v>
      </c>
      <c r="U969" s="60">
        <v>1</v>
      </c>
      <c r="V969" s="60">
        <v>2</v>
      </c>
      <c r="W969" s="60">
        <v>0</v>
      </c>
      <c r="X969" s="60">
        <v>2</v>
      </c>
      <c r="Y969" s="12">
        <v>0</v>
      </c>
      <c r="Z969" s="60">
        <v>750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5" t="s">
        <v>2176</v>
      </c>
      <c r="AW969" s="19" t="s">
        <v>199</v>
      </c>
      <c r="AX969" s="60" t="s">
        <v>534</v>
      </c>
      <c r="AY969" s="64">
        <v>10000001</v>
      </c>
      <c r="AZ969" s="64">
        <v>21300010</v>
      </c>
      <c r="BA969" s="59" t="s">
        <v>586</v>
      </c>
      <c r="BB969" s="60" t="s">
        <v>2177</v>
      </c>
      <c r="BC969" s="68">
        <v>0</v>
      </c>
      <c r="BD969" s="68">
        <v>0</v>
      </c>
      <c r="BE969" s="183" t="str">
        <f t="shared" ref="BE969:BE973" si="111">"将手中的武器幻化成魔法,对指定前方区域内的目标造成"&amp;X969*100&amp;"%攻击伤害+"&amp;Z969&amp;"点固定伤害,并附带魔法印记,其状态每秒会对目标造成30%伤害,持续6秒.此印记可以叠加"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3" t="s">
        <v>2178</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5"/>
      <c r="B970" s="215"/>
      <c r="C970" s="64">
        <v>64011103</v>
      </c>
      <c r="D970" s="59" t="s">
        <v>1422</v>
      </c>
      <c r="E970" s="59" t="s">
        <v>2175</v>
      </c>
      <c r="F970" s="172">
        <v>2</v>
      </c>
      <c r="G970" s="64">
        <v>64011101</v>
      </c>
      <c r="H970" s="64">
        <v>64011104</v>
      </c>
      <c r="I970" s="66">
        <v>0</v>
      </c>
      <c r="J970" s="12">
        <v>1</v>
      </c>
      <c r="K970" s="12">
        <v>2</v>
      </c>
      <c r="L970" s="60">
        <v>0</v>
      </c>
      <c r="M970" s="60">
        <v>0</v>
      </c>
      <c r="N970" s="60">
        <v>0</v>
      </c>
      <c r="O970" s="60">
        <v>1</v>
      </c>
      <c r="P970" s="60">
        <v>0</v>
      </c>
      <c r="Q970" s="60">
        <v>1</v>
      </c>
      <c r="R970" s="60">
        <v>0</v>
      </c>
      <c r="S970" s="68">
        <v>0</v>
      </c>
      <c r="T970" s="60">
        <v>0</v>
      </c>
      <c r="U970" s="60">
        <v>1</v>
      </c>
      <c r="V970" s="60">
        <v>2</v>
      </c>
      <c r="W970" s="60">
        <v>0</v>
      </c>
      <c r="X970" s="60">
        <v>2.2000000000000002</v>
      </c>
      <c r="Y970" s="12">
        <v>0</v>
      </c>
      <c r="Z970" s="60">
        <v>1500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5"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将手中的武器幻化成魔法,对指定前方区域内的目标造成220%攻击伤害+1500点固定伤害,并附带魔法印记,其状态每秒会对目标造成30%伤害,持续6秒.此印记可以叠加</v>
      </c>
      <c r="BF970" s="183" t="s">
        <v>2179</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1" customFormat="1" ht="19.5" customHeight="1">
      <c r="A971" s="215"/>
      <c r="B971" s="215"/>
      <c r="C971" s="64">
        <v>64011104</v>
      </c>
      <c r="D971" s="59" t="s">
        <v>1422</v>
      </c>
      <c r="E971" s="59" t="s">
        <v>2175</v>
      </c>
      <c r="F971" s="172">
        <v>3</v>
      </c>
      <c r="G971" s="64">
        <v>64011101</v>
      </c>
      <c r="H971" s="60">
        <v>0</v>
      </c>
      <c r="I971" s="66">
        <v>0</v>
      </c>
      <c r="J971" s="12">
        <v>1</v>
      </c>
      <c r="K971" s="12">
        <v>0</v>
      </c>
      <c r="L971" s="60">
        <v>0</v>
      </c>
      <c r="M971" s="60">
        <v>0</v>
      </c>
      <c r="N971" s="60">
        <v>0</v>
      </c>
      <c r="O971" s="60">
        <v>1</v>
      </c>
      <c r="P971" s="60">
        <v>0</v>
      </c>
      <c r="Q971" s="60">
        <v>1</v>
      </c>
      <c r="R971" s="60">
        <v>0</v>
      </c>
      <c r="S971" s="68">
        <v>0</v>
      </c>
      <c r="T971" s="60">
        <v>0</v>
      </c>
      <c r="U971" s="60">
        <v>1</v>
      </c>
      <c r="V971" s="60">
        <v>2</v>
      </c>
      <c r="W971" s="60">
        <v>0</v>
      </c>
      <c r="X971" s="60">
        <v>2.4</v>
      </c>
      <c r="Y971" s="12">
        <v>0</v>
      </c>
      <c r="Z971" s="60">
        <v>2250</v>
      </c>
      <c r="AA971" s="60">
        <v>0</v>
      </c>
      <c r="AB971" s="60">
        <v>0</v>
      </c>
      <c r="AC971" s="60">
        <v>0</v>
      </c>
      <c r="AD971" s="60">
        <v>0</v>
      </c>
      <c r="AE971" s="60">
        <v>0</v>
      </c>
      <c r="AF971" s="60">
        <v>7</v>
      </c>
      <c r="AG971" s="60">
        <v>2</v>
      </c>
      <c r="AH971" s="79" t="s">
        <v>1968</v>
      </c>
      <c r="AI971" s="68">
        <v>0</v>
      </c>
      <c r="AJ971" s="68">
        <v>3</v>
      </c>
      <c r="AK971" s="68">
        <v>0</v>
      </c>
      <c r="AL971" s="68">
        <v>2</v>
      </c>
      <c r="AM971" s="60">
        <v>0</v>
      </c>
      <c r="AN971" s="60">
        <v>0</v>
      </c>
      <c r="AO971" s="60">
        <v>0</v>
      </c>
      <c r="AP971" s="60">
        <v>0.2</v>
      </c>
      <c r="AQ971" s="60">
        <v>1000</v>
      </c>
      <c r="AR971" s="60">
        <v>0.2</v>
      </c>
      <c r="AS971" s="60">
        <v>15</v>
      </c>
      <c r="AT971" s="68">
        <v>0</v>
      </c>
      <c r="AU971" s="60"/>
      <c r="AV971" s="355" t="s">
        <v>2176</v>
      </c>
      <c r="AW971" s="19" t="s">
        <v>199</v>
      </c>
      <c r="AX971" s="60" t="s">
        <v>534</v>
      </c>
      <c r="AY971" s="64">
        <v>10000001</v>
      </c>
      <c r="AZ971" s="64">
        <v>21300010</v>
      </c>
      <c r="BA971" s="59" t="s">
        <v>586</v>
      </c>
      <c r="BB971" s="60" t="s">
        <v>2177</v>
      </c>
      <c r="BC971" s="68">
        <v>0</v>
      </c>
      <c r="BD971" s="68">
        <v>0</v>
      </c>
      <c r="BE971" s="183" t="str">
        <f t="shared" si="111"/>
        <v>将手中的武器幻化成魔法,对指定前方区域内的目标造成240%攻击伤害+2250点固定伤害,并附带魔法印记,其状态每秒会对目标造成30%伤害,持续6秒.此印记可以叠加</v>
      </c>
      <c r="BF971" s="183" t="s">
        <v>2180</v>
      </c>
      <c r="BG971" s="60">
        <v>0</v>
      </c>
      <c r="BH971" s="60">
        <v>0</v>
      </c>
      <c r="BI971" s="60">
        <v>0</v>
      </c>
      <c r="BJ971" s="60">
        <v>0</v>
      </c>
      <c r="BK971" s="60">
        <v>0</v>
      </c>
      <c r="BL971" s="60">
        <v>0</v>
      </c>
      <c r="BM971" s="93">
        <v>0</v>
      </c>
      <c r="BN971" s="68">
        <v>0</v>
      </c>
      <c r="BO971" s="68">
        <v>0</v>
      </c>
      <c r="BP971" s="68">
        <v>0</v>
      </c>
      <c r="BQ971" s="68">
        <v>0</v>
      </c>
      <c r="BR971" s="68">
        <v>0</v>
      </c>
      <c r="BS971" s="68">
        <v>0</v>
      </c>
      <c r="BT971" s="68">
        <v>0</v>
      </c>
      <c r="BU971" s="68">
        <v>0</v>
      </c>
      <c r="BV971" s="47"/>
      <c r="BW971" s="47"/>
    </row>
    <row r="972" spans="1:75" s="1" customFormat="1" ht="19.5" customHeight="1">
      <c r="A972" s="215"/>
      <c r="B972" s="215"/>
      <c r="C972" s="64">
        <v>64011105</v>
      </c>
      <c r="D972" s="59" t="s">
        <v>1422</v>
      </c>
      <c r="E972" s="59" t="s">
        <v>2175</v>
      </c>
      <c r="F972" s="172">
        <v>4</v>
      </c>
      <c r="G972" s="64">
        <v>64011101</v>
      </c>
      <c r="H972" s="60">
        <v>0</v>
      </c>
      <c r="I972" s="66">
        <v>0</v>
      </c>
      <c r="J972" s="12">
        <v>1</v>
      </c>
      <c r="K972" s="12">
        <v>0</v>
      </c>
      <c r="L972" s="60">
        <v>0</v>
      </c>
      <c r="M972" s="60">
        <v>0</v>
      </c>
      <c r="N972" s="60">
        <v>0</v>
      </c>
      <c r="O972" s="60">
        <v>1</v>
      </c>
      <c r="P972" s="60">
        <v>0</v>
      </c>
      <c r="Q972" s="60">
        <v>1</v>
      </c>
      <c r="R972" s="60">
        <v>0</v>
      </c>
      <c r="S972" s="68">
        <v>0</v>
      </c>
      <c r="T972" s="60">
        <v>0</v>
      </c>
      <c r="U972" s="60">
        <v>1</v>
      </c>
      <c r="V972" s="60">
        <v>2</v>
      </c>
      <c r="W972" s="60">
        <v>0</v>
      </c>
      <c r="X972" s="60">
        <v>2.6</v>
      </c>
      <c r="Y972" s="12">
        <v>0</v>
      </c>
      <c r="Z972" s="60">
        <v>3250</v>
      </c>
      <c r="AA972" s="60">
        <v>0</v>
      </c>
      <c r="AB972" s="60">
        <v>0</v>
      </c>
      <c r="AC972" s="60">
        <v>0</v>
      </c>
      <c r="AD972" s="60">
        <v>0</v>
      </c>
      <c r="AE972" s="60">
        <v>0</v>
      </c>
      <c r="AF972" s="60">
        <v>7</v>
      </c>
      <c r="AG972" s="60">
        <v>2</v>
      </c>
      <c r="AH972" s="79" t="s">
        <v>1968</v>
      </c>
      <c r="AI972" s="68">
        <v>0</v>
      </c>
      <c r="AJ972" s="68">
        <v>3</v>
      </c>
      <c r="AK972" s="68">
        <v>0</v>
      </c>
      <c r="AL972" s="68">
        <v>2</v>
      </c>
      <c r="AM972" s="60">
        <v>0</v>
      </c>
      <c r="AN972" s="60">
        <v>0</v>
      </c>
      <c r="AO972" s="60">
        <v>0</v>
      </c>
      <c r="AP972" s="60">
        <v>0.2</v>
      </c>
      <c r="AQ972" s="60">
        <v>1000</v>
      </c>
      <c r="AR972" s="60">
        <v>0.2</v>
      </c>
      <c r="AS972" s="60">
        <v>15</v>
      </c>
      <c r="AT972" s="68">
        <v>0</v>
      </c>
      <c r="AU972" s="60"/>
      <c r="AV972" s="355" t="s">
        <v>2176</v>
      </c>
      <c r="AW972" s="19" t="s">
        <v>199</v>
      </c>
      <c r="AX972" s="60" t="s">
        <v>534</v>
      </c>
      <c r="AY972" s="64">
        <v>10000001</v>
      </c>
      <c r="AZ972" s="64">
        <v>21300010</v>
      </c>
      <c r="BA972" s="59" t="s">
        <v>586</v>
      </c>
      <c r="BB972" s="60" t="s">
        <v>2177</v>
      </c>
      <c r="BC972" s="68">
        <v>0</v>
      </c>
      <c r="BD972" s="68">
        <v>0</v>
      </c>
      <c r="BE972" s="183" t="str">
        <f t="shared" si="111"/>
        <v>将手中的武器幻化成魔法,对指定前方区域内的目标造成260%攻击伤害+3250点固定伤害,并附带魔法印记,其状态每秒会对目标造成30%伤害,持续6秒.此印记可以叠加</v>
      </c>
      <c r="BF972" s="183" t="s">
        <v>2181</v>
      </c>
      <c r="BG972" s="60">
        <v>0</v>
      </c>
      <c r="BH972" s="60">
        <v>0</v>
      </c>
      <c r="BI972" s="60">
        <v>0</v>
      </c>
      <c r="BJ972" s="60">
        <v>0</v>
      </c>
      <c r="BK972" s="60">
        <v>0</v>
      </c>
      <c r="BL972" s="60">
        <v>0</v>
      </c>
      <c r="BM972" s="93">
        <v>0</v>
      </c>
      <c r="BN972" s="68">
        <v>0</v>
      </c>
      <c r="BO972" s="68">
        <v>0</v>
      </c>
      <c r="BP972" s="68">
        <v>0</v>
      </c>
      <c r="BQ972" s="68">
        <v>0</v>
      </c>
      <c r="BR972" s="68">
        <v>0</v>
      </c>
      <c r="BS972" s="68">
        <v>0</v>
      </c>
      <c r="BT972" s="68">
        <v>0</v>
      </c>
      <c r="BU972" s="68">
        <v>0</v>
      </c>
      <c r="BV972" s="47"/>
      <c r="BW972" s="47"/>
    </row>
    <row r="973" spans="1:75" s="1" customFormat="1" ht="19.5" customHeight="1">
      <c r="A973" s="215"/>
      <c r="B973" s="215"/>
      <c r="C973" s="64">
        <v>64011106</v>
      </c>
      <c r="D973" s="59" t="s">
        <v>1422</v>
      </c>
      <c r="E973" s="59" t="s">
        <v>2175</v>
      </c>
      <c r="F973" s="172">
        <v>5</v>
      </c>
      <c r="G973" s="64">
        <v>64011101</v>
      </c>
      <c r="H973" s="60">
        <v>0</v>
      </c>
      <c r="I973" s="66">
        <v>0</v>
      </c>
      <c r="J973" s="12">
        <v>1</v>
      </c>
      <c r="K973" s="12">
        <v>0</v>
      </c>
      <c r="L973" s="60">
        <v>0</v>
      </c>
      <c r="M973" s="60">
        <v>0</v>
      </c>
      <c r="N973" s="60">
        <v>0</v>
      </c>
      <c r="O973" s="60">
        <v>1</v>
      </c>
      <c r="P973" s="60">
        <v>0</v>
      </c>
      <c r="Q973" s="60">
        <v>1</v>
      </c>
      <c r="R973" s="60">
        <v>0</v>
      </c>
      <c r="S973" s="68">
        <v>0</v>
      </c>
      <c r="T973" s="60">
        <v>0</v>
      </c>
      <c r="U973" s="60">
        <v>1</v>
      </c>
      <c r="V973" s="60">
        <v>2</v>
      </c>
      <c r="W973" s="60">
        <v>0</v>
      </c>
      <c r="X973" s="60">
        <v>2.8</v>
      </c>
      <c r="Y973" s="12">
        <v>0</v>
      </c>
      <c r="Z973" s="60">
        <v>4250</v>
      </c>
      <c r="AA973" s="60">
        <v>0</v>
      </c>
      <c r="AB973" s="60">
        <v>0</v>
      </c>
      <c r="AC973" s="60">
        <v>0</v>
      </c>
      <c r="AD973" s="60">
        <v>0</v>
      </c>
      <c r="AE973" s="60">
        <v>0</v>
      </c>
      <c r="AF973" s="60">
        <v>7</v>
      </c>
      <c r="AG973" s="60">
        <v>2</v>
      </c>
      <c r="AH973" s="79" t="s">
        <v>1968</v>
      </c>
      <c r="AI973" s="68">
        <v>0</v>
      </c>
      <c r="AJ973" s="68">
        <v>3</v>
      </c>
      <c r="AK973" s="68">
        <v>0</v>
      </c>
      <c r="AL973" s="68">
        <v>2</v>
      </c>
      <c r="AM973" s="60">
        <v>0</v>
      </c>
      <c r="AN973" s="60">
        <v>0</v>
      </c>
      <c r="AO973" s="60">
        <v>0</v>
      </c>
      <c r="AP973" s="60">
        <v>0.2</v>
      </c>
      <c r="AQ973" s="60">
        <v>1000</v>
      </c>
      <c r="AR973" s="60">
        <v>0.2</v>
      </c>
      <c r="AS973" s="60">
        <v>15</v>
      </c>
      <c r="AT973" s="68">
        <v>0</v>
      </c>
      <c r="AU973" s="60"/>
      <c r="AV973" s="355" t="s">
        <v>2176</v>
      </c>
      <c r="AW973" s="19" t="s">
        <v>199</v>
      </c>
      <c r="AX973" s="60" t="s">
        <v>534</v>
      </c>
      <c r="AY973" s="64">
        <v>10000001</v>
      </c>
      <c r="AZ973" s="64">
        <v>21300010</v>
      </c>
      <c r="BA973" s="59" t="s">
        <v>586</v>
      </c>
      <c r="BB973" s="60" t="s">
        <v>2177</v>
      </c>
      <c r="BC973" s="68">
        <v>0</v>
      </c>
      <c r="BD973" s="68">
        <v>0</v>
      </c>
      <c r="BE973" s="183" t="str">
        <f t="shared" si="111"/>
        <v>将手中的武器幻化成魔法,对指定前方区域内的目标造成280%攻击伤害+4250点固定伤害,并附带魔法印记,其状态每秒会对目标造成30%伤害,持续6秒.此印记可以叠加</v>
      </c>
      <c r="BF973" s="183" t="s">
        <v>2182</v>
      </c>
      <c r="BG973" s="60">
        <v>0</v>
      </c>
      <c r="BH973" s="60">
        <v>0</v>
      </c>
      <c r="BI973" s="60">
        <v>0</v>
      </c>
      <c r="BJ973" s="60">
        <v>0</v>
      </c>
      <c r="BK973" s="60">
        <v>0</v>
      </c>
      <c r="BL973" s="60">
        <v>0</v>
      </c>
      <c r="BM973" s="93">
        <v>0</v>
      </c>
      <c r="BN973" s="68">
        <v>0</v>
      </c>
      <c r="BO973" s="68">
        <v>0</v>
      </c>
      <c r="BP973" s="68">
        <v>0</v>
      </c>
      <c r="BQ973" s="68">
        <v>0</v>
      </c>
      <c r="BR973" s="68">
        <v>0</v>
      </c>
      <c r="BS973" s="68">
        <v>0</v>
      </c>
      <c r="BT973" s="68">
        <v>0</v>
      </c>
      <c r="BU973" s="68">
        <v>0</v>
      </c>
      <c r="BV973" s="47"/>
      <c r="BW973" s="47"/>
    </row>
    <row r="974" spans="1:75" s="2" customFormat="1" ht="19.5" customHeight="1">
      <c r="A974" s="216"/>
      <c r="B974" s="216"/>
      <c r="C974" s="100">
        <v>64011201</v>
      </c>
      <c r="D974" s="99" t="s">
        <v>1429</v>
      </c>
      <c r="E974" s="99" t="s">
        <v>1430</v>
      </c>
      <c r="F974" s="172">
        <v>0</v>
      </c>
      <c r="G974" s="100">
        <v>64011201</v>
      </c>
      <c r="H974" s="100">
        <v>64011202</v>
      </c>
      <c r="I974" s="105">
        <v>0</v>
      </c>
      <c r="J974" s="16">
        <v>3</v>
      </c>
      <c r="K974" s="16">
        <v>5</v>
      </c>
      <c r="L974" s="100">
        <v>0</v>
      </c>
      <c r="M974" s="101">
        <v>0</v>
      </c>
      <c r="N974" s="101">
        <v>0</v>
      </c>
      <c r="O974" s="101">
        <v>1</v>
      </c>
      <c r="P974" s="101">
        <v>0</v>
      </c>
      <c r="Q974" s="101">
        <v>0</v>
      </c>
      <c r="R974" s="101">
        <v>0</v>
      </c>
      <c r="S974" s="106">
        <v>0</v>
      </c>
      <c r="T974" s="101">
        <v>0</v>
      </c>
      <c r="U974" s="101">
        <v>1</v>
      </c>
      <c r="V974" s="101">
        <v>2</v>
      </c>
      <c r="W974" s="101">
        <v>0</v>
      </c>
      <c r="X974" s="60">
        <v>2</v>
      </c>
      <c r="Y974" s="12">
        <v>0</v>
      </c>
      <c r="Z974" s="60">
        <v>750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9" t="s">
        <v>2183</v>
      </c>
      <c r="AV974" s="114"/>
      <c r="AW974" s="19" t="s">
        <v>199</v>
      </c>
      <c r="AX974" s="101" t="s">
        <v>545</v>
      </c>
      <c r="AY974" s="100">
        <v>10000001</v>
      </c>
      <c r="AZ974" s="64">
        <v>21300020</v>
      </c>
      <c r="BA974" s="19" t="s">
        <v>200</v>
      </c>
      <c r="BB974" s="101">
        <v>0</v>
      </c>
      <c r="BC974" s="105">
        <v>0</v>
      </c>
      <c r="BD974" s="105">
        <v>0</v>
      </c>
      <c r="BE974" s="183" t="str">
        <f>"运用自己擅长的魔法,立即对附近区域内的目标造成"&amp;X974*100&amp;"%攻击伤害+"&amp;Z974&amp;"点固定伤害,并使其眩晕1秒.如果目标有魔法印记状态则对目标额外造成30%*层数的伤害"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4" s="183" t="s">
        <v>2184</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5" t="s">
        <v>2185</v>
      </c>
      <c r="BV974" s="47"/>
      <c r="BW974" s="47"/>
    </row>
    <row r="975" spans="1:75" s="2" customFormat="1" ht="19.5" customHeight="1">
      <c r="A975" s="216"/>
      <c r="B975" s="216"/>
      <c r="C975" s="100">
        <v>64011202</v>
      </c>
      <c r="D975" s="99" t="s">
        <v>1429</v>
      </c>
      <c r="E975" s="99" t="s">
        <v>1430</v>
      </c>
      <c r="F975" s="172">
        <v>1</v>
      </c>
      <c r="G975" s="100">
        <v>64011201</v>
      </c>
      <c r="H975" s="100">
        <v>64011203</v>
      </c>
      <c r="I975" s="105">
        <v>0</v>
      </c>
      <c r="J975" s="16">
        <v>3</v>
      </c>
      <c r="K975" s="16">
        <v>2</v>
      </c>
      <c r="L975" s="100">
        <v>0</v>
      </c>
      <c r="M975" s="101">
        <v>0</v>
      </c>
      <c r="N975" s="101">
        <v>0</v>
      </c>
      <c r="O975" s="101">
        <v>1</v>
      </c>
      <c r="P975" s="101">
        <v>0</v>
      </c>
      <c r="Q975" s="101">
        <v>0</v>
      </c>
      <c r="R975" s="101">
        <v>0</v>
      </c>
      <c r="S975" s="106">
        <v>0</v>
      </c>
      <c r="T975" s="101">
        <v>0</v>
      </c>
      <c r="U975" s="101">
        <v>1</v>
      </c>
      <c r="V975" s="101">
        <v>2</v>
      </c>
      <c r="W975" s="101">
        <v>0</v>
      </c>
      <c r="X975" s="60">
        <v>2</v>
      </c>
      <c r="Y975" s="12">
        <v>0</v>
      </c>
      <c r="Z975" s="60">
        <v>750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9" t="s">
        <v>2183</v>
      </c>
      <c r="AV975" s="114"/>
      <c r="AW975" s="19" t="s">
        <v>199</v>
      </c>
      <c r="AX975" s="101" t="s">
        <v>545</v>
      </c>
      <c r="AY975" s="100">
        <v>10000001</v>
      </c>
      <c r="AZ975" s="64">
        <v>21300020</v>
      </c>
      <c r="BA975" s="19" t="s">
        <v>200</v>
      </c>
      <c r="BB975" s="101">
        <v>0</v>
      </c>
      <c r="BC975" s="105">
        <v>0</v>
      </c>
      <c r="BD975" s="105">
        <v>0</v>
      </c>
      <c r="BE975" s="183" t="str">
        <f t="shared" ref="BE975:BE979" si="112">"运用自己擅长的魔法,立即对附近区域内的目标造成"&amp;X975*100&amp;"%攻击伤害+"&amp;Z975&amp;"点固定伤害,并使其眩晕1秒.如果目标有魔法印记状态则对目标额外造成30%*层数的伤害"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5" s="183" t="s">
        <v>2184</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5" t="s">
        <v>2185</v>
      </c>
      <c r="BV975" s="47"/>
      <c r="BW975" s="47"/>
    </row>
    <row r="976" spans="1:75" s="2" customFormat="1" ht="19.5" customHeight="1">
      <c r="A976" s="216"/>
      <c r="B976" s="216"/>
      <c r="C976" s="100">
        <v>64011203</v>
      </c>
      <c r="D976" s="99" t="s">
        <v>1429</v>
      </c>
      <c r="E976" s="99" t="s">
        <v>1430</v>
      </c>
      <c r="F976" s="172">
        <v>2</v>
      </c>
      <c r="G976" s="100">
        <v>64011201</v>
      </c>
      <c r="H976" s="100">
        <v>64011204</v>
      </c>
      <c r="I976" s="105">
        <v>0</v>
      </c>
      <c r="J976" s="16">
        <v>3</v>
      </c>
      <c r="K976" s="16">
        <v>2</v>
      </c>
      <c r="L976" s="100">
        <v>0</v>
      </c>
      <c r="M976" s="101">
        <v>0</v>
      </c>
      <c r="N976" s="101">
        <v>0</v>
      </c>
      <c r="O976" s="101">
        <v>1</v>
      </c>
      <c r="P976" s="101">
        <v>0</v>
      </c>
      <c r="Q976" s="101">
        <v>0</v>
      </c>
      <c r="R976" s="101">
        <v>0</v>
      </c>
      <c r="S976" s="106">
        <v>0</v>
      </c>
      <c r="T976" s="101">
        <v>0</v>
      </c>
      <c r="U976" s="101">
        <v>1</v>
      </c>
      <c r="V976" s="101">
        <v>2</v>
      </c>
      <c r="W976" s="101">
        <v>0</v>
      </c>
      <c r="X976" s="60">
        <v>2.25</v>
      </c>
      <c r="Y976" s="12">
        <v>0</v>
      </c>
      <c r="Z976" s="60">
        <v>1500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9"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运用自己擅长的魔法,立即对附近区域内的目标造成225%攻击伤害+1500点固定伤害,并使其眩晕1秒.如果目标有魔法印记状态则对目标额外造成30%*层数的伤害</v>
      </c>
      <c r="BF976" s="183" t="s">
        <v>2186</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5" t="s">
        <v>2185</v>
      </c>
      <c r="BV976" s="47"/>
      <c r="BW976" s="47"/>
    </row>
    <row r="977" spans="1:75" s="2" customFormat="1" ht="19.5" customHeight="1">
      <c r="A977" s="216"/>
      <c r="B977" s="216"/>
      <c r="C977" s="100">
        <v>64011204</v>
      </c>
      <c r="D977" s="99" t="s">
        <v>1429</v>
      </c>
      <c r="E977" s="99" t="s">
        <v>1430</v>
      </c>
      <c r="F977" s="172">
        <v>3</v>
      </c>
      <c r="G977" s="100">
        <v>64011201</v>
      </c>
      <c r="H977" s="100">
        <v>0</v>
      </c>
      <c r="I977" s="105">
        <v>0</v>
      </c>
      <c r="J977" s="16">
        <v>3</v>
      </c>
      <c r="K977" s="16">
        <v>0</v>
      </c>
      <c r="L977" s="100">
        <v>0</v>
      </c>
      <c r="M977" s="101">
        <v>0</v>
      </c>
      <c r="N977" s="101">
        <v>0</v>
      </c>
      <c r="O977" s="101">
        <v>1</v>
      </c>
      <c r="P977" s="101">
        <v>0</v>
      </c>
      <c r="Q977" s="101">
        <v>0</v>
      </c>
      <c r="R977" s="101">
        <v>0</v>
      </c>
      <c r="S977" s="106">
        <v>0</v>
      </c>
      <c r="T977" s="101">
        <v>0</v>
      </c>
      <c r="U977" s="101">
        <v>1</v>
      </c>
      <c r="V977" s="101">
        <v>2</v>
      </c>
      <c r="W977" s="101">
        <v>0</v>
      </c>
      <c r="X977" s="60">
        <v>2.5</v>
      </c>
      <c r="Y977" s="12">
        <v>0</v>
      </c>
      <c r="Z977" s="60">
        <v>2250</v>
      </c>
      <c r="AA977" s="101">
        <v>0</v>
      </c>
      <c r="AB977" s="101">
        <v>0</v>
      </c>
      <c r="AC977" s="101">
        <v>0</v>
      </c>
      <c r="AD977" s="101">
        <v>0</v>
      </c>
      <c r="AE977" s="101">
        <v>0</v>
      </c>
      <c r="AF977" s="101">
        <v>9</v>
      </c>
      <c r="AG977" s="18">
        <v>1</v>
      </c>
      <c r="AH977" s="18">
        <v>3.5</v>
      </c>
      <c r="AI977" s="12">
        <v>0</v>
      </c>
      <c r="AJ977" s="12">
        <v>0</v>
      </c>
      <c r="AK977" s="12">
        <v>0</v>
      </c>
      <c r="AL977" s="12">
        <v>4</v>
      </c>
      <c r="AM977" s="101">
        <v>0</v>
      </c>
      <c r="AN977" s="101">
        <v>0</v>
      </c>
      <c r="AO977" s="101">
        <v>0</v>
      </c>
      <c r="AP977" s="18">
        <v>0.25</v>
      </c>
      <c r="AQ977" s="101">
        <v>1000</v>
      </c>
      <c r="AR977" s="101">
        <v>0.2</v>
      </c>
      <c r="AS977" s="18">
        <v>0</v>
      </c>
      <c r="AT977" s="106">
        <v>0</v>
      </c>
      <c r="AU977" s="339" t="s">
        <v>2183</v>
      </c>
      <c r="AV977" s="114"/>
      <c r="AW977" s="19" t="s">
        <v>199</v>
      </c>
      <c r="AX977" s="101" t="s">
        <v>545</v>
      </c>
      <c r="AY977" s="100">
        <v>10000001</v>
      </c>
      <c r="AZ977" s="64">
        <v>21300020</v>
      </c>
      <c r="BA977" s="19" t="s">
        <v>200</v>
      </c>
      <c r="BB977" s="101">
        <v>0</v>
      </c>
      <c r="BC977" s="105">
        <v>0</v>
      </c>
      <c r="BD977" s="105">
        <v>0</v>
      </c>
      <c r="BE977" s="183" t="str">
        <f t="shared" si="112"/>
        <v>运用自己擅长的魔法,立即对附近区域内的目标造成250%攻击伤害+2250点固定伤害,并使其眩晕1秒.如果目标有魔法印记状态则对目标额外造成30%*层数的伤害</v>
      </c>
      <c r="BF977" s="183" t="s">
        <v>2187</v>
      </c>
      <c r="BG977" s="101">
        <v>0</v>
      </c>
      <c r="BH977" s="101">
        <v>0</v>
      </c>
      <c r="BI977" s="101">
        <v>0</v>
      </c>
      <c r="BJ977" s="101">
        <v>0</v>
      </c>
      <c r="BK977" s="101">
        <v>0</v>
      </c>
      <c r="BL977" s="101">
        <v>0</v>
      </c>
      <c r="BM977" s="97">
        <v>0</v>
      </c>
      <c r="BN977" s="106">
        <v>0</v>
      </c>
      <c r="BO977" s="106">
        <v>0</v>
      </c>
      <c r="BP977" s="106">
        <v>0</v>
      </c>
      <c r="BQ977" s="106">
        <v>0</v>
      </c>
      <c r="BR977" s="106">
        <v>0</v>
      </c>
      <c r="BS977" s="106">
        <v>0</v>
      </c>
      <c r="BT977" s="106">
        <v>0</v>
      </c>
      <c r="BU977" s="335" t="s">
        <v>2185</v>
      </c>
      <c r="BV977" s="47"/>
      <c r="BW977" s="47"/>
    </row>
    <row r="978" spans="1:75" s="2" customFormat="1" ht="19.5" customHeight="1">
      <c r="A978" s="216"/>
      <c r="B978" s="216"/>
      <c r="C978" s="100">
        <v>64011205</v>
      </c>
      <c r="D978" s="99" t="s">
        <v>1429</v>
      </c>
      <c r="E978" s="99" t="s">
        <v>1430</v>
      </c>
      <c r="F978" s="172">
        <v>4</v>
      </c>
      <c r="G978" s="100">
        <v>64011201</v>
      </c>
      <c r="H978" s="100">
        <v>0</v>
      </c>
      <c r="I978" s="105">
        <v>0</v>
      </c>
      <c r="J978" s="16">
        <v>3</v>
      </c>
      <c r="K978" s="16">
        <v>0</v>
      </c>
      <c r="L978" s="100">
        <v>0</v>
      </c>
      <c r="M978" s="101">
        <v>0</v>
      </c>
      <c r="N978" s="101">
        <v>0</v>
      </c>
      <c r="O978" s="101">
        <v>1</v>
      </c>
      <c r="P978" s="101">
        <v>0</v>
      </c>
      <c r="Q978" s="101">
        <v>0</v>
      </c>
      <c r="R978" s="101">
        <v>0</v>
      </c>
      <c r="S978" s="106">
        <v>0</v>
      </c>
      <c r="T978" s="101">
        <v>0</v>
      </c>
      <c r="U978" s="101">
        <v>1</v>
      </c>
      <c r="V978" s="101">
        <v>2</v>
      </c>
      <c r="W978" s="101">
        <v>0</v>
      </c>
      <c r="X978" s="60">
        <v>2.75</v>
      </c>
      <c r="Y978" s="12">
        <v>0</v>
      </c>
      <c r="Z978" s="60">
        <v>3250</v>
      </c>
      <c r="AA978" s="101">
        <v>0</v>
      </c>
      <c r="AB978" s="101">
        <v>0</v>
      </c>
      <c r="AC978" s="101">
        <v>0</v>
      </c>
      <c r="AD978" s="101">
        <v>0</v>
      </c>
      <c r="AE978" s="101">
        <v>0</v>
      </c>
      <c r="AF978" s="101">
        <v>9</v>
      </c>
      <c r="AG978" s="18">
        <v>1</v>
      </c>
      <c r="AH978" s="18">
        <v>3.5</v>
      </c>
      <c r="AI978" s="12">
        <v>0</v>
      </c>
      <c r="AJ978" s="12">
        <v>0</v>
      </c>
      <c r="AK978" s="12">
        <v>0</v>
      </c>
      <c r="AL978" s="12">
        <v>4</v>
      </c>
      <c r="AM978" s="101">
        <v>0</v>
      </c>
      <c r="AN978" s="101">
        <v>0</v>
      </c>
      <c r="AO978" s="101">
        <v>0</v>
      </c>
      <c r="AP978" s="18">
        <v>0.25</v>
      </c>
      <c r="AQ978" s="101">
        <v>1000</v>
      </c>
      <c r="AR978" s="101">
        <v>0.2</v>
      </c>
      <c r="AS978" s="18">
        <v>0</v>
      </c>
      <c r="AT978" s="106">
        <v>0</v>
      </c>
      <c r="AU978" s="339" t="s">
        <v>2183</v>
      </c>
      <c r="AV978" s="114"/>
      <c r="AW978" s="19" t="s">
        <v>199</v>
      </c>
      <c r="AX978" s="101" t="s">
        <v>545</v>
      </c>
      <c r="AY978" s="100">
        <v>10000001</v>
      </c>
      <c r="AZ978" s="64">
        <v>21300020</v>
      </c>
      <c r="BA978" s="19" t="s">
        <v>200</v>
      </c>
      <c r="BB978" s="101">
        <v>0</v>
      </c>
      <c r="BC978" s="105">
        <v>0</v>
      </c>
      <c r="BD978" s="105">
        <v>0</v>
      </c>
      <c r="BE978" s="183" t="str">
        <f t="shared" si="112"/>
        <v>运用自己擅长的魔法,立即对附近区域内的目标造成275%攻击伤害+3250点固定伤害,并使其眩晕1秒.如果目标有魔法印记状态则对目标额外造成30%*层数的伤害</v>
      </c>
      <c r="BF978" s="183" t="s">
        <v>2188</v>
      </c>
      <c r="BG978" s="101">
        <v>0</v>
      </c>
      <c r="BH978" s="101">
        <v>0</v>
      </c>
      <c r="BI978" s="101">
        <v>0</v>
      </c>
      <c r="BJ978" s="101">
        <v>0</v>
      </c>
      <c r="BK978" s="101">
        <v>0</v>
      </c>
      <c r="BL978" s="101">
        <v>0</v>
      </c>
      <c r="BM978" s="97">
        <v>0</v>
      </c>
      <c r="BN978" s="106">
        <v>0</v>
      </c>
      <c r="BO978" s="106">
        <v>0</v>
      </c>
      <c r="BP978" s="106">
        <v>0</v>
      </c>
      <c r="BQ978" s="106">
        <v>0</v>
      </c>
      <c r="BR978" s="106">
        <v>0</v>
      </c>
      <c r="BS978" s="106">
        <v>0</v>
      </c>
      <c r="BT978" s="106">
        <v>0</v>
      </c>
      <c r="BU978" s="335" t="s">
        <v>2185</v>
      </c>
      <c r="BV978" s="47"/>
      <c r="BW978" s="47"/>
    </row>
    <row r="979" spans="1:75" s="2" customFormat="1" ht="19.5" customHeight="1">
      <c r="A979" s="216"/>
      <c r="B979" s="216"/>
      <c r="C979" s="100">
        <v>64011206</v>
      </c>
      <c r="D979" s="99" t="s">
        <v>1429</v>
      </c>
      <c r="E979" s="99" t="s">
        <v>1430</v>
      </c>
      <c r="F979" s="172">
        <v>5</v>
      </c>
      <c r="G979" s="100">
        <v>64011201</v>
      </c>
      <c r="H979" s="100">
        <v>0</v>
      </c>
      <c r="I979" s="105">
        <v>0</v>
      </c>
      <c r="J979" s="16">
        <v>3</v>
      </c>
      <c r="K979" s="16">
        <v>0</v>
      </c>
      <c r="L979" s="100">
        <v>0</v>
      </c>
      <c r="M979" s="101">
        <v>0</v>
      </c>
      <c r="N979" s="101">
        <v>0</v>
      </c>
      <c r="O979" s="101">
        <v>1</v>
      </c>
      <c r="P979" s="101">
        <v>0</v>
      </c>
      <c r="Q979" s="101">
        <v>0</v>
      </c>
      <c r="R979" s="101">
        <v>0</v>
      </c>
      <c r="S979" s="106">
        <v>0</v>
      </c>
      <c r="T979" s="101">
        <v>0</v>
      </c>
      <c r="U979" s="101">
        <v>1</v>
      </c>
      <c r="V979" s="101">
        <v>2</v>
      </c>
      <c r="W979" s="101">
        <v>0</v>
      </c>
      <c r="X979" s="60">
        <v>3</v>
      </c>
      <c r="Y979" s="12">
        <v>0</v>
      </c>
      <c r="Z979" s="60">
        <v>4250</v>
      </c>
      <c r="AA979" s="101">
        <v>0</v>
      </c>
      <c r="AB979" s="101">
        <v>0</v>
      </c>
      <c r="AC979" s="101">
        <v>0</v>
      </c>
      <c r="AD979" s="101">
        <v>0</v>
      </c>
      <c r="AE979" s="101">
        <v>0</v>
      </c>
      <c r="AF979" s="101">
        <v>9</v>
      </c>
      <c r="AG979" s="18">
        <v>1</v>
      </c>
      <c r="AH979" s="18">
        <v>3.5</v>
      </c>
      <c r="AI979" s="12">
        <v>0</v>
      </c>
      <c r="AJ979" s="12">
        <v>0</v>
      </c>
      <c r="AK979" s="12">
        <v>0</v>
      </c>
      <c r="AL979" s="12">
        <v>4</v>
      </c>
      <c r="AM979" s="101">
        <v>0</v>
      </c>
      <c r="AN979" s="101">
        <v>0</v>
      </c>
      <c r="AO979" s="101">
        <v>0</v>
      </c>
      <c r="AP979" s="18">
        <v>0.25</v>
      </c>
      <c r="AQ979" s="101">
        <v>1000</v>
      </c>
      <c r="AR979" s="101">
        <v>0.2</v>
      </c>
      <c r="AS979" s="18">
        <v>0</v>
      </c>
      <c r="AT979" s="106">
        <v>0</v>
      </c>
      <c r="AU979" s="339" t="s">
        <v>2183</v>
      </c>
      <c r="AV979" s="114"/>
      <c r="AW979" s="19" t="s">
        <v>199</v>
      </c>
      <c r="AX979" s="101" t="s">
        <v>545</v>
      </c>
      <c r="AY979" s="100">
        <v>10000001</v>
      </c>
      <c r="AZ979" s="64">
        <v>21300020</v>
      </c>
      <c r="BA979" s="19" t="s">
        <v>200</v>
      </c>
      <c r="BB979" s="101">
        <v>0</v>
      </c>
      <c r="BC979" s="105">
        <v>0</v>
      </c>
      <c r="BD979" s="105">
        <v>0</v>
      </c>
      <c r="BE979" s="183" t="str">
        <f t="shared" si="112"/>
        <v>运用自己擅长的魔法,立即对附近区域内的目标造成300%攻击伤害+4250点固定伤害,并使其眩晕1秒.如果目标有魔法印记状态则对目标额外造成30%*层数的伤害</v>
      </c>
      <c r="BF979" s="183" t="s">
        <v>2189</v>
      </c>
      <c r="BG979" s="101">
        <v>0</v>
      </c>
      <c r="BH979" s="101">
        <v>0</v>
      </c>
      <c r="BI979" s="101">
        <v>0</v>
      </c>
      <c r="BJ979" s="101">
        <v>0</v>
      </c>
      <c r="BK979" s="101">
        <v>0</v>
      </c>
      <c r="BL979" s="101">
        <v>0</v>
      </c>
      <c r="BM979" s="97">
        <v>0</v>
      </c>
      <c r="BN979" s="106">
        <v>0</v>
      </c>
      <c r="BO979" s="106">
        <v>0</v>
      </c>
      <c r="BP979" s="106">
        <v>0</v>
      </c>
      <c r="BQ979" s="106">
        <v>0</v>
      </c>
      <c r="BR979" s="106">
        <v>0</v>
      </c>
      <c r="BS979" s="106">
        <v>0</v>
      </c>
      <c r="BT979" s="106">
        <v>0</v>
      </c>
      <c r="BU979" s="335" t="s">
        <v>2185</v>
      </c>
      <c r="BV979" s="47"/>
      <c r="BW979" s="47"/>
    </row>
    <row r="980" spans="1:75" s="1" customFormat="1" ht="19.5" customHeight="1">
      <c r="A980" s="215"/>
      <c r="B980" s="215"/>
      <c r="C980" s="64">
        <v>64011301</v>
      </c>
      <c r="D980" s="59" t="s">
        <v>2190</v>
      </c>
      <c r="E980" s="59" t="s">
        <v>2191</v>
      </c>
      <c r="F980" s="172">
        <v>0</v>
      </c>
      <c r="G980" s="64">
        <v>64011301</v>
      </c>
      <c r="H980" s="64">
        <v>64011302</v>
      </c>
      <c r="I980" s="66">
        <v>0</v>
      </c>
      <c r="J980" s="16">
        <v>5</v>
      </c>
      <c r="K980" s="16">
        <v>5</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5" t="s">
        <v>2192</v>
      </c>
      <c r="BC980" s="66">
        <v>0</v>
      </c>
      <c r="BD980" s="66">
        <v>0</v>
      </c>
      <c r="BE980" s="90" t="s">
        <v>2193</v>
      </c>
      <c r="BF980" s="90" t="s">
        <v>2194</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5"/>
      <c r="B981" s="215"/>
      <c r="C981" s="64">
        <v>64011302</v>
      </c>
      <c r="D981" s="59" t="s">
        <v>2190</v>
      </c>
      <c r="E981" s="59" t="s">
        <v>2191</v>
      </c>
      <c r="F981" s="172">
        <v>1</v>
      </c>
      <c r="G981" s="64">
        <v>64011301</v>
      </c>
      <c r="H981" s="64">
        <v>64011303</v>
      </c>
      <c r="I981" s="66">
        <v>0</v>
      </c>
      <c r="J981" s="16">
        <v>5</v>
      </c>
      <c r="K981" s="16">
        <v>2</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5" t="s">
        <v>2192</v>
      </c>
      <c r="BC981" s="66">
        <v>0</v>
      </c>
      <c r="BD981" s="66">
        <v>0</v>
      </c>
      <c r="BE981" s="90" t="s">
        <v>2193</v>
      </c>
      <c r="BF981" s="90" t="s">
        <v>2194</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5"/>
      <c r="B982" s="215"/>
      <c r="C982" s="64">
        <v>64011303</v>
      </c>
      <c r="D982" s="59" t="s">
        <v>2190</v>
      </c>
      <c r="E982" s="59" t="s">
        <v>2191</v>
      </c>
      <c r="F982" s="172">
        <v>2</v>
      </c>
      <c r="G982" s="64">
        <v>64011301</v>
      </c>
      <c r="H982" s="64">
        <v>64011304</v>
      </c>
      <c r="I982" s="66">
        <v>0</v>
      </c>
      <c r="J982" s="16">
        <v>5</v>
      </c>
      <c r="K982" s="16">
        <v>2</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5" t="s">
        <v>2195</v>
      </c>
      <c r="BC982" s="66">
        <v>0</v>
      </c>
      <c r="BD982" s="66">
        <v>0</v>
      </c>
      <c r="BE982" s="90" t="s">
        <v>2196</v>
      </c>
      <c r="BF982" s="90" t="s">
        <v>2197</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1" customFormat="1" ht="19.5" customHeight="1">
      <c r="A983" s="215"/>
      <c r="B983" s="215"/>
      <c r="C983" s="64">
        <v>64011304</v>
      </c>
      <c r="D983" s="59" t="s">
        <v>2190</v>
      </c>
      <c r="E983" s="59" t="s">
        <v>2191</v>
      </c>
      <c r="F983" s="172">
        <v>3</v>
      </c>
      <c r="G983" s="64">
        <v>64011301</v>
      </c>
      <c r="H983" s="64">
        <v>0</v>
      </c>
      <c r="I983" s="66">
        <v>0</v>
      </c>
      <c r="J983" s="16">
        <v>5</v>
      </c>
      <c r="K983" s="16">
        <v>0</v>
      </c>
      <c r="L983" s="64">
        <v>0</v>
      </c>
      <c r="M983" s="60">
        <v>0</v>
      </c>
      <c r="N983" s="60">
        <v>0</v>
      </c>
      <c r="O983" s="60">
        <v>1</v>
      </c>
      <c r="P983" s="60">
        <v>0</v>
      </c>
      <c r="Q983" s="60">
        <v>0</v>
      </c>
      <c r="R983" s="60">
        <v>0</v>
      </c>
      <c r="S983" s="68">
        <v>0</v>
      </c>
      <c r="T983" s="60">
        <v>0</v>
      </c>
      <c r="U983" s="60">
        <v>1</v>
      </c>
      <c r="V983" s="60">
        <v>1</v>
      </c>
      <c r="W983" s="60">
        <v>0</v>
      </c>
      <c r="X983" s="60">
        <v>0</v>
      </c>
      <c r="Y983" s="12">
        <v>0</v>
      </c>
      <c r="Z983" s="60">
        <v>0</v>
      </c>
      <c r="AA983" s="60">
        <v>0</v>
      </c>
      <c r="AB983" s="60">
        <v>0</v>
      </c>
      <c r="AC983" s="60">
        <v>0</v>
      </c>
      <c r="AD983" s="60">
        <v>0</v>
      </c>
      <c r="AE983" s="60">
        <v>0</v>
      </c>
      <c r="AF983" s="60">
        <v>24</v>
      </c>
      <c r="AG983" s="60">
        <v>0</v>
      </c>
      <c r="AH983" s="60">
        <v>0</v>
      </c>
      <c r="AI983" s="68">
        <v>0</v>
      </c>
      <c r="AJ983" s="68">
        <v>0</v>
      </c>
      <c r="AK983" s="68">
        <v>0</v>
      </c>
      <c r="AL983" s="68">
        <v>1.5</v>
      </c>
      <c r="AM983" s="60">
        <v>0</v>
      </c>
      <c r="AN983" s="60">
        <v>0</v>
      </c>
      <c r="AO983" s="60">
        <v>0</v>
      </c>
      <c r="AP983" s="64">
        <v>0.2</v>
      </c>
      <c r="AQ983" s="60">
        <v>3000</v>
      </c>
      <c r="AR983" s="60">
        <v>0.2</v>
      </c>
      <c r="AS983" s="60">
        <v>0</v>
      </c>
      <c r="AT983" s="68">
        <v>0</v>
      </c>
      <c r="AU983" s="60" t="s">
        <v>198</v>
      </c>
      <c r="AV983" s="60"/>
      <c r="AW983" s="19" t="s">
        <v>199</v>
      </c>
      <c r="AX983" s="60" t="s">
        <v>545</v>
      </c>
      <c r="AY983" s="64">
        <v>0</v>
      </c>
      <c r="AZ983" s="64">
        <v>21300030</v>
      </c>
      <c r="BA983" s="59" t="s">
        <v>1174</v>
      </c>
      <c r="BB983" s="355" t="s">
        <v>2198</v>
      </c>
      <c r="BC983" s="66">
        <v>0</v>
      </c>
      <c r="BD983" s="66">
        <v>0</v>
      </c>
      <c r="BE983" s="90" t="s">
        <v>2199</v>
      </c>
      <c r="BF983" s="90" t="s">
        <v>2200</v>
      </c>
      <c r="BG983" s="60">
        <v>0</v>
      </c>
      <c r="BH983" s="60">
        <v>0</v>
      </c>
      <c r="BI983" s="60">
        <v>0</v>
      </c>
      <c r="BJ983" s="60">
        <v>0</v>
      </c>
      <c r="BK983" s="60">
        <v>0</v>
      </c>
      <c r="BL983" s="60">
        <v>0</v>
      </c>
      <c r="BM983" s="93">
        <v>0</v>
      </c>
      <c r="BN983" s="68">
        <v>0</v>
      </c>
      <c r="BO983" s="68">
        <v>0</v>
      </c>
      <c r="BP983" s="68">
        <v>0</v>
      </c>
      <c r="BQ983" s="68">
        <v>0</v>
      </c>
      <c r="BR983" s="68">
        <v>0</v>
      </c>
      <c r="BS983" s="68">
        <v>0</v>
      </c>
      <c r="BT983" s="68">
        <v>0</v>
      </c>
      <c r="BU983" s="68">
        <v>0</v>
      </c>
      <c r="BV983" s="47"/>
      <c r="BW983" s="47"/>
    </row>
    <row r="984" spans="1:75" s="1" customFormat="1" ht="19.5" customHeight="1">
      <c r="A984" s="215"/>
      <c r="B984" s="215"/>
      <c r="C984" s="64">
        <v>64011305</v>
      </c>
      <c r="D984" s="59" t="s">
        <v>2190</v>
      </c>
      <c r="E984" s="59" t="s">
        <v>2191</v>
      </c>
      <c r="F984" s="172">
        <v>4</v>
      </c>
      <c r="G984" s="64">
        <v>64011301</v>
      </c>
      <c r="H984" s="64">
        <v>0</v>
      </c>
      <c r="I984" s="66">
        <v>0</v>
      </c>
      <c r="J984" s="16">
        <v>5</v>
      </c>
      <c r="K984" s="16">
        <v>0</v>
      </c>
      <c r="L984" s="64">
        <v>0</v>
      </c>
      <c r="M984" s="60">
        <v>0</v>
      </c>
      <c r="N984" s="60">
        <v>0</v>
      </c>
      <c r="O984" s="60">
        <v>1</v>
      </c>
      <c r="P984" s="60">
        <v>0</v>
      </c>
      <c r="Q984" s="60">
        <v>0</v>
      </c>
      <c r="R984" s="60">
        <v>0</v>
      </c>
      <c r="S984" s="68">
        <v>0</v>
      </c>
      <c r="T984" s="60">
        <v>0</v>
      </c>
      <c r="U984" s="60">
        <v>1</v>
      </c>
      <c r="V984" s="60">
        <v>1</v>
      </c>
      <c r="W984" s="60">
        <v>0</v>
      </c>
      <c r="X984" s="60">
        <v>0</v>
      </c>
      <c r="Y984" s="12">
        <v>0</v>
      </c>
      <c r="Z984" s="60">
        <v>0</v>
      </c>
      <c r="AA984" s="60">
        <v>0</v>
      </c>
      <c r="AB984" s="60">
        <v>0</v>
      </c>
      <c r="AC984" s="60">
        <v>0</v>
      </c>
      <c r="AD984" s="60">
        <v>0</v>
      </c>
      <c r="AE984" s="60">
        <v>0</v>
      </c>
      <c r="AF984" s="60">
        <v>24</v>
      </c>
      <c r="AG984" s="60">
        <v>0</v>
      </c>
      <c r="AH984" s="60">
        <v>0</v>
      </c>
      <c r="AI984" s="68">
        <v>0</v>
      </c>
      <c r="AJ984" s="68">
        <v>0</v>
      </c>
      <c r="AK984" s="68">
        <v>0</v>
      </c>
      <c r="AL984" s="68">
        <v>1.5</v>
      </c>
      <c r="AM984" s="60">
        <v>0</v>
      </c>
      <c r="AN984" s="60">
        <v>0</v>
      </c>
      <c r="AO984" s="60">
        <v>0</v>
      </c>
      <c r="AP984" s="64">
        <v>0.2</v>
      </c>
      <c r="AQ984" s="60">
        <v>3000</v>
      </c>
      <c r="AR984" s="60">
        <v>0.2</v>
      </c>
      <c r="AS984" s="60">
        <v>0</v>
      </c>
      <c r="AT984" s="68">
        <v>0</v>
      </c>
      <c r="AU984" s="60" t="s">
        <v>198</v>
      </c>
      <c r="AV984" s="60"/>
      <c r="AW984" s="19" t="s">
        <v>199</v>
      </c>
      <c r="AX984" s="60" t="s">
        <v>545</v>
      </c>
      <c r="AY984" s="64">
        <v>0</v>
      </c>
      <c r="AZ984" s="64">
        <v>21300030</v>
      </c>
      <c r="BA984" s="59" t="s">
        <v>1174</v>
      </c>
      <c r="BB984" s="355" t="s">
        <v>2201</v>
      </c>
      <c r="BC984" s="66">
        <v>0</v>
      </c>
      <c r="BD984" s="66">
        <v>0</v>
      </c>
      <c r="BE984" s="90" t="s">
        <v>2202</v>
      </c>
      <c r="BF984" s="90" t="s">
        <v>2203</v>
      </c>
      <c r="BG984" s="60">
        <v>0</v>
      </c>
      <c r="BH984" s="60">
        <v>0</v>
      </c>
      <c r="BI984" s="60">
        <v>0</v>
      </c>
      <c r="BJ984" s="60">
        <v>0</v>
      </c>
      <c r="BK984" s="60">
        <v>0</v>
      </c>
      <c r="BL984" s="60">
        <v>0</v>
      </c>
      <c r="BM984" s="93">
        <v>0</v>
      </c>
      <c r="BN984" s="68">
        <v>0</v>
      </c>
      <c r="BO984" s="68">
        <v>0</v>
      </c>
      <c r="BP984" s="68">
        <v>0</v>
      </c>
      <c r="BQ984" s="68">
        <v>0</v>
      </c>
      <c r="BR984" s="68">
        <v>0</v>
      </c>
      <c r="BS984" s="68">
        <v>0</v>
      </c>
      <c r="BT984" s="68">
        <v>0</v>
      </c>
      <c r="BU984" s="68">
        <v>0</v>
      </c>
      <c r="BV984" s="47"/>
      <c r="BW984" s="47"/>
    </row>
    <row r="985" spans="1:75" s="1" customFormat="1" ht="19.5" customHeight="1">
      <c r="A985" s="215"/>
      <c r="B985" s="215"/>
      <c r="C985" s="64">
        <v>64011306</v>
      </c>
      <c r="D985" s="59" t="s">
        <v>2190</v>
      </c>
      <c r="E985" s="59" t="s">
        <v>2191</v>
      </c>
      <c r="F985" s="172">
        <v>5</v>
      </c>
      <c r="G985" s="64">
        <v>64011301</v>
      </c>
      <c r="H985" s="64">
        <v>0</v>
      </c>
      <c r="I985" s="66">
        <v>0</v>
      </c>
      <c r="J985" s="16">
        <v>5</v>
      </c>
      <c r="K985" s="16">
        <v>0</v>
      </c>
      <c r="L985" s="64">
        <v>0</v>
      </c>
      <c r="M985" s="60">
        <v>0</v>
      </c>
      <c r="N985" s="60">
        <v>0</v>
      </c>
      <c r="O985" s="60">
        <v>1</v>
      </c>
      <c r="P985" s="60">
        <v>0</v>
      </c>
      <c r="Q985" s="60">
        <v>0</v>
      </c>
      <c r="R985" s="60">
        <v>0</v>
      </c>
      <c r="S985" s="68">
        <v>0</v>
      </c>
      <c r="T985" s="60">
        <v>0</v>
      </c>
      <c r="U985" s="60">
        <v>1</v>
      </c>
      <c r="V985" s="60">
        <v>1</v>
      </c>
      <c r="W985" s="60">
        <v>0</v>
      </c>
      <c r="X985" s="60">
        <v>0</v>
      </c>
      <c r="Y985" s="12">
        <v>0</v>
      </c>
      <c r="Z985" s="60">
        <v>0</v>
      </c>
      <c r="AA985" s="60">
        <v>0</v>
      </c>
      <c r="AB985" s="60">
        <v>0</v>
      </c>
      <c r="AC985" s="60">
        <v>0</v>
      </c>
      <c r="AD985" s="60">
        <v>0</v>
      </c>
      <c r="AE985" s="60">
        <v>0</v>
      </c>
      <c r="AF985" s="60">
        <v>24</v>
      </c>
      <c r="AG985" s="60">
        <v>0</v>
      </c>
      <c r="AH985" s="60">
        <v>0</v>
      </c>
      <c r="AI985" s="68">
        <v>0</v>
      </c>
      <c r="AJ985" s="68">
        <v>0</v>
      </c>
      <c r="AK985" s="68">
        <v>0</v>
      </c>
      <c r="AL985" s="68">
        <v>1.5</v>
      </c>
      <c r="AM985" s="60">
        <v>0</v>
      </c>
      <c r="AN985" s="60">
        <v>0</v>
      </c>
      <c r="AO985" s="60">
        <v>0</v>
      </c>
      <c r="AP985" s="64">
        <v>0.2</v>
      </c>
      <c r="AQ985" s="60">
        <v>3000</v>
      </c>
      <c r="AR985" s="60">
        <v>0.2</v>
      </c>
      <c r="AS985" s="60">
        <v>0</v>
      </c>
      <c r="AT985" s="68">
        <v>0</v>
      </c>
      <c r="AU985" s="60" t="s">
        <v>198</v>
      </c>
      <c r="AV985" s="60"/>
      <c r="AW985" s="19" t="s">
        <v>199</v>
      </c>
      <c r="AX985" s="60" t="s">
        <v>545</v>
      </c>
      <c r="AY985" s="64">
        <v>0</v>
      </c>
      <c r="AZ985" s="64">
        <v>21300030</v>
      </c>
      <c r="BA985" s="59" t="s">
        <v>1174</v>
      </c>
      <c r="BB985" s="355" t="s">
        <v>2204</v>
      </c>
      <c r="BC985" s="66">
        <v>0</v>
      </c>
      <c r="BD985" s="66">
        <v>0</v>
      </c>
      <c r="BE985" s="90" t="s">
        <v>2205</v>
      </c>
      <c r="BF985" s="90" t="s">
        <v>2206</v>
      </c>
      <c r="BG985" s="60">
        <v>0</v>
      </c>
      <c r="BH985" s="60">
        <v>0</v>
      </c>
      <c r="BI985" s="60">
        <v>0</v>
      </c>
      <c r="BJ985" s="60">
        <v>0</v>
      </c>
      <c r="BK985" s="60">
        <v>0</v>
      </c>
      <c r="BL985" s="60">
        <v>0</v>
      </c>
      <c r="BM985" s="93">
        <v>0</v>
      </c>
      <c r="BN985" s="68">
        <v>0</v>
      </c>
      <c r="BO985" s="68">
        <v>0</v>
      </c>
      <c r="BP985" s="68">
        <v>0</v>
      </c>
      <c r="BQ985" s="68">
        <v>0</v>
      </c>
      <c r="BR985" s="68">
        <v>0</v>
      </c>
      <c r="BS985" s="68">
        <v>0</v>
      </c>
      <c r="BT985" s="68">
        <v>0</v>
      </c>
      <c r="BU985" s="68">
        <v>0</v>
      </c>
      <c r="BV985" s="47"/>
      <c r="BW985" s="47"/>
    </row>
    <row r="986" spans="1:75" s="3" customFormat="1" ht="20.100000000000001" customHeight="1">
      <c r="A986" s="217"/>
      <c r="B986" s="217"/>
      <c r="C986" s="218">
        <v>64011401</v>
      </c>
      <c r="D986" s="219" t="s">
        <v>2207</v>
      </c>
      <c r="E986" s="220" t="s">
        <v>2208</v>
      </c>
      <c r="F986" s="221">
        <v>1</v>
      </c>
      <c r="G986" s="222">
        <v>63021101</v>
      </c>
      <c r="H986" s="218">
        <v>0</v>
      </c>
      <c r="I986" s="223">
        <v>0</v>
      </c>
      <c r="J986" s="218">
        <v>1</v>
      </c>
      <c r="K986" s="222">
        <v>0</v>
      </c>
      <c r="L986" s="218">
        <v>0</v>
      </c>
      <c r="M986" s="222">
        <v>0</v>
      </c>
      <c r="N986" s="222">
        <v>0</v>
      </c>
      <c r="O986" s="222">
        <v>2</v>
      </c>
      <c r="P986" s="222">
        <v>1</v>
      </c>
      <c r="Q986" s="222">
        <v>0.2</v>
      </c>
      <c r="R986" s="222">
        <v>0</v>
      </c>
      <c r="S986" s="224">
        <v>0</v>
      </c>
      <c r="T986" s="222">
        <v>0</v>
      </c>
      <c r="U986" s="222">
        <v>1</v>
      </c>
      <c r="V986" s="222">
        <v>1</v>
      </c>
      <c r="W986" s="222">
        <v>0</v>
      </c>
      <c r="X986" s="222">
        <v>2</v>
      </c>
      <c r="Y986" s="12">
        <v>0</v>
      </c>
      <c r="Z986" s="222">
        <v>0</v>
      </c>
      <c r="AA986" s="222">
        <v>0</v>
      </c>
      <c r="AB986" s="222">
        <v>0</v>
      </c>
      <c r="AC986" s="222">
        <v>0</v>
      </c>
      <c r="AD986" s="222">
        <v>0</v>
      </c>
      <c r="AE986" s="222">
        <v>0</v>
      </c>
      <c r="AF986" s="222">
        <v>0</v>
      </c>
      <c r="AG986" s="222">
        <v>1</v>
      </c>
      <c r="AH986" s="222">
        <v>5</v>
      </c>
      <c r="AI986" s="224">
        <v>0</v>
      </c>
      <c r="AJ986" s="224">
        <v>1</v>
      </c>
      <c r="AK986" s="224">
        <v>0</v>
      </c>
      <c r="AL986" s="224">
        <v>2</v>
      </c>
      <c r="AM986" s="222">
        <v>0</v>
      </c>
      <c r="AN986" s="222">
        <v>0</v>
      </c>
      <c r="AO986" s="222">
        <v>0</v>
      </c>
      <c r="AP986" s="222">
        <v>0</v>
      </c>
      <c r="AQ986" s="222">
        <v>1000</v>
      </c>
      <c r="AR986" s="222">
        <v>0.2</v>
      </c>
      <c r="AS986" s="222">
        <v>0</v>
      </c>
      <c r="AT986" s="224">
        <v>0</v>
      </c>
      <c r="AU986" s="356" t="s">
        <v>2183</v>
      </c>
      <c r="AV986" s="225"/>
      <c r="AW986" s="226" t="s">
        <v>198</v>
      </c>
      <c r="AX986" s="222" t="s">
        <v>545</v>
      </c>
      <c r="AY986" s="218">
        <v>10000001</v>
      </c>
      <c r="AZ986" s="64">
        <v>77005002</v>
      </c>
      <c r="BA986" s="219" t="s">
        <v>200</v>
      </c>
      <c r="BB986" s="222">
        <v>0</v>
      </c>
      <c r="BC986" s="223">
        <v>0</v>
      </c>
      <c r="BD986" s="223">
        <v>0</v>
      </c>
      <c r="BE986" s="228" t="s">
        <v>2209</v>
      </c>
      <c r="BF986" s="228" t="s">
        <v>2210</v>
      </c>
      <c r="BG986" s="222">
        <v>0</v>
      </c>
      <c r="BH986" s="222">
        <v>0</v>
      </c>
      <c r="BI986" s="222">
        <v>0</v>
      </c>
      <c r="BJ986" s="222">
        <v>0</v>
      </c>
      <c r="BK986" s="222">
        <v>0</v>
      </c>
      <c r="BL986" s="222">
        <v>0</v>
      </c>
      <c r="BM986" s="221">
        <v>0</v>
      </c>
      <c r="BN986" s="224">
        <v>0</v>
      </c>
      <c r="BO986" s="224">
        <v>0</v>
      </c>
      <c r="BP986" s="224">
        <v>0</v>
      </c>
      <c r="BQ986" s="224">
        <v>0</v>
      </c>
      <c r="BR986" s="224">
        <v>0</v>
      </c>
      <c r="BS986" s="224">
        <v>0</v>
      </c>
      <c r="BT986" s="224">
        <v>0</v>
      </c>
      <c r="BU986" s="224">
        <v>0</v>
      </c>
      <c r="BV986" s="47"/>
      <c r="BW986" s="47"/>
    </row>
    <row r="987" spans="1:75" s="3" customFormat="1" ht="20.100000000000001" customHeight="1">
      <c r="C987" s="218">
        <v>64011501</v>
      </c>
      <c r="D987" s="219" t="s">
        <v>2211</v>
      </c>
      <c r="E987" s="220" t="s">
        <v>2212</v>
      </c>
      <c r="F987" s="221">
        <v>1</v>
      </c>
      <c r="G987" s="221">
        <v>0</v>
      </c>
      <c r="H987" s="222">
        <v>0</v>
      </c>
      <c r="I987" s="223">
        <v>0</v>
      </c>
      <c r="J987" s="218">
        <v>1</v>
      </c>
      <c r="K987" s="218">
        <v>0</v>
      </c>
      <c r="L987" s="218">
        <v>0</v>
      </c>
      <c r="M987" s="222">
        <v>0</v>
      </c>
      <c r="N987" s="222">
        <v>0</v>
      </c>
      <c r="O987" s="222">
        <v>2</v>
      </c>
      <c r="P987" s="222">
        <v>16</v>
      </c>
      <c r="Q987" s="222">
        <v>8</v>
      </c>
      <c r="R987" s="222">
        <v>0</v>
      </c>
      <c r="S987" s="224">
        <v>0</v>
      </c>
      <c r="T987" s="222">
        <v>0</v>
      </c>
      <c r="U987" s="222">
        <v>1</v>
      </c>
      <c r="V987" s="221">
        <v>1</v>
      </c>
      <c r="W987" s="222">
        <v>0</v>
      </c>
      <c r="X987" s="222">
        <v>0</v>
      </c>
      <c r="Y987" s="12">
        <v>0</v>
      </c>
      <c r="Z987" s="222">
        <v>0</v>
      </c>
      <c r="AA987" s="222">
        <v>1</v>
      </c>
      <c r="AB987" s="222">
        <v>0</v>
      </c>
      <c r="AC987" s="222">
        <v>0</v>
      </c>
      <c r="AD987" s="222">
        <v>0</v>
      </c>
      <c r="AE987" s="222">
        <v>1</v>
      </c>
      <c r="AF987" s="222">
        <v>12</v>
      </c>
      <c r="AG987" s="222">
        <v>2</v>
      </c>
      <c r="AH987" s="222" t="s">
        <v>213</v>
      </c>
      <c r="AI987" s="224">
        <v>0</v>
      </c>
      <c r="AJ987" s="224">
        <v>2</v>
      </c>
      <c r="AK987" s="224">
        <v>0</v>
      </c>
      <c r="AL987" s="224">
        <v>1.5</v>
      </c>
      <c r="AM987" s="222">
        <v>0</v>
      </c>
      <c r="AN987" s="222">
        <v>0</v>
      </c>
      <c r="AO987" s="222">
        <v>0</v>
      </c>
      <c r="AP987" s="222">
        <v>0.5</v>
      </c>
      <c r="AQ987" s="222">
        <v>600</v>
      </c>
      <c r="AR987" s="222">
        <v>0</v>
      </c>
      <c r="AS987" s="222">
        <v>12</v>
      </c>
      <c r="AT987" s="224">
        <v>0</v>
      </c>
      <c r="AU987" s="225">
        <v>0</v>
      </c>
      <c r="AV987" s="225"/>
      <c r="AW987" s="219" t="s">
        <v>199</v>
      </c>
      <c r="AX987" s="222" t="s">
        <v>215</v>
      </c>
      <c r="AY987" s="218">
        <v>10000011</v>
      </c>
      <c r="AZ987" s="64">
        <v>0</v>
      </c>
      <c r="BA987" s="219" t="s">
        <v>216</v>
      </c>
      <c r="BB987" s="222">
        <v>0</v>
      </c>
      <c r="BC987" s="223">
        <v>0</v>
      </c>
      <c r="BD987" s="223">
        <v>0</v>
      </c>
      <c r="BE987" s="228" t="s">
        <v>2213</v>
      </c>
      <c r="BF987" s="228" t="s">
        <v>2214</v>
      </c>
      <c r="BG987" s="222">
        <v>0</v>
      </c>
      <c r="BH987" s="222">
        <v>0</v>
      </c>
      <c r="BI987" s="222">
        <v>0</v>
      </c>
      <c r="BJ987" s="222">
        <v>0</v>
      </c>
      <c r="BK987" s="222">
        <v>0</v>
      </c>
      <c r="BL987" s="222">
        <v>0</v>
      </c>
      <c r="BM987" s="221">
        <v>0</v>
      </c>
      <c r="BN987" s="224">
        <v>0</v>
      </c>
      <c r="BO987" s="224">
        <v>0</v>
      </c>
      <c r="BP987" s="224">
        <v>0</v>
      </c>
      <c r="BQ987" s="224">
        <v>0</v>
      </c>
      <c r="BR987" s="224">
        <v>0</v>
      </c>
      <c r="BS987" s="224">
        <v>1</v>
      </c>
      <c r="BT987" s="224">
        <v>64011502</v>
      </c>
      <c r="BU987" s="224">
        <v>0</v>
      </c>
      <c r="BV987" s="47"/>
      <c r="BW987" s="47"/>
    </row>
    <row r="988" spans="1:75" s="3" customFormat="1" ht="20.100000000000001" customHeight="1">
      <c r="A988" s="217"/>
      <c r="B988" s="217"/>
      <c r="C988" s="218">
        <v>64011502</v>
      </c>
      <c r="D988" s="219" t="s">
        <v>2215</v>
      </c>
      <c r="E988" s="220" t="s">
        <v>2216</v>
      </c>
      <c r="F988" s="221">
        <v>1</v>
      </c>
      <c r="G988" s="222">
        <v>63021101</v>
      </c>
      <c r="H988" s="218">
        <v>0</v>
      </c>
      <c r="I988" s="223">
        <v>0</v>
      </c>
      <c r="J988" s="218">
        <v>1</v>
      </c>
      <c r="K988" s="222">
        <v>0</v>
      </c>
      <c r="L988" s="218">
        <v>0</v>
      </c>
      <c r="M988" s="222">
        <v>0</v>
      </c>
      <c r="N988" s="222">
        <v>0</v>
      </c>
      <c r="O988" s="222">
        <v>2</v>
      </c>
      <c r="P988" s="222">
        <v>16</v>
      </c>
      <c r="Q988" s="222">
        <v>1</v>
      </c>
      <c r="R988" s="222">
        <v>0</v>
      </c>
      <c r="S988" s="224">
        <v>0</v>
      </c>
      <c r="T988" s="222">
        <v>0</v>
      </c>
      <c r="U988" s="222">
        <v>1</v>
      </c>
      <c r="V988" s="222">
        <v>1</v>
      </c>
      <c r="W988" s="222">
        <v>0</v>
      </c>
      <c r="X988" s="222">
        <v>2</v>
      </c>
      <c r="Y988" s="12">
        <v>0</v>
      </c>
      <c r="Z988" s="222">
        <v>0</v>
      </c>
      <c r="AA988" s="222">
        <v>0</v>
      </c>
      <c r="AB988" s="222">
        <v>0</v>
      </c>
      <c r="AC988" s="222">
        <v>0</v>
      </c>
      <c r="AD988" s="222">
        <v>0</v>
      </c>
      <c r="AE988" s="222">
        <v>0</v>
      </c>
      <c r="AF988" s="222">
        <v>0</v>
      </c>
      <c r="AG988" s="222">
        <v>1</v>
      </c>
      <c r="AH988" s="222">
        <v>5</v>
      </c>
      <c r="AI988" s="224">
        <v>0</v>
      </c>
      <c r="AJ988" s="224">
        <v>1</v>
      </c>
      <c r="AK988" s="224">
        <v>0</v>
      </c>
      <c r="AL988" s="224">
        <v>2</v>
      </c>
      <c r="AM988" s="222">
        <v>0</v>
      </c>
      <c r="AN988" s="222">
        <v>0</v>
      </c>
      <c r="AO988" s="222">
        <v>0</v>
      </c>
      <c r="AP988" s="222">
        <v>0</v>
      </c>
      <c r="AQ988" s="222">
        <v>400</v>
      </c>
      <c r="AR988" s="222">
        <v>0.2</v>
      </c>
      <c r="AS988" s="222">
        <v>0</v>
      </c>
      <c r="AT988" s="224">
        <v>0</v>
      </c>
      <c r="AU988" s="356" t="s">
        <v>2183</v>
      </c>
      <c r="AV988" s="225"/>
      <c r="AW988" s="226" t="s">
        <v>198</v>
      </c>
      <c r="AX988" s="222" t="s">
        <v>545</v>
      </c>
      <c r="AY988" s="218">
        <v>10000001</v>
      </c>
      <c r="AZ988" s="64">
        <v>77005002</v>
      </c>
      <c r="BA988" s="219" t="s">
        <v>200</v>
      </c>
      <c r="BB988" s="222">
        <v>0</v>
      </c>
      <c r="BC988" s="223">
        <v>0</v>
      </c>
      <c r="BD988" s="223">
        <v>0</v>
      </c>
      <c r="BE988" s="228" t="s">
        <v>2209</v>
      </c>
      <c r="BF988" s="228" t="s">
        <v>2210</v>
      </c>
      <c r="BG988" s="222">
        <v>0</v>
      </c>
      <c r="BH988" s="222">
        <v>0</v>
      </c>
      <c r="BI988" s="222">
        <v>0</v>
      </c>
      <c r="BJ988" s="222">
        <v>0</v>
      </c>
      <c r="BK988" s="222">
        <v>0</v>
      </c>
      <c r="BL988" s="222">
        <v>0</v>
      </c>
      <c r="BM988" s="221">
        <v>0</v>
      </c>
      <c r="BN988" s="224">
        <v>0</v>
      </c>
      <c r="BO988" s="224">
        <v>0</v>
      </c>
      <c r="BP988" s="224">
        <v>0</v>
      </c>
      <c r="BQ988" s="224">
        <v>0</v>
      </c>
      <c r="BR988" s="224">
        <v>0</v>
      </c>
      <c r="BS988" s="224">
        <v>0</v>
      </c>
      <c r="BT988" s="224">
        <v>64011503</v>
      </c>
      <c r="BU988" s="224">
        <v>0</v>
      </c>
      <c r="BV988" s="47"/>
      <c r="BW988" s="47"/>
    </row>
    <row r="989" spans="1:75" s="3" customFormat="1" ht="20.100000000000001" customHeight="1">
      <c r="C989" s="218">
        <v>64011503</v>
      </c>
      <c r="D989" s="219" t="s">
        <v>760</v>
      </c>
      <c r="E989" s="220" t="s">
        <v>761</v>
      </c>
      <c r="F989" s="221">
        <v>1</v>
      </c>
      <c r="G989" s="221">
        <v>0</v>
      </c>
      <c r="H989" s="222">
        <v>0</v>
      </c>
      <c r="I989" s="223">
        <v>0</v>
      </c>
      <c r="J989" s="218">
        <v>1</v>
      </c>
      <c r="K989" s="218">
        <v>0</v>
      </c>
      <c r="L989" s="218">
        <v>0</v>
      </c>
      <c r="M989" s="222">
        <v>0</v>
      </c>
      <c r="N989" s="222">
        <v>0</v>
      </c>
      <c r="O989" s="222">
        <v>2</v>
      </c>
      <c r="P989" s="222">
        <v>16</v>
      </c>
      <c r="Q989" s="222">
        <v>1</v>
      </c>
      <c r="R989" s="222">
        <v>0</v>
      </c>
      <c r="S989" s="224">
        <v>0</v>
      </c>
      <c r="T989" s="222">
        <v>0</v>
      </c>
      <c r="U989" s="222">
        <v>1</v>
      </c>
      <c r="V989" s="221">
        <v>1</v>
      </c>
      <c r="W989" s="222">
        <v>0</v>
      </c>
      <c r="X989" s="222">
        <v>0</v>
      </c>
      <c r="Y989" s="12">
        <v>0</v>
      </c>
      <c r="Z989" s="222">
        <v>0</v>
      </c>
      <c r="AA989" s="222">
        <v>1</v>
      </c>
      <c r="AB989" s="222">
        <v>0</v>
      </c>
      <c r="AC989" s="222">
        <v>0</v>
      </c>
      <c r="AD989" s="222">
        <v>0</v>
      </c>
      <c r="AE989" s="222">
        <v>1</v>
      </c>
      <c r="AF989" s="222">
        <v>12</v>
      </c>
      <c r="AG989" s="222">
        <v>2</v>
      </c>
      <c r="AH989" s="222" t="s">
        <v>213</v>
      </c>
      <c r="AI989" s="224">
        <v>0</v>
      </c>
      <c r="AJ989" s="224">
        <v>2</v>
      </c>
      <c r="AK989" s="224">
        <v>0</v>
      </c>
      <c r="AL989" s="224">
        <v>1.5</v>
      </c>
      <c r="AM989" s="222">
        <v>0</v>
      </c>
      <c r="AN989" s="222">
        <v>0</v>
      </c>
      <c r="AO989" s="222">
        <v>0</v>
      </c>
      <c r="AP989" s="222">
        <v>0.5</v>
      </c>
      <c r="AQ989" s="222">
        <v>600</v>
      </c>
      <c r="AR989" s="222">
        <v>0</v>
      </c>
      <c r="AS989" s="222">
        <v>12</v>
      </c>
      <c r="AT989" s="224">
        <v>0</v>
      </c>
      <c r="AU989" s="225">
        <v>0</v>
      </c>
      <c r="AV989" s="225"/>
      <c r="AW989" s="219" t="s">
        <v>199</v>
      </c>
      <c r="AX989" s="222" t="s">
        <v>215</v>
      </c>
      <c r="AY989" s="218">
        <v>10000011</v>
      </c>
      <c r="AZ989" s="64">
        <v>0</v>
      </c>
      <c r="BA989" s="219" t="s">
        <v>216</v>
      </c>
      <c r="BB989" s="222">
        <v>0</v>
      </c>
      <c r="BC989" s="223">
        <v>0</v>
      </c>
      <c r="BD989" s="223">
        <v>0</v>
      </c>
      <c r="BE989" s="228" t="s">
        <v>2213</v>
      </c>
      <c r="BF989" s="228" t="s">
        <v>2214</v>
      </c>
      <c r="BG989" s="222">
        <v>0</v>
      </c>
      <c r="BH989" s="222">
        <v>0</v>
      </c>
      <c r="BI989" s="222">
        <v>0</v>
      </c>
      <c r="BJ989" s="222">
        <v>0</v>
      </c>
      <c r="BK989" s="222">
        <v>0</v>
      </c>
      <c r="BL989" s="222">
        <v>0</v>
      </c>
      <c r="BM989" s="221">
        <v>0</v>
      </c>
      <c r="BN989" s="224">
        <v>0</v>
      </c>
      <c r="BO989" s="224">
        <v>0</v>
      </c>
      <c r="BP989" s="224">
        <v>0</v>
      </c>
      <c r="BQ989" s="224">
        <v>0</v>
      </c>
      <c r="BR989" s="224">
        <v>0</v>
      </c>
      <c r="BS989" s="224">
        <v>1</v>
      </c>
      <c r="BT989" s="224">
        <v>64011504</v>
      </c>
      <c r="BU989" s="224">
        <v>0</v>
      </c>
      <c r="BV989" s="47"/>
      <c r="BW989" s="47"/>
    </row>
    <row r="990" spans="1:75" s="3" customFormat="1" ht="20.100000000000001" customHeight="1">
      <c r="A990" s="217"/>
      <c r="B990" s="217"/>
      <c r="C990" s="218">
        <v>64011504</v>
      </c>
      <c r="D990" s="219" t="s">
        <v>2215</v>
      </c>
      <c r="E990" s="220" t="s">
        <v>2216</v>
      </c>
      <c r="F990" s="221">
        <v>1</v>
      </c>
      <c r="G990" s="222">
        <v>63021101</v>
      </c>
      <c r="H990" s="218">
        <v>0</v>
      </c>
      <c r="I990" s="223">
        <v>0</v>
      </c>
      <c r="J990" s="218">
        <v>1</v>
      </c>
      <c r="K990" s="222">
        <v>0</v>
      </c>
      <c r="L990" s="218">
        <v>0</v>
      </c>
      <c r="M990" s="222">
        <v>0</v>
      </c>
      <c r="N990" s="222">
        <v>0</v>
      </c>
      <c r="O990" s="222">
        <v>2</v>
      </c>
      <c r="P990" s="222">
        <v>16</v>
      </c>
      <c r="Q990" s="222">
        <v>4</v>
      </c>
      <c r="R990" s="222">
        <v>0</v>
      </c>
      <c r="S990" s="224">
        <v>0</v>
      </c>
      <c r="T990" s="222">
        <v>0</v>
      </c>
      <c r="U990" s="222">
        <v>1</v>
      </c>
      <c r="V990" s="222">
        <v>1</v>
      </c>
      <c r="W990" s="222">
        <v>0</v>
      </c>
      <c r="X990" s="222">
        <v>2</v>
      </c>
      <c r="Y990" s="12">
        <v>0</v>
      </c>
      <c r="Z990" s="222">
        <v>0</v>
      </c>
      <c r="AA990" s="222">
        <v>0</v>
      </c>
      <c r="AB990" s="222">
        <v>0</v>
      </c>
      <c r="AC990" s="222">
        <v>0</v>
      </c>
      <c r="AD990" s="222">
        <v>0</v>
      </c>
      <c r="AE990" s="222">
        <v>0</v>
      </c>
      <c r="AF990" s="222">
        <v>0</v>
      </c>
      <c r="AG990" s="222">
        <v>1</v>
      </c>
      <c r="AH990" s="222">
        <v>5</v>
      </c>
      <c r="AI990" s="224">
        <v>0</v>
      </c>
      <c r="AJ990" s="224">
        <v>1</v>
      </c>
      <c r="AK990" s="224">
        <v>0</v>
      </c>
      <c r="AL990" s="224">
        <v>2</v>
      </c>
      <c r="AM990" s="222">
        <v>0</v>
      </c>
      <c r="AN990" s="222">
        <v>0</v>
      </c>
      <c r="AO990" s="222">
        <v>0</v>
      </c>
      <c r="AP990" s="222">
        <v>0</v>
      </c>
      <c r="AQ990" s="222">
        <v>400</v>
      </c>
      <c r="AR990" s="222">
        <v>0.2</v>
      </c>
      <c r="AS990" s="222">
        <v>0</v>
      </c>
      <c r="AT990" s="224">
        <v>0</v>
      </c>
      <c r="AU990" s="356" t="s">
        <v>2183</v>
      </c>
      <c r="AV990" s="225"/>
      <c r="AW990" s="226" t="s">
        <v>198</v>
      </c>
      <c r="AX990" s="222" t="s">
        <v>545</v>
      </c>
      <c r="AY990" s="218">
        <v>10000001</v>
      </c>
      <c r="AZ990" s="64">
        <v>77005002</v>
      </c>
      <c r="BA990" s="219" t="s">
        <v>200</v>
      </c>
      <c r="BB990" s="222">
        <v>0</v>
      </c>
      <c r="BC990" s="223">
        <v>0</v>
      </c>
      <c r="BD990" s="223">
        <v>0</v>
      </c>
      <c r="BE990" s="228" t="s">
        <v>2209</v>
      </c>
      <c r="BF990" s="228" t="s">
        <v>2210</v>
      </c>
      <c r="BG990" s="222">
        <v>0</v>
      </c>
      <c r="BH990" s="222">
        <v>0</v>
      </c>
      <c r="BI990" s="222">
        <v>0</v>
      </c>
      <c r="BJ990" s="222">
        <v>0</v>
      </c>
      <c r="BK990" s="222">
        <v>0</v>
      </c>
      <c r="BL990" s="222">
        <v>0</v>
      </c>
      <c r="BM990" s="221">
        <v>0</v>
      </c>
      <c r="BN990" s="224">
        <v>0</v>
      </c>
      <c r="BO990" s="224">
        <v>0</v>
      </c>
      <c r="BP990" s="224">
        <v>0</v>
      </c>
      <c r="BQ990" s="224">
        <v>0</v>
      </c>
      <c r="BR990" s="224">
        <v>0</v>
      </c>
      <c r="BS990" s="224">
        <v>0</v>
      </c>
      <c r="BT990" s="224">
        <v>64011505</v>
      </c>
      <c r="BU990" s="224">
        <v>0</v>
      </c>
      <c r="BV990" s="47"/>
      <c r="BW990" s="47"/>
    </row>
    <row r="991" spans="1:75" s="3" customFormat="1" ht="20.100000000000001" customHeight="1">
      <c r="C991" s="218">
        <v>64011505</v>
      </c>
      <c r="D991" s="219" t="s">
        <v>760</v>
      </c>
      <c r="E991" s="220" t="s">
        <v>761</v>
      </c>
      <c r="F991" s="221">
        <v>1</v>
      </c>
      <c r="G991" s="221">
        <v>0</v>
      </c>
      <c r="H991" s="222">
        <v>0</v>
      </c>
      <c r="I991" s="223">
        <v>0</v>
      </c>
      <c r="J991" s="218">
        <v>1</v>
      </c>
      <c r="K991" s="218">
        <v>0</v>
      </c>
      <c r="L991" s="218">
        <v>0</v>
      </c>
      <c r="M991" s="222">
        <v>0</v>
      </c>
      <c r="N991" s="222">
        <v>0</v>
      </c>
      <c r="O991" s="222">
        <v>2</v>
      </c>
      <c r="P991" s="222">
        <v>16</v>
      </c>
      <c r="Q991" s="222">
        <v>1</v>
      </c>
      <c r="R991" s="222">
        <v>0</v>
      </c>
      <c r="S991" s="224">
        <v>0</v>
      </c>
      <c r="T991" s="222">
        <v>0</v>
      </c>
      <c r="U991" s="222">
        <v>1</v>
      </c>
      <c r="V991" s="221">
        <v>1</v>
      </c>
      <c r="W991" s="222">
        <v>0</v>
      </c>
      <c r="X991" s="222">
        <v>0</v>
      </c>
      <c r="Y991" s="12">
        <v>0</v>
      </c>
      <c r="Z991" s="222">
        <v>0</v>
      </c>
      <c r="AA991" s="222">
        <v>1</v>
      </c>
      <c r="AB991" s="222">
        <v>0</v>
      </c>
      <c r="AC991" s="222">
        <v>0</v>
      </c>
      <c r="AD991" s="222">
        <v>0</v>
      </c>
      <c r="AE991" s="222">
        <v>1</v>
      </c>
      <c r="AF991" s="222">
        <v>12</v>
      </c>
      <c r="AG991" s="222">
        <v>2</v>
      </c>
      <c r="AH991" s="222" t="s">
        <v>213</v>
      </c>
      <c r="AI991" s="224">
        <v>0</v>
      </c>
      <c r="AJ991" s="224">
        <v>2</v>
      </c>
      <c r="AK991" s="224">
        <v>0</v>
      </c>
      <c r="AL991" s="224">
        <v>1.5</v>
      </c>
      <c r="AM991" s="222">
        <v>0</v>
      </c>
      <c r="AN991" s="222">
        <v>0</v>
      </c>
      <c r="AO991" s="222">
        <v>0</v>
      </c>
      <c r="AP991" s="222">
        <v>0.5</v>
      </c>
      <c r="AQ991" s="222">
        <v>600</v>
      </c>
      <c r="AR991" s="222">
        <v>0</v>
      </c>
      <c r="AS991" s="222">
        <v>12</v>
      </c>
      <c r="AT991" s="224">
        <v>0</v>
      </c>
      <c r="AU991" s="225">
        <v>0</v>
      </c>
      <c r="AV991" s="225"/>
      <c r="AW991" s="219" t="s">
        <v>199</v>
      </c>
      <c r="AX991" s="222" t="s">
        <v>215</v>
      </c>
      <c r="AY991" s="218">
        <v>10000011</v>
      </c>
      <c r="AZ991" s="64">
        <v>0</v>
      </c>
      <c r="BA991" s="219" t="s">
        <v>216</v>
      </c>
      <c r="BB991" s="222">
        <v>0</v>
      </c>
      <c r="BC991" s="223">
        <v>0</v>
      </c>
      <c r="BD991" s="223">
        <v>0</v>
      </c>
      <c r="BE991" s="228" t="s">
        <v>2213</v>
      </c>
      <c r="BF991" s="228" t="s">
        <v>2214</v>
      </c>
      <c r="BG991" s="222">
        <v>0</v>
      </c>
      <c r="BH991" s="222">
        <v>0</v>
      </c>
      <c r="BI991" s="222">
        <v>0</v>
      </c>
      <c r="BJ991" s="222">
        <v>0</v>
      </c>
      <c r="BK991" s="222">
        <v>0</v>
      </c>
      <c r="BL991" s="222">
        <v>0</v>
      </c>
      <c r="BM991" s="221">
        <v>0</v>
      </c>
      <c r="BN991" s="224">
        <v>0</v>
      </c>
      <c r="BO991" s="224">
        <v>0</v>
      </c>
      <c r="BP991" s="224">
        <v>0</v>
      </c>
      <c r="BQ991" s="224">
        <v>0</v>
      </c>
      <c r="BR991" s="224">
        <v>0</v>
      </c>
      <c r="BS991" s="224">
        <v>1</v>
      </c>
      <c r="BT991" s="224">
        <v>64011506</v>
      </c>
      <c r="BU991" s="224">
        <v>0</v>
      </c>
      <c r="BV991" s="47"/>
      <c r="BW991" s="47"/>
    </row>
    <row r="992" spans="1:75" s="3" customFormat="1" ht="20.100000000000001" customHeight="1">
      <c r="A992" s="217"/>
      <c r="B992" s="217"/>
      <c r="C992" s="218">
        <v>64011506</v>
      </c>
      <c r="D992" s="219" t="s">
        <v>2215</v>
      </c>
      <c r="E992" s="220" t="s">
        <v>2216</v>
      </c>
      <c r="F992" s="221">
        <v>1</v>
      </c>
      <c r="G992" s="222">
        <v>63021101</v>
      </c>
      <c r="H992" s="218">
        <v>0</v>
      </c>
      <c r="I992" s="223">
        <v>0</v>
      </c>
      <c r="J992" s="218">
        <v>1</v>
      </c>
      <c r="K992" s="222">
        <v>0</v>
      </c>
      <c r="L992" s="218">
        <v>0</v>
      </c>
      <c r="M992" s="222">
        <v>0</v>
      </c>
      <c r="N992" s="222">
        <v>0</v>
      </c>
      <c r="O992" s="222">
        <v>2</v>
      </c>
      <c r="P992" s="222">
        <v>16</v>
      </c>
      <c r="Q992" s="222">
        <v>4</v>
      </c>
      <c r="R992" s="222">
        <v>0</v>
      </c>
      <c r="S992" s="224">
        <v>0</v>
      </c>
      <c r="T992" s="222">
        <v>0</v>
      </c>
      <c r="U992" s="222">
        <v>1</v>
      </c>
      <c r="V992" s="222">
        <v>1</v>
      </c>
      <c r="W992" s="222">
        <v>0</v>
      </c>
      <c r="X992" s="222">
        <v>2</v>
      </c>
      <c r="Y992" s="12">
        <v>0</v>
      </c>
      <c r="Z992" s="222">
        <v>0</v>
      </c>
      <c r="AA992" s="222">
        <v>0</v>
      </c>
      <c r="AB992" s="222">
        <v>0</v>
      </c>
      <c r="AC992" s="222">
        <v>0</v>
      </c>
      <c r="AD992" s="222">
        <v>0</v>
      </c>
      <c r="AE992" s="222">
        <v>0</v>
      </c>
      <c r="AF992" s="222">
        <v>0</v>
      </c>
      <c r="AG992" s="222">
        <v>1</v>
      </c>
      <c r="AH992" s="222">
        <v>5</v>
      </c>
      <c r="AI992" s="224">
        <v>0</v>
      </c>
      <c r="AJ992" s="224">
        <v>1</v>
      </c>
      <c r="AK992" s="224">
        <v>0</v>
      </c>
      <c r="AL992" s="224">
        <v>2</v>
      </c>
      <c r="AM992" s="222">
        <v>0</v>
      </c>
      <c r="AN992" s="222">
        <v>0</v>
      </c>
      <c r="AO992" s="222">
        <v>0</v>
      </c>
      <c r="AP992" s="222">
        <v>0</v>
      </c>
      <c r="AQ992" s="222">
        <v>400</v>
      </c>
      <c r="AR992" s="222">
        <v>0.2</v>
      </c>
      <c r="AS992" s="222">
        <v>0</v>
      </c>
      <c r="AT992" s="224">
        <v>0</v>
      </c>
      <c r="AU992" s="356" t="s">
        <v>2183</v>
      </c>
      <c r="AV992" s="225"/>
      <c r="AW992" s="226" t="s">
        <v>198</v>
      </c>
      <c r="AX992" s="222" t="s">
        <v>545</v>
      </c>
      <c r="AY992" s="218">
        <v>10000001</v>
      </c>
      <c r="AZ992" s="64">
        <v>77005002</v>
      </c>
      <c r="BA992" s="219" t="s">
        <v>200</v>
      </c>
      <c r="BB992" s="222">
        <v>0</v>
      </c>
      <c r="BC992" s="223">
        <v>0</v>
      </c>
      <c r="BD992" s="223">
        <v>0</v>
      </c>
      <c r="BE992" s="228" t="s">
        <v>2209</v>
      </c>
      <c r="BF992" s="228" t="s">
        <v>2210</v>
      </c>
      <c r="BG992" s="222">
        <v>0</v>
      </c>
      <c r="BH992" s="222">
        <v>0</v>
      </c>
      <c r="BI992" s="222">
        <v>0</v>
      </c>
      <c r="BJ992" s="222">
        <v>0</v>
      </c>
      <c r="BK992" s="222">
        <v>0</v>
      </c>
      <c r="BL992" s="222">
        <v>0</v>
      </c>
      <c r="BM992" s="221">
        <v>0</v>
      </c>
      <c r="BN992" s="224">
        <v>0</v>
      </c>
      <c r="BO992" s="224">
        <v>0</v>
      </c>
      <c r="BP992" s="224">
        <v>0</v>
      </c>
      <c r="BQ992" s="224">
        <v>0</v>
      </c>
      <c r="BR992" s="224">
        <v>0</v>
      </c>
      <c r="BS992" s="224">
        <v>0</v>
      </c>
      <c r="BT992" s="224">
        <v>0</v>
      </c>
      <c r="BU992" s="224">
        <v>0</v>
      </c>
      <c r="BV992" s="47"/>
      <c r="BW992" s="47"/>
    </row>
    <row r="993" spans="1:75" s="1" customFormat="1" ht="19.5" customHeight="1">
      <c r="A993" s="215"/>
      <c r="B993" s="215"/>
      <c r="C993" s="218">
        <v>64011507</v>
      </c>
      <c r="D993" s="59" t="s">
        <v>2217</v>
      </c>
      <c r="E993" s="59" t="s">
        <v>2218</v>
      </c>
      <c r="F993" s="172">
        <v>1</v>
      </c>
      <c r="G993" s="64">
        <v>64011101</v>
      </c>
      <c r="H993" s="64">
        <v>64011103</v>
      </c>
      <c r="I993" s="66">
        <v>0</v>
      </c>
      <c r="J993" s="12">
        <v>1</v>
      </c>
      <c r="K993" s="12">
        <v>2</v>
      </c>
      <c r="L993" s="60">
        <v>0</v>
      </c>
      <c r="M993" s="60">
        <v>0</v>
      </c>
      <c r="N993" s="60">
        <v>0</v>
      </c>
      <c r="O993" s="60">
        <v>2</v>
      </c>
      <c r="P993" s="60">
        <v>16</v>
      </c>
      <c r="Q993" s="60">
        <v>0.2</v>
      </c>
      <c r="R993" s="60">
        <v>0</v>
      </c>
      <c r="S993" s="68">
        <v>0</v>
      </c>
      <c r="T993" s="60">
        <v>0</v>
      </c>
      <c r="U993" s="60">
        <v>1</v>
      </c>
      <c r="V993" s="60">
        <v>1</v>
      </c>
      <c r="W993" s="60">
        <v>0</v>
      </c>
      <c r="X993" s="60">
        <v>2</v>
      </c>
      <c r="Y993" s="12">
        <v>0</v>
      </c>
      <c r="Z993" s="60">
        <v>750</v>
      </c>
      <c r="AA993" s="60">
        <v>0</v>
      </c>
      <c r="AB993" s="60">
        <v>0</v>
      </c>
      <c r="AC993" s="60">
        <v>0</v>
      </c>
      <c r="AD993" s="60">
        <v>0</v>
      </c>
      <c r="AE993" s="60">
        <v>0</v>
      </c>
      <c r="AF993" s="60">
        <v>8</v>
      </c>
      <c r="AG993" s="60">
        <v>2</v>
      </c>
      <c r="AH993" s="79" t="s">
        <v>1968</v>
      </c>
      <c r="AI993" s="68">
        <v>0</v>
      </c>
      <c r="AJ993" s="68">
        <v>3</v>
      </c>
      <c r="AK993" s="68">
        <v>0</v>
      </c>
      <c r="AL993" s="68">
        <v>2</v>
      </c>
      <c r="AM993" s="60">
        <v>0</v>
      </c>
      <c r="AN993" s="60">
        <v>0</v>
      </c>
      <c r="AO993" s="60">
        <v>0</v>
      </c>
      <c r="AP993" s="60">
        <v>0.2</v>
      </c>
      <c r="AQ993" s="60">
        <v>1000</v>
      </c>
      <c r="AR993" s="60">
        <v>0.2</v>
      </c>
      <c r="AS993" s="60">
        <v>15</v>
      </c>
      <c r="AT993" s="68">
        <v>0</v>
      </c>
      <c r="AU993" s="60">
        <v>95100001</v>
      </c>
      <c r="AV993" s="60"/>
      <c r="AW993" s="19" t="s">
        <v>199</v>
      </c>
      <c r="AX993" s="60" t="s">
        <v>534</v>
      </c>
      <c r="AY993" s="64">
        <v>10000001</v>
      </c>
      <c r="AZ993" s="64">
        <v>21300010</v>
      </c>
      <c r="BA993" s="59" t="s">
        <v>586</v>
      </c>
      <c r="BB993" s="60" t="s">
        <v>2177</v>
      </c>
      <c r="BC993" s="68">
        <v>0</v>
      </c>
      <c r="BD993" s="68">
        <v>0</v>
      </c>
      <c r="BE993" s="183" t="str">
        <f t="shared" ref="BE993" si="113">"将手中的武器幻化成魔法,对指定前方区域内的目标造成"&amp;X993*100&amp;"%攻击伤害+"&amp;Z993&amp;"点固定伤害,并附带魔法印记,其状态每秒会对目标造成30%伤害,持续6秒.此印记可以叠加"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3" s="183" t="s">
        <v>2178</v>
      </c>
      <c r="BG993" s="60">
        <v>0</v>
      </c>
      <c r="BH993" s="60">
        <v>0</v>
      </c>
      <c r="BI993" s="60">
        <v>0</v>
      </c>
      <c r="BJ993" s="60">
        <v>0</v>
      </c>
      <c r="BK993" s="60">
        <v>0</v>
      </c>
      <c r="BL993" s="60">
        <v>0</v>
      </c>
      <c r="BM993" s="93">
        <v>0</v>
      </c>
      <c r="BN993" s="68">
        <v>0</v>
      </c>
      <c r="BO993" s="68">
        <v>0</v>
      </c>
      <c r="BP993" s="68">
        <v>0</v>
      </c>
      <c r="BQ993" s="68">
        <v>0</v>
      </c>
      <c r="BR993" s="68">
        <v>0</v>
      </c>
      <c r="BS993" s="68">
        <v>0</v>
      </c>
      <c r="BT993" s="68">
        <v>0</v>
      </c>
      <c r="BU993" s="68">
        <v>0</v>
      </c>
      <c r="BV993" s="47"/>
      <c r="BW993" s="47"/>
    </row>
    <row r="994" spans="1:75" s="2" customFormat="1" ht="19.5" customHeight="1">
      <c r="A994" s="216"/>
      <c r="B994" s="216"/>
      <c r="C994" s="100">
        <v>64012101</v>
      </c>
      <c r="D994" s="99" t="s">
        <v>2219</v>
      </c>
      <c r="E994" s="99" t="s">
        <v>2220</v>
      </c>
      <c r="F994" s="172">
        <v>0</v>
      </c>
      <c r="G994" s="100">
        <v>64012101</v>
      </c>
      <c r="H994" s="100">
        <v>64012102</v>
      </c>
      <c r="I994" s="105">
        <v>0</v>
      </c>
      <c r="J994" s="12">
        <v>1</v>
      </c>
      <c r="K994" s="12">
        <v>5</v>
      </c>
      <c r="L994" s="101">
        <v>0</v>
      </c>
      <c r="M994" s="101">
        <v>0</v>
      </c>
      <c r="N994" s="101">
        <v>0</v>
      </c>
      <c r="O994" s="101">
        <v>1</v>
      </c>
      <c r="P994" s="101">
        <v>0</v>
      </c>
      <c r="Q994" s="101">
        <v>0</v>
      </c>
      <c r="R994" s="101">
        <v>0</v>
      </c>
      <c r="S994" s="106">
        <v>0</v>
      </c>
      <c r="T994" s="101">
        <v>0</v>
      </c>
      <c r="U994" s="101">
        <v>1</v>
      </c>
      <c r="V994" s="101">
        <v>1</v>
      </c>
      <c r="W994" s="101">
        <v>0</v>
      </c>
      <c r="X994" s="60">
        <v>2</v>
      </c>
      <c r="Y994" s="12">
        <v>0</v>
      </c>
      <c r="Z994" s="60">
        <v>750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0" t="s">
        <v>2221</v>
      </c>
      <c r="AV994" s="355" t="s">
        <v>2176</v>
      </c>
      <c r="AW994" s="19" t="s">
        <v>199</v>
      </c>
      <c r="AX994" s="101" t="s">
        <v>534</v>
      </c>
      <c r="AY994" s="100">
        <v>10000001</v>
      </c>
      <c r="AZ994" s="64">
        <v>21300110</v>
      </c>
      <c r="BA994" s="99" t="s">
        <v>2222</v>
      </c>
      <c r="BB994" s="101" t="s">
        <v>2223</v>
      </c>
      <c r="BC994" s="106">
        <v>0</v>
      </c>
      <c r="BD994" s="106">
        <v>0</v>
      </c>
      <c r="BE994" s="183" t="str">
        <f>"向前方投掷一个冰魔球,魔球会向前方推进且对附近区域内的目标造成"&amp;X994*100&amp;"%攻击伤害+"&amp;Z994&amp;"点固定伤害,且给目标附加一层魔法印记,并使移动速度降低50%,持续5秒"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4" s="183" t="s">
        <v>2224</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6"/>
      <c r="B995" s="216"/>
      <c r="C995" s="100">
        <v>64012102</v>
      </c>
      <c r="D995" s="99" t="s">
        <v>2219</v>
      </c>
      <c r="E995" s="99" t="s">
        <v>2220</v>
      </c>
      <c r="F995" s="172">
        <v>1</v>
      </c>
      <c r="G995" s="100">
        <v>64012101</v>
      </c>
      <c r="H995" s="100">
        <v>64012103</v>
      </c>
      <c r="I995" s="105">
        <v>0</v>
      </c>
      <c r="J995" s="12">
        <v>1</v>
      </c>
      <c r="K995" s="12">
        <v>2</v>
      </c>
      <c r="L995" s="101">
        <v>0</v>
      </c>
      <c r="M995" s="101">
        <v>0</v>
      </c>
      <c r="N995" s="101">
        <v>0</v>
      </c>
      <c r="O995" s="101">
        <v>1</v>
      </c>
      <c r="P995" s="101">
        <v>0</v>
      </c>
      <c r="Q995" s="101">
        <v>0</v>
      </c>
      <c r="R995" s="101">
        <v>0</v>
      </c>
      <c r="S995" s="106">
        <v>0</v>
      </c>
      <c r="T995" s="101">
        <v>0</v>
      </c>
      <c r="U995" s="101">
        <v>1</v>
      </c>
      <c r="V995" s="101">
        <v>1</v>
      </c>
      <c r="W995" s="101">
        <v>0</v>
      </c>
      <c r="X995" s="60">
        <v>2</v>
      </c>
      <c r="Y995" s="12">
        <v>0</v>
      </c>
      <c r="Z995" s="60">
        <v>750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0" t="s">
        <v>2221</v>
      </c>
      <c r="AV995" s="355" t="s">
        <v>2176</v>
      </c>
      <c r="AW995" s="19" t="s">
        <v>199</v>
      </c>
      <c r="AX995" s="101" t="s">
        <v>534</v>
      </c>
      <c r="AY995" s="100">
        <v>10000001</v>
      </c>
      <c r="AZ995" s="64">
        <v>21300110</v>
      </c>
      <c r="BA995" s="99" t="s">
        <v>2222</v>
      </c>
      <c r="BB995" s="101" t="s">
        <v>2223</v>
      </c>
      <c r="BC995" s="106">
        <v>0</v>
      </c>
      <c r="BD995" s="106">
        <v>0</v>
      </c>
      <c r="BE995" s="183" t="str">
        <f t="shared" ref="BE995:BE999" si="114">"向前方投掷一个冰魔球,魔球会向前方推进且对附近区域内的目标造成"&amp;X995*100&amp;"%攻击伤害+"&amp;Z995&amp;"点固定伤害,且给目标附加一层魔法印记,并使移动速度降低50%,持续5秒"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5" s="183" t="s">
        <v>2224</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6"/>
      <c r="B996" s="216"/>
      <c r="C996" s="100">
        <v>64012103</v>
      </c>
      <c r="D996" s="99" t="s">
        <v>2219</v>
      </c>
      <c r="E996" s="99" t="s">
        <v>2220</v>
      </c>
      <c r="F996" s="172">
        <v>2</v>
      </c>
      <c r="G996" s="100">
        <v>64012101</v>
      </c>
      <c r="H996" s="100">
        <v>64012104</v>
      </c>
      <c r="I996" s="105">
        <v>0</v>
      </c>
      <c r="J996" s="12">
        <v>1</v>
      </c>
      <c r="K996" s="12">
        <v>2</v>
      </c>
      <c r="L996" s="101">
        <v>0</v>
      </c>
      <c r="M996" s="101">
        <v>0</v>
      </c>
      <c r="N996" s="101">
        <v>0</v>
      </c>
      <c r="O996" s="101">
        <v>1</v>
      </c>
      <c r="P996" s="101">
        <v>0</v>
      </c>
      <c r="Q996" s="101">
        <v>0</v>
      </c>
      <c r="R996" s="101">
        <v>0</v>
      </c>
      <c r="S996" s="106">
        <v>0</v>
      </c>
      <c r="T996" s="101">
        <v>0</v>
      </c>
      <c r="U996" s="101">
        <v>1</v>
      </c>
      <c r="V996" s="101">
        <v>1</v>
      </c>
      <c r="W996" s="101">
        <v>0</v>
      </c>
      <c r="X996" s="60">
        <v>2.2000000000000002</v>
      </c>
      <c r="Y996" s="12">
        <v>0</v>
      </c>
      <c r="Z996" s="60">
        <v>1500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0" t="s">
        <v>2221</v>
      </c>
      <c r="AV996" s="355"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向前方投掷一个冰魔球,魔球会向前方推进且对附近区域内的目标造成220%攻击伤害+1500点固定伤害,且给目标附加一层魔法印记,并使移动速度降低50%,持续5秒</v>
      </c>
      <c r="BF996" s="183" t="s">
        <v>2225</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2" customFormat="1" ht="19.5" customHeight="1">
      <c r="A997" s="216"/>
      <c r="B997" s="216"/>
      <c r="C997" s="100">
        <v>64012104</v>
      </c>
      <c r="D997" s="99" t="s">
        <v>2219</v>
      </c>
      <c r="E997" s="99" t="s">
        <v>2220</v>
      </c>
      <c r="F997" s="172">
        <v>3</v>
      </c>
      <c r="G997" s="100">
        <v>64012101</v>
      </c>
      <c r="H997" s="101">
        <v>0</v>
      </c>
      <c r="I997" s="105">
        <v>0</v>
      </c>
      <c r="J997" s="12">
        <v>1</v>
      </c>
      <c r="K997" s="12">
        <v>0</v>
      </c>
      <c r="L997" s="101">
        <v>0</v>
      </c>
      <c r="M997" s="101">
        <v>0</v>
      </c>
      <c r="N997" s="101">
        <v>0</v>
      </c>
      <c r="O997" s="101">
        <v>1</v>
      </c>
      <c r="P997" s="101">
        <v>0</v>
      </c>
      <c r="Q997" s="101">
        <v>0</v>
      </c>
      <c r="R997" s="101">
        <v>0</v>
      </c>
      <c r="S997" s="106">
        <v>0</v>
      </c>
      <c r="T997" s="101">
        <v>0</v>
      </c>
      <c r="U997" s="101">
        <v>1</v>
      </c>
      <c r="V997" s="101">
        <v>1</v>
      </c>
      <c r="W997" s="101">
        <v>0</v>
      </c>
      <c r="X997" s="60">
        <v>2.4</v>
      </c>
      <c r="Y997" s="12">
        <v>0</v>
      </c>
      <c r="Z997" s="60">
        <v>2250</v>
      </c>
      <c r="AA997" s="101">
        <v>0</v>
      </c>
      <c r="AB997" s="101">
        <v>0</v>
      </c>
      <c r="AC997" s="101">
        <v>0</v>
      </c>
      <c r="AD997" s="101">
        <v>0</v>
      </c>
      <c r="AE997" s="101">
        <v>0</v>
      </c>
      <c r="AF997" s="101">
        <v>7</v>
      </c>
      <c r="AG997" s="101">
        <v>1</v>
      </c>
      <c r="AH997" s="114">
        <v>2</v>
      </c>
      <c r="AI997" s="106">
        <v>2</v>
      </c>
      <c r="AJ997" s="106">
        <v>2</v>
      </c>
      <c r="AK997" s="106">
        <v>0</v>
      </c>
      <c r="AL997" s="106">
        <v>3</v>
      </c>
      <c r="AM997" s="101">
        <v>0</v>
      </c>
      <c r="AN997" s="101">
        <v>0</v>
      </c>
      <c r="AO997" s="101">
        <v>0</v>
      </c>
      <c r="AP997" s="101">
        <v>0.2</v>
      </c>
      <c r="AQ997" s="101">
        <v>2000</v>
      </c>
      <c r="AR997" s="101">
        <v>0.2</v>
      </c>
      <c r="AS997" s="101">
        <v>5</v>
      </c>
      <c r="AT997" s="106">
        <v>0</v>
      </c>
      <c r="AU997" s="340" t="s">
        <v>2221</v>
      </c>
      <c r="AV997" s="355" t="s">
        <v>2176</v>
      </c>
      <c r="AW997" s="19" t="s">
        <v>199</v>
      </c>
      <c r="AX997" s="101" t="s">
        <v>534</v>
      </c>
      <c r="AY997" s="100">
        <v>10000001</v>
      </c>
      <c r="AZ997" s="64">
        <v>21300110</v>
      </c>
      <c r="BA997" s="99" t="s">
        <v>2222</v>
      </c>
      <c r="BB997" s="101" t="s">
        <v>2223</v>
      </c>
      <c r="BC997" s="106">
        <v>0</v>
      </c>
      <c r="BD997" s="106">
        <v>0</v>
      </c>
      <c r="BE997" s="183" t="str">
        <f t="shared" si="114"/>
        <v>向前方投掷一个冰魔球,魔球会向前方推进且对附近区域内的目标造成240%攻击伤害+2250点固定伤害,且给目标附加一层魔法印记,并使移动速度降低50%,持续5秒</v>
      </c>
      <c r="BF997" s="183" t="s">
        <v>2226</v>
      </c>
      <c r="BG997" s="101">
        <v>0</v>
      </c>
      <c r="BH997" s="101">
        <v>0</v>
      </c>
      <c r="BI997" s="101">
        <v>0</v>
      </c>
      <c r="BJ997" s="101">
        <v>0</v>
      </c>
      <c r="BK997" s="101">
        <v>0</v>
      </c>
      <c r="BL997" s="101">
        <v>0</v>
      </c>
      <c r="BM997" s="97">
        <v>0</v>
      </c>
      <c r="BN997" s="106">
        <v>0</v>
      </c>
      <c r="BO997" s="106">
        <v>0</v>
      </c>
      <c r="BP997" s="106">
        <v>0</v>
      </c>
      <c r="BQ997" s="106">
        <v>0</v>
      </c>
      <c r="BR997" s="106">
        <v>0</v>
      </c>
      <c r="BS997" s="106">
        <v>0</v>
      </c>
      <c r="BT997" s="106">
        <v>0</v>
      </c>
      <c r="BU997" s="106">
        <v>0</v>
      </c>
      <c r="BV997" s="47"/>
      <c r="BW997" s="47"/>
    </row>
    <row r="998" spans="1:75" s="2" customFormat="1" ht="19.5" customHeight="1">
      <c r="A998" s="216"/>
      <c r="B998" s="216"/>
      <c r="C998" s="100">
        <v>64012105</v>
      </c>
      <c r="D998" s="99" t="s">
        <v>2219</v>
      </c>
      <c r="E998" s="99" t="s">
        <v>2220</v>
      </c>
      <c r="F998" s="172">
        <v>4</v>
      </c>
      <c r="G998" s="100">
        <v>64012101</v>
      </c>
      <c r="H998" s="101">
        <v>0</v>
      </c>
      <c r="I998" s="105">
        <v>0</v>
      </c>
      <c r="J998" s="12">
        <v>1</v>
      </c>
      <c r="K998" s="12">
        <v>0</v>
      </c>
      <c r="L998" s="101">
        <v>0</v>
      </c>
      <c r="M998" s="101">
        <v>0</v>
      </c>
      <c r="N998" s="101">
        <v>0</v>
      </c>
      <c r="O998" s="101">
        <v>1</v>
      </c>
      <c r="P998" s="101">
        <v>0</v>
      </c>
      <c r="Q998" s="101">
        <v>0</v>
      </c>
      <c r="R998" s="101">
        <v>0</v>
      </c>
      <c r="S998" s="106">
        <v>0</v>
      </c>
      <c r="T998" s="101">
        <v>0</v>
      </c>
      <c r="U998" s="101">
        <v>1</v>
      </c>
      <c r="V998" s="101">
        <v>1</v>
      </c>
      <c r="W998" s="101">
        <v>0</v>
      </c>
      <c r="X998" s="60">
        <v>2.6</v>
      </c>
      <c r="Y998" s="12">
        <v>0</v>
      </c>
      <c r="Z998" s="60">
        <v>3250</v>
      </c>
      <c r="AA998" s="101">
        <v>0</v>
      </c>
      <c r="AB998" s="101">
        <v>0</v>
      </c>
      <c r="AC998" s="101">
        <v>0</v>
      </c>
      <c r="AD998" s="101">
        <v>0</v>
      </c>
      <c r="AE998" s="101">
        <v>0</v>
      </c>
      <c r="AF998" s="101">
        <v>7</v>
      </c>
      <c r="AG998" s="101">
        <v>1</v>
      </c>
      <c r="AH998" s="114">
        <v>2</v>
      </c>
      <c r="AI998" s="106">
        <v>2</v>
      </c>
      <c r="AJ998" s="106">
        <v>2</v>
      </c>
      <c r="AK998" s="106">
        <v>0</v>
      </c>
      <c r="AL998" s="106">
        <v>3</v>
      </c>
      <c r="AM998" s="101">
        <v>0</v>
      </c>
      <c r="AN998" s="101">
        <v>0</v>
      </c>
      <c r="AO998" s="101">
        <v>0</v>
      </c>
      <c r="AP998" s="101">
        <v>0.2</v>
      </c>
      <c r="AQ998" s="101">
        <v>2000</v>
      </c>
      <c r="AR998" s="101">
        <v>0.2</v>
      </c>
      <c r="AS998" s="101">
        <v>5</v>
      </c>
      <c r="AT998" s="106">
        <v>0</v>
      </c>
      <c r="AU998" s="340" t="s">
        <v>2221</v>
      </c>
      <c r="AV998" s="355" t="s">
        <v>2176</v>
      </c>
      <c r="AW998" s="19" t="s">
        <v>199</v>
      </c>
      <c r="AX998" s="101" t="s">
        <v>534</v>
      </c>
      <c r="AY998" s="100">
        <v>10000001</v>
      </c>
      <c r="AZ998" s="64">
        <v>21300110</v>
      </c>
      <c r="BA998" s="99" t="s">
        <v>2222</v>
      </c>
      <c r="BB998" s="101" t="s">
        <v>2223</v>
      </c>
      <c r="BC998" s="106">
        <v>0</v>
      </c>
      <c r="BD998" s="106">
        <v>0</v>
      </c>
      <c r="BE998" s="183" t="str">
        <f t="shared" si="114"/>
        <v>向前方投掷一个冰魔球,魔球会向前方推进且对附近区域内的目标造成260%攻击伤害+3250点固定伤害,且给目标附加一层魔法印记,并使移动速度降低50%,持续5秒</v>
      </c>
      <c r="BF998" s="183" t="s">
        <v>2227</v>
      </c>
      <c r="BG998" s="101">
        <v>0</v>
      </c>
      <c r="BH998" s="101">
        <v>0</v>
      </c>
      <c r="BI998" s="101">
        <v>0</v>
      </c>
      <c r="BJ998" s="101">
        <v>0</v>
      </c>
      <c r="BK998" s="101">
        <v>0</v>
      </c>
      <c r="BL998" s="101">
        <v>0</v>
      </c>
      <c r="BM998" s="97">
        <v>0</v>
      </c>
      <c r="BN998" s="106">
        <v>0</v>
      </c>
      <c r="BO998" s="106">
        <v>0</v>
      </c>
      <c r="BP998" s="106">
        <v>0</v>
      </c>
      <c r="BQ998" s="106">
        <v>0</v>
      </c>
      <c r="BR998" s="106">
        <v>0</v>
      </c>
      <c r="BS998" s="106">
        <v>0</v>
      </c>
      <c r="BT998" s="106">
        <v>0</v>
      </c>
      <c r="BU998" s="106">
        <v>0</v>
      </c>
      <c r="BV998" s="47"/>
      <c r="BW998" s="47"/>
    </row>
    <row r="999" spans="1:75" s="2" customFormat="1" ht="19.5" customHeight="1">
      <c r="A999" s="216"/>
      <c r="B999" s="216"/>
      <c r="C999" s="100">
        <v>64012106</v>
      </c>
      <c r="D999" s="99" t="s">
        <v>2219</v>
      </c>
      <c r="E999" s="99" t="s">
        <v>2220</v>
      </c>
      <c r="F999" s="172">
        <v>5</v>
      </c>
      <c r="G999" s="100">
        <v>64012101</v>
      </c>
      <c r="H999" s="101">
        <v>0</v>
      </c>
      <c r="I999" s="105">
        <v>0</v>
      </c>
      <c r="J999" s="12">
        <v>1</v>
      </c>
      <c r="K999" s="12">
        <v>0</v>
      </c>
      <c r="L999" s="101">
        <v>0</v>
      </c>
      <c r="M999" s="101">
        <v>0</v>
      </c>
      <c r="N999" s="101">
        <v>0</v>
      </c>
      <c r="O999" s="101">
        <v>1</v>
      </c>
      <c r="P999" s="101">
        <v>0</v>
      </c>
      <c r="Q999" s="101">
        <v>0</v>
      </c>
      <c r="R999" s="101">
        <v>0</v>
      </c>
      <c r="S999" s="106">
        <v>0</v>
      </c>
      <c r="T999" s="101">
        <v>0</v>
      </c>
      <c r="U999" s="101">
        <v>1</v>
      </c>
      <c r="V999" s="101">
        <v>1</v>
      </c>
      <c r="W999" s="101">
        <v>0</v>
      </c>
      <c r="X999" s="60">
        <v>2.8</v>
      </c>
      <c r="Y999" s="12">
        <v>0</v>
      </c>
      <c r="Z999" s="60">
        <v>4250</v>
      </c>
      <c r="AA999" s="101">
        <v>0</v>
      </c>
      <c r="AB999" s="101">
        <v>0</v>
      </c>
      <c r="AC999" s="101">
        <v>0</v>
      </c>
      <c r="AD999" s="101">
        <v>0</v>
      </c>
      <c r="AE999" s="101">
        <v>0</v>
      </c>
      <c r="AF999" s="101">
        <v>7</v>
      </c>
      <c r="AG999" s="101">
        <v>1</v>
      </c>
      <c r="AH999" s="114">
        <v>2</v>
      </c>
      <c r="AI999" s="106">
        <v>2</v>
      </c>
      <c r="AJ999" s="106">
        <v>2</v>
      </c>
      <c r="AK999" s="106">
        <v>0</v>
      </c>
      <c r="AL999" s="106">
        <v>3</v>
      </c>
      <c r="AM999" s="101">
        <v>0</v>
      </c>
      <c r="AN999" s="101">
        <v>0</v>
      </c>
      <c r="AO999" s="101">
        <v>0</v>
      </c>
      <c r="AP999" s="101">
        <v>0.2</v>
      </c>
      <c r="AQ999" s="101">
        <v>2000</v>
      </c>
      <c r="AR999" s="101">
        <v>0.2</v>
      </c>
      <c r="AS999" s="101">
        <v>5</v>
      </c>
      <c r="AT999" s="106">
        <v>0</v>
      </c>
      <c r="AU999" s="340" t="s">
        <v>2221</v>
      </c>
      <c r="AV999" s="355" t="s">
        <v>2176</v>
      </c>
      <c r="AW999" s="19" t="s">
        <v>199</v>
      </c>
      <c r="AX999" s="101" t="s">
        <v>534</v>
      </c>
      <c r="AY999" s="100">
        <v>10000001</v>
      </c>
      <c r="AZ999" s="64">
        <v>21300110</v>
      </c>
      <c r="BA999" s="99" t="s">
        <v>2222</v>
      </c>
      <c r="BB999" s="101" t="s">
        <v>2223</v>
      </c>
      <c r="BC999" s="106">
        <v>0</v>
      </c>
      <c r="BD999" s="106">
        <v>0</v>
      </c>
      <c r="BE999" s="183" t="str">
        <f t="shared" si="114"/>
        <v>向前方投掷一个冰魔球,魔球会向前方推进且对附近区域内的目标造成280%攻击伤害+4250点固定伤害,且给目标附加一层魔法印记,并使移动速度降低50%,持续5秒</v>
      </c>
      <c r="BF999" s="183" t="s">
        <v>2228</v>
      </c>
      <c r="BG999" s="101">
        <v>0</v>
      </c>
      <c r="BH999" s="101">
        <v>0</v>
      </c>
      <c r="BI999" s="101">
        <v>0</v>
      </c>
      <c r="BJ999" s="101">
        <v>0</v>
      </c>
      <c r="BK999" s="101">
        <v>0</v>
      </c>
      <c r="BL999" s="101">
        <v>0</v>
      </c>
      <c r="BM999" s="97">
        <v>0</v>
      </c>
      <c r="BN999" s="106">
        <v>0</v>
      </c>
      <c r="BO999" s="106">
        <v>0</v>
      </c>
      <c r="BP999" s="106">
        <v>0</v>
      </c>
      <c r="BQ999" s="106">
        <v>0</v>
      </c>
      <c r="BR999" s="106">
        <v>0</v>
      </c>
      <c r="BS999" s="106">
        <v>0</v>
      </c>
      <c r="BT999" s="106">
        <v>0</v>
      </c>
      <c r="BU999" s="106">
        <v>0</v>
      </c>
      <c r="BV999" s="47"/>
      <c r="BW999" s="47"/>
    </row>
    <row r="1000" spans="1:75" s="1" customFormat="1" ht="20.100000000000001" customHeight="1">
      <c r="A1000" s="215"/>
      <c r="B1000" s="215"/>
      <c r="C1000" s="64">
        <v>64012201</v>
      </c>
      <c r="D1000" s="59" t="s">
        <v>2229</v>
      </c>
      <c r="E1000" s="59" t="s">
        <v>2230</v>
      </c>
      <c r="F1000" s="172">
        <v>0</v>
      </c>
      <c r="G1000" s="64">
        <v>64012201</v>
      </c>
      <c r="H1000" s="64">
        <v>64012202</v>
      </c>
      <c r="I1000" s="66">
        <v>0</v>
      </c>
      <c r="J1000" s="16">
        <v>3</v>
      </c>
      <c r="K1000" s="16">
        <v>5</v>
      </c>
      <c r="L1000" s="64">
        <v>0</v>
      </c>
      <c r="M1000" s="60">
        <v>0</v>
      </c>
      <c r="N1000" s="60">
        <v>0</v>
      </c>
      <c r="O1000" s="60">
        <v>1</v>
      </c>
      <c r="P1000" s="60">
        <v>0</v>
      </c>
      <c r="Q1000" s="60">
        <v>0</v>
      </c>
      <c r="R1000" s="60">
        <v>0</v>
      </c>
      <c r="S1000" s="68">
        <v>0</v>
      </c>
      <c r="T1000" s="60">
        <v>0</v>
      </c>
      <c r="U1000" s="60">
        <v>1</v>
      </c>
      <c r="V1000" s="60">
        <v>1</v>
      </c>
      <c r="W1000" s="60">
        <v>0</v>
      </c>
      <c r="X1000" s="60">
        <v>2</v>
      </c>
      <c r="Y1000" s="12">
        <v>0</v>
      </c>
      <c r="Z1000" s="60">
        <v>750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"运用自己擅长的魔法,立即对目标区域内的目标造成"&amp;X1000*100&amp;"%攻击伤害+"&amp;Z1000&amp;"点固定伤害,并使其眩晕1秒.如果目标有魔法印记状态则对目标额外造成30%*层数的伤害"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0" s="183" t="s">
        <v>2231</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5" t="s">
        <v>2185</v>
      </c>
      <c r="BV1000" s="47"/>
      <c r="BW1000" s="47"/>
    </row>
    <row r="1001" spans="1:75" s="1" customFormat="1" ht="20.100000000000001" customHeight="1">
      <c r="A1001" s="215"/>
      <c r="B1001" s="215"/>
      <c r="C1001" s="64">
        <v>64012202</v>
      </c>
      <c r="D1001" s="59" t="s">
        <v>2229</v>
      </c>
      <c r="E1001" s="59" t="s">
        <v>2230</v>
      </c>
      <c r="F1001" s="172">
        <v>1</v>
      </c>
      <c r="G1001" s="64">
        <v>64012201</v>
      </c>
      <c r="H1001" s="64">
        <v>64012203</v>
      </c>
      <c r="I1001" s="66">
        <v>0</v>
      </c>
      <c r="J1001" s="16">
        <v>3</v>
      </c>
      <c r="K1001" s="16">
        <v>2</v>
      </c>
      <c r="L1001" s="64">
        <v>0</v>
      </c>
      <c r="M1001" s="60">
        <v>0</v>
      </c>
      <c r="N1001" s="60">
        <v>0</v>
      </c>
      <c r="O1001" s="60">
        <v>1</v>
      </c>
      <c r="P1001" s="60">
        <v>0</v>
      </c>
      <c r="Q1001" s="60">
        <v>0</v>
      </c>
      <c r="R1001" s="60">
        <v>0</v>
      </c>
      <c r="S1001" s="68">
        <v>0</v>
      </c>
      <c r="T1001" s="60">
        <v>0</v>
      </c>
      <c r="U1001" s="60">
        <v>1</v>
      </c>
      <c r="V1001" s="60">
        <v>1</v>
      </c>
      <c r="W1001" s="60">
        <v>0</v>
      </c>
      <c r="X1001" s="60">
        <v>2</v>
      </c>
      <c r="Y1001" s="12">
        <v>0</v>
      </c>
      <c r="Z1001" s="60">
        <v>750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ref="BE1001:BE1005" si="115">"运用自己擅长的魔法,立即对目标区域内的目标造成"&amp;X1001*100&amp;"%攻击伤害+"&amp;Z1001&amp;"点固定伤害,并使其眩晕1秒.如果目标有魔法印记状态则对目标额外造成30%*层数的伤害"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1" s="183" t="s">
        <v>2231</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5" t="s">
        <v>2185</v>
      </c>
      <c r="BV1001" s="47"/>
      <c r="BW1001" s="47"/>
    </row>
    <row r="1002" spans="1:75" s="1" customFormat="1" ht="20.100000000000001" customHeight="1">
      <c r="A1002" s="215"/>
      <c r="B1002" s="215"/>
      <c r="C1002" s="64">
        <v>64012203</v>
      </c>
      <c r="D1002" s="59" t="s">
        <v>2229</v>
      </c>
      <c r="E1002" s="59" t="s">
        <v>2230</v>
      </c>
      <c r="F1002" s="172">
        <v>2</v>
      </c>
      <c r="G1002" s="64">
        <v>64012201</v>
      </c>
      <c r="H1002" s="64">
        <v>64012204</v>
      </c>
      <c r="I1002" s="66">
        <v>0</v>
      </c>
      <c r="J1002" s="16">
        <v>3</v>
      </c>
      <c r="K1002" s="16">
        <v>2</v>
      </c>
      <c r="L1002" s="64">
        <v>0</v>
      </c>
      <c r="M1002" s="60">
        <v>0</v>
      </c>
      <c r="N1002" s="60">
        <v>0</v>
      </c>
      <c r="O1002" s="60">
        <v>1</v>
      </c>
      <c r="P1002" s="60">
        <v>0</v>
      </c>
      <c r="Q1002" s="60">
        <v>0</v>
      </c>
      <c r="R1002" s="60">
        <v>0</v>
      </c>
      <c r="S1002" s="68">
        <v>0</v>
      </c>
      <c r="T1002" s="60">
        <v>0</v>
      </c>
      <c r="U1002" s="60">
        <v>1</v>
      </c>
      <c r="V1002" s="60">
        <v>1</v>
      </c>
      <c r="W1002" s="60">
        <v>0</v>
      </c>
      <c r="X1002" s="60">
        <v>2.25</v>
      </c>
      <c r="Y1002" s="12">
        <v>0</v>
      </c>
      <c r="Z1002" s="60">
        <v>1500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运用自己擅长的魔法,立即对目标区域内的目标造成225%攻击伤害+1500点固定伤害,并使其眩晕1秒.如果目标有魔法印记状态则对目标额外造成30%*层数的伤害</v>
      </c>
      <c r="BF1002" s="183" t="s">
        <v>2232</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5" t="s">
        <v>2185</v>
      </c>
      <c r="BV1002" s="47"/>
      <c r="BW1002" s="47"/>
    </row>
    <row r="1003" spans="1:75" s="1" customFormat="1" ht="20.100000000000001" customHeight="1">
      <c r="A1003" s="215"/>
      <c r="B1003" s="215"/>
      <c r="C1003" s="64">
        <v>64012204</v>
      </c>
      <c r="D1003" s="59" t="s">
        <v>2229</v>
      </c>
      <c r="E1003" s="59" t="s">
        <v>2230</v>
      </c>
      <c r="F1003" s="172">
        <v>3</v>
      </c>
      <c r="G1003" s="64">
        <v>64012201</v>
      </c>
      <c r="H1003" s="64">
        <v>0</v>
      </c>
      <c r="I1003" s="66">
        <v>0</v>
      </c>
      <c r="J1003" s="16">
        <v>3</v>
      </c>
      <c r="K1003" s="16">
        <v>0</v>
      </c>
      <c r="L1003" s="64">
        <v>0</v>
      </c>
      <c r="M1003" s="60">
        <v>0</v>
      </c>
      <c r="N1003" s="60">
        <v>0</v>
      </c>
      <c r="O1003" s="60">
        <v>1</v>
      </c>
      <c r="P1003" s="60">
        <v>0</v>
      </c>
      <c r="Q1003" s="60">
        <v>0</v>
      </c>
      <c r="R1003" s="60">
        <v>0</v>
      </c>
      <c r="S1003" s="68">
        <v>0</v>
      </c>
      <c r="T1003" s="60">
        <v>0</v>
      </c>
      <c r="U1003" s="60">
        <v>1</v>
      </c>
      <c r="V1003" s="60">
        <v>1</v>
      </c>
      <c r="W1003" s="60">
        <v>0</v>
      </c>
      <c r="X1003" s="60">
        <v>2.5</v>
      </c>
      <c r="Y1003" s="12">
        <v>0</v>
      </c>
      <c r="Z1003" s="60">
        <v>2250</v>
      </c>
      <c r="AA1003" s="60">
        <v>0</v>
      </c>
      <c r="AB1003" s="60">
        <v>0</v>
      </c>
      <c r="AC1003" s="60">
        <v>0</v>
      </c>
      <c r="AD1003" s="60">
        <v>0</v>
      </c>
      <c r="AE1003" s="60">
        <v>0</v>
      </c>
      <c r="AF1003" s="60">
        <v>9</v>
      </c>
      <c r="AG1003" s="60">
        <v>1</v>
      </c>
      <c r="AH1003" s="176">
        <v>3</v>
      </c>
      <c r="AI1003" s="175">
        <v>2</v>
      </c>
      <c r="AJ1003" s="175">
        <v>1</v>
      </c>
      <c r="AK1003" s="175">
        <v>0</v>
      </c>
      <c r="AL1003" s="175">
        <v>6</v>
      </c>
      <c r="AM1003" s="60">
        <v>0</v>
      </c>
      <c r="AN1003" s="60">
        <v>0</v>
      </c>
      <c r="AO1003" s="60">
        <v>0</v>
      </c>
      <c r="AP1003" s="60">
        <v>0.2</v>
      </c>
      <c r="AQ1003" s="60">
        <v>3000</v>
      </c>
      <c r="AR1003" s="60">
        <v>0.4</v>
      </c>
      <c r="AS1003" s="60">
        <v>0</v>
      </c>
      <c r="AT1003" s="68">
        <v>0</v>
      </c>
      <c r="AU1003" s="60">
        <v>95100005</v>
      </c>
      <c r="AV1003" s="79"/>
      <c r="AW1003" s="19" t="s">
        <v>199</v>
      </c>
      <c r="AX1003" s="60" t="s">
        <v>545</v>
      </c>
      <c r="AY1003" s="64">
        <v>10000001</v>
      </c>
      <c r="AZ1003" s="64">
        <v>21300120</v>
      </c>
      <c r="BA1003" s="200" t="s">
        <v>315</v>
      </c>
      <c r="BB1003" s="60">
        <v>1</v>
      </c>
      <c r="BC1003" s="66">
        <v>0</v>
      </c>
      <c r="BD1003" s="66">
        <v>0</v>
      </c>
      <c r="BE1003" s="183" t="str">
        <f t="shared" si="115"/>
        <v>运用自己擅长的魔法,立即对目标区域内的目标造成250%攻击伤害+2250点固定伤害,并使其眩晕1秒.如果目标有魔法印记状态则对目标额外造成30%*层数的伤害</v>
      </c>
      <c r="BF1003" s="183" t="s">
        <v>2233</v>
      </c>
      <c r="BG1003" s="60">
        <v>0</v>
      </c>
      <c r="BH1003" s="60">
        <v>0</v>
      </c>
      <c r="BI1003" s="60">
        <v>0</v>
      </c>
      <c r="BJ1003" s="60">
        <v>0</v>
      </c>
      <c r="BK1003" s="60">
        <v>0</v>
      </c>
      <c r="BL1003" s="60">
        <v>0</v>
      </c>
      <c r="BM1003" s="93">
        <v>0</v>
      </c>
      <c r="BN1003" s="68">
        <v>0</v>
      </c>
      <c r="BO1003" s="68">
        <v>0</v>
      </c>
      <c r="BP1003" s="68">
        <v>0</v>
      </c>
      <c r="BQ1003" s="68">
        <v>0</v>
      </c>
      <c r="BR1003" s="68">
        <v>0</v>
      </c>
      <c r="BS1003" s="68">
        <v>0</v>
      </c>
      <c r="BT1003" s="68">
        <v>0</v>
      </c>
      <c r="BU1003" s="335" t="s">
        <v>2185</v>
      </c>
      <c r="BV1003" s="47"/>
      <c r="BW1003" s="47"/>
    </row>
    <row r="1004" spans="1:75" s="1" customFormat="1" ht="20.100000000000001" customHeight="1">
      <c r="A1004" s="215"/>
      <c r="B1004" s="215"/>
      <c r="C1004" s="64">
        <v>64012205</v>
      </c>
      <c r="D1004" s="59" t="s">
        <v>2229</v>
      </c>
      <c r="E1004" s="59" t="s">
        <v>2230</v>
      </c>
      <c r="F1004" s="172">
        <v>4</v>
      </c>
      <c r="G1004" s="64">
        <v>64012201</v>
      </c>
      <c r="H1004" s="64">
        <v>0</v>
      </c>
      <c r="I1004" s="66">
        <v>0</v>
      </c>
      <c r="J1004" s="16">
        <v>3</v>
      </c>
      <c r="K1004" s="16">
        <v>0</v>
      </c>
      <c r="L1004" s="64">
        <v>0</v>
      </c>
      <c r="M1004" s="60">
        <v>0</v>
      </c>
      <c r="N1004" s="60">
        <v>0</v>
      </c>
      <c r="O1004" s="60">
        <v>1</v>
      </c>
      <c r="P1004" s="60">
        <v>0</v>
      </c>
      <c r="Q1004" s="60">
        <v>0</v>
      </c>
      <c r="R1004" s="60">
        <v>0</v>
      </c>
      <c r="S1004" s="68">
        <v>0</v>
      </c>
      <c r="T1004" s="60">
        <v>0</v>
      </c>
      <c r="U1004" s="60">
        <v>1</v>
      </c>
      <c r="V1004" s="60">
        <v>1</v>
      </c>
      <c r="W1004" s="60">
        <v>0</v>
      </c>
      <c r="X1004" s="60">
        <v>2.75</v>
      </c>
      <c r="Y1004" s="12">
        <v>0</v>
      </c>
      <c r="Z1004" s="60">
        <v>3250</v>
      </c>
      <c r="AA1004" s="60">
        <v>0</v>
      </c>
      <c r="AB1004" s="60">
        <v>0</v>
      </c>
      <c r="AC1004" s="60">
        <v>0</v>
      </c>
      <c r="AD1004" s="60">
        <v>0</v>
      </c>
      <c r="AE1004" s="60">
        <v>0</v>
      </c>
      <c r="AF1004" s="60">
        <v>9</v>
      </c>
      <c r="AG1004" s="60">
        <v>1</v>
      </c>
      <c r="AH1004" s="176">
        <v>3</v>
      </c>
      <c r="AI1004" s="175">
        <v>2</v>
      </c>
      <c r="AJ1004" s="175">
        <v>1</v>
      </c>
      <c r="AK1004" s="175">
        <v>0</v>
      </c>
      <c r="AL1004" s="175">
        <v>6</v>
      </c>
      <c r="AM1004" s="60">
        <v>0</v>
      </c>
      <c r="AN1004" s="60">
        <v>0</v>
      </c>
      <c r="AO1004" s="60">
        <v>0</v>
      </c>
      <c r="AP1004" s="60">
        <v>0.2</v>
      </c>
      <c r="AQ1004" s="60">
        <v>3000</v>
      </c>
      <c r="AR1004" s="60">
        <v>0.4</v>
      </c>
      <c r="AS1004" s="60">
        <v>0</v>
      </c>
      <c r="AT1004" s="68">
        <v>0</v>
      </c>
      <c r="AU1004" s="60">
        <v>95100005</v>
      </c>
      <c r="AV1004" s="79"/>
      <c r="AW1004" s="19" t="s">
        <v>199</v>
      </c>
      <c r="AX1004" s="60" t="s">
        <v>545</v>
      </c>
      <c r="AY1004" s="64">
        <v>10000001</v>
      </c>
      <c r="AZ1004" s="64">
        <v>21300120</v>
      </c>
      <c r="BA1004" s="200" t="s">
        <v>315</v>
      </c>
      <c r="BB1004" s="60">
        <v>1</v>
      </c>
      <c r="BC1004" s="66">
        <v>0</v>
      </c>
      <c r="BD1004" s="66">
        <v>0</v>
      </c>
      <c r="BE1004" s="183" t="str">
        <f t="shared" si="115"/>
        <v>运用自己擅长的魔法,立即对目标区域内的目标造成275%攻击伤害+3250点固定伤害,并使其眩晕1秒.如果目标有魔法印记状态则对目标额外造成30%*层数的伤害</v>
      </c>
      <c r="BF1004" s="183" t="s">
        <v>2234</v>
      </c>
      <c r="BG1004" s="60">
        <v>0</v>
      </c>
      <c r="BH1004" s="60">
        <v>0</v>
      </c>
      <c r="BI1004" s="60">
        <v>0</v>
      </c>
      <c r="BJ1004" s="60">
        <v>0</v>
      </c>
      <c r="BK1004" s="60">
        <v>0</v>
      </c>
      <c r="BL1004" s="60">
        <v>0</v>
      </c>
      <c r="BM1004" s="93">
        <v>0</v>
      </c>
      <c r="BN1004" s="68">
        <v>0</v>
      </c>
      <c r="BO1004" s="68">
        <v>0</v>
      </c>
      <c r="BP1004" s="68">
        <v>0</v>
      </c>
      <c r="BQ1004" s="68">
        <v>0</v>
      </c>
      <c r="BR1004" s="68">
        <v>0</v>
      </c>
      <c r="BS1004" s="68">
        <v>0</v>
      </c>
      <c r="BT1004" s="68">
        <v>0</v>
      </c>
      <c r="BU1004" s="335" t="s">
        <v>2185</v>
      </c>
      <c r="BV1004" s="47"/>
      <c r="BW1004" s="47"/>
    </row>
    <row r="1005" spans="1:75" s="1" customFormat="1" ht="20.100000000000001" customHeight="1">
      <c r="A1005" s="215"/>
      <c r="B1005" s="215"/>
      <c r="C1005" s="64">
        <v>64012206</v>
      </c>
      <c r="D1005" s="59" t="s">
        <v>2229</v>
      </c>
      <c r="E1005" s="59" t="s">
        <v>2230</v>
      </c>
      <c r="F1005" s="172">
        <v>5</v>
      </c>
      <c r="G1005" s="64">
        <v>64012201</v>
      </c>
      <c r="H1005" s="64">
        <v>0</v>
      </c>
      <c r="I1005" s="66">
        <v>0</v>
      </c>
      <c r="J1005" s="16">
        <v>3</v>
      </c>
      <c r="K1005" s="16">
        <v>0</v>
      </c>
      <c r="L1005" s="64">
        <v>0</v>
      </c>
      <c r="M1005" s="60">
        <v>0</v>
      </c>
      <c r="N1005" s="60">
        <v>0</v>
      </c>
      <c r="O1005" s="60">
        <v>1</v>
      </c>
      <c r="P1005" s="60">
        <v>0</v>
      </c>
      <c r="Q1005" s="60">
        <v>0</v>
      </c>
      <c r="R1005" s="60">
        <v>0</v>
      </c>
      <c r="S1005" s="68">
        <v>0</v>
      </c>
      <c r="T1005" s="60">
        <v>0</v>
      </c>
      <c r="U1005" s="60">
        <v>1</v>
      </c>
      <c r="V1005" s="60">
        <v>1</v>
      </c>
      <c r="W1005" s="60">
        <v>0</v>
      </c>
      <c r="X1005" s="60">
        <v>3</v>
      </c>
      <c r="Y1005" s="12">
        <v>0</v>
      </c>
      <c r="Z1005" s="60">
        <v>4250</v>
      </c>
      <c r="AA1005" s="60">
        <v>0</v>
      </c>
      <c r="AB1005" s="60">
        <v>0</v>
      </c>
      <c r="AC1005" s="60">
        <v>0</v>
      </c>
      <c r="AD1005" s="60">
        <v>0</v>
      </c>
      <c r="AE1005" s="60">
        <v>0</v>
      </c>
      <c r="AF1005" s="60">
        <v>9</v>
      </c>
      <c r="AG1005" s="60">
        <v>1</v>
      </c>
      <c r="AH1005" s="176">
        <v>3</v>
      </c>
      <c r="AI1005" s="175">
        <v>2</v>
      </c>
      <c r="AJ1005" s="175">
        <v>1</v>
      </c>
      <c r="AK1005" s="175">
        <v>0</v>
      </c>
      <c r="AL1005" s="175">
        <v>6</v>
      </c>
      <c r="AM1005" s="60">
        <v>0</v>
      </c>
      <c r="AN1005" s="60">
        <v>0</v>
      </c>
      <c r="AO1005" s="60">
        <v>0</v>
      </c>
      <c r="AP1005" s="60">
        <v>0.2</v>
      </c>
      <c r="AQ1005" s="60">
        <v>3000</v>
      </c>
      <c r="AR1005" s="60">
        <v>0.4</v>
      </c>
      <c r="AS1005" s="60">
        <v>0</v>
      </c>
      <c r="AT1005" s="68">
        <v>0</v>
      </c>
      <c r="AU1005" s="60">
        <v>95100005</v>
      </c>
      <c r="AV1005" s="79"/>
      <c r="AW1005" s="19" t="s">
        <v>199</v>
      </c>
      <c r="AX1005" s="60" t="s">
        <v>545</v>
      </c>
      <c r="AY1005" s="64">
        <v>10000001</v>
      </c>
      <c r="AZ1005" s="64">
        <v>21300120</v>
      </c>
      <c r="BA1005" s="200" t="s">
        <v>315</v>
      </c>
      <c r="BB1005" s="60">
        <v>1</v>
      </c>
      <c r="BC1005" s="66">
        <v>0</v>
      </c>
      <c r="BD1005" s="66">
        <v>0</v>
      </c>
      <c r="BE1005" s="183" t="str">
        <f t="shared" si="115"/>
        <v>运用自己擅长的魔法,立即对目标区域内的目标造成300%攻击伤害+4250点固定伤害,并使其眩晕1秒.如果目标有魔法印记状态则对目标额外造成30%*层数的伤害</v>
      </c>
      <c r="BF1005" s="183" t="s">
        <v>2235</v>
      </c>
      <c r="BG1005" s="60">
        <v>0</v>
      </c>
      <c r="BH1005" s="60">
        <v>0</v>
      </c>
      <c r="BI1005" s="60">
        <v>0</v>
      </c>
      <c r="BJ1005" s="60">
        <v>0</v>
      </c>
      <c r="BK1005" s="60">
        <v>0</v>
      </c>
      <c r="BL1005" s="60">
        <v>0</v>
      </c>
      <c r="BM1005" s="93">
        <v>0</v>
      </c>
      <c r="BN1005" s="68">
        <v>0</v>
      </c>
      <c r="BO1005" s="68">
        <v>0</v>
      </c>
      <c r="BP1005" s="68">
        <v>0</v>
      </c>
      <c r="BQ1005" s="68">
        <v>0</v>
      </c>
      <c r="BR1005" s="68">
        <v>0</v>
      </c>
      <c r="BS1005" s="68">
        <v>0</v>
      </c>
      <c r="BT1005" s="68">
        <v>0</v>
      </c>
      <c r="BU1005" s="335" t="s">
        <v>2185</v>
      </c>
      <c r="BV1005" s="47"/>
      <c r="BW1005" s="47"/>
    </row>
    <row r="1006" spans="1:75" s="2" customFormat="1" ht="20.100000000000001" customHeight="1">
      <c r="A1006" s="216"/>
      <c r="B1006" s="216"/>
      <c r="C1006" s="100">
        <v>64012301</v>
      </c>
      <c r="D1006" s="99" t="s">
        <v>2236</v>
      </c>
      <c r="E1006" s="99" t="s">
        <v>2237</v>
      </c>
      <c r="F1006" s="172">
        <v>0</v>
      </c>
      <c r="G1006" s="100">
        <v>64012301</v>
      </c>
      <c r="H1006" s="100">
        <v>64012302</v>
      </c>
      <c r="I1006" s="105">
        <v>0</v>
      </c>
      <c r="J1006" s="16">
        <v>5</v>
      </c>
      <c r="K1006" s="16">
        <v>5</v>
      </c>
      <c r="L1006" s="100">
        <v>0</v>
      </c>
      <c r="M1006" s="101">
        <v>0</v>
      </c>
      <c r="N1006" s="101">
        <v>0</v>
      </c>
      <c r="O1006" s="101">
        <v>1</v>
      </c>
      <c r="P1006" s="101">
        <v>0</v>
      </c>
      <c r="Q1006" s="101">
        <v>0</v>
      </c>
      <c r="R1006" s="101">
        <v>0</v>
      </c>
      <c r="S1006" s="106">
        <v>0</v>
      </c>
      <c r="T1006" s="101">
        <v>0</v>
      </c>
      <c r="U1006" s="101">
        <v>1</v>
      </c>
      <c r="V1006" s="101">
        <v>1</v>
      </c>
      <c r="W1006" s="101">
        <v>0</v>
      </c>
      <c r="X1006" s="60">
        <v>2</v>
      </c>
      <c r="Y1006" s="12">
        <v>0</v>
      </c>
      <c r="Z1006" s="60">
        <v>750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5" t="s">
        <v>2176</v>
      </c>
      <c r="AW1006" s="19" t="s">
        <v>199</v>
      </c>
      <c r="AX1006" s="101" t="s">
        <v>545</v>
      </c>
      <c r="AY1006" s="100">
        <v>0</v>
      </c>
      <c r="AZ1006" s="64">
        <v>21300130</v>
      </c>
      <c r="BA1006" s="99" t="s">
        <v>2238</v>
      </c>
      <c r="BB1006" s="101" t="s">
        <v>2239</v>
      </c>
      <c r="BC1006" s="105">
        <v>0</v>
      </c>
      <c r="BD1006" s="105">
        <v>0</v>
      </c>
      <c r="BE1006" s="183" t="str">
        <f>"向前方投掷一个火魔球,魔球会向前方推进且遇到敌方目标会自动停止移动,对附近区域内的目标造成"&amp;X1006*100&amp;"%攻击伤害+"&amp;Z1006&amp;"点固定伤害,且给目标附加一层魔法印记,并触发灼烧效果"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6" s="183" t="s">
        <v>2240</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6"/>
      <c r="B1007" s="216"/>
      <c r="C1007" s="100">
        <v>64012302</v>
      </c>
      <c r="D1007" s="99" t="s">
        <v>2236</v>
      </c>
      <c r="E1007" s="99" t="s">
        <v>2237</v>
      </c>
      <c r="F1007" s="172">
        <v>1</v>
      </c>
      <c r="G1007" s="100">
        <v>64012301</v>
      </c>
      <c r="H1007" s="100">
        <v>64012303</v>
      </c>
      <c r="I1007" s="105">
        <v>0</v>
      </c>
      <c r="J1007" s="16">
        <v>5</v>
      </c>
      <c r="K1007" s="16">
        <v>2</v>
      </c>
      <c r="L1007" s="100">
        <v>0</v>
      </c>
      <c r="M1007" s="101">
        <v>0</v>
      </c>
      <c r="N1007" s="101">
        <v>0</v>
      </c>
      <c r="O1007" s="101">
        <v>1</v>
      </c>
      <c r="P1007" s="101">
        <v>0</v>
      </c>
      <c r="Q1007" s="101">
        <v>0</v>
      </c>
      <c r="R1007" s="101">
        <v>0</v>
      </c>
      <c r="S1007" s="106">
        <v>0</v>
      </c>
      <c r="T1007" s="101">
        <v>0</v>
      </c>
      <c r="U1007" s="101">
        <v>1</v>
      </c>
      <c r="V1007" s="101">
        <v>1</v>
      </c>
      <c r="W1007" s="101">
        <v>0</v>
      </c>
      <c r="X1007" s="60">
        <v>2</v>
      </c>
      <c r="Y1007" s="12">
        <v>0</v>
      </c>
      <c r="Z1007" s="60">
        <v>750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5" t="s">
        <v>2176</v>
      </c>
      <c r="AW1007" s="19" t="s">
        <v>199</v>
      </c>
      <c r="AX1007" s="101" t="s">
        <v>545</v>
      </c>
      <c r="AY1007" s="100">
        <v>0</v>
      </c>
      <c r="AZ1007" s="64">
        <v>21300130</v>
      </c>
      <c r="BA1007" s="99" t="s">
        <v>2238</v>
      </c>
      <c r="BB1007" s="101" t="s">
        <v>2239</v>
      </c>
      <c r="BC1007" s="105">
        <v>0</v>
      </c>
      <c r="BD1007" s="105">
        <v>0</v>
      </c>
      <c r="BE1007" s="183" t="str">
        <f t="shared" ref="BE1007:BE1011" si="116">"向前方投掷一个火魔球,魔球会向前方推进且遇到敌方目标会自动停止移动,对附近区域内的目标造成"&amp;X1007*100&amp;"%攻击伤害+"&amp;Z1007&amp;"点固定伤害,且给目标附加一层魔法印记,并触发灼烧效果"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7" s="183" t="s">
        <v>2240</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6"/>
      <c r="B1008" s="216"/>
      <c r="C1008" s="100">
        <v>64012303</v>
      </c>
      <c r="D1008" s="99" t="s">
        <v>2236</v>
      </c>
      <c r="E1008" s="99" t="s">
        <v>2237</v>
      </c>
      <c r="F1008" s="172">
        <v>2</v>
      </c>
      <c r="G1008" s="100">
        <v>64012301</v>
      </c>
      <c r="H1008" s="100">
        <v>64012304</v>
      </c>
      <c r="I1008" s="105">
        <v>0</v>
      </c>
      <c r="J1008" s="16">
        <v>5</v>
      </c>
      <c r="K1008" s="16">
        <v>2</v>
      </c>
      <c r="L1008" s="100">
        <v>0</v>
      </c>
      <c r="M1008" s="101">
        <v>0</v>
      </c>
      <c r="N1008" s="101">
        <v>0</v>
      </c>
      <c r="O1008" s="101">
        <v>1</v>
      </c>
      <c r="P1008" s="101">
        <v>0</v>
      </c>
      <c r="Q1008" s="101">
        <v>0</v>
      </c>
      <c r="R1008" s="101">
        <v>0</v>
      </c>
      <c r="S1008" s="106">
        <v>0</v>
      </c>
      <c r="T1008" s="101">
        <v>0</v>
      </c>
      <c r="U1008" s="101">
        <v>1</v>
      </c>
      <c r="V1008" s="101">
        <v>1</v>
      </c>
      <c r="W1008" s="101">
        <v>0</v>
      </c>
      <c r="X1008" s="60">
        <v>2.25</v>
      </c>
      <c r="Y1008" s="12">
        <v>0</v>
      </c>
      <c r="Z1008" s="60">
        <v>1500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5"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向前方投掷一个火魔球,魔球会向前方推进且遇到敌方目标会自动停止移动,对附近区域内的目标造成225%攻击伤害+1500点固定伤害,且给目标附加一层魔法印记,并触发灼烧效果</v>
      </c>
      <c r="BF1008" s="183" t="s">
        <v>2241</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2" customFormat="1" ht="20.100000000000001" customHeight="1">
      <c r="A1009" s="216"/>
      <c r="B1009" s="216"/>
      <c r="C1009" s="100">
        <v>64012304</v>
      </c>
      <c r="D1009" s="99" t="s">
        <v>2236</v>
      </c>
      <c r="E1009" s="99" t="s">
        <v>2237</v>
      </c>
      <c r="F1009" s="172">
        <v>3</v>
      </c>
      <c r="G1009" s="100">
        <v>64012301</v>
      </c>
      <c r="H1009" s="100">
        <v>0</v>
      </c>
      <c r="I1009" s="105">
        <v>0</v>
      </c>
      <c r="J1009" s="16">
        <v>5</v>
      </c>
      <c r="K1009" s="16">
        <v>0</v>
      </c>
      <c r="L1009" s="100">
        <v>0</v>
      </c>
      <c r="M1009" s="101">
        <v>0</v>
      </c>
      <c r="N1009" s="101">
        <v>0</v>
      </c>
      <c r="O1009" s="101">
        <v>1</v>
      </c>
      <c r="P1009" s="101">
        <v>0</v>
      </c>
      <c r="Q1009" s="101">
        <v>0</v>
      </c>
      <c r="R1009" s="101">
        <v>0</v>
      </c>
      <c r="S1009" s="106">
        <v>0</v>
      </c>
      <c r="T1009" s="101">
        <v>0</v>
      </c>
      <c r="U1009" s="101">
        <v>1</v>
      </c>
      <c r="V1009" s="101">
        <v>1</v>
      </c>
      <c r="W1009" s="101">
        <v>0</v>
      </c>
      <c r="X1009" s="60">
        <v>2.5</v>
      </c>
      <c r="Y1009" s="12">
        <v>0</v>
      </c>
      <c r="Z1009" s="60">
        <v>2250</v>
      </c>
      <c r="AA1009" s="101">
        <v>0</v>
      </c>
      <c r="AB1009" s="101">
        <v>0</v>
      </c>
      <c r="AC1009" s="101">
        <v>0</v>
      </c>
      <c r="AD1009" s="101">
        <v>0</v>
      </c>
      <c r="AE1009" s="101">
        <v>0</v>
      </c>
      <c r="AF1009" s="101">
        <v>12</v>
      </c>
      <c r="AG1009" s="101">
        <v>1</v>
      </c>
      <c r="AH1009" s="101">
        <v>2</v>
      </c>
      <c r="AI1009" s="106">
        <v>2</v>
      </c>
      <c r="AJ1009" s="106">
        <v>2</v>
      </c>
      <c r="AK1009" s="106">
        <v>0</v>
      </c>
      <c r="AL1009" s="106">
        <v>3</v>
      </c>
      <c r="AM1009" s="101">
        <v>0</v>
      </c>
      <c r="AN1009" s="101">
        <v>0</v>
      </c>
      <c r="AO1009" s="101">
        <v>0</v>
      </c>
      <c r="AP1009" s="100">
        <v>0.2</v>
      </c>
      <c r="AQ1009" s="101">
        <v>6000</v>
      </c>
      <c r="AR1009" s="101">
        <v>0.2</v>
      </c>
      <c r="AS1009" s="101">
        <v>8</v>
      </c>
      <c r="AT1009" s="106">
        <v>0</v>
      </c>
      <c r="AU1009" s="101">
        <v>95100004</v>
      </c>
      <c r="AV1009" s="355" t="s">
        <v>2176</v>
      </c>
      <c r="AW1009" s="19" t="s">
        <v>199</v>
      </c>
      <c r="AX1009" s="101" t="s">
        <v>545</v>
      </c>
      <c r="AY1009" s="100">
        <v>0</v>
      </c>
      <c r="AZ1009" s="64">
        <v>21300130</v>
      </c>
      <c r="BA1009" s="99" t="s">
        <v>2238</v>
      </c>
      <c r="BB1009" s="101" t="s">
        <v>2239</v>
      </c>
      <c r="BC1009" s="105">
        <v>0</v>
      </c>
      <c r="BD1009" s="105">
        <v>0</v>
      </c>
      <c r="BE1009" s="183" t="str">
        <f t="shared" si="116"/>
        <v>向前方投掷一个火魔球,魔球会向前方推进且遇到敌方目标会自动停止移动,对附近区域内的目标造成250%攻击伤害+2250点固定伤害,且给目标附加一层魔法印记,并触发灼烧效果</v>
      </c>
      <c r="BF1009" s="183" t="s">
        <v>2242</v>
      </c>
      <c r="BG1009" s="101">
        <v>0</v>
      </c>
      <c r="BH1009" s="101">
        <v>0</v>
      </c>
      <c r="BI1009" s="101">
        <v>0</v>
      </c>
      <c r="BJ1009" s="101">
        <v>0</v>
      </c>
      <c r="BK1009" s="101">
        <v>0</v>
      </c>
      <c r="BL1009" s="101">
        <v>0</v>
      </c>
      <c r="BM1009" s="97">
        <v>0</v>
      </c>
      <c r="BN1009" s="106">
        <v>0</v>
      </c>
      <c r="BO1009" s="106">
        <v>0</v>
      </c>
      <c r="BP1009" s="106">
        <v>1</v>
      </c>
      <c r="BQ1009" s="106">
        <v>1</v>
      </c>
      <c r="BR1009" s="106">
        <v>0</v>
      </c>
      <c r="BS1009" s="106">
        <v>0</v>
      </c>
      <c r="BT1009" s="106">
        <v>0</v>
      </c>
      <c r="BU1009" s="106">
        <v>0</v>
      </c>
      <c r="BV1009" s="47"/>
      <c r="BW1009" s="47"/>
    </row>
    <row r="1010" spans="1:75" s="2" customFormat="1" ht="20.100000000000001" customHeight="1">
      <c r="A1010" s="216"/>
      <c r="B1010" s="216"/>
      <c r="C1010" s="100">
        <v>64012305</v>
      </c>
      <c r="D1010" s="99" t="s">
        <v>2236</v>
      </c>
      <c r="E1010" s="99" t="s">
        <v>2237</v>
      </c>
      <c r="F1010" s="172">
        <v>4</v>
      </c>
      <c r="G1010" s="100">
        <v>64012301</v>
      </c>
      <c r="H1010" s="100">
        <v>0</v>
      </c>
      <c r="I1010" s="105">
        <v>0</v>
      </c>
      <c r="J1010" s="16">
        <v>5</v>
      </c>
      <c r="K1010" s="16">
        <v>0</v>
      </c>
      <c r="L1010" s="100">
        <v>0</v>
      </c>
      <c r="M1010" s="101">
        <v>0</v>
      </c>
      <c r="N1010" s="101">
        <v>0</v>
      </c>
      <c r="O1010" s="101">
        <v>1</v>
      </c>
      <c r="P1010" s="101">
        <v>0</v>
      </c>
      <c r="Q1010" s="101">
        <v>0</v>
      </c>
      <c r="R1010" s="101">
        <v>0</v>
      </c>
      <c r="S1010" s="106">
        <v>0</v>
      </c>
      <c r="T1010" s="101">
        <v>0</v>
      </c>
      <c r="U1010" s="101">
        <v>1</v>
      </c>
      <c r="V1010" s="101">
        <v>1</v>
      </c>
      <c r="W1010" s="101">
        <v>0</v>
      </c>
      <c r="X1010" s="60">
        <v>2.75</v>
      </c>
      <c r="Y1010" s="12">
        <v>0</v>
      </c>
      <c r="Z1010" s="60">
        <v>3250</v>
      </c>
      <c r="AA1010" s="101">
        <v>0</v>
      </c>
      <c r="AB1010" s="101">
        <v>0</v>
      </c>
      <c r="AC1010" s="101">
        <v>0</v>
      </c>
      <c r="AD1010" s="101">
        <v>0</v>
      </c>
      <c r="AE1010" s="101">
        <v>0</v>
      </c>
      <c r="AF1010" s="101">
        <v>12</v>
      </c>
      <c r="AG1010" s="101">
        <v>1</v>
      </c>
      <c r="AH1010" s="101">
        <v>2</v>
      </c>
      <c r="AI1010" s="106">
        <v>2</v>
      </c>
      <c r="AJ1010" s="106">
        <v>2</v>
      </c>
      <c r="AK1010" s="106">
        <v>0</v>
      </c>
      <c r="AL1010" s="106">
        <v>3</v>
      </c>
      <c r="AM1010" s="101">
        <v>0</v>
      </c>
      <c r="AN1010" s="101">
        <v>0</v>
      </c>
      <c r="AO1010" s="101">
        <v>0</v>
      </c>
      <c r="AP1010" s="100">
        <v>0.2</v>
      </c>
      <c r="AQ1010" s="101">
        <v>6000</v>
      </c>
      <c r="AR1010" s="101">
        <v>0.2</v>
      </c>
      <c r="AS1010" s="101">
        <v>8</v>
      </c>
      <c r="AT1010" s="106">
        <v>0</v>
      </c>
      <c r="AU1010" s="101">
        <v>95100004</v>
      </c>
      <c r="AV1010" s="355" t="s">
        <v>2176</v>
      </c>
      <c r="AW1010" s="19" t="s">
        <v>199</v>
      </c>
      <c r="AX1010" s="101" t="s">
        <v>545</v>
      </c>
      <c r="AY1010" s="100">
        <v>0</v>
      </c>
      <c r="AZ1010" s="64">
        <v>21300130</v>
      </c>
      <c r="BA1010" s="99" t="s">
        <v>2238</v>
      </c>
      <c r="BB1010" s="101" t="s">
        <v>2239</v>
      </c>
      <c r="BC1010" s="105">
        <v>0</v>
      </c>
      <c r="BD1010" s="105">
        <v>0</v>
      </c>
      <c r="BE1010" s="183" t="str">
        <f t="shared" si="116"/>
        <v>向前方投掷一个火魔球,魔球会向前方推进且遇到敌方目标会自动停止移动,对附近区域内的目标造成275%攻击伤害+3250点固定伤害,且给目标附加一层魔法印记,并触发灼烧效果</v>
      </c>
      <c r="BF1010" s="183" t="s">
        <v>2243</v>
      </c>
      <c r="BG1010" s="101">
        <v>0</v>
      </c>
      <c r="BH1010" s="101">
        <v>0</v>
      </c>
      <c r="BI1010" s="101">
        <v>0</v>
      </c>
      <c r="BJ1010" s="101">
        <v>0</v>
      </c>
      <c r="BK1010" s="101">
        <v>0</v>
      </c>
      <c r="BL1010" s="101">
        <v>0</v>
      </c>
      <c r="BM1010" s="97">
        <v>0</v>
      </c>
      <c r="BN1010" s="106">
        <v>0</v>
      </c>
      <c r="BO1010" s="106">
        <v>0</v>
      </c>
      <c r="BP1010" s="106">
        <v>1</v>
      </c>
      <c r="BQ1010" s="106">
        <v>1</v>
      </c>
      <c r="BR1010" s="106">
        <v>0</v>
      </c>
      <c r="BS1010" s="106">
        <v>0</v>
      </c>
      <c r="BT1010" s="106">
        <v>0</v>
      </c>
      <c r="BU1010" s="106">
        <v>0</v>
      </c>
      <c r="BV1010" s="47"/>
      <c r="BW1010" s="47"/>
    </row>
    <row r="1011" spans="1:75" s="2" customFormat="1" ht="20.100000000000001" customHeight="1">
      <c r="A1011" s="216"/>
      <c r="B1011" s="216"/>
      <c r="C1011" s="100">
        <v>64012306</v>
      </c>
      <c r="D1011" s="99" t="s">
        <v>2236</v>
      </c>
      <c r="E1011" s="99" t="s">
        <v>2237</v>
      </c>
      <c r="F1011" s="172">
        <v>5</v>
      </c>
      <c r="G1011" s="100">
        <v>64012301</v>
      </c>
      <c r="H1011" s="100">
        <v>0</v>
      </c>
      <c r="I1011" s="105">
        <v>0</v>
      </c>
      <c r="J1011" s="16">
        <v>5</v>
      </c>
      <c r="K1011" s="16">
        <v>0</v>
      </c>
      <c r="L1011" s="100">
        <v>0</v>
      </c>
      <c r="M1011" s="101">
        <v>0</v>
      </c>
      <c r="N1011" s="101">
        <v>0</v>
      </c>
      <c r="O1011" s="101">
        <v>1</v>
      </c>
      <c r="P1011" s="101">
        <v>0</v>
      </c>
      <c r="Q1011" s="101">
        <v>0</v>
      </c>
      <c r="R1011" s="101">
        <v>0</v>
      </c>
      <c r="S1011" s="106">
        <v>0</v>
      </c>
      <c r="T1011" s="101">
        <v>0</v>
      </c>
      <c r="U1011" s="101">
        <v>1</v>
      </c>
      <c r="V1011" s="101">
        <v>1</v>
      </c>
      <c r="W1011" s="101">
        <v>0</v>
      </c>
      <c r="X1011" s="60">
        <v>3</v>
      </c>
      <c r="Y1011" s="12">
        <v>0</v>
      </c>
      <c r="Z1011" s="60">
        <v>4250</v>
      </c>
      <c r="AA1011" s="101">
        <v>0</v>
      </c>
      <c r="AB1011" s="101">
        <v>0</v>
      </c>
      <c r="AC1011" s="101">
        <v>0</v>
      </c>
      <c r="AD1011" s="101">
        <v>0</v>
      </c>
      <c r="AE1011" s="101">
        <v>0</v>
      </c>
      <c r="AF1011" s="101">
        <v>12</v>
      </c>
      <c r="AG1011" s="101">
        <v>1</v>
      </c>
      <c r="AH1011" s="101">
        <v>2</v>
      </c>
      <c r="AI1011" s="106">
        <v>2</v>
      </c>
      <c r="AJ1011" s="106">
        <v>2</v>
      </c>
      <c r="AK1011" s="106">
        <v>0</v>
      </c>
      <c r="AL1011" s="106">
        <v>3</v>
      </c>
      <c r="AM1011" s="101">
        <v>0</v>
      </c>
      <c r="AN1011" s="101">
        <v>0</v>
      </c>
      <c r="AO1011" s="101">
        <v>0</v>
      </c>
      <c r="AP1011" s="100">
        <v>0.2</v>
      </c>
      <c r="AQ1011" s="101">
        <v>6000</v>
      </c>
      <c r="AR1011" s="101">
        <v>0.2</v>
      </c>
      <c r="AS1011" s="101">
        <v>8</v>
      </c>
      <c r="AT1011" s="106">
        <v>0</v>
      </c>
      <c r="AU1011" s="101">
        <v>95100004</v>
      </c>
      <c r="AV1011" s="355" t="s">
        <v>2176</v>
      </c>
      <c r="AW1011" s="19" t="s">
        <v>199</v>
      </c>
      <c r="AX1011" s="101" t="s">
        <v>545</v>
      </c>
      <c r="AY1011" s="100">
        <v>0</v>
      </c>
      <c r="AZ1011" s="64">
        <v>21300130</v>
      </c>
      <c r="BA1011" s="99" t="s">
        <v>2238</v>
      </c>
      <c r="BB1011" s="101" t="s">
        <v>2239</v>
      </c>
      <c r="BC1011" s="105">
        <v>0</v>
      </c>
      <c r="BD1011" s="105">
        <v>0</v>
      </c>
      <c r="BE1011" s="183" t="str">
        <f t="shared" si="116"/>
        <v>向前方投掷一个火魔球,魔球会向前方推进且遇到敌方目标会自动停止移动,对附近区域内的目标造成300%攻击伤害+4250点固定伤害,且给目标附加一层魔法印记,并触发灼烧效果</v>
      </c>
      <c r="BF1011" s="183" t="s">
        <v>2244</v>
      </c>
      <c r="BG1011" s="101">
        <v>0</v>
      </c>
      <c r="BH1011" s="101">
        <v>0</v>
      </c>
      <c r="BI1011" s="101">
        <v>0</v>
      </c>
      <c r="BJ1011" s="101">
        <v>0</v>
      </c>
      <c r="BK1011" s="101">
        <v>0</v>
      </c>
      <c r="BL1011" s="101">
        <v>0</v>
      </c>
      <c r="BM1011" s="97">
        <v>0</v>
      </c>
      <c r="BN1011" s="106">
        <v>0</v>
      </c>
      <c r="BO1011" s="106">
        <v>0</v>
      </c>
      <c r="BP1011" s="106">
        <v>1</v>
      </c>
      <c r="BQ1011" s="106">
        <v>1</v>
      </c>
      <c r="BR1011" s="106">
        <v>0</v>
      </c>
      <c r="BS1011" s="106">
        <v>0</v>
      </c>
      <c r="BT1011" s="106">
        <v>0</v>
      </c>
      <c r="BU1011" s="106">
        <v>0</v>
      </c>
      <c r="BV1011" s="47"/>
      <c r="BW1011" s="47"/>
    </row>
    <row r="1012" spans="1:75" s="3" customFormat="1" ht="19.5" customHeight="1">
      <c r="A1012" s="217"/>
      <c r="B1012" s="217"/>
      <c r="C1012" s="218">
        <v>64012401</v>
      </c>
      <c r="D1012" s="219" t="s">
        <v>2245</v>
      </c>
      <c r="E1012" s="219" t="s">
        <v>2246</v>
      </c>
      <c r="F1012" s="218">
        <v>1</v>
      </c>
      <c r="G1012" s="218">
        <v>0</v>
      </c>
      <c r="H1012" s="218">
        <v>0</v>
      </c>
      <c r="I1012" s="223">
        <v>0</v>
      </c>
      <c r="J1012" s="218">
        <v>1</v>
      </c>
      <c r="K1012" s="218">
        <v>0</v>
      </c>
      <c r="L1012" s="218">
        <v>0</v>
      </c>
      <c r="M1012" s="222">
        <v>0</v>
      </c>
      <c r="N1012" s="222">
        <v>0</v>
      </c>
      <c r="O1012" s="222">
        <v>2</v>
      </c>
      <c r="P1012" s="222">
        <v>3</v>
      </c>
      <c r="Q1012" s="222">
        <v>0.2</v>
      </c>
      <c r="R1012" s="222">
        <v>0</v>
      </c>
      <c r="S1012" s="224">
        <v>0</v>
      </c>
      <c r="T1012" s="222">
        <v>0</v>
      </c>
      <c r="U1012" s="222">
        <v>1</v>
      </c>
      <c r="V1012" s="222">
        <v>2</v>
      </c>
      <c r="W1012" s="222">
        <v>0</v>
      </c>
      <c r="X1012" s="222">
        <v>1.5</v>
      </c>
      <c r="Y1012" s="12">
        <v>0</v>
      </c>
      <c r="Z1012" s="222">
        <v>0</v>
      </c>
      <c r="AA1012" s="222">
        <v>1</v>
      </c>
      <c r="AB1012" s="222">
        <v>0</v>
      </c>
      <c r="AC1012" s="222">
        <v>0</v>
      </c>
      <c r="AD1012" s="222">
        <v>1</v>
      </c>
      <c r="AE1012" s="222">
        <v>1</v>
      </c>
      <c r="AF1012" s="222">
        <v>0</v>
      </c>
      <c r="AG1012" s="222">
        <v>1</v>
      </c>
      <c r="AH1012" s="222">
        <v>3</v>
      </c>
      <c r="AI1012" s="224">
        <v>1</v>
      </c>
      <c r="AJ1012" s="224">
        <v>1</v>
      </c>
      <c r="AK1012" s="224">
        <v>0</v>
      </c>
      <c r="AL1012" s="224">
        <v>3</v>
      </c>
      <c r="AM1012" s="222">
        <v>0</v>
      </c>
      <c r="AN1012" s="222">
        <v>0</v>
      </c>
      <c r="AO1012" s="222">
        <v>0</v>
      </c>
      <c r="AP1012" s="222">
        <v>0</v>
      </c>
      <c r="AQ1012" s="222">
        <v>2000</v>
      </c>
      <c r="AR1012" s="222">
        <v>0.3</v>
      </c>
      <c r="AS1012" s="222">
        <v>0</v>
      </c>
      <c r="AT1012" s="224">
        <v>0</v>
      </c>
      <c r="AU1012" s="225">
        <v>0</v>
      </c>
      <c r="AV1012" s="225"/>
      <c r="AW1012" s="226" t="s">
        <v>198</v>
      </c>
      <c r="AX1012" s="222" t="s">
        <v>534</v>
      </c>
      <c r="AY1012" s="218">
        <v>0</v>
      </c>
      <c r="AZ1012" s="218">
        <v>77005004</v>
      </c>
      <c r="BA1012" s="219" t="s">
        <v>200</v>
      </c>
      <c r="BB1012" s="222">
        <v>0</v>
      </c>
      <c r="BC1012" s="223">
        <v>0</v>
      </c>
      <c r="BD1012" s="223">
        <v>0</v>
      </c>
      <c r="BE1012" s="228" t="s">
        <v>2247</v>
      </c>
      <c r="BF1012" s="228" t="s">
        <v>2248</v>
      </c>
      <c r="BG1012" s="222">
        <v>0</v>
      </c>
      <c r="BH1012" s="222">
        <v>0</v>
      </c>
      <c r="BI1012" s="222">
        <v>0</v>
      </c>
      <c r="BJ1012" s="222">
        <v>0</v>
      </c>
      <c r="BK1012" s="222">
        <v>0</v>
      </c>
      <c r="BL1012" s="222">
        <v>0</v>
      </c>
      <c r="BM1012" s="221">
        <v>0</v>
      </c>
      <c r="BN1012" s="224">
        <v>0</v>
      </c>
      <c r="BO1012" s="224">
        <v>0</v>
      </c>
      <c r="BP1012" s="224">
        <v>0</v>
      </c>
      <c r="BQ1012" s="224">
        <v>0</v>
      </c>
      <c r="BR1012" s="224">
        <v>0</v>
      </c>
      <c r="BS1012" s="224">
        <v>0</v>
      </c>
      <c r="BT1012" s="224">
        <v>0</v>
      </c>
      <c r="BU1012" s="224">
        <v>0</v>
      </c>
      <c r="BV1012" s="47"/>
      <c r="BW1012" s="47"/>
    </row>
    <row r="1013" spans="1:75" s="3" customFormat="1" ht="19.5" customHeight="1">
      <c r="A1013" s="217"/>
      <c r="B1013" s="217"/>
      <c r="C1013" s="218">
        <v>64012402</v>
      </c>
      <c r="D1013" s="219" t="s">
        <v>2245</v>
      </c>
      <c r="E1013" s="219" t="s">
        <v>2246</v>
      </c>
      <c r="F1013" s="218">
        <v>1</v>
      </c>
      <c r="G1013" s="218">
        <v>0</v>
      </c>
      <c r="H1013" s="218">
        <v>0</v>
      </c>
      <c r="I1013" s="223">
        <v>0</v>
      </c>
      <c r="J1013" s="218">
        <v>1</v>
      </c>
      <c r="K1013" s="218">
        <v>0</v>
      </c>
      <c r="L1013" s="218">
        <v>0</v>
      </c>
      <c r="M1013" s="222">
        <v>0</v>
      </c>
      <c r="N1013" s="222">
        <v>0</v>
      </c>
      <c r="O1013" s="222">
        <v>2</v>
      </c>
      <c r="P1013" s="222">
        <v>3</v>
      </c>
      <c r="Q1013" s="222">
        <v>0.2</v>
      </c>
      <c r="R1013" s="222">
        <v>0</v>
      </c>
      <c r="S1013" s="224">
        <v>0</v>
      </c>
      <c r="T1013" s="222">
        <v>0</v>
      </c>
      <c r="U1013" s="222">
        <v>1</v>
      </c>
      <c r="V1013" s="222">
        <v>2</v>
      </c>
      <c r="W1013" s="222">
        <v>0</v>
      </c>
      <c r="X1013" s="222">
        <v>1.5</v>
      </c>
      <c r="Y1013" s="12">
        <v>0</v>
      </c>
      <c r="Z1013" s="222">
        <v>0</v>
      </c>
      <c r="AA1013" s="222">
        <v>1</v>
      </c>
      <c r="AB1013" s="222">
        <v>0</v>
      </c>
      <c r="AC1013" s="222">
        <v>0</v>
      </c>
      <c r="AD1013" s="222">
        <v>1</v>
      </c>
      <c r="AE1013" s="222">
        <v>1</v>
      </c>
      <c r="AF1013" s="222">
        <v>0</v>
      </c>
      <c r="AG1013" s="222">
        <v>1</v>
      </c>
      <c r="AH1013" s="222">
        <v>3</v>
      </c>
      <c r="AI1013" s="224">
        <v>1</v>
      </c>
      <c r="AJ1013" s="224">
        <v>1</v>
      </c>
      <c r="AK1013" s="224">
        <v>0</v>
      </c>
      <c r="AL1013" s="224">
        <v>3</v>
      </c>
      <c r="AM1013" s="222">
        <v>0</v>
      </c>
      <c r="AN1013" s="222">
        <v>0</v>
      </c>
      <c r="AO1013" s="222">
        <v>0</v>
      </c>
      <c r="AP1013" s="222">
        <v>0</v>
      </c>
      <c r="AQ1013" s="222">
        <v>2000</v>
      </c>
      <c r="AR1013" s="222">
        <v>0.3</v>
      </c>
      <c r="AS1013" s="222">
        <v>0</v>
      </c>
      <c r="AT1013" s="224">
        <v>0</v>
      </c>
      <c r="AU1013" s="225">
        <v>0</v>
      </c>
      <c r="AV1013" s="225"/>
      <c r="AW1013" s="226" t="s">
        <v>198</v>
      </c>
      <c r="AX1013" s="222" t="s">
        <v>534</v>
      </c>
      <c r="AY1013" s="218">
        <v>0</v>
      </c>
      <c r="AZ1013" s="218">
        <v>77005004</v>
      </c>
      <c r="BA1013" s="219" t="s">
        <v>200</v>
      </c>
      <c r="BB1013" s="222">
        <v>0</v>
      </c>
      <c r="BC1013" s="223">
        <v>0</v>
      </c>
      <c r="BD1013" s="223">
        <v>0</v>
      </c>
      <c r="BE1013" s="228" t="s">
        <v>2247</v>
      </c>
      <c r="BF1013" s="228" t="s">
        <v>2248</v>
      </c>
      <c r="BG1013" s="222">
        <v>0</v>
      </c>
      <c r="BH1013" s="222">
        <v>0</v>
      </c>
      <c r="BI1013" s="222">
        <v>0</v>
      </c>
      <c r="BJ1013" s="222">
        <v>0</v>
      </c>
      <c r="BK1013" s="222">
        <v>0</v>
      </c>
      <c r="BL1013" s="222">
        <v>0</v>
      </c>
      <c r="BM1013" s="221">
        <v>0</v>
      </c>
      <c r="BN1013" s="224">
        <v>0</v>
      </c>
      <c r="BO1013" s="224">
        <v>0</v>
      </c>
      <c r="BP1013" s="224">
        <v>0</v>
      </c>
      <c r="BQ1013" s="224">
        <v>0</v>
      </c>
      <c r="BR1013" s="224">
        <v>0</v>
      </c>
      <c r="BS1013" s="224">
        <v>0</v>
      </c>
      <c r="BT1013" s="224">
        <v>0</v>
      </c>
      <c r="BU1013" s="224">
        <v>0</v>
      </c>
      <c r="BV1013" s="47"/>
      <c r="BW1013" s="47"/>
    </row>
    <row r="1014" spans="1:75" s="3" customFormat="1" ht="19.5" customHeight="1">
      <c r="A1014" s="217"/>
      <c r="B1014" s="217"/>
      <c r="C1014" s="218">
        <v>64012403</v>
      </c>
      <c r="D1014" s="219" t="s">
        <v>2245</v>
      </c>
      <c r="E1014" s="219" t="s">
        <v>2246</v>
      </c>
      <c r="F1014" s="218">
        <v>1</v>
      </c>
      <c r="G1014" s="218">
        <v>0</v>
      </c>
      <c r="H1014" s="218">
        <v>0</v>
      </c>
      <c r="I1014" s="223">
        <v>0</v>
      </c>
      <c r="J1014" s="218">
        <v>1</v>
      </c>
      <c r="K1014" s="218">
        <v>0</v>
      </c>
      <c r="L1014" s="218">
        <v>0</v>
      </c>
      <c r="M1014" s="222">
        <v>0</v>
      </c>
      <c r="N1014" s="222">
        <v>0</v>
      </c>
      <c r="O1014" s="222">
        <v>2</v>
      </c>
      <c r="P1014" s="222">
        <v>3</v>
      </c>
      <c r="Q1014" s="222">
        <v>0.2</v>
      </c>
      <c r="R1014" s="222">
        <v>0</v>
      </c>
      <c r="S1014" s="224">
        <v>0</v>
      </c>
      <c r="T1014" s="222">
        <v>0</v>
      </c>
      <c r="U1014" s="222">
        <v>1</v>
      </c>
      <c r="V1014" s="222">
        <v>2</v>
      </c>
      <c r="W1014" s="222">
        <v>0</v>
      </c>
      <c r="X1014" s="222">
        <v>1.5</v>
      </c>
      <c r="Y1014" s="12">
        <v>0</v>
      </c>
      <c r="Z1014" s="222">
        <v>0</v>
      </c>
      <c r="AA1014" s="222">
        <v>1</v>
      </c>
      <c r="AB1014" s="222">
        <v>0</v>
      </c>
      <c r="AC1014" s="222">
        <v>0</v>
      </c>
      <c r="AD1014" s="222">
        <v>1</v>
      </c>
      <c r="AE1014" s="222">
        <v>1</v>
      </c>
      <c r="AF1014" s="222">
        <v>0</v>
      </c>
      <c r="AG1014" s="222">
        <v>1</v>
      </c>
      <c r="AH1014" s="222">
        <v>3</v>
      </c>
      <c r="AI1014" s="224">
        <v>1</v>
      </c>
      <c r="AJ1014" s="224">
        <v>1</v>
      </c>
      <c r="AK1014" s="224">
        <v>0</v>
      </c>
      <c r="AL1014" s="224">
        <v>3</v>
      </c>
      <c r="AM1014" s="222">
        <v>0</v>
      </c>
      <c r="AN1014" s="222">
        <v>0</v>
      </c>
      <c r="AO1014" s="222">
        <v>0</v>
      </c>
      <c r="AP1014" s="222">
        <v>0</v>
      </c>
      <c r="AQ1014" s="222">
        <v>2000</v>
      </c>
      <c r="AR1014" s="222">
        <v>0.3</v>
      </c>
      <c r="AS1014" s="222">
        <v>0</v>
      </c>
      <c r="AT1014" s="224">
        <v>0</v>
      </c>
      <c r="AU1014" s="225">
        <v>0</v>
      </c>
      <c r="AV1014" s="225"/>
      <c r="AW1014" s="226" t="s">
        <v>198</v>
      </c>
      <c r="AX1014" s="222" t="s">
        <v>534</v>
      </c>
      <c r="AY1014" s="218">
        <v>0</v>
      </c>
      <c r="AZ1014" s="218">
        <v>77005004</v>
      </c>
      <c r="BA1014" s="219" t="s">
        <v>200</v>
      </c>
      <c r="BB1014" s="222">
        <v>0</v>
      </c>
      <c r="BC1014" s="223">
        <v>0</v>
      </c>
      <c r="BD1014" s="223">
        <v>0</v>
      </c>
      <c r="BE1014" s="228" t="s">
        <v>2247</v>
      </c>
      <c r="BF1014" s="228" t="s">
        <v>2248</v>
      </c>
      <c r="BG1014" s="222">
        <v>0</v>
      </c>
      <c r="BH1014" s="222">
        <v>0</v>
      </c>
      <c r="BI1014" s="222">
        <v>0</v>
      </c>
      <c r="BJ1014" s="222">
        <v>0</v>
      </c>
      <c r="BK1014" s="222">
        <v>0</v>
      </c>
      <c r="BL1014" s="222">
        <v>0</v>
      </c>
      <c r="BM1014" s="221">
        <v>0</v>
      </c>
      <c r="BN1014" s="224">
        <v>0</v>
      </c>
      <c r="BO1014" s="224">
        <v>0</v>
      </c>
      <c r="BP1014" s="224">
        <v>0</v>
      </c>
      <c r="BQ1014" s="224">
        <v>0</v>
      </c>
      <c r="BR1014" s="224">
        <v>0</v>
      </c>
      <c r="BS1014" s="224">
        <v>0</v>
      </c>
      <c r="BT1014" s="224">
        <v>0</v>
      </c>
      <c r="BU1014" s="224">
        <v>0</v>
      </c>
      <c r="BV1014" s="47"/>
      <c r="BW1014" s="47"/>
    </row>
    <row r="1015" spans="1:75" s="3" customFormat="1" ht="19.5" customHeight="1">
      <c r="A1015" s="217"/>
      <c r="B1015" s="217"/>
      <c r="C1015" s="218">
        <v>64012404</v>
      </c>
      <c r="D1015" s="219" t="s">
        <v>2245</v>
      </c>
      <c r="E1015" s="219" t="s">
        <v>2246</v>
      </c>
      <c r="F1015" s="218">
        <v>1</v>
      </c>
      <c r="G1015" s="218">
        <v>0</v>
      </c>
      <c r="H1015" s="218">
        <v>0</v>
      </c>
      <c r="I1015" s="223">
        <v>0</v>
      </c>
      <c r="J1015" s="218">
        <v>1</v>
      </c>
      <c r="K1015" s="218">
        <v>0</v>
      </c>
      <c r="L1015" s="218">
        <v>0</v>
      </c>
      <c r="M1015" s="222">
        <v>0</v>
      </c>
      <c r="N1015" s="222">
        <v>0</v>
      </c>
      <c r="O1015" s="222">
        <v>2</v>
      </c>
      <c r="P1015" s="222">
        <v>3</v>
      </c>
      <c r="Q1015" s="222">
        <v>0.2</v>
      </c>
      <c r="R1015" s="222">
        <v>0</v>
      </c>
      <c r="S1015" s="224">
        <v>0</v>
      </c>
      <c r="T1015" s="222">
        <v>0</v>
      </c>
      <c r="U1015" s="222">
        <v>1</v>
      </c>
      <c r="V1015" s="222">
        <v>2</v>
      </c>
      <c r="W1015" s="222">
        <v>0</v>
      </c>
      <c r="X1015" s="222">
        <v>1.5</v>
      </c>
      <c r="Y1015" s="12">
        <v>0</v>
      </c>
      <c r="Z1015" s="222">
        <v>0</v>
      </c>
      <c r="AA1015" s="222">
        <v>1</v>
      </c>
      <c r="AB1015" s="222">
        <v>0</v>
      </c>
      <c r="AC1015" s="222">
        <v>0</v>
      </c>
      <c r="AD1015" s="222">
        <v>1</v>
      </c>
      <c r="AE1015" s="222">
        <v>1</v>
      </c>
      <c r="AF1015" s="222">
        <v>0</v>
      </c>
      <c r="AG1015" s="222">
        <v>1</v>
      </c>
      <c r="AH1015" s="222">
        <v>3</v>
      </c>
      <c r="AI1015" s="224">
        <v>1</v>
      </c>
      <c r="AJ1015" s="224">
        <v>1</v>
      </c>
      <c r="AK1015" s="224">
        <v>0</v>
      </c>
      <c r="AL1015" s="224">
        <v>3</v>
      </c>
      <c r="AM1015" s="222">
        <v>0</v>
      </c>
      <c r="AN1015" s="222">
        <v>0</v>
      </c>
      <c r="AO1015" s="222">
        <v>0</v>
      </c>
      <c r="AP1015" s="222">
        <v>0</v>
      </c>
      <c r="AQ1015" s="222">
        <v>2000</v>
      </c>
      <c r="AR1015" s="222">
        <v>0.3</v>
      </c>
      <c r="AS1015" s="222">
        <v>0</v>
      </c>
      <c r="AT1015" s="224">
        <v>0</v>
      </c>
      <c r="AU1015" s="225">
        <v>0</v>
      </c>
      <c r="AV1015" s="225"/>
      <c r="AW1015" s="226" t="s">
        <v>198</v>
      </c>
      <c r="AX1015" s="222" t="s">
        <v>534</v>
      </c>
      <c r="AY1015" s="218">
        <v>0</v>
      </c>
      <c r="AZ1015" s="218">
        <v>77005004</v>
      </c>
      <c r="BA1015" s="219" t="s">
        <v>200</v>
      </c>
      <c r="BB1015" s="222">
        <v>0</v>
      </c>
      <c r="BC1015" s="223">
        <v>0</v>
      </c>
      <c r="BD1015" s="223">
        <v>0</v>
      </c>
      <c r="BE1015" s="228" t="s">
        <v>2247</v>
      </c>
      <c r="BF1015" s="228" t="s">
        <v>2248</v>
      </c>
      <c r="BG1015" s="222">
        <v>0</v>
      </c>
      <c r="BH1015" s="222">
        <v>0</v>
      </c>
      <c r="BI1015" s="222">
        <v>0</v>
      </c>
      <c r="BJ1015" s="222">
        <v>0</v>
      </c>
      <c r="BK1015" s="222">
        <v>0</v>
      </c>
      <c r="BL1015" s="222">
        <v>0</v>
      </c>
      <c r="BM1015" s="221">
        <v>0</v>
      </c>
      <c r="BN1015" s="224">
        <v>0</v>
      </c>
      <c r="BO1015" s="224">
        <v>0</v>
      </c>
      <c r="BP1015" s="224">
        <v>0</v>
      </c>
      <c r="BQ1015" s="224">
        <v>0</v>
      </c>
      <c r="BR1015" s="224">
        <v>0</v>
      </c>
      <c r="BS1015" s="224">
        <v>0</v>
      </c>
      <c r="BT1015" s="224">
        <v>0</v>
      </c>
      <c r="BU1015" s="224">
        <v>0</v>
      </c>
      <c r="BV1015" s="47"/>
      <c r="BW1015" s="47"/>
    </row>
    <row r="1016" spans="1:75" s="3" customFormat="1" ht="19.5" customHeight="1">
      <c r="A1016" s="217"/>
      <c r="B1016" s="217"/>
      <c r="C1016" s="218">
        <v>64012405</v>
      </c>
      <c r="D1016" s="219" t="s">
        <v>2245</v>
      </c>
      <c r="E1016" s="219" t="s">
        <v>2246</v>
      </c>
      <c r="F1016" s="218">
        <v>1</v>
      </c>
      <c r="G1016" s="218">
        <v>0</v>
      </c>
      <c r="H1016" s="218">
        <v>0</v>
      </c>
      <c r="I1016" s="223">
        <v>0</v>
      </c>
      <c r="J1016" s="218">
        <v>1</v>
      </c>
      <c r="K1016" s="218">
        <v>0</v>
      </c>
      <c r="L1016" s="218">
        <v>0</v>
      </c>
      <c r="M1016" s="222">
        <v>0</v>
      </c>
      <c r="N1016" s="222">
        <v>0</v>
      </c>
      <c r="O1016" s="222">
        <v>2</v>
      </c>
      <c r="P1016" s="222">
        <v>3</v>
      </c>
      <c r="Q1016" s="222">
        <v>0.2</v>
      </c>
      <c r="R1016" s="222">
        <v>0</v>
      </c>
      <c r="S1016" s="224">
        <v>0</v>
      </c>
      <c r="T1016" s="222">
        <v>0</v>
      </c>
      <c r="U1016" s="222">
        <v>1</v>
      </c>
      <c r="V1016" s="222">
        <v>2</v>
      </c>
      <c r="W1016" s="222">
        <v>0</v>
      </c>
      <c r="X1016" s="222">
        <v>1.5</v>
      </c>
      <c r="Y1016" s="12">
        <v>0</v>
      </c>
      <c r="Z1016" s="222">
        <v>0</v>
      </c>
      <c r="AA1016" s="222">
        <v>1</v>
      </c>
      <c r="AB1016" s="222">
        <v>0</v>
      </c>
      <c r="AC1016" s="222">
        <v>0</v>
      </c>
      <c r="AD1016" s="222">
        <v>1</v>
      </c>
      <c r="AE1016" s="222">
        <v>1</v>
      </c>
      <c r="AF1016" s="222">
        <v>0</v>
      </c>
      <c r="AG1016" s="222">
        <v>1</v>
      </c>
      <c r="AH1016" s="222">
        <v>3</v>
      </c>
      <c r="AI1016" s="224">
        <v>1</v>
      </c>
      <c r="AJ1016" s="224">
        <v>1</v>
      </c>
      <c r="AK1016" s="224">
        <v>0</v>
      </c>
      <c r="AL1016" s="224">
        <v>3</v>
      </c>
      <c r="AM1016" s="222">
        <v>0</v>
      </c>
      <c r="AN1016" s="222">
        <v>0</v>
      </c>
      <c r="AO1016" s="222">
        <v>0</v>
      </c>
      <c r="AP1016" s="222">
        <v>0</v>
      </c>
      <c r="AQ1016" s="222">
        <v>2000</v>
      </c>
      <c r="AR1016" s="222">
        <v>0.3</v>
      </c>
      <c r="AS1016" s="222">
        <v>0</v>
      </c>
      <c r="AT1016" s="224">
        <v>0</v>
      </c>
      <c r="AU1016" s="225">
        <v>0</v>
      </c>
      <c r="AV1016" s="225"/>
      <c r="AW1016" s="226" t="s">
        <v>198</v>
      </c>
      <c r="AX1016" s="222" t="s">
        <v>534</v>
      </c>
      <c r="AY1016" s="218">
        <v>0</v>
      </c>
      <c r="AZ1016" s="218">
        <v>77005004</v>
      </c>
      <c r="BA1016" s="219" t="s">
        <v>200</v>
      </c>
      <c r="BB1016" s="222">
        <v>0</v>
      </c>
      <c r="BC1016" s="223">
        <v>0</v>
      </c>
      <c r="BD1016" s="223">
        <v>0</v>
      </c>
      <c r="BE1016" s="228" t="s">
        <v>2247</v>
      </c>
      <c r="BF1016" s="228" t="s">
        <v>2248</v>
      </c>
      <c r="BG1016" s="222">
        <v>0</v>
      </c>
      <c r="BH1016" s="222">
        <v>0</v>
      </c>
      <c r="BI1016" s="222">
        <v>0</v>
      </c>
      <c r="BJ1016" s="222">
        <v>0</v>
      </c>
      <c r="BK1016" s="222">
        <v>0</v>
      </c>
      <c r="BL1016" s="222">
        <v>0</v>
      </c>
      <c r="BM1016" s="221">
        <v>0</v>
      </c>
      <c r="BN1016" s="224">
        <v>0</v>
      </c>
      <c r="BO1016" s="224">
        <v>0</v>
      </c>
      <c r="BP1016" s="224">
        <v>0</v>
      </c>
      <c r="BQ1016" s="224">
        <v>0</v>
      </c>
      <c r="BR1016" s="224">
        <v>0</v>
      </c>
      <c r="BS1016" s="224">
        <v>0</v>
      </c>
      <c r="BT1016" s="224">
        <v>0</v>
      </c>
      <c r="BU1016" s="224">
        <v>0</v>
      </c>
      <c r="BV1016" s="47"/>
      <c r="BW1016" s="47"/>
    </row>
    <row r="1017" spans="1:75" s="3" customFormat="1" ht="19.5" customHeight="1">
      <c r="A1017" s="217"/>
      <c r="B1017" s="217"/>
      <c r="C1017" s="218">
        <v>64012406</v>
      </c>
      <c r="D1017" s="219" t="s">
        <v>2245</v>
      </c>
      <c r="E1017" s="219" t="s">
        <v>2246</v>
      </c>
      <c r="F1017" s="218">
        <v>1</v>
      </c>
      <c r="G1017" s="218">
        <v>0</v>
      </c>
      <c r="H1017" s="218">
        <v>0</v>
      </c>
      <c r="I1017" s="223">
        <v>0</v>
      </c>
      <c r="J1017" s="218">
        <v>1</v>
      </c>
      <c r="K1017" s="218">
        <v>0</v>
      </c>
      <c r="L1017" s="218">
        <v>0</v>
      </c>
      <c r="M1017" s="222">
        <v>0</v>
      </c>
      <c r="N1017" s="222">
        <v>0</v>
      </c>
      <c r="O1017" s="222">
        <v>2</v>
      </c>
      <c r="P1017" s="222">
        <v>3</v>
      </c>
      <c r="Q1017" s="222">
        <v>0.2</v>
      </c>
      <c r="R1017" s="222">
        <v>0</v>
      </c>
      <c r="S1017" s="224">
        <v>0</v>
      </c>
      <c r="T1017" s="222">
        <v>0</v>
      </c>
      <c r="U1017" s="222">
        <v>1</v>
      </c>
      <c r="V1017" s="222">
        <v>2</v>
      </c>
      <c r="W1017" s="222">
        <v>0</v>
      </c>
      <c r="X1017" s="222">
        <v>1.5</v>
      </c>
      <c r="Y1017" s="12">
        <v>0</v>
      </c>
      <c r="Z1017" s="222">
        <v>0</v>
      </c>
      <c r="AA1017" s="222">
        <v>1</v>
      </c>
      <c r="AB1017" s="222">
        <v>0</v>
      </c>
      <c r="AC1017" s="222">
        <v>0</v>
      </c>
      <c r="AD1017" s="222">
        <v>1</v>
      </c>
      <c r="AE1017" s="222">
        <v>1</v>
      </c>
      <c r="AF1017" s="222">
        <v>0</v>
      </c>
      <c r="AG1017" s="222">
        <v>1</v>
      </c>
      <c r="AH1017" s="222">
        <v>3</v>
      </c>
      <c r="AI1017" s="224">
        <v>1</v>
      </c>
      <c r="AJ1017" s="224">
        <v>1</v>
      </c>
      <c r="AK1017" s="224">
        <v>0</v>
      </c>
      <c r="AL1017" s="224">
        <v>3</v>
      </c>
      <c r="AM1017" s="222">
        <v>0</v>
      </c>
      <c r="AN1017" s="222">
        <v>0</v>
      </c>
      <c r="AO1017" s="222">
        <v>0</v>
      </c>
      <c r="AP1017" s="222">
        <v>0</v>
      </c>
      <c r="AQ1017" s="222">
        <v>2000</v>
      </c>
      <c r="AR1017" s="222">
        <v>0.3</v>
      </c>
      <c r="AS1017" s="222">
        <v>0</v>
      </c>
      <c r="AT1017" s="224">
        <v>0</v>
      </c>
      <c r="AU1017" s="225">
        <v>0</v>
      </c>
      <c r="AV1017" s="225"/>
      <c r="AW1017" s="226" t="s">
        <v>198</v>
      </c>
      <c r="AX1017" s="222" t="s">
        <v>534</v>
      </c>
      <c r="AY1017" s="218">
        <v>0</v>
      </c>
      <c r="AZ1017" s="218">
        <v>77005004</v>
      </c>
      <c r="BA1017" s="219" t="s">
        <v>200</v>
      </c>
      <c r="BB1017" s="222">
        <v>0</v>
      </c>
      <c r="BC1017" s="223">
        <v>0</v>
      </c>
      <c r="BD1017" s="223">
        <v>0</v>
      </c>
      <c r="BE1017" s="228" t="s">
        <v>2247</v>
      </c>
      <c r="BF1017" s="228" t="s">
        <v>2248</v>
      </c>
      <c r="BG1017" s="222">
        <v>0</v>
      </c>
      <c r="BH1017" s="222">
        <v>0</v>
      </c>
      <c r="BI1017" s="222">
        <v>0</v>
      </c>
      <c r="BJ1017" s="222">
        <v>0</v>
      </c>
      <c r="BK1017" s="222">
        <v>0</v>
      </c>
      <c r="BL1017" s="222">
        <v>0</v>
      </c>
      <c r="BM1017" s="221">
        <v>0</v>
      </c>
      <c r="BN1017" s="224">
        <v>0</v>
      </c>
      <c r="BO1017" s="224">
        <v>0</v>
      </c>
      <c r="BP1017" s="224">
        <v>0</v>
      </c>
      <c r="BQ1017" s="224">
        <v>0</v>
      </c>
      <c r="BR1017" s="224">
        <v>0</v>
      </c>
      <c r="BS1017" s="224">
        <v>0</v>
      </c>
      <c r="BT1017" s="224">
        <v>0</v>
      </c>
      <c r="BU1017" s="224">
        <v>0</v>
      </c>
      <c r="BV1017" s="47"/>
      <c r="BW1017" s="47"/>
    </row>
    <row r="1018" spans="1:75" s="1" customFormat="1" ht="19.5" customHeight="1">
      <c r="A1018" s="215"/>
      <c r="B1018" s="215"/>
      <c r="C1018" s="64">
        <v>64013101</v>
      </c>
      <c r="D1018" s="59" t="s">
        <v>2249</v>
      </c>
      <c r="E1018" s="59" t="s">
        <v>2250</v>
      </c>
      <c r="F1018" s="172">
        <v>0</v>
      </c>
      <c r="G1018" s="64">
        <v>64013101</v>
      </c>
      <c r="H1018" s="60">
        <v>64013102</v>
      </c>
      <c r="I1018" s="66">
        <v>0</v>
      </c>
      <c r="J1018" s="16">
        <v>18</v>
      </c>
      <c r="K1018" s="18">
        <v>5</v>
      </c>
      <c r="L1018" s="60">
        <v>0</v>
      </c>
      <c r="M1018" s="60">
        <v>0</v>
      </c>
      <c r="N1018" s="60">
        <v>0</v>
      </c>
      <c r="O1018" s="60">
        <v>1</v>
      </c>
      <c r="P1018" s="60">
        <v>0</v>
      </c>
      <c r="Q1018" s="60">
        <v>0</v>
      </c>
      <c r="R1018" s="60">
        <v>0</v>
      </c>
      <c r="S1018" s="68">
        <v>0</v>
      </c>
      <c r="T1018" s="60">
        <v>0</v>
      </c>
      <c r="U1018" s="60">
        <v>1</v>
      </c>
      <c r="V1018" s="60">
        <v>1</v>
      </c>
      <c r="W1018" s="60">
        <v>0</v>
      </c>
      <c r="X1018" s="18">
        <v>2.5</v>
      </c>
      <c r="Y1018" s="12">
        <v>0</v>
      </c>
      <c r="Z1018" s="18">
        <v>900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"积蓄全身的力气,瞬移到目标区域并造成"&amp;X1018*100&amp;"%攻击伤害+"&amp;Z1018&amp;"点固定伤害,并附加1秒眩晕"</f>
        <v>积蓄全身的力气,瞬移到目标区域并造成250%攻击伤害+900点固定伤害,并附加1秒眩晕</v>
      </c>
      <c r="BF1018" s="183" t="s">
        <v>2251</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5"/>
      <c r="B1019" s="215"/>
      <c r="C1019" s="64">
        <v>64013102</v>
      </c>
      <c r="D1019" s="59" t="s">
        <v>2249</v>
      </c>
      <c r="E1019" s="59" t="s">
        <v>2250</v>
      </c>
      <c r="F1019" s="172">
        <v>1</v>
      </c>
      <c r="G1019" s="64">
        <v>64013101</v>
      </c>
      <c r="H1019" s="60">
        <v>64013103</v>
      </c>
      <c r="I1019" s="66">
        <v>0</v>
      </c>
      <c r="J1019" s="16">
        <v>27</v>
      </c>
      <c r="K1019" s="18">
        <v>2</v>
      </c>
      <c r="L1019" s="60">
        <v>0</v>
      </c>
      <c r="M1019" s="60">
        <v>0</v>
      </c>
      <c r="N1019" s="60">
        <v>0</v>
      </c>
      <c r="O1019" s="60">
        <v>1</v>
      </c>
      <c r="P1019" s="60">
        <v>0</v>
      </c>
      <c r="Q1019" s="60">
        <v>0</v>
      </c>
      <c r="R1019" s="60">
        <v>0</v>
      </c>
      <c r="S1019" s="68">
        <v>0</v>
      </c>
      <c r="T1019" s="60">
        <v>0</v>
      </c>
      <c r="U1019" s="60">
        <v>1</v>
      </c>
      <c r="V1019" s="60">
        <v>1</v>
      </c>
      <c r="W1019" s="60">
        <v>0</v>
      </c>
      <c r="X1019" s="18">
        <v>2.5</v>
      </c>
      <c r="Y1019" s="12">
        <v>0</v>
      </c>
      <c r="Z1019" s="18">
        <v>900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ref="BE1019:BE1023" si="117">"积蓄全身的力气,瞬移到目标区域并造成"&amp;X1019*100&amp;"%攻击伤害+"&amp;Z1019&amp;"点固定伤害,并附加1秒眩晕"</f>
        <v>积蓄全身的力气,瞬移到目标区域并造成250%攻击伤害+900点固定伤害,并附加1秒眩晕</v>
      </c>
      <c r="BF1019" s="183" t="s">
        <v>2251</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5"/>
      <c r="B1020" s="215"/>
      <c r="C1020" s="64">
        <v>64013103</v>
      </c>
      <c r="D1020" s="59" t="s">
        <v>2249</v>
      </c>
      <c r="E1020" s="59" t="s">
        <v>2250</v>
      </c>
      <c r="F1020" s="172">
        <v>2</v>
      </c>
      <c r="G1020" s="64">
        <v>64013101</v>
      </c>
      <c r="H1020" s="60">
        <v>64013104</v>
      </c>
      <c r="I1020" s="66">
        <v>0</v>
      </c>
      <c r="J1020" s="16">
        <v>32</v>
      </c>
      <c r="K1020" s="18">
        <v>2</v>
      </c>
      <c r="L1020" s="60">
        <v>0</v>
      </c>
      <c r="M1020" s="60">
        <v>0</v>
      </c>
      <c r="N1020" s="60">
        <v>0</v>
      </c>
      <c r="O1020" s="60">
        <v>1</v>
      </c>
      <c r="P1020" s="60">
        <v>0</v>
      </c>
      <c r="Q1020" s="60">
        <v>0</v>
      </c>
      <c r="R1020" s="60">
        <v>0</v>
      </c>
      <c r="S1020" s="68">
        <v>0</v>
      </c>
      <c r="T1020" s="60">
        <v>0</v>
      </c>
      <c r="U1020" s="60">
        <v>1</v>
      </c>
      <c r="V1020" s="60">
        <v>1</v>
      </c>
      <c r="W1020" s="60">
        <v>0</v>
      </c>
      <c r="X1020" s="18">
        <v>2.75</v>
      </c>
      <c r="Y1020" s="12">
        <v>0</v>
      </c>
      <c r="Z1020" s="18">
        <v>1800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积蓄全身的力气,瞬移到目标区域并造成275%攻击伤害+1800点固定伤害,并附加1秒眩晕</v>
      </c>
      <c r="BF1020" s="183" t="s">
        <v>2252</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1" customFormat="1" ht="19.5" customHeight="1">
      <c r="A1021" s="215"/>
      <c r="B1021" s="215"/>
      <c r="C1021" s="64">
        <v>64013104</v>
      </c>
      <c r="D1021" s="59" t="s">
        <v>2249</v>
      </c>
      <c r="E1021" s="59" t="s">
        <v>2250</v>
      </c>
      <c r="F1021" s="172">
        <v>3</v>
      </c>
      <c r="G1021" s="64">
        <v>64013101</v>
      </c>
      <c r="H1021" s="60">
        <v>0</v>
      </c>
      <c r="I1021" s="66">
        <v>0</v>
      </c>
      <c r="J1021" s="16">
        <v>0</v>
      </c>
      <c r="K1021" s="18">
        <v>0</v>
      </c>
      <c r="L1021" s="60">
        <v>0</v>
      </c>
      <c r="M1021" s="60">
        <v>0</v>
      </c>
      <c r="N1021" s="60">
        <v>0</v>
      </c>
      <c r="O1021" s="60">
        <v>1</v>
      </c>
      <c r="P1021" s="60">
        <v>0</v>
      </c>
      <c r="Q1021" s="60">
        <v>0</v>
      </c>
      <c r="R1021" s="60">
        <v>0</v>
      </c>
      <c r="S1021" s="68">
        <v>0</v>
      </c>
      <c r="T1021" s="60">
        <v>0</v>
      </c>
      <c r="U1021" s="60">
        <v>1</v>
      </c>
      <c r="V1021" s="60">
        <v>1</v>
      </c>
      <c r="W1021" s="60">
        <v>0</v>
      </c>
      <c r="X1021" s="18">
        <v>3</v>
      </c>
      <c r="Y1021" s="12">
        <v>0</v>
      </c>
      <c r="Z1021" s="18">
        <v>2800</v>
      </c>
      <c r="AA1021" s="60">
        <v>0</v>
      </c>
      <c r="AB1021" s="60">
        <v>0</v>
      </c>
      <c r="AC1021" s="60">
        <v>0</v>
      </c>
      <c r="AD1021" s="60">
        <v>0</v>
      </c>
      <c r="AE1021" s="60">
        <v>0</v>
      </c>
      <c r="AF1021" s="18">
        <v>7</v>
      </c>
      <c r="AG1021" s="60">
        <v>1</v>
      </c>
      <c r="AH1021" s="79">
        <v>3</v>
      </c>
      <c r="AI1021" s="68">
        <v>2</v>
      </c>
      <c r="AJ1021" s="68">
        <v>1</v>
      </c>
      <c r="AK1021" s="68">
        <v>0</v>
      </c>
      <c r="AL1021" s="68">
        <v>7</v>
      </c>
      <c r="AM1021" s="60">
        <v>0</v>
      </c>
      <c r="AN1021" s="60">
        <v>0</v>
      </c>
      <c r="AO1021" s="60">
        <v>0</v>
      </c>
      <c r="AP1021" s="60">
        <v>0.2</v>
      </c>
      <c r="AQ1021" s="60">
        <v>1000</v>
      </c>
      <c r="AR1021" s="60">
        <v>0.2</v>
      </c>
      <c r="AS1021" s="60">
        <v>0</v>
      </c>
      <c r="AT1021" s="68">
        <v>0</v>
      </c>
      <c r="AU1021" s="60">
        <v>90001021</v>
      </c>
      <c r="AV1021" s="60"/>
      <c r="AW1021" s="19" t="s">
        <v>199</v>
      </c>
      <c r="AX1021" s="60" t="s">
        <v>534</v>
      </c>
      <c r="AY1021" s="64">
        <v>10000001</v>
      </c>
      <c r="AZ1021" s="64">
        <v>77005101</v>
      </c>
      <c r="BA1021" s="59" t="s">
        <v>1371</v>
      </c>
      <c r="BB1021" s="60">
        <v>0</v>
      </c>
      <c r="BC1021" s="68">
        <v>0</v>
      </c>
      <c r="BD1021" s="68">
        <v>0</v>
      </c>
      <c r="BE1021" s="183" t="str">
        <f t="shared" si="117"/>
        <v>积蓄全身的力气,瞬移到目标区域并造成300%攻击伤害+2800点固定伤害,并附加1秒眩晕</v>
      </c>
      <c r="BF1021" s="183" t="s">
        <v>2253</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row>
    <row r="1022" spans="1:75" s="1" customFormat="1" ht="19.5" customHeight="1">
      <c r="A1022" s="215"/>
      <c r="B1022" s="215"/>
      <c r="C1022" s="64">
        <v>64013105</v>
      </c>
      <c r="D1022" s="59" t="s">
        <v>2249</v>
      </c>
      <c r="E1022" s="59" t="s">
        <v>2250</v>
      </c>
      <c r="F1022" s="172">
        <v>4</v>
      </c>
      <c r="G1022" s="64">
        <v>64013101</v>
      </c>
      <c r="H1022" s="60">
        <v>0</v>
      </c>
      <c r="I1022" s="66">
        <v>0</v>
      </c>
      <c r="J1022" s="16">
        <v>0</v>
      </c>
      <c r="K1022" s="18">
        <v>0</v>
      </c>
      <c r="L1022" s="60">
        <v>0</v>
      </c>
      <c r="M1022" s="60">
        <v>0</v>
      </c>
      <c r="N1022" s="60">
        <v>0</v>
      </c>
      <c r="O1022" s="60">
        <v>1</v>
      </c>
      <c r="P1022" s="60">
        <v>0</v>
      </c>
      <c r="Q1022" s="60">
        <v>0</v>
      </c>
      <c r="R1022" s="60">
        <v>0</v>
      </c>
      <c r="S1022" s="68">
        <v>0</v>
      </c>
      <c r="T1022" s="60">
        <v>0</v>
      </c>
      <c r="U1022" s="60">
        <v>1</v>
      </c>
      <c r="V1022" s="60">
        <v>1</v>
      </c>
      <c r="W1022" s="60">
        <v>0</v>
      </c>
      <c r="X1022" s="18">
        <v>3.25</v>
      </c>
      <c r="Y1022" s="12">
        <v>0</v>
      </c>
      <c r="Z1022" s="18">
        <v>4000</v>
      </c>
      <c r="AA1022" s="60">
        <v>0</v>
      </c>
      <c r="AB1022" s="60">
        <v>0</v>
      </c>
      <c r="AC1022" s="60">
        <v>0</v>
      </c>
      <c r="AD1022" s="60">
        <v>0</v>
      </c>
      <c r="AE1022" s="60">
        <v>0</v>
      </c>
      <c r="AF1022" s="18">
        <v>7</v>
      </c>
      <c r="AG1022" s="60">
        <v>1</v>
      </c>
      <c r="AH1022" s="79">
        <v>3</v>
      </c>
      <c r="AI1022" s="68">
        <v>2</v>
      </c>
      <c r="AJ1022" s="68">
        <v>1</v>
      </c>
      <c r="AK1022" s="68">
        <v>0</v>
      </c>
      <c r="AL1022" s="68">
        <v>7</v>
      </c>
      <c r="AM1022" s="60">
        <v>0</v>
      </c>
      <c r="AN1022" s="60">
        <v>0</v>
      </c>
      <c r="AO1022" s="60">
        <v>0</v>
      </c>
      <c r="AP1022" s="60">
        <v>0.2</v>
      </c>
      <c r="AQ1022" s="60">
        <v>1000</v>
      </c>
      <c r="AR1022" s="60">
        <v>0.2</v>
      </c>
      <c r="AS1022" s="60">
        <v>0</v>
      </c>
      <c r="AT1022" s="68">
        <v>0</v>
      </c>
      <c r="AU1022" s="60">
        <v>90001021</v>
      </c>
      <c r="AV1022" s="60"/>
      <c r="AW1022" s="19" t="s">
        <v>199</v>
      </c>
      <c r="AX1022" s="60" t="s">
        <v>534</v>
      </c>
      <c r="AY1022" s="64">
        <v>10000001</v>
      </c>
      <c r="AZ1022" s="64">
        <v>77005101</v>
      </c>
      <c r="BA1022" s="59" t="s">
        <v>1371</v>
      </c>
      <c r="BB1022" s="60">
        <v>0</v>
      </c>
      <c r="BC1022" s="68">
        <v>0</v>
      </c>
      <c r="BD1022" s="68">
        <v>0</v>
      </c>
      <c r="BE1022" s="183" t="str">
        <f t="shared" si="117"/>
        <v>积蓄全身的力气,瞬移到目标区域并造成325%攻击伤害+4000点固定伤害,并附加1秒眩晕</v>
      </c>
      <c r="BF1022" s="183" t="s">
        <v>2254</v>
      </c>
      <c r="BG1022" s="60">
        <v>0</v>
      </c>
      <c r="BH1022" s="60">
        <v>0</v>
      </c>
      <c r="BI1022" s="60">
        <v>0</v>
      </c>
      <c r="BJ1022" s="60">
        <v>0</v>
      </c>
      <c r="BK1022" s="60">
        <v>0</v>
      </c>
      <c r="BL1022" s="60">
        <v>0</v>
      </c>
      <c r="BM1022" s="93">
        <v>0</v>
      </c>
      <c r="BN1022" s="68">
        <v>0</v>
      </c>
      <c r="BO1022" s="68">
        <v>0</v>
      </c>
      <c r="BP1022" s="68">
        <v>0</v>
      </c>
      <c r="BQ1022" s="68">
        <v>0</v>
      </c>
      <c r="BR1022" s="68">
        <v>0</v>
      </c>
      <c r="BS1022" s="68">
        <v>0</v>
      </c>
      <c r="BT1022" s="68">
        <v>0</v>
      </c>
      <c r="BU1022" s="68">
        <v>0</v>
      </c>
      <c r="BV1022" s="47"/>
      <c r="BW1022" s="47"/>
    </row>
    <row r="1023" spans="1:75" s="1" customFormat="1" ht="19.5" customHeight="1">
      <c r="A1023" s="215"/>
      <c r="B1023" s="215"/>
      <c r="C1023" s="64">
        <v>64013106</v>
      </c>
      <c r="D1023" s="59" t="s">
        <v>2249</v>
      </c>
      <c r="E1023" s="59" t="s">
        <v>2250</v>
      </c>
      <c r="F1023" s="172">
        <v>5</v>
      </c>
      <c r="G1023" s="64">
        <v>64013101</v>
      </c>
      <c r="H1023" s="60">
        <v>0</v>
      </c>
      <c r="I1023" s="66">
        <v>0</v>
      </c>
      <c r="J1023" s="16">
        <v>0</v>
      </c>
      <c r="K1023" s="18">
        <v>0</v>
      </c>
      <c r="L1023" s="60">
        <v>0</v>
      </c>
      <c r="M1023" s="60">
        <v>0</v>
      </c>
      <c r="N1023" s="60">
        <v>0</v>
      </c>
      <c r="O1023" s="60">
        <v>1</v>
      </c>
      <c r="P1023" s="60">
        <v>0</v>
      </c>
      <c r="Q1023" s="60">
        <v>0</v>
      </c>
      <c r="R1023" s="60">
        <v>0</v>
      </c>
      <c r="S1023" s="68">
        <v>0</v>
      </c>
      <c r="T1023" s="60">
        <v>0</v>
      </c>
      <c r="U1023" s="60">
        <v>1</v>
      </c>
      <c r="V1023" s="60">
        <v>1</v>
      </c>
      <c r="W1023" s="60">
        <v>0</v>
      </c>
      <c r="X1023" s="18">
        <v>3.5</v>
      </c>
      <c r="Y1023" s="12">
        <v>0</v>
      </c>
      <c r="Z1023" s="18">
        <v>5200</v>
      </c>
      <c r="AA1023" s="60">
        <v>0</v>
      </c>
      <c r="AB1023" s="60">
        <v>0</v>
      </c>
      <c r="AC1023" s="60">
        <v>0</v>
      </c>
      <c r="AD1023" s="60">
        <v>0</v>
      </c>
      <c r="AE1023" s="60">
        <v>0</v>
      </c>
      <c r="AF1023" s="18">
        <v>7</v>
      </c>
      <c r="AG1023" s="60">
        <v>1</v>
      </c>
      <c r="AH1023" s="79">
        <v>3</v>
      </c>
      <c r="AI1023" s="68">
        <v>2</v>
      </c>
      <c r="AJ1023" s="68">
        <v>1</v>
      </c>
      <c r="AK1023" s="68">
        <v>0</v>
      </c>
      <c r="AL1023" s="68">
        <v>7</v>
      </c>
      <c r="AM1023" s="60">
        <v>0</v>
      </c>
      <c r="AN1023" s="60">
        <v>0</v>
      </c>
      <c r="AO1023" s="60">
        <v>0</v>
      </c>
      <c r="AP1023" s="60">
        <v>0.2</v>
      </c>
      <c r="AQ1023" s="60">
        <v>1000</v>
      </c>
      <c r="AR1023" s="60">
        <v>0.2</v>
      </c>
      <c r="AS1023" s="60">
        <v>0</v>
      </c>
      <c r="AT1023" s="68">
        <v>0</v>
      </c>
      <c r="AU1023" s="60">
        <v>90001021</v>
      </c>
      <c r="AV1023" s="60"/>
      <c r="AW1023" s="19" t="s">
        <v>199</v>
      </c>
      <c r="AX1023" s="60" t="s">
        <v>534</v>
      </c>
      <c r="AY1023" s="64">
        <v>10000001</v>
      </c>
      <c r="AZ1023" s="64">
        <v>77005101</v>
      </c>
      <c r="BA1023" s="59" t="s">
        <v>1371</v>
      </c>
      <c r="BB1023" s="60">
        <v>0</v>
      </c>
      <c r="BC1023" s="68">
        <v>0</v>
      </c>
      <c r="BD1023" s="68">
        <v>0</v>
      </c>
      <c r="BE1023" s="183" t="str">
        <f t="shared" si="117"/>
        <v>积蓄全身的力气,瞬移到目标区域并造成350%攻击伤害+5200点固定伤害,并附加1秒眩晕</v>
      </c>
      <c r="BF1023" s="183" t="s">
        <v>2255</v>
      </c>
      <c r="BG1023" s="60">
        <v>0</v>
      </c>
      <c r="BH1023" s="60">
        <v>0</v>
      </c>
      <c r="BI1023" s="60">
        <v>0</v>
      </c>
      <c r="BJ1023" s="60">
        <v>0</v>
      </c>
      <c r="BK1023" s="60">
        <v>0</v>
      </c>
      <c r="BL1023" s="60">
        <v>0</v>
      </c>
      <c r="BM1023" s="93">
        <v>0</v>
      </c>
      <c r="BN1023" s="68">
        <v>0</v>
      </c>
      <c r="BO1023" s="68">
        <v>0</v>
      </c>
      <c r="BP1023" s="68">
        <v>0</v>
      </c>
      <c r="BQ1023" s="68">
        <v>0</v>
      </c>
      <c r="BR1023" s="68">
        <v>0</v>
      </c>
      <c r="BS1023" s="68">
        <v>0</v>
      </c>
      <c r="BT1023" s="68">
        <v>0</v>
      </c>
      <c r="BU1023" s="68">
        <v>0</v>
      </c>
      <c r="BV1023" s="47"/>
      <c r="BW1023" s="47"/>
    </row>
    <row r="1024" spans="1:75" s="2" customFormat="1" ht="19.5" customHeight="1">
      <c r="A1024" s="216"/>
      <c r="B1024" s="216"/>
      <c r="C1024" s="100">
        <v>64013201</v>
      </c>
      <c r="D1024" s="99" t="s">
        <v>2256</v>
      </c>
      <c r="E1024" s="99" t="s">
        <v>2257</v>
      </c>
      <c r="F1024" s="172">
        <v>0</v>
      </c>
      <c r="G1024" s="100">
        <v>64013201</v>
      </c>
      <c r="H1024" s="60">
        <v>64013202</v>
      </c>
      <c r="I1024" s="105">
        <v>0</v>
      </c>
      <c r="J1024" s="16">
        <v>25</v>
      </c>
      <c r="K1024" s="18">
        <v>5</v>
      </c>
      <c r="L1024" s="101">
        <v>0</v>
      </c>
      <c r="M1024" s="101">
        <v>0</v>
      </c>
      <c r="N1024" s="101">
        <v>0</v>
      </c>
      <c r="O1024" s="101">
        <v>1</v>
      </c>
      <c r="P1024" s="101">
        <v>0</v>
      </c>
      <c r="Q1024" s="101">
        <v>0</v>
      </c>
      <c r="R1024" s="101">
        <v>0</v>
      </c>
      <c r="S1024" s="106">
        <v>0</v>
      </c>
      <c r="T1024" s="101">
        <v>0</v>
      </c>
      <c r="U1024" s="101">
        <v>1</v>
      </c>
      <c r="V1024" s="101">
        <v>1</v>
      </c>
      <c r="W1024" s="101">
        <v>0</v>
      </c>
      <c r="X1024" s="18">
        <v>3</v>
      </c>
      <c r="Y1024" s="12">
        <v>0</v>
      </c>
      <c r="Z1024" s="18">
        <v>900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5" t="s">
        <v>2176</v>
      </c>
      <c r="AW1024" s="19" t="s">
        <v>199</v>
      </c>
      <c r="AX1024" s="101" t="s">
        <v>534</v>
      </c>
      <c r="AY1024" s="100">
        <v>10000001</v>
      </c>
      <c r="AZ1024" s="100">
        <v>77005102</v>
      </c>
      <c r="BA1024" s="99" t="s">
        <v>200</v>
      </c>
      <c r="BB1024" s="101">
        <v>0</v>
      </c>
      <c r="BC1024" s="106">
        <v>0</v>
      </c>
      <c r="BD1024" s="106">
        <v>0</v>
      </c>
      <c r="BE1024" s="183" t="str">
        <f>"对前方扇形区域的敌人造成"&amp;X1024*100&amp;"%攻击伤害+"&amp;Z1024&amp;"点固定伤害,并附带一层魔法印记"</f>
        <v>对前方扇形区域的敌人造成300%攻击伤害+900点固定伤害,并附带一层魔法印记</v>
      </c>
      <c r="BF1024" s="183" t="s">
        <v>2258</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6"/>
      <c r="B1025" s="216"/>
      <c r="C1025" s="100">
        <v>64013202</v>
      </c>
      <c r="D1025" s="99" t="s">
        <v>2256</v>
      </c>
      <c r="E1025" s="99" t="s">
        <v>2257</v>
      </c>
      <c r="F1025" s="172">
        <v>1</v>
      </c>
      <c r="G1025" s="100">
        <v>64013201</v>
      </c>
      <c r="H1025" s="60">
        <v>64013203</v>
      </c>
      <c r="I1025" s="105">
        <v>0</v>
      </c>
      <c r="J1025" s="16">
        <v>32</v>
      </c>
      <c r="K1025" s="18">
        <v>2</v>
      </c>
      <c r="L1025" s="101">
        <v>0</v>
      </c>
      <c r="M1025" s="101">
        <v>0</v>
      </c>
      <c r="N1025" s="101">
        <v>0</v>
      </c>
      <c r="O1025" s="101">
        <v>1</v>
      </c>
      <c r="P1025" s="101">
        <v>0</v>
      </c>
      <c r="Q1025" s="101">
        <v>0</v>
      </c>
      <c r="R1025" s="101">
        <v>0</v>
      </c>
      <c r="S1025" s="106">
        <v>0</v>
      </c>
      <c r="T1025" s="101">
        <v>0</v>
      </c>
      <c r="U1025" s="101">
        <v>1</v>
      </c>
      <c r="V1025" s="101">
        <v>1</v>
      </c>
      <c r="W1025" s="101">
        <v>0</v>
      </c>
      <c r="X1025" s="18">
        <v>3</v>
      </c>
      <c r="Y1025" s="12">
        <v>0</v>
      </c>
      <c r="Z1025" s="18">
        <v>900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5" t="s">
        <v>2176</v>
      </c>
      <c r="AW1025" s="19" t="s">
        <v>199</v>
      </c>
      <c r="AX1025" s="101" t="s">
        <v>534</v>
      </c>
      <c r="AY1025" s="100">
        <v>10000001</v>
      </c>
      <c r="AZ1025" s="100">
        <v>77005102</v>
      </c>
      <c r="BA1025" s="99" t="s">
        <v>200</v>
      </c>
      <c r="BB1025" s="101">
        <v>0</v>
      </c>
      <c r="BC1025" s="106">
        <v>0</v>
      </c>
      <c r="BD1025" s="106">
        <v>0</v>
      </c>
      <c r="BE1025" s="183" t="str">
        <f t="shared" ref="BE1025:BE1029" si="118">"对前方扇形区域的敌人造成"&amp;X1025*100&amp;"%攻击伤害+"&amp;Z1025&amp;"点固定伤害,并附带一层魔法印记"</f>
        <v>对前方扇形区域的敌人造成300%攻击伤害+900点固定伤害,并附带一层魔法印记</v>
      </c>
      <c r="BF1025" s="183" t="s">
        <v>2258</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6"/>
      <c r="B1026" s="216"/>
      <c r="C1026" s="100">
        <v>64013203</v>
      </c>
      <c r="D1026" s="99" t="s">
        <v>2256</v>
      </c>
      <c r="E1026" s="99" t="s">
        <v>2257</v>
      </c>
      <c r="F1026" s="172">
        <v>2</v>
      </c>
      <c r="G1026" s="100">
        <v>64013201</v>
      </c>
      <c r="H1026" s="60">
        <v>64013204</v>
      </c>
      <c r="I1026" s="105">
        <v>0</v>
      </c>
      <c r="J1026" s="16">
        <v>37</v>
      </c>
      <c r="K1026" s="18">
        <v>2</v>
      </c>
      <c r="L1026" s="101">
        <v>0</v>
      </c>
      <c r="M1026" s="101">
        <v>0</v>
      </c>
      <c r="N1026" s="101">
        <v>0</v>
      </c>
      <c r="O1026" s="101">
        <v>1</v>
      </c>
      <c r="P1026" s="101">
        <v>0</v>
      </c>
      <c r="Q1026" s="101">
        <v>0</v>
      </c>
      <c r="R1026" s="101">
        <v>0</v>
      </c>
      <c r="S1026" s="106">
        <v>0</v>
      </c>
      <c r="T1026" s="101">
        <v>0</v>
      </c>
      <c r="U1026" s="101">
        <v>1</v>
      </c>
      <c r="V1026" s="101">
        <v>1</v>
      </c>
      <c r="W1026" s="101">
        <v>0</v>
      </c>
      <c r="X1026" s="18">
        <v>3.25</v>
      </c>
      <c r="Y1026" s="12">
        <v>0</v>
      </c>
      <c r="Z1026" s="18">
        <v>1800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5"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对前方扇形区域的敌人造成325%攻击伤害+1800点固定伤害,并附带一层魔法印记</v>
      </c>
      <c r="BF1026" s="183" t="s">
        <v>2259</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2" customFormat="1" ht="19.5" customHeight="1">
      <c r="A1027" s="216"/>
      <c r="B1027" s="216"/>
      <c r="C1027" s="100">
        <v>64013204</v>
      </c>
      <c r="D1027" s="99" t="s">
        <v>2256</v>
      </c>
      <c r="E1027" s="99" t="s">
        <v>2257</v>
      </c>
      <c r="F1027" s="172">
        <v>3</v>
      </c>
      <c r="G1027" s="100">
        <v>64013201</v>
      </c>
      <c r="H1027" s="60">
        <v>0</v>
      </c>
      <c r="I1027" s="105">
        <v>0</v>
      </c>
      <c r="J1027" s="16">
        <v>0</v>
      </c>
      <c r="K1027" s="18">
        <v>0</v>
      </c>
      <c r="L1027" s="101">
        <v>0</v>
      </c>
      <c r="M1027" s="101">
        <v>0</v>
      </c>
      <c r="N1027" s="101">
        <v>0</v>
      </c>
      <c r="O1027" s="101">
        <v>1</v>
      </c>
      <c r="P1027" s="101">
        <v>0</v>
      </c>
      <c r="Q1027" s="101">
        <v>0</v>
      </c>
      <c r="R1027" s="101">
        <v>0</v>
      </c>
      <c r="S1027" s="106">
        <v>0</v>
      </c>
      <c r="T1027" s="101">
        <v>0</v>
      </c>
      <c r="U1027" s="101">
        <v>1</v>
      </c>
      <c r="V1027" s="101">
        <v>1</v>
      </c>
      <c r="W1027" s="101">
        <v>0</v>
      </c>
      <c r="X1027" s="18">
        <v>3.5</v>
      </c>
      <c r="Y1027" s="12">
        <v>0</v>
      </c>
      <c r="Z1027" s="18">
        <v>2800</v>
      </c>
      <c r="AA1027" s="101">
        <v>0</v>
      </c>
      <c r="AB1027" s="101">
        <v>0</v>
      </c>
      <c r="AC1027" s="101">
        <v>0</v>
      </c>
      <c r="AD1027" s="101">
        <v>0</v>
      </c>
      <c r="AE1027" s="101">
        <v>0</v>
      </c>
      <c r="AF1027" s="18">
        <v>9</v>
      </c>
      <c r="AG1027" s="101">
        <v>3</v>
      </c>
      <c r="AH1027" s="114">
        <v>4120</v>
      </c>
      <c r="AI1027" s="106">
        <v>2</v>
      </c>
      <c r="AJ1027" s="106">
        <v>3</v>
      </c>
      <c r="AK1027" s="106">
        <v>0</v>
      </c>
      <c r="AL1027" s="106">
        <v>3</v>
      </c>
      <c r="AM1027" s="101">
        <v>0</v>
      </c>
      <c r="AN1027" s="101">
        <v>0</v>
      </c>
      <c r="AO1027" s="101">
        <v>0</v>
      </c>
      <c r="AP1027" s="101">
        <v>0.2</v>
      </c>
      <c r="AQ1027" s="101">
        <v>1000</v>
      </c>
      <c r="AR1027" s="101">
        <v>0.2</v>
      </c>
      <c r="AS1027" s="101">
        <v>0</v>
      </c>
      <c r="AT1027" s="106">
        <v>0</v>
      </c>
      <c r="AU1027" s="60">
        <v>0</v>
      </c>
      <c r="AV1027" s="355" t="s">
        <v>2176</v>
      </c>
      <c r="AW1027" s="19" t="s">
        <v>199</v>
      </c>
      <c r="AX1027" s="101" t="s">
        <v>534</v>
      </c>
      <c r="AY1027" s="100">
        <v>10000001</v>
      </c>
      <c r="AZ1027" s="100">
        <v>77005102</v>
      </c>
      <c r="BA1027" s="99" t="s">
        <v>200</v>
      </c>
      <c r="BB1027" s="101">
        <v>0</v>
      </c>
      <c r="BC1027" s="106">
        <v>0</v>
      </c>
      <c r="BD1027" s="106">
        <v>0</v>
      </c>
      <c r="BE1027" s="183" t="str">
        <f t="shared" si="118"/>
        <v>对前方扇形区域的敌人造成350%攻击伤害+2800点固定伤害,并附带一层魔法印记</v>
      </c>
      <c r="BF1027" s="183" t="s">
        <v>2260</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106">
        <v>0</v>
      </c>
      <c r="BV1027" s="47"/>
      <c r="BW1027" s="47"/>
    </row>
    <row r="1028" spans="1:75" s="2" customFormat="1" ht="19.5" customHeight="1">
      <c r="A1028" s="216"/>
      <c r="B1028" s="216"/>
      <c r="C1028" s="100">
        <v>64013205</v>
      </c>
      <c r="D1028" s="99" t="s">
        <v>2256</v>
      </c>
      <c r="E1028" s="99" t="s">
        <v>2257</v>
      </c>
      <c r="F1028" s="172">
        <v>4</v>
      </c>
      <c r="G1028" s="100">
        <v>64013201</v>
      </c>
      <c r="H1028" s="60">
        <v>0</v>
      </c>
      <c r="I1028" s="105">
        <v>0</v>
      </c>
      <c r="J1028" s="16">
        <v>0</v>
      </c>
      <c r="K1028" s="18">
        <v>0</v>
      </c>
      <c r="L1028" s="101">
        <v>0</v>
      </c>
      <c r="M1028" s="101">
        <v>0</v>
      </c>
      <c r="N1028" s="101">
        <v>0</v>
      </c>
      <c r="O1028" s="101">
        <v>1</v>
      </c>
      <c r="P1028" s="101">
        <v>0</v>
      </c>
      <c r="Q1028" s="101">
        <v>0</v>
      </c>
      <c r="R1028" s="101">
        <v>0</v>
      </c>
      <c r="S1028" s="106">
        <v>0</v>
      </c>
      <c r="T1028" s="101">
        <v>0</v>
      </c>
      <c r="U1028" s="101">
        <v>1</v>
      </c>
      <c r="V1028" s="101">
        <v>1</v>
      </c>
      <c r="W1028" s="101">
        <v>0</v>
      </c>
      <c r="X1028" s="18">
        <v>3.75</v>
      </c>
      <c r="Y1028" s="12">
        <v>0</v>
      </c>
      <c r="Z1028" s="18">
        <v>4000</v>
      </c>
      <c r="AA1028" s="101">
        <v>0</v>
      </c>
      <c r="AB1028" s="101">
        <v>0</v>
      </c>
      <c r="AC1028" s="101">
        <v>0</v>
      </c>
      <c r="AD1028" s="101">
        <v>0</v>
      </c>
      <c r="AE1028" s="101">
        <v>0</v>
      </c>
      <c r="AF1028" s="18">
        <v>9</v>
      </c>
      <c r="AG1028" s="101">
        <v>3</v>
      </c>
      <c r="AH1028" s="114">
        <v>4120</v>
      </c>
      <c r="AI1028" s="106">
        <v>2</v>
      </c>
      <c r="AJ1028" s="106">
        <v>3</v>
      </c>
      <c r="AK1028" s="106">
        <v>0</v>
      </c>
      <c r="AL1028" s="106">
        <v>3</v>
      </c>
      <c r="AM1028" s="101">
        <v>0</v>
      </c>
      <c r="AN1028" s="101">
        <v>0</v>
      </c>
      <c r="AO1028" s="101">
        <v>0</v>
      </c>
      <c r="AP1028" s="101">
        <v>0.2</v>
      </c>
      <c r="AQ1028" s="101">
        <v>1000</v>
      </c>
      <c r="AR1028" s="101">
        <v>0.2</v>
      </c>
      <c r="AS1028" s="101">
        <v>0</v>
      </c>
      <c r="AT1028" s="106">
        <v>0</v>
      </c>
      <c r="AU1028" s="60">
        <v>0</v>
      </c>
      <c r="AV1028" s="355" t="s">
        <v>2176</v>
      </c>
      <c r="AW1028" s="19" t="s">
        <v>199</v>
      </c>
      <c r="AX1028" s="101" t="s">
        <v>534</v>
      </c>
      <c r="AY1028" s="100">
        <v>10000001</v>
      </c>
      <c r="AZ1028" s="100">
        <v>77005102</v>
      </c>
      <c r="BA1028" s="99" t="s">
        <v>200</v>
      </c>
      <c r="BB1028" s="101">
        <v>0</v>
      </c>
      <c r="BC1028" s="106">
        <v>0</v>
      </c>
      <c r="BD1028" s="106">
        <v>0</v>
      </c>
      <c r="BE1028" s="183" t="str">
        <f t="shared" si="118"/>
        <v>对前方扇形区域的敌人造成375%攻击伤害+4000点固定伤害,并附带一层魔法印记</v>
      </c>
      <c r="BF1028" s="183" t="s">
        <v>2261</v>
      </c>
      <c r="BG1028" s="101">
        <v>0</v>
      </c>
      <c r="BH1028" s="101">
        <v>0</v>
      </c>
      <c r="BI1028" s="101">
        <v>0</v>
      </c>
      <c r="BJ1028" s="101">
        <v>0</v>
      </c>
      <c r="BK1028" s="101">
        <v>0</v>
      </c>
      <c r="BL1028" s="101">
        <v>0</v>
      </c>
      <c r="BM1028" s="97">
        <v>0</v>
      </c>
      <c r="BN1028" s="106">
        <v>0</v>
      </c>
      <c r="BO1028" s="106">
        <v>0</v>
      </c>
      <c r="BP1028" s="106">
        <v>0</v>
      </c>
      <c r="BQ1028" s="106">
        <v>0</v>
      </c>
      <c r="BR1028" s="106">
        <v>0</v>
      </c>
      <c r="BS1028" s="106">
        <v>0</v>
      </c>
      <c r="BT1028" s="106">
        <v>0</v>
      </c>
      <c r="BU1028" s="106">
        <v>0</v>
      </c>
      <c r="BV1028" s="47"/>
      <c r="BW1028" s="47"/>
    </row>
    <row r="1029" spans="1:75" s="2" customFormat="1" ht="19.5" customHeight="1">
      <c r="A1029" s="216"/>
      <c r="B1029" s="216"/>
      <c r="C1029" s="100">
        <v>64013206</v>
      </c>
      <c r="D1029" s="99" t="s">
        <v>2256</v>
      </c>
      <c r="E1029" s="99" t="s">
        <v>2257</v>
      </c>
      <c r="F1029" s="172">
        <v>5</v>
      </c>
      <c r="G1029" s="100">
        <v>64013201</v>
      </c>
      <c r="H1029" s="60">
        <v>0</v>
      </c>
      <c r="I1029" s="105">
        <v>0</v>
      </c>
      <c r="J1029" s="16">
        <v>0</v>
      </c>
      <c r="K1029" s="18">
        <v>0</v>
      </c>
      <c r="L1029" s="101">
        <v>0</v>
      </c>
      <c r="M1029" s="101">
        <v>0</v>
      </c>
      <c r="N1029" s="101">
        <v>0</v>
      </c>
      <c r="O1029" s="101">
        <v>1</v>
      </c>
      <c r="P1029" s="101">
        <v>0</v>
      </c>
      <c r="Q1029" s="101">
        <v>0</v>
      </c>
      <c r="R1029" s="101">
        <v>0</v>
      </c>
      <c r="S1029" s="106">
        <v>0</v>
      </c>
      <c r="T1029" s="101">
        <v>0</v>
      </c>
      <c r="U1029" s="101">
        <v>1</v>
      </c>
      <c r="V1029" s="101">
        <v>1</v>
      </c>
      <c r="W1029" s="101">
        <v>0</v>
      </c>
      <c r="X1029" s="18">
        <v>4</v>
      </c>
      <c r="Y1029" s="12">
        <v>0</v>
      </c>
      <c r="Z1029" s="18">
        <v>5200</v>
      </c>
      <c r="AA1029" s="101">
        <v>0</v>
      </c>
      <c r="AB1029" s="101">
        <v>0</v>
      </c>
      <c r="AC1029" s="101">
        <v>0</v>
      </c>
      <c r="AD1029" s="101">
        <v>0</v>
      </c>
      <c r="AE1029" s="101">
        <v>0</v>
      </c>
      <c r="AF1029" s="18">
        <v>9</v>
      </c>
      <c r="AG1029" s="101">
        <v>3</v>
      </c>
      <c r="AH1029" s="114">
        <v>4120</v>
      </c>
      <c r="AI1029" s="106">
        <v>2</v>
      </c>
      <c r="AJ1029" s="106">
        <v>3</v>
      </c>
      <c r="AK1029" s="106">
        <v>0</v>
      </c>
      <c r="AL1029" s="106">
        <v>3</v>
      </c>
      <c r="AM1029" s="101">
        <v>0</v>
      </c>
      <c r="AN1029" s="101">
        <v>0</v>
      </c>
      <c r="AO1029" s="101">
        <v>0</v>
      </c>
      <c r="AP1029" s="101">
        <v>0.2</v>
      </c>
      <c r="AQ1029" s="101">
        <v>1000</v>
      </c>
      <c r="AR1029" s="101">
        <v>0.2</v>
      </c>
      <c r="AS1029" s="101">
        <v>0</v>
      </c>
      <c r="AT1029" s="106">
        <v>0</v>
      </c>
      <c r="AU1029" s="60">
        <v>0</v>
      </c>
      <c r="AV1029" s="355" t="s">
        <v>2176</v>
      </c>
      <c r="AW1029" s="19" t="s">
        <v>199</v>
      </c>
      <c r="AX1029" s="101" t="s">
        <v>534</v>
      </c>
      <c r="AY1029" s="100">
        <v>10000001</v>
      </c>
      <c r="AZ1029" s="100">
        <v>77005102</v>
      </c>
      <c r="BA1029" s="99" t="s">
        <v>200</v>
      </c>
      <c r="BB1029" s="101">
        <v>0</v>
      </c>
      <c r="BC1029" s="106">
        <v>0</v>
      </c>
      <c r="BD1029" s="106">
        <v>0</v>
      </c>
      <c r="BE1029" s="183" t="str">
        <f t="shared" si="118"/>
        <v>对前方扇形区域的敌人造成400%攻击伤害+5200点固定伤害,并附带一层魔法印记</v>
      </c>
      <c r="BF1029" s="183" t="s">
        <v>2262</v>
      </c>
      <c r="BG1029" s="101">
        <v>0</v>
      </c>
      <c r="BH1029" s="101">
        <v>0</v>
      </c>
      <c r="BI1029" s="101">
        <v>0</v>
      </c>
      <c r="BJ1029" s="101">
        <v>0</v>
      </c>
      <c r="BK1029" s="101">
        <v>0</v>
      </c>
      <c r="BL1029" s="101">
        <v>0</v>
      </c>
      <c r="BM1029" s="97">
        <v>0</v>
      </c>
      <c r="BN1029" s="106">
        <v>0</v>
      </c>
      <c r="BO1029" s="106">
        <v>0</v>
      </c>
      <c r="BP1029" s="106">
        <v>0</v>
      </c>
      <c r="BQ1029" s="106">
        <v>0</v>
      </c>
      <c r="BR1029" s="106">
        <v>0</v>
      </c>
      <c r="BS1029" s="106">
        <v>0</v>
      </c>
      <c r="BT1029" s="106">
        <v>0</v>
      </c>
      <c r="BU1029" s="106">
        <v>0</v>
      </c>
      <c r="BV1029" s="47"/>
      <c r="BW1029" s="47"/>
    </row>
    <row r="1030" spans="1:75" s="1" customFormat="1" ht="20.100000000000001" customHeight="1">
      <c r="A1030" s="215"/>
      <c r="B1030" s="215"/>
      <c r="C1030" s="64">
        <v>64013301</v>
      </c>
      <c r="D1030" s="59" t="s">
        <v>2263</v>
      </c>
      <c r="E1030" s="59" t="s">
        <v>2264</v>
      </c>
      <c r="F1030" s="172">
        <v>0</v>
      </c>
      <c r="G1030" s="48">
        <v>64013301</v>
      </c>
      <c r="H1030" s="48">
        <v>64013302</v>
      </c>
      <c r="I1030" s="66">
        <v>0</v>
      </c>
      <c r="J1030" s="16">
        <v>30</v>
      </c>
      <c r="K1030" s="18">
        <v>5</v>
      </c>
      <c r="L1030" s="64">
        <v>0</v>
      </c>
      <c r="M1030" s="60">
        <v>0</v>
      </c>
      <c r="N1030" s="60">
        <v>0</v>
      </c>
      <c r="O1030" s="60">
        <v>1</v>
      </c>
      <c r="P1030" s="60">
        <v>0</v>
      </c>
      <c r="Q1030" s="60">
        <v>0</v>
      </c>
      <c r="R1030" s="60">
        <v>0</v>
      </c>
      <c r="S1030" s="68">
        <v>0</v>
      </c>
      <c r="T1030" s="60">
        <v>0</v>
      </c>
      <c r="U1030" s="60">
        <v>1</v>
      </c>
      <c r="V1030" s="60">
        <v>1</v>
      </c>
      <c r="W1030" s="60">
        <v>0</v>
      </c>
      <c r="X1030" s="18">
        <v>2.5</v>
      </c>
      <c r="Y1030" s="12">
        <v>0</v>
      </c>
      <c r="Z1030" s="18">
        <v>900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5" t="s">
        <v>2265</v>
      </c>
      <c r="AV1030" s="355" t="s">
        <v>2176</v>
      </c>
      <c r="AW1030" s="19" t="s">
        <v>199</v>
      </c>
      <c r="AX1030" s="60" t="s">
        <v>545</v>
      </c>
      <c r="AY1030" s="64">
        <v>10000001</v>
      </c>
      <c r="AZ1030" s="48">
        <v>77005103</v>
      </c>
      <c r="BA1030" s="200" t="s">
        <v>315</v>
      </c>
      <c r="BB1030" s="60">
        <v>1</v>
      </c>
      <c r="BC1030" s="66">
        <v>0</v>
      </c>
      <c r="BD1030" s="66">
        <v>0</v>
      </c>
      <c r="BE1030" s="183" t="str">
        <f>"对目标区域的敌人造成"&amp;X1030*100&amp;"%攻击伤害+"&amp;Z1030&amp;"点固定伤害,并附加1秒眩晕和魔法印记"</f>
        <v>对目标区域的敌人造成250%攻击伤害+900点固定伤害,并附加1秒眩晕和魔法印记</v>
      </c>
      <c r="BF1030" s="183" t="s">
        <v>2266</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2" t="s">
        <v>2267</v>
      </c>
      <c r="BV1030" s="47"/>
      <c r="BW1030" s="47"/>
    </row>
    <row r="1031" spans="1:75" s="1" customFormat="1" ht="20.100000000000001" customHeight="1">
      <c r="A1031" s="215"/>
      <c r="B1031" s="215"/>
      <c r="C1031" s="64">
        <v>64013302</v>
      </c>
      <c r="D1031" s="59" t="s">
        <v>2263</v>
      </c>
      <c r="E1031" s="59" t="s">
        <v>2264</v>
      </c>
      <c r="F1031" s="172">
        <v>1</v>
      </c>
      <c r="G1031" s="48">
        <v>64013301</v>
      </c>
      <c r="H1031" s="48">
        <v>64013303</v>
      </c>
      <c r="I1031" s="66">
        <v>0</v>
      </c>
      <c r="J1031" s="16">
        <v>37</v>
      </c>
      <c r="K1031" s="18">
        <v>2</v>
      </c>
      <c r="L1031" s="64">
        <v>0</v>
      </c>
      <c r="M1031" s="60">
        <v>0</v>
      </c>
      <c r="N1031" s="60">
        <v>0</v>
      </c>
      <c r="O1031" s="60">
        <v>1</v>
      </c>
      <c r="P1031" s="60">
        <v>0</v>
      </c>
      <c r="Q1031" s="60">
        <v>0</v>
      </c>
      <c r="R1031" s="60">
        <v>0</v>
      </c>
      <c r="S1031" s="68">
        <v>0</v>
      </c>
      <c r="T1031" s="60">
        <v>0</v>
      </c>
      <c r="U1031" s="60">
        <v>1</v>
      </c>
      <c r="V1031" s="60">
        <v>1</v>
      </c>
      <c r="W1031" s="60">
        <v>0</v>
      </c>
      <c r="X1031" s="18">
        <v>2.5</v>
      </c>
      <c r="Y1031" s="12">
        <v>0</v>
      </c>
      <c r="Z1031" s="18">
        <v>900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5" t="s">
        <v>2265</v>
      </c>
      <c r="AV1031" s="355" t="s">
        <v>2176</v>
      </c>
      <c r="AW1031" s="19" t="s">
        <v>199</v>
      </c>
      <c r="AX1031" s="60" t="s">
        <v>545</v>
      </c>
      <c r="AY1031" s="64">
        <v>10000001</v>
      </c>
      <c r="AZ1031" s="48">
        <v>77005103</v>
      </c>
      <c r="BA1031" s="200" t="s">
        <v>315</v>
      </c>
      <c r="BB1031" s="60">
        <v>1</v>
      </c>
      <c r="BC1031" s="66">
        <v>0</v>
      </c>
      <c r="BD1031" s="66">
        <v>0</v>
      </c>
      <c r="BE1031" s="183" t="str">
        <f t="shared" ref="BE1031:BE1035" si="119">"对目标区域的敌人造成"&amp;X1031*100&amp;"%攻击伤害+"&amp;Z1031&amp;"点固定伤害,并附加1秒眩晕和魔法印记"</f>
        <v>对目标区域的敌人造成250%攻击伤害+900点固定伤害,并附加1秒眩晕和魔法印记</v>
      </c>
      <c r="BF1031" s="183" t="s">
        <v>2266</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2" t="s">
        <v>2268</v>
      </c>
      <c r="BV1031" s="47"/>
      <c r="BW1031" s="47"/>
    </row>
    <row r="1032" spans="1:75" s="1" customFormat="1" ht="20.100000000000001" customHeight="1">
      <c r="A1032" s="215"/>
      <c r="B1032" s="215"/>
      <c r="C1032" s="64">
        <v>64013303</v>
      </c>
      <c r="D1032" s="59" t="s">
        <v>2263</v>
      </c>
      <c r="E1032" s="59" t="s">
        <v>2264</v>
      </c>
      <c r="F1032" s="172">
        <v>2</v>
      </c>
      <c r="G1032" s="48">
        <v>64013301</v>
      </c>
      <c r="H1032" s="48">
        <v>64013304</v>
      </c>
      <c r="I1032" s="66">
        <v>0</v>
      </c>
      <c r="J1032" s="16">
        <v>42</v>
      </c>
      <c r="K1032" s="18">
        <v>2</v>
      </c>
      <c r="L1032" s="64">
        <v>0</v>
      </c>
      <c r="M1032" s="60">
        <v>0</v>
      </c>
      <c r="N1032" s="60">
        <v>0</v>
      </c>
      <c r="O1032" s="60">
        <v>1</v>
      </c>
      <c r="P1032" s="60">
        <v>0</v>
      </c>
      <c r="Q1032" s="60">
        <v>0</v>
      </c>
      <c r="R1032" s="60">
        <v>0</v>
      </c>
      <c r="S1032" s="68">
        <v>0</v>
      </c>
      <c r="T1032" s="60">
        <v>0</v>
      </c>
      <c r="U1032" s="60">
        <v>1</v>
      </c>
      <c r="V1032" s="60">
        <v>1</v>
      </c>
      <c r="W1032" s="60">
        <v>0</v>
      </c>
      <c r="X1032" s="18">
        <v>2.75</v>
      </c>
      <c r="Y1032" s="12">
        <v>0</v>
      </c>
      <c r="Z1032" s="18">
        <v>1800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5" t="s">
        <v>2265</v>
      </c>
      <c r="AV1032" s="355" t="s">
        <v>2176</v>
      </c>
      <c r="AW1032" s="19" t="s">
        <v>199</v>
      </c>
      <c r="AX1032" s="60" t="s">
        <v>545</v>
      </c>
      <c r="AY1032" s="64">
        <v>10000001</v>
      </c>
      <c r="AZ1032" s="48">
        <v>77005103</v>
      </c>
      <c r="BA1032" s="200" t="s">
        <v>315</v>
      </c>
      <c r="BB1032" s="60">
        <v>1</v>
      </c>
      <c r="BC1032" s="66">
        <v>0</v>
      </c>
      <c r="BD1032" s="66">
        <v>0</v>
      </c>
      <c r="BE1032" s="183" t="str">
        <f t="shared" si="119"/>
        <v>对目标区域的敌人造成275%攻击伤害+1800点固定伤害,并附加1秒眩晕和魔法印记</v>
      </c>
      <c r="BF1032" s="183" t="s">
        <v>2269</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2" t="s">
        <v>2270</v>
      </c>
      <c r="BV1032" s="47"/>
      <c r="BW1032" s="47"/>
    </row>
    <row r="1033" spans="1:75" s="1" customFormat="1" ht="20.100000000000001" customHeight="1">
      <c r="A1033" s="215"/>
      <c r="B1033" s="215"/>
      <c r="C1033" s="64">
        <v>64013304</v>
      </c>
      <c r="D1033" s="59" t="s">
        <v>2263</v>
      </c>
      <c r="E1033" s="59" t="s">
        <v>2264</v>
      </c>
      <c r="F1033" s="172">
        <v>3</v>
      </c>
      <c r="G1033" s="48">
        <v>64013301</v>
      </c>
      <c r="H1033" s="48">
        <v>0</v>
      </c>
      <c r="I1033" s="66">
        <v>0</v>
      </c>
      <c r="J1033" s="18">
        <v>0</v>
      </c>
      <c r="K1033" s="18">
        <v>0</v>
      </c>
      <c r="L1033" s="64">
        <v>0</v>
      </c>
      <c r="M1033" s="60">
        <v>0</v>
      </c>
      <c r="N1033" s="60">
        <v>0</v>
      </c>
      <c r="O1033" s="60">
        <v>1</v>
      </c>
      <c r="P1033" s="60">
        <v>0</v>
      </c>
      <c r="Q1033" s="60">
        <v>0</v>
      </c>
      <c r="R1033" s="60">
        <v>0</v>
      </c>
      <c r="S1033" s="68">
        <v>0</v>
      </c>
      <c r="T1033" s="60">
        <v>0</v>
      </c>
      <c r="U1033" s="60">
        <v>1</v>
      </c>
      <c r="V1033" s="60">
        <v>1</v>
      </c>
      <c r="W1033" s="60">
        <v>0</v>
      </c>
      <c r="X1033" s="18">
        <v>3</v>
      </c>
      <c r="Y1033" s="12">
        <v>0</v>
      </c>
      <c r="Z1033" s="18">
        <v>2800</v>
      </c>
      <c r="AA1033" s="60">
        <v>0</v>
      </c>
      <c r="AB1033" s="60">
        <v>0</v>
      </c>
      <c r="AC1033" s="60">
        <v>0</v>
      </c>
      <c r="AD1033" s="60">
        <v>0</v>
      </c>
      <c r="AE1033" s="60">
        <v>0</v>
      </c>
      <c r="AF1033" s="18">
        <v>12</v>
      </c>
      <c r="AG1033" s="60">
        <v>1</v>
      </c>
      <c r="AH1033" s="176">
        <v>4</v>
      </c>
      <c r="AI1033" s="175">
        <v>2</v>
      </c>
      <c r="AJ1033" s="175">
        <v>1</v>
      </c>
      <c r="AK1033" s="175">
        <v>0</v>
      </c>
      <c r="AL1033" s="175">
        <v>6</v>
      </c>
      <c r="AM1033" s="60">
        <v>0</v>
      </c>
      <c r="AN1033" s="60">
        <v>0</v>
      </c>
      <c r="AO1033" s="60">
        <v>0</v>
      </c>
      <c r="AP1033" s="60">
        <v>0.2</v>
      </c>
      <c r="AQ1033" s="60">
        <v>3000</v>
      </c>
      <c r="AR1033" s="60">
        <v>0.4</v>
      </c>
      <c r="AS1033" s="60">
        <v>0</v>
      </c>
      <c r="AT1033" s="68">
        <v>0</v>
      </c>
      <c r="AU1033" s="355" t="s">
        <v>2265</v>
      </c>
      <c r="AV1033" s="355" t="s">
        <v>2176</v>
      </c>
      <c r="AW1033" s="19" t="s">
        <v>199</v>
      </c>
      <c r="AX1033" s="60" t="s">
        <v>545</v>
      </c>
      <c r="AY1033" s="64">
        <v>10000001</v>
      </c>
      <c r="AZ1033" s="48">
        <v>77005103</v>
      </c>
      <c r="BA1033" s="200" t="s">
        <v>315</v>
      </c>
      <c r="BB1033" s="60">
        <v>1</v>
      </c>
      <c r="BC1033" s="66">
        <v>0</v>
      </c>
      <c r="BD1033" s="66">
        <v>0</v>
      </c>
      <c r="BE1033" s="183" t="str">
        <f t="shared" si="119"/>
        <v>对目标区域的敌人造成300%攻击伤害+2800点固定伤害,并附加1秒眩晕和魔法印记</v>
      </c>
      <c r="BF1033" s="183" t="s">
        <v>2271</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342" t="s">
        <v>2272</v>
      </c>
      <c r="BV1033" s="47"/>
      <c r="BW1033" s="47"/>
    </row>
    <row r="1034" spans="1:75" s="1" customFormat="1" ht="20.100000000000001" customHeight="1">
      <c r="A1034" s="215"/>
      <c r="B1034" s="215"/>
      <c r="C1034" s="64">
        <v>64013305</v>
      </c>
      <c r="D1034" s="59" t="s">
        <v>2263</v>
      </c>
      <c r="E1034" s="59" t="s">
        <v>2264</v>
      </c>
      <c r="F1034" s="172">
        <v>4</v>
      </c>
      <c r="G1034" s="48">
        <v>64013301</v>
      </c>
      <c r="H1034" s="48">
        <v>0</v>
      </c>
      <c r="I1034" s="66">
        <v>0</v>
      </c>
      <c r="J1034" s="18">
        <v>0</v>
      </c>
      <c r="K1034" s="18">
        <v>0</v>
      </c>
      <c r="L1034" s="64">
        <v>0</v>
      </c>
      <c r="M1034" s="60">
        <v>0</v>
      </c>
      <c r="N1034" s="60">
        <v>0</v>
      </c>
      <c r="O1034" s="60">
        <v>1</v>
      </c>
      <c r="P1034" s="60">
        <v>0</v>
      </c>
      <c r="Q1034" s="60">
        <v>0</v>
      </c>
      <c r="R1034" s="60">
        <v>0</v>
      </c>
      <c r="S1034" s="68">
        <v>0</v>
      </c>
      <c r="T1034" s="60">
        <v>0</v>
      </c>
      <c r="U1034" s="60">
        <v>1</v>
      </c>
      <c r="V1034" s="60">
        <v>1</v>
      </c>
      <c r="W1034" s="60">
        <v>0</v>
      </c>
      <c r="X1034" s="18">
        <v>3.25</v>
      </c>
      <c r="Y1034" s="12">
        <v>0</v>
      </c>
      <c r="Z1034" s="18">
        <v>4000</v>
      </c>
      <c r="AA1034" s="60">
        <v>0</v>
      </c>
      <c r="AB1034" s="60">
        <v>0</v>
      </c>
      <c r="AC1034" s="60">
        <v>0</v>
      </c>
      <c r="AD1034" s="60">
        <v>0</v>
      </c>
      <c r="AE1034" s="60">
        <v>0</v>
      </c>
      <c r="AF1034" s="18">
        <v>12</v>
      </c>
      <c r="AG1034" s="60">
        <v>1</v>
      </c>
      <c r="AH1034" s="176">
        <v>4</v>
      </c>
      <c r="AI1034" s="175">
        <v>2</v>
      </c>
      <c r="AJ1034" s="175">
        <v>1</v>
      </c>
      <c r="AK1034" s="175">
        <v>0</v>
      </c>
      <c r="AL1034" s="175">
        <v>6</v>
      </c>
      <c r="AM1034" s="60">
        <v>0</v>
      </c>
      <c r="AN1034" s="60">
        <v>0</v>
      </c>
      <c r="AO1034" s="60">
        <v>0</v>
      </c>
      <c r="AP1034" s="60">
        <v>0.2</v>
      </c>
      <c r="AQ1034" s="60">
        <v>3000</v>
      </c>
      <c r="AR1034" s="60">
        <v>0.4</v>
      </c>
      <c r="AS1034" s="60">
        <v>0</v>
      </c>
      <c r="AT1034" s="68">
        <v>0</v>
      </c>
      <c r="AU1034" s="355" t="s">
        <v>2265</v>
      </c>
      <c r="AV1034" s="355" t="s">
        <v>2176</v>
      </c>
      <c r="AW1034" s="19" t="s">
        <v>199</v>
      </c>
      <c r="AX1034" s="60" t="s">
        <v>545</v>
      </c>
      <c r="AY1034" s="64">
        <v>10000001</v>
      </c>
      <c r="AZ1034" s="48">
        <v>77005103</v>
      </c>
      <c r="BA1034" s="200" t="s">
        <v>315</v>
      </c>
      <c r="BB1034" s="60">
        <v>1</v>
      </c>
      <c r="BC1034" s="66">
        <v>0</v>
      </c>
      <c r="BD1034" s="66">
        <v>0</v>
      </c>
      <c r="BE1034" s="183" t="str">
        <f t="shared" si="119"/>
        <v>对目标区域的敌人造成325%攻击伤害+4000点固定伤害,并附加1秒眩晕和魔法印记</v>
      </c>
      <c r="BF1034" s="183" t="s">
        <v>2273</v>
      </c>
      <c r="BG1034" s="60">
        <v>0</v>
      </c>
      <c r="BH1034" s="60">
        <v>0</v>
      </c>
      <c r="BI1034" s="60">
        <v>0</v>
      </c>
      <c r="BJ1034" s="60">
        <v>0</v>
      </c>
      <c r="BK1034" s="60">
        <v>0</v>
      </c>
      <c r="BL1034" s="60">
        <v>0</v>
      </c>
      <c r="BM1034" s="93">
        <v>0</v>
      </c>
      <c r="BN1034" s="68">
        <v>0</v>
      </c>
      <c r="BO1034" s="68">
        <v>0</v>
      </c>
      <c r="BP1034" s="68">
        <v>0</v>
      </c>
      <c r="BQ1034" s="68">
        <v>0</v>
      </c>
      <c r="BR1034" s="68">
        <v>0</v>
      </c>
      <c r="BS1034" s="68">
        <v>0</v>
      </c>
      <c r="BT1034" s="68">
        <v>0</v>
      </c>
      <c r="BU1034" s="342" t="s">
        <v>2274</v>
      </c>
      <c r="BV1034" s="47"/>
      <c r="BW1034" s="47"/>
    </row>
    <row r="1035" spans="1:75" s="1" customFormat="1" ht="20.100000000000001" customHeight="1">
      <c r="A1035" s="215"/>
      <c r="B1035" s="215"/>
      <c r="C1035" s="64">
        <v>64013306</v>
      </c>
      <c r="D1035" s="59" t="s">
        <v>2263</v>
      </c>
      <c r="E1035" s="59" t="s">
        <v>2264</v>
      </c>
      <c r="F1035" s="172">
        <v>5</v>
      </c>
      <c r="G1035" s="48">
        <v>64013301</v>
      </c>
      <c r="H1035" s="48">
        <v>0</v>
      </c>
      <c r="I1035" s="66">
        <v>0</v>
      </c>
      <c r="J1035" s="18">
        <v>0</v>
      </c>
      <c r="K1035" s="18">
        <v>0</v>
      </c>
      <c r="L1035" s="64">
        <v>0</v>
      </c>
      <c r="M1035" s="60">
        <v>0</v>
      </c>
      <c r="N1035" s="60">
        <v>0</v>
      </c>
      <c r="O1035" s="60">
        <v>1</v>
      </c>
      <c r="P1035" s="60">
        <v>0</v>
      </c>
      <c r="Q1035" s="60">
        <v>0</v>
      </c>
      <c r="R1035" s="60">
        <v>0</v>
      </c>
      <c r="S1035" s="68">
        <v>0</v>
      </c>
      <c r="T1035" s="60">
        <v>0</v>
      </c>
      <c r="U1035" s="60">
        <v>1</v>
      </c>
      <c r="V1035" s="60">
        <v>1</v>
      </c>
      <c r="W1035" s="60">
        <v>0</v>
      </c>
      <c r="X1035" s="18">
        <v>3.5</v>
      </c>
      <c r="Y1035" s="12">
        <v>0</v>
      </c>
      <c r="Z1035" s="18">
        <v>5200</v>
      </c>
      <c r="AA1035" s="60">
        <v>0</v>
      </c>
      <c r="AB1035" s="60">
        <v>0</v>
      </c>
      <c r="AC1035" s="60">
        <v>0</v>
      </c>
      <c r="AD1035" s="60">
        <v>0</v>
      </c>
      <c r="AE1035" s="60">
        <v>0</v>
      </c>
      <c r="AF1035" s="18">
        <v>12</v>
      </c>
      <c r="AG1035" s="60">
        <v>1</v>
      </c>
      <c r="AH1035" s="176">
        <v>4</v>
      </c>
      <c r="AI1035" s="175">
        <v>2</v>
      </c>
      <c r="AJ1035" s="175">
        <v>1</v>
      </c>
      <c r="AK1035" s="175">
        <v>0</v>
      </c>
      <c r="AL1035" s="175">
        <v>6</v>
      </c>
      <c r="AM1035" s="60">
        <v>0</v>
      </c>
      <c r="AN1035" s="60">
        <v>0</v>
      </c>
      <c r="AO1035" s="60">
        <v>0</v>
      </c>
      <c r="AP1035" s="60">
        <v>0.2</v>
      </c>
      <c r="AQ1035" s="60">
        <v>3000</v>
      </c>
      <c r="AR1035" s="60">
        <v>0.4</v>
      </c>
      <c r="AS1035" s="60">
        <v>0</v>
      </c>
      <c r="AT1035" s="68">
        <v>0</v>
      </c>
      <c r="AU1035" s="355" t="s">
        <v>2265</v>
      </c>
      <c r="AV1035" s="355" t="s">
        <v>2176</v>
      </c>
      <c r="AW1035" s="19" t="s">
        <v>199</v>
      </c>
      <c r="AX1035" s="60" t="s">
        <v>545</v>
      </c>
      <c r="AY1035" s="64">
        <v>10000001</v>
      </c>
      <c r="AZ1035" s="48">
        <v>77005103</v>
      </c>
      <c r="BA1035" s="200" t="s">
        <v>315</v>
      </c>
      <c r="BB1035" s="60">
        <v>1</v>
      </c>
      <c r="BC1035" s="66">
        <v>0</v>
      </c>
      <c r="BD1035" s="66">
        <v>0</v>
      </c>
      <c r="BE1035" s="183" t="str">
        <f t="shared" si="119"/>
        <v>对目标区域的敌人造成350%攻击伤害+5200点固定伤害,并附加1秒眩晕和魔法印记</v>
      </c>
      <c r="BF1035" s="183" t="s">
        <v>2275</v>
      </c>
      <c r="BG1035" s="60">
        <v>0</v>
      </c>
      <c r="BH1035" s="60">
        <v>0</v>
      </c>
      <c r="BI1035" s="60">
        <v>0</v>
      </c>
      <c r="BJ1035" s="60">
        <v>0</v>
      </c>
      <c r="BK1035" s="60">
        <v>0</v>
      </c>
      <c r="BL1035" s="60">
        <v>0</v>
      </c>
      <c r="BM1035" s="93">
        <v>0</v>
      </c>
      <c r="BN1035" s="68">
        <v>0</v>
      </c>
      <c r="BO1035" s="68">
        <v>0</v>
      </c>
      <c r="BP1035" s="68">
        <v>0</v>
      </c>
      <c r="BQ1035" s="68">
        <v>0</v>
      </c>
      <c r="BR1035" s="68">
        <v>0</v>
      </c>
      <c r="BS1035" s="68">
        <v>0</v>
      </c>
      <c r="BT1035" s="68">
        <v>0</v>
      </c>
      <c r="BU1035" s="342" t="s">
        <v>2276</v>
      </c>
      <c r="BV1035" s="47"/>
      <c r="BW1035" s="47"/>
    </row>
    <row r="1036" spans="1:75" s="4" customFormat="1" ht="20.100000000000001" customHeight="1">
      <c r="A1036" s="229"/>
      <c r="B1036" s="229"/>
      <c r="C1036" s="48">
        <v>64013311</v>
      </c>
      <c r="D1036" s="49" t="s">
        <v>2277</v>
      </c>
      <c r="E1036" s="49" t="s">
        <v>2278</v>
      </c>
      <c r="F1036" s="214">
        <v>0</v>
      </c>
      <c r="G1036" s="48">
        <v>64013301</v>
      </c>
      <c r="H1036" s="48">
        <v>64013302</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7" t="s">
        <v>2279</v>
      </c>
      <c r="AU1036" s="48">
        <v>0</v>
      </c>
      <c r="AV1036" s="48"/>
      <c r="AW1036" s="49" t="s">
        <v>198</v>
      </c>
      <c r="AX1036" s="48" t="s">
        <v>545</v>
      </c>
      <c r="AY1036" s="48">
        <v>0</v>
      </c>
      <c r="AZ1036" s="48">
        <v>77005103</v>
      </c>
      <c r="BA1036" s="49" t="s">
        <v>1174</v>
      </c>
      <c r="BB1036" s="357"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64013312</v>
      </c>
      <c r="D1037" s="49" t="s">
        <v>2277</v>
      </c>
      <c r="E1037" s="49" t="s">
        <v>2278</v>
      </c>
      <c r="F1037" s="214">
        <v>1</v>
      </c>
      <c r="G1037" s="48">
        <v>64013301</v>
      </c>
      <c r="H1037" s="48">
        <v>64013303</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7" t="s">
        <v>2279</v>
      </c>
      <c r="AU1037" s="48">
        <v>0</v>
      </c>
      <c r="AV1037" s="48"/>
      <c r="AW1037" s="49" t="s">
        <v>198</v>
      </c>
      <c r="AX1037" s="48" t="s">
        <v>545</v>
      </c>
      <c r="AY1037" s="48">
        <v>0</v>
      </c>
      <c r="AZ1037" s="48">
        <v>77005103</v>
      </c>
      <c r="BA1037" s="49" t="s">
        <v>1174</v>
      </c>
      <c r="BB1037" s="357"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64013313</v>
      </c>
      <c r="D1038" s="49" t="s">
        <v>2277</v>
      </c>
      <c r="E1038" s="49" t="s">
        <v>2278</v>
      </c>
      <c r="F1038" s="214">
        <v>2</v>
      </c>
      <c r="G1038" s="48">
        <v>64013301</v>
      </c>
      <c r="H1038" s="48">
        <v>64013304</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7" t="s">
        <v>2279</v>
      </c>
      <c r="AU1038" s="48">
        <v>0</v>
      </c>
      <c r="AV1038" s="48"/>
      <c r="AW1038" s="49" t="s">
        <v>198</v>
      </c>
      <c r="AX1038" s="48" t="s">
        <v>545</v>
      </c>
      <c r="AY1038" s="48">
        <v>0</v>
      </c>
      <c r="AZ1038" s="48">
        <v>77005103</v>
      </c>
      <c r="BA1038" s="49" t="s">
        <v>1174</v>
      </c>
      <c r="BB1038" s="357"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4" customFormat="1" ht="20.100000000000001" customHeight="1">
      <c r="A1039" s="229"/>
      <c r="B1039" s="229"/>
      <c r="C1039" s="48">
        <v>64013314</v>
      </c>
      <c r="D1039" s="49" t="s">
        <v>2277</v>
      </c>
      <c r="E1039" s="49" t="s">
        <v>2278</v>
      </c>
      <c r="F1039" s="214">
        <v>3</v>
      </c>
      <c r="G1039" s="48">
        <v>64013301</v>
      </c>
      <c r="H1039" s="48">
        <v>64013305</v>
      </c>
      <c r="I1039" s="48">
        <v>0</v>
      </c>
      <c r="J1039" s="18">
        <v>0</v>
      </c>
      <c r="K1039" s="48">
        <v>0</v>
      </c>
      <c r="L1039" s="48">
        <v>0</v>
      </c>
      <c r="M1039" s="48">
        <v>0</v>
      </c>
      <c r="N1039" s="48">
        <v>0</v>
      </c>
      <c r="O1039" s="48">
        <v>1</v>
      </c>
      <c r="P1039" s="48">
        <v>0</v>
      </c>
      <c r="Q1039" s="48">
        <v>0</v>
      </c>
      <c r="R1039" s="48">
        <v>0</v>
      </c>
      <c r="S1039" s="48">
        <v>0</v>
      </c>
      <c r="T1039" s="48">
        <v>0</v>
      </c>
      <c r="U1039" s="48">
        <v>1</v>
      </c>
      <c r="V1039" s="48">
        <v>1</v>
      </c>
      <c r="W1039" s="48">
        <v>0</v>
      </c>
      <c r="X1039" s="48">
        <v>0</v>
      </c>
      <c r="Y1039" s="12">
        <v>0</v>
      </c>
      <c r="Z1039" s="48">
        <v>0</v>
      </c>
      <c r="AA1039" s="48">
        <v>0</v>
      </c>
      <c r="AB1039" s="48">
        <v>0</v>
      </c>
      <c r="AC1039" s="48">
        <v>0</v>
      </c>
      <c r="AD1039" s="48">
        <v>0</v>
      </c>
      <c r="AE1039" s="48">
        <v>0</v>
      </c>
      <c r="AF1039" s="230">
        <v>10</v>
      </c>
      <c r="AG1039" s="48">
        <v>1</v>
      </c>
      <c r="AH1039" s="48">
        <v>3</v>
      </c>
      <c r="AI1039" s="48">
        <v>0</v>
      </c>
      <c r="AJ1039" s="48">
        <v>0</v>
      </c>
      <c r="AK1039" s="48">
        <v>0</v>
      </c>
      <c r="AL1039" s="48">
        <v>1.5</v>
      </c>
      <c r="AM1039" s="48">
        <v>0</v>
      </c>
      <c r="AN1039" s="48">
        <v>0</v>
      </c>
      <c r="AO1039" s="48">
        <v>0</v>
      </c>
      <c r="AP1039" s="48">
        <v>3</v>
      </c>
      <c r="AQ1039" s="48">
        <v>3000</v>
      </c>
      <c r="AR1039" s="48">
        <v>0.1</v>
      </c>
      <c r="AS1039" s="48">
        <v>0</v>
      </c>
      <c r="AT1039" s="357" t="s">
        <v>2279</v>
      </c>
      <c r="AU1039" s="48">
        <v>0</v>
      </c>
      <c r="AV1039" s="48"/>
      <c r="AW1039" s="49" t="s">
        <v>198</v>
      </c>
      <c r="AX1039" s="48" t="s">
        <v>545</v>
      </c>
      <c r="AY1039" s="48">
        <v>0</v>
      </c>
      <c r="AZ1039" s="48">
        <v>77005103</v>
      </c>
      <c r="BA1039" s="49" t="s">
        <v>1174</v>
      </c>
      <c r="BB1039" s="357" t="s">
        <v>2280</v>
      </c>
      <c r="BC1039" s="48">
        <v>0</v>
      </c>
      <c r="BD1039" s="48">
        <v>0</v>
      </c>
      <c r="BE1039" s="53" t="s">
        <v>2281</v>
      </c>
      <c r="BF1039" s="53" t="s">
        <v>2282</v>
      </c>
      <c r="BG1039" s="48">
        <v>0</v>
      </c>
      <c r="BH1039" s="48">
        <v>0</v>
      </c>
      <c r="BI1039" s="48">
        <v>0</v>
      </c>
      <c r="BJ1039" s="48">
        <v>0</v>
      </c>
      <c r="BK1039" s="48">
        <v>0</v>
      </c>
      <c r="BL1039" s="48">
        <v>0</v>
      </c>
      <c r="BM1039" s="233">
        <v>0</v>
      </c>
      <c r="BN1039" s="48">
        <v>0</v>
      </c>
      <c r="BO1039" s="48">
        <v>0</v>
      </c>
      <c r="BP1039" s="48">
        <v>0</v>
      </c>
      <c r="BQ1039" s="48">
        <v>0</v>
      </c>
      <c r="BR1039" s="48">
        <v>0</v>
      </c>
      <c r="BS1039" s="48">
        <v>0</v>
      </c>
      <c r="BT1039" s="48">
        <v>0</v>
      </c>
      <c r="BU1039" s="48">
        <v>0</v>
      </c>
      <c r="BV1039" s="47"/>
      <c r="BW1039" s="47"/>
    </row>
    <row r="1040" spans="1:75" s="4" customFormat="1" ht="20.100000000000001" customHeight="1">
      <c r="A1040" s="229"/>
      <c r="B1040" s="229"/>
      <c r="C1040" s="48">
        <v>64013315</v>
      </c>
      <c r="D1040" s="49" t="s">
        <v>2277</v>
      </c>
      <c r="E1040" s="49" t="s">
        <v>2278</v>
      </c>
      <c r="F1040" s="214">
        <v>4</v>
      </c>
      <c r="G1040" s="48">
        <v>64013301</v>
      </c>
      <c r="H1040" s="48">
        <v>64013306</v>
      </c>
      <c r="I1040" s="48">
        <v>0</v>
      </c>
      <c r="J1040" s="18">
        <v>0</v>
      </c>
      <c r="K1040" s="48">
        <v>0</v>
      </c>
      <c r="L1040" s="48">
        <v>0</v>
      </c>
      <c r="M1040" s="48">
        <v>0</v>
      </c>
      <c r="N1040" s="48">
        <v>0</v>
      </c>
      <c r="O1040" s="48">
        <v>1</v>
      </c>
      <c r="P1040" s="48">
        <v>0</v>
      </c>
      <c r="Q1040" s="48">
        <v>0</v>
      </c>
      <c r="R1040" s="48">
        <v>0</v>
      </c>
      <c r="S1040" s="48">
        <v>0</v>
      </c>
      <c r="T1040" s="48">
        <v>0</v>
      </c>
      <c r="U1040" s="48">
        <v>1</v>
      </c>
      <c r="V1040" s="48">
        <v>1</v>
      </c>
      <c r="W1040" s="48">
        <v>0</v>
      </c>
      <c r="X1040" s="48">
        <v>0</v>
      </c>
      <c r="Y1040" s="12">
        <v>0</v>
      </c>
      <c r="Z1040" s="48">
        <v>0</v>
      </c>
      <c r="AA1040" s="48">
        <v>0</v>
      </c>
      <c r="AB1040" s="48">
        <v>0</v>
      </c>
      <c r="AC1040" s="48">
        <v>0</v>
      </c>
      <c r="AD1040" s="48">
        <v>0</v>
      </c>
      <c r="AE1040" s="48">
        <v>0</v>
      </c>
      <c r="AF1040" s="230">
        <v>10</v>
      </c>
      <c r="AG1040" s="48">
        <v>1</v>
      </c>
      <c r="AH1040" s="48">
        <v>3</v>
      </c>
      <c r="AI1040" s="48">
        <v>0</v>
      </c>
      <c r="AJ1040" s="48">
        <v>0</v>
      </c>
      <c r="AK1040" s="48">
        <v>0</v>
      </c>
      <c r="AL1040" s="48">
        <v>1.5</v>
      </c>
      <c r="AM1040" s="48">
        <v>0</v>
      </c>
      <c r="AN1040" s="48">
        <v>0</v>
      </c>
      <c r="AO1040" s="48">
        <v>0</v>
      </c>
      <c r="AP1040" s="48">
        <v>3</v>
      </c>
      <c r="AQ1040" s="48">
        <v>3000</v>
      </c>
      <c r="AR1040" s="48">
        <v>0.1</v>
      </c>
      <c r="AS1040" s="48">
        <v>0</v>
      </c>
      <c r="AT1040" s="357" t="s">
        <v>2279</v>
      </c>
      <c r="AU1040" s="48">
        <v>0</v>
      </c>
      <c r="AV1040" s="48"/>
      <c r="AW1040" s="49" t="s">
        <v>198</v>
      </c>
      <c r="AX1040" s="48" t="s">
        <v>545</v>
      </c>
      <c r="AY1040" s="48">
        <v>0</v>
      </c>
      <c r="AZ1040" s="48">
        <v>77005103</v>
      </c>
      <c r="BA1040" s="49" t="s">
        <v>1174</v>
      </c>
      <c r="BB1040" s="357" t="s">
        <v>2280</v>
      </c>
      <c r="BC1040" s="48">
        <v>0</v>
      </c>
      <c r="BD1040" s="48">
        <v>0</v>
      </c>
      <c r="BE1040" s="53" t="s">
        <v>2281</v>
      </c>
      <c r="BF1040" s="53" t="s">
        <v>2282</v>
      </c>
      <c r="BG1040" s="48">
        <v>0</v>
      </c>
      <c r="BH1040" s="48">
        <v>0</v>
      </c>
      <c r="BI1040" s="48">
        <v>0</v>
      </c>
      <c r="BJ1040" s="48">
        <v>0</v>
      </c>
      <c r="BK1040" s="48">
        <v>0</v>
      </c>
      <c r="BL1040" s="48">
        <v>0</v>
      </c>
      <c r="BM1040" s="233">
        <v>0</v>
      </c>
      <c r="BN1040" s="48">
        <v>0</v>
      </c>
      <c r="BO1040" s="48">
        <v>0</v>
      </c>
      <c r="BP1040" s="48">
        <v>0</v>
      </c>
      <c r="BQ1040" s="48">
        <v>0</v>
      </c>
      <c r="BR1040" s="48">
        <v>0</v>
      </c>
      <c r="BS1040" s="48">
        <v>0</v>
      </c>
      <c r="BT1040" s="48">
        <v>0</v>
      </c>
      <c r="BU1040" s="48">
        <v>0</v>
      </c>
      <c r="BV1040" s="47"/>
      <c r="BW1040" s="47"/>
    </row>
    <row r="1041" spans="1:75" s="4" customFormat="1" ht="20.100000000000001" customHeight="1">
      <c r="A1041" s="229"/>
      <c r="B1041" s="229"/>
      <c r="C1041" s="48">
        <v>64013316</v>
      </c>
      <c r="D1041" s="49" t="s">
        <v>2277</v>
      </c>
      <c r="E1041" s="49" t="s">
        <v>2278</v>
      </c>
      <c r="F1041" s="214">
        <v>5</v>
      </c>
      <c r="G1041" s="48">
        <v>64013301</v>
      </c>
      <c r="H1041" s="48">
        <v>0</v>
      </c>
      <c r="I1041" s="48">
        <v>0</v>
      </c>
      <c r="J1041" s="18">
        <v>0</v>
      </c>
      <c r="K1041" s="48">
        <v>0</v>
      </c>
      <c r="L1041" s="48">
        <v>0</v>
      </c>
      <c r="M1041" s="48">
        <v>0</v>
      </c>
      <c r="N1041" s="48">
        <v>0</v>
      </c>
      <c r="O1041" s="48">
        <v>1</v>
      </c>
      <c r="P1041" s="48">
        <v>0</v>
      </c>
      <c r="Q1041" s="48">
        <v>0</v>
      </c>
      <c r="R1041" s="48">
        <v>0</v>
      </c>
      <c r="S1041" s="48">
        <v>0</v>
      </c>
      <c r="T1041" s="48">
        <v>0</v>
      </c>
      <c r="U1041" s="48">
        <v>1</v>
      </c>
      <c r="V1041" s="48">
        <v>1</v>
      </c>
      <c r="W1041" s="48">
        <v>0</v>
      </c>
      <c r="X1041" s="48">
        <v>0</v>
      </c>
      <c r="Y1041" s="12">
        <v>0</v>
      </c>
      <c r="Z1041" s="48">
        <v>0</v>
      </c>
      <c r="AA1041" s="48">
        <v>0</v>
      </c>
      <c r="AB1041" s="48">
        <v>0</v>
      </c>
      <c r="AC1041" s="48">
        <v>0</v>
      </c>
      <c r="AD1041" s="48">
        <v>0</v>
      </c>
      <c r="AE1041" s="48">
        <v>0</v>
      </c>
      <c r="AF1041" s="230">
        <v>10</v>
      </c>
      <c r="AG1041" s="48">
        <v>1</v>
      </c>
      <c r="AH1041" s="48">
        <v>3</v>
      </c>
      <c r="AI1041" s="48">
        <v>0</v>
      </c>
      <c r="AJ1041" s="48">
        <v>0</v>
      </c>
      <c r="AK1041" s="48">
        <v>0</v>
      </c>
      <c r="AL1041" s="48">
        <v>1.5</v>
      </c>
      <c r="AM1041" s="48">
        <v>0</v>
      </c>
      <c r="AN1041" s="48">
        <v>0</v>
      </c>
      <c r="AO1041" s="48">
        <v>0</v>
      </c>
      <c r="AP1041" s="48">
        <v>3</v>
      </c>
      <c r="AQ1041" s="48">
        <v>3000</v>
      </c>
      <c r="AR1041" s="48">
        <v>0.1</v>
      </c>
      <c r="AS1041" s="48">
        <v>0</v>
      </c>
      <c r="AT1041" s="357" t="s">
        <v>2279</v>
      </c>
      <c r="AU1041" s="48">
        <v>0</v>
      </c>
      <c r="AV1041" s="48"/>
      <c r="AW1041" s="49" t="s">
        <v>198</v>
      </c>
      <c r="AX1041" s="48" t="s">
        <v>545</v>
      </c>
      <c r="AY1041" s="48">
        <v>0</v>
      </c>
      <c r="AZ1041" s="48">
        <v>77005103</v>
      </c>
      <c r="BA1041" s="49" t="s">
        <v>1174</v>
      </c>
      <c r="BB1041" s="357" t="s">
        <v>2280</v>
      </c>
      <c r="BC1041" s="48">
        <v>0</v>
      </c>
      <c r="BD1041" s="48">
        <v>0</v>
      </c>
      <c r="BE1041" s="53" t="s">
        <v>2281</v>
      </c>
      <c r="BF1041" s="53" t="s">
        <v>2282</v>
      </c>
      <c r="BG1041" s="48">
        <v>0</v>
      </c>
      <c r="BH1041" s="48">
        <v>0</v>
      </c>
      <c r="BI1041" s="48">
        <v>0</v>
      </c>
      <c r="BJ1041" s="48">
        <v>0</v>
      </c>
      <c r="BK1041" s="48">
        <v>0</v>
      </c>
      <c r="BL1041" s="48">
        <v>0</v>
      </c>
      <c r="BM1041" s="233">
        <v>0</v>
      </c>
      <c r="BN1041" s="48">
        <v>0</v>
      </c>
      <c r="BO1041" s="48">
        <v>0</v>
      </c>
      <c r="BP1041" s="48">
        <v>0</v>
      </c>
      <c r="BQ1041" s="48">
        <v>0</v>
      </c>
      <c r="BR1041" s="48">
        <v>0</v>
      </c>
      <c r="BS1041" s="48">
        <v>0</v>
      </c>
      <c r="BT1041" s="48">
        <v>0</v>
      </c>
      <c r="BU1041" s="48">
        <v>0</v>
      </c>
      <c r="BV1041" s="47"/>
      <c r="BW1041" s="47"/>
    </row>
    <row r="1042" spans="1:75" s="2" customFormat="1" ht="20.100000000000001" customHeight="1">
      <c r="A1042" s="216"/>
      <c r="B1042" s="216"/>
      <c r="C1042" s="100">
        <v>64013401</v>
      </c>
      <c r="D1042" s="99" t="s">
        <v>2283</v>
      </c>
      <c r="E1042" s="99" t="s">
        <v>2284</v>
      </c>
      <c r="F1042" s="172">
        <v>0</v>
      </c>
      <c r="G1042" s="100">
        <v>64013401</v>
      </c>
      <c r="H1042" s="60">
        <v>64013402</v>
      </c>
      <c r="I1042" s="105">
        <v>0</v>
      </c>
      <c r="J1042" s="16">
        <v>35</v>
      </c>
      <c r="K1042" s="18">
        <v>5</v>
      </c>
      <c r="L1042" s="100">
        <v>0</v>
      </c>
      <c r="M1042" s="101">
        <v>0</v>
      </c>
      <c r="N1042" s="101">
        <v>0</v>
      </c>
      <c r="O1042" s="101">
        <v>1</v>
      </c>
      <c r="P1042" s="101">
        <v>0</v>
      </c>
      <c r="Q1042" s="101">
        <v>0</v>
      </c>
      <c r="R1042" s="101">
        <v>0</v>
      </c>
      <c r="S1042" s="106">
        <v>0</v>
      </c>
      <c r="T1042" s="101">
        <v>0</v>
      </c>
      <c r="U1042" s="101">
        <v>1</v>
      </c>
      <c r="V1042" s="101">
        <v>1</v>
      </c>
      <c r="W1042" s="101">
        <v>0</v>
      </c>
      <c r="X1042" s="101">
        <v>2.4</v>
      </c>
      <c r="Y1042" s="12">
        <v>0</v>
      </c>
      <c r="Z1042" s="101">
        <v>900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5" t="s">
        <v>2285</v>
      </c>
      <c r="AU1042" s="101" t="s">
        <v>198</v>
      </c>
      <c r="AV1042" s="355" t="s">
        <v>2176</v>
      </c>
      <c r="AW1042" s="99" t="s">
        <v>198</v>
      </c>
      <c r="AX1042" s="101" t="s">
        <v>545</v>
      </c>
      <c r="AY1042" s="100">
        <v>0</v>
      </c>
      <c r="AZ1042" s="100">
        <v>77005104</v>
      </c>
      <c r="BA1042" s="99" t="s">
        <v>1165</v>
      </c>
      <c r="BB1042" s="101">
        <v>0</v>
      </c>
      <c r="BC1042" s="105">
        <v>0</v>
      </c>
      <c r="BD1042" s="105">
        <v>0</v>
      </c>
      <c r="BE1042" s="183" t="str">
        <f>"自身变成燃烧的烈风,移动速度降低25%,旋风状态中无法选并且无法释放其他技能，对附近的单位每"&amp;X1042*100&amp;"%攻击伤害+"&amp;Z1042&amp;"点固定伤害,并附加1秒眩晕和魔法印记"</f>
        <v>自身变成燃烧的烈风,移动速度降低25%,旋风状态中无法选并且无法释放其他技能，对附近的单位每240%攻击伤害+900点固定伤害,并附加1秒眩晕和魔法印记</v>
      </c>
      <c r="BF1042" s="183" t="s">
        <v>2286</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6"/>
      <c r="B1043" s="216"/>
      <c r="C1043" s="100">
        <v>64013402</v>
      </c>
      <c r="D1043" s="99" t="s">
        <v>2283</v>
      </c>
      <c r="E1043" s="99" t="s">
        <v>2284</v>
      </c>
      <c r="F1043" s="172">
        <v>1</v>
      </c>
      <c r="G1043" s="100">
        <v>64013401</v>
      </c>
      <c r="H1043" s="60">
        <v>64013403</v>
      </c>
      <c r="I1043" s="105">
        <v>0</v>
      </c>
      <c r="J1043" s="16">
        <v>42</v>
      </c>
      <c r="K1043" s="18">
        <v>2</v>
      </c>
      <c r="L1043" s="100">
        <v>0</v>
      </c>
      <c r="M1043" s="101">
        <v>0</v>
      </c>
      <c r="N1043" s="101">
        <v>0</v>
      </c>
      <c r="O1043" s="101">
        <v>1</v>
      </c>
      <c r="P1043" s="101">
        <v>0</v>
      </c>
      <c r="Q1043" s="101">
        <v>0</v>
      </c>
      <c r="R1043" s="101">
        <v>0</v>
      </c>
      <c r="S1043" s="106">
        <v>0</v>
      </c>
      <c r="T1043" s="101">
        <v>0</v>
      </c>
      <c r="U1043" s="101">
        <v>1</v>
      </c>
      <c r="V1043" s="101">
        <v>1</v>
      </c>
      <c r="W1043" s="101">
        <v>0</v>
      </c>
      <c r="X1043" s="101">
        <v>2.4</v>
      </c>
      <c r="Y1043" s="12">
        <v>0</v>
      </c>
      <c r="Z1043" s="101">
        <v>900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5" t="s">
        <v>2285</v>
      </c>
      <c r="AU1043" s="101" t="s">
        <v>198</v>
      </c>
      <c r="AV1043" s="355" t="s">
        <v>2176</v>
      </c>
      <c r="AW1043" s="99" t="s">
        <v>198</v>
      </c>
      <c r="AX1043" s="101" t="s">
        <v>545</v>
      </c>
      <c r="AY1043" s="100">
        <v>0</v>
      </c>
      <c r="AZ1043" s="100">
        <v>77005104</v>
      </c>
      <c r="BA1043" s="99" t="s">
        <v>1165</v>
      </c>
      <c r="BB1043" s="101">
        <v>0</v>
      </c>
      <c r="BC1043" s="105">
        <v>0</v>
      </c>
      <c r="BD1043" s="105">
        <v>0</v>
      </c>
      <c r="BE1043" s="183" t="str">
        <f t="shared" ref="BE1043:BE1047" si="120">"自身变成燃烧的烈风,移动速度降低25%,旋风状态中无法选并且无法释放其他技能，对附近的单位每"&amp;X1043*100&amp;"%攻击伤害+"&amp;Z1043&amp;"点固定伤害,并附加1秒眩晕和魔法印记"</f>
        <v>自身变成燃烧的烈风,移动速度降低25%,旋风状态中无法选并且无法释放其他技能，对附近的单位每240%攻击伤害+900点固定伤害,并附加1秒眩晕和魔法印记</v>
      </c>
      <c r="BF1043" s="183" t="s">
        <v>2286</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6"/>
      <c r="B1044" s="216"/>
      <c r="C1044" s="100">
        <v>64013403</v>
      </c>
      <c r="D1044" s="99" t="s">
        <v>2283</v>
      </c>
      <c r="E1044" s="99" t="s">
        <v>2284</v>
      </c>
      <c r="F1044" s="172">
        <v>2</v>
      </c>
      <c r="G1044" s="100">
        <v>64013401</v>
      </c>
      <c r="H1044" s="60">
        <v>64013404</v>
      </c>
      <c r="I1044" s="105">
        <v>0</v>
      </c>
      <c r="J1044" s="16">
        <v>47</v>
      </c>
      <c r="K1044" s="18">
        <v>2</v>
      </c>
      <c r="L1044" s="100">
        <v>0</v>
      </c>
      <c r="M1044" s="101">
        <v>0</v>
      </c>
      <c r="N1044" s="101">
        <v>0</v>
      </c>
      <c r="O1044" s="101">
        <v>1</v>
      </c>
      <c r="P1044" s="101">
        <v>0</v>
      </c>
      <c r="Q1044" s="101">
        <v>0</v>
      </c>
      <c r="R1044" s="101">
        <v>0</v>
      </c>
      <c r="S1044" s="106">
        <v>0</v>
      </c>
      <c r="T1044" s="101">
        <v>0</v>
      </c>
      <c r="U1044" s="101">
        <v>1</v>
      </c>
      <c r="V1044" s="101">
        <v>1</v>
      </c>
      <c r="W1044" s="101">
        <v>0</v>
      </c>
      <c r="X1044" s="101">
        <v>2.7</v>
      </c>
      <c r="Y1044" s="12">
        <v>0</v>
      </c>
      <c r="Z1044" s="101">
        <v>1800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5" t="s">
        <v>2285</v>
      </c>
      <c r="AU1044" s="101" t="s">
        <v>198</v>
      </c>
      <c r="AV1044" s="355"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自身变成燃烧的烈风,移动速度降低25%,旋风状态中无法选并且无法释放其他技能，对附近的单位每270%攻击伤害+1800点固定伤害,并附加1秒眩晕和魔法印记</v>
      </c>
      <c r="BF1044" s="183" t="s">
        <v>2287</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2" customFormat="1" ht="20.100000000000001" customHeight="1">
      <c r="A1045" s="216"/>
      <c r="B1045" s="216"/>
      <c r="C1045" s="100">
        <v>64013404</v>
      </c>
      <c r="D1045" s="99" t="s">
        <v>2283</v>
      </c>
      <c r="E1045" s="99" t="s">
        <v>2284</v>
      </c>
      <c r="F1045" s="172">
        <v>3</v>
      </c>
      <c r="G1045" s="100">
        <v>64013401</v>
      </c>
      <c r="H1045" s="60">
        <v>0</v>
      </c>
      <c r="I1045" s="105">
        <v>0</v>
      </c>
      <c r="J1045" s="18">
        <v>0</v>
      </c>
      <c r="K1045" s="18">
        <v>0</v>
      </c>
      <c r="L1045" s="100">
        <v>0</v>
      </c>
      <c r="M1045" s="101">
        <v>0</v>
      </c>
      <c r="N1045" s="101">
        <v>0</v>
      </c>
      <c r="O1045" s="101">
        <v>1</v>
      </c>
      <c r="P1045" s="101">
        <v>0</v>
      </c>
      <c r="Q1045" s="101">
        <v>0</v>
      </c>
      <c r="R1045" s="101">
        <v>0</v>
      </c>
      <c r="S1045" s="106">
        <v>0</v>
      </c>
      <c r="T1045" s="101">
        <v>0</v>
      </c>
      <c r="U1045" s="101">
        <v>1</v>
      </c>
      <c r="V1045" s="101">
        <v>1</v>
      </c>
      <c r="W1045" s="101">
        <v>0</v>
      </c>
      <c r="X1045" s="101">
        <v>3</v>
      </c>
      <c r="Y1045" s="12">
        <v>0</v>
      </c>
      <c r="Z1045" s="101">
        <v>2800</v>
      </c>
      <c r="AA1045" s="101">
        <v>0</v>
      </c>
      <c r="AB1045" s="101">
        <v>0</v>
      </c>
      <c r="AC1045" s="101">
        <v>0</v>
      </c>
      <c r="AD1045" s="101">
        <v>0</v>
      </c>
      <c r="AE1045" s="101">
        <v>0</v>
      </c>
      <c r="AF1045" s="12">
        <v>24</v>
      </c>
      <c r="AG1045" s="101">
        <v>1</v>
      </c>
      <c r="AH1045" s="101">
        <v>2</v>
      </c>
      <c r="AI1045" s="106">
        <v>2</v>
      </c>
      <c r="AJ1045" s="106">
        <v>0</v>
      </c>
      <c r="AK1045" s="106">
        <v>0</v>
      </c>
      <c r="AL1045" s="106">
        <v>0</v>
      </c>
      <c r="AM1045" s="101">
        <v>0</v>
      </c>
      <c r="AN1045" s="101">
        <v>0</v>
      </c>
      <c r="AO1045" s="101">
        <v>0</v>
      </c>
      <c r="AP1045" s="100">
        <v>0</v>
      </c>
      <c r="AQ1045" s="101">
        <v>5000</v>
      </c>
      <c r="AR1045" s="101">
        <v>0</v>
      </c>
      <c r="AS1045" s="101">
        <v>0</v>
      </c>
      <c r="AT1045" s="335" t="s">
        <v>2285</v>
      </c>
      <c r="AU1045" s="101" t="s">
        <v>198</v>
      </c>
      <c r="AV1045" s="355" t="s">
        <v>2176</v>
      </c>
      <c r="AW1045" s="99" t="s">
        <v>198</v>
      </c>
      <c r="AX1045" s="101" t="s">
        <v>545</v>
      </c>
      <c r="AY1045" s="100">
        <v>0</v>
      </c>
      <c r="AZ1045" s="100">
        <v>77005104</v>
      </c>
      <c r="BA1045" s="99" t="s">
        <v>1165</v>
      </c>
      <c r="BB1045" s="101">
        <v>0</v>
      </c>
      <c r="BC1045" s="105">
        <v>0</v>
      </c>
      <c r="BD1045" s="105">
        <v>0</v>
      </c>
      <c r="BE1045" s="183" t="str">
        <f t="shared" si="120"/>
        <v>自身变成燃烧的烈风,移动速度降低25%,旋风状态中无法选并且无法释放其他技能，对附近的单位每300%攻击伤害+2800点固定伤害,并附加1秒眩晕和魔法印记</v>
      </c>
      <c r="BF1045" s="183" t="s">
        <v>2288</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row>
    <row r="1046" spans="1:75" s="2" customFormat="1" ht="20.100000000000001" customHeight="1">
      <c r="A1046" s="216"/>
      <c r="B1046" s="216"/>
      <c r="C1046" s="100">
        <v>64013405</v>
      </c>
      <c r="D1046" s="99" t="s">
        <v>2283</v>
      </c>
      <c r="E1046" s="99" t="s">
        <v>2284</v>
      </c>
      <c r="F1046" s="172">
        <v>4</v>
      </c>
      <c r="G1046" s="100">
        <v>64013401</v>
      </c>
      <c r="H1046" s="60">
        <v>0</v>
      </c>
      <c r="I1046" s="105">
        <v>0</v>
      </c>
      <c r="J1046" s="18">
        <v>0</v>
      </c>
      <c r="K1046" s="18">
        <v>0</v>
      </c>
      <c r="L1046" s="100">
        <v>0</v>
      </c>
      <c r="M1046" s="101">
        <v>0</v>
      </c>
      <c r="N1046" s="101">
        <v>0</v>
      </c>
      <c r="O1046" s="101">
        <v>1</v>
      </c>
      <c r="P1046" s="101">
        <v>0</v>
      </c>
      <c r="Q1046" s="101">
        <v>0</v>
      </c>
      <c r="R1046" s="101">
        <v>0</v>
      </c>
      <c r="S1046" s="106">
        <v>0</v>
      </c>
      <c r="T1046" s="101">
        <v>0</v>
      </c>
      <c r="U1046" s="101">
        <v>1</v>
      </c>
      <c r="V1046" s="101">
        <v>1</v>
      </c>
      <c r="W1046" s="101">
        <v>0</v>
      </c>
      <c r="X1046" s="101">
        <v>3.3</v>
      </c>
      <c r="Y1046" s="12">
        <v>0</v>
      </c>
      <c r="Z1046" s="101">
        <v>4000</v>
      </c>
      <c r="AA1046" s="101">
        <v>0</v>
      </c>
      <c r="AB1046" s="101">
        <v>0</v>
      </c>
      <c r="AC1046" s="101">
        <v>0</v>
      </c>
      <c r="AD1046" s="101">
        <v>0</v>
      </c>
      <c r="AE1046" s="101">
        <v>0</v>
      </c>
      <c r="AF1046" s="12">
        <v>24</v>
      </c>
      <c r="AG1046" s="101">
        <v>1</v>
      </c>
      <c r="AH1046" s="101">
        <v>2</v>
      </c>
      <c r="AI1046" s="106">
        <v>2</v>
      </c>
      <c r="AJ1046" s="106">
        <v>0</v>
      </c>
      <c r="AK1046" s="106">
        <v>0</v>
      </c>
      <c r="AL1046" s="106">
        <v>0</v>
      </c>
      <c r="AM1046" s="101">
        <v>0</v>
      </c>
      <c r="AN1046" s="101">
        <v>0</v>
      </c>
      <c r="AO1046" s="101">
        <v>0</v>
      </c>
      <c r="AP1046" s="100">
        <v>0</v>
      </c>
      <c r="AQ1046" s="101">
        <v>5000</v>
      </c>
      <c r="AR1046" s="101">
        <v>0</v>
      </c>
      <c r="AS1046" s="101">
        <v>0</v>
      </c>
      <c r="AT1046" s="335" t="s">
        <v>2285</v>
      </c>
      <c r="AU1046" s="101" t="s">
        <v>198</v>
      </c>
      <c r="AV1046" s="355" t="s">
        <v>2176</v>
      </c>
      <c r="AW1046" s="99" t="s">
        <v>198</v>
      </c>
      <c r="AX1046" s="101" t="s">
        <v>545</v>
      </c>
      <c r="AY1046" s="100">
        <v>0</v>
      </c>
      <c r="AZ1046" s="100">
        <v>77005104</v>
      </c>
      <c r="BA1046" s="99" t="s">
        <v>1165</v>
      </c>
      <c r="BB1046" s="101">
        <v>0</v>
      </c>
      <c r="BC1046" s="105">
        <v>0</v>
      </c>
      <c r="BD1046" s="105">
        <v>0</v>
      </c>
      <c r="BE1046" s="183" t="str">
        <f t="shared" si="120"/>
        <v>自身变成燃烧的烈风,移动速度降低25%,旋风状态中无法选并且无法释放其他技能，对附近的单位每330%攻击伤害+4000点固定伤害,并附加1秒眩晕和魔法印记</v>
      </c>
      <c r="BF1046" s="183" t="s">
        <v>2289</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row>
    <row r="1047" spans="1:75" s="2" customFormat="1" ht="20.100000000000001" customHeight="1">
      <c r="A1047" s="216"/>
      <c r="B1047" s="216"/>
      <c r="C1047" s="100">
        <v>64013406</v>
      </c>
      <c r="D1047" s="99" t="s">
        <v>2283</v>
      </c>
      <c r="E1047" s="99" t="s">
        <v>2284</v>
      </c>
      <c r="F1047" s="172">
        <v>5</v>
      </c>
      <c r="G1047" s="100">
        <v>64013401</v>
      </c>
      <c r="H1047" s="60">
        <v>0</v>
      </c>
      <c r="I1047" s="105">
        <v>0</v>
      </c>
      <c r="J1047" s="18">
        <v>0</v>
      </c>
      <c r="K1047" s="18">
        <v>0</v>
      </c>
      <c r="L1047" s="100">
        <v>0</v>
      </c>
      <c r="M1047" s="101">
        <v>0</v>
      </c>
      <c r="N1047" s="101">
        <v>0</v>
      </c>
      <c r="O1047" s="101">
        <v>1</v>
      </c>
      <c r="P1047" s="101">
        <v>0</v>
      </c>
      <c r="Q1047" s="101">
        <v>0</v>
      </c>
      <c r="R1047" s="101">
        <v>0</v>
      </c>
      <c r="S1047" s="106">
        <v>0</v>
      </c>
      <c r="T1047" s="101">
        <v>0</v>
      </c>
      <c r="U1047" s="101">
        <v>1</v>
      </c>
      <c r="V1047" s="101">
        <v>1</v>
      </c>
      <c r="W1047" s="101">
        <v>0</v>
      </c>
      <c r="X1047" s="101">
        <v>3.6</v>
      </c>
      <c r="Y1047" s="12">
        <v>0</v>
      </c>
      <c r="Z1047" s="101">
        <v>5200</v>
      </c>
      <c r="AA1047" s="101">
        <v>0</v>
      </c>
      <c r="AB1047" s="101">
        <v>0</v>
      </c>
      <c r="AC1047" s="101">
        <v>0</v>
      </c>
      <c r="AD1047" s="101">
        <v>0</v>
      </c>
      <c r="AE1047" s="101">
        <v>0</v>
      </c>
      <c r="AF1047" s="12">
        <v>24</v>
      </c>
      <c r="AG1047" s="101">
        <v>1</v>
      </c>
      <c r="AH1047" s="101">
        <v>2</v>
      </c>
      <c r="AI1047" s="106">
        <v>2</v>
      </c>
      <c r="AJ1047" s="106">
        <v>0</v>
      </c>
      <c r="AK1047" s="106">
        <v>0</v>
      </c>
      <c r="AL1047" s="106">
        <v>0</v>
      </c>
      <c r="AM1047" s="101">
        <v>0</v>
      </c>
      <c r="AN1047" s="101">
        <v>0</v>
      </c>
      <c r="AO1047" s="101">
        <v>0</v>
      </c>
      <c r="AP1047" s="100">
        <v>0</v>
      </c>
      <c r="AQ1047" s="101">
        <v>5000</v>
      </c>
      <c r="AR1047" s="101">
        <v>0</v>
      </c>
      <c r="AS1047" s="101">
        <v>0</v>
      </c>
      <c r="AT1047" s="335" t="s">
        <v>2285</v>
      </c>
      <c r="AU1047" s="101" t="s">
        <v>198</v>
      </c>
      <c r="AV1047" s="355" t="s">
        <v>2176</v>
      </c>
      <c r="AW1047" s="99" t="s">
        <v>198</v>
      </c>
      <c r="AX1047" s="101" t="s">
        <v>545</v>
      </c>
      <c r="AY1047" s="100">
        <v>0</v>
      </c>
      <c r="AZ1047" s="100">
        <v>77005104</v>
      </c>
      <c r="BA1047" s="99" t="s">
        <v>1165</v>
      </c>
      <c r="BB1047" s="101">
        <v>0</v>
      </c>
      <c r="BC1047" s="105">
        <v>0</v>
      </c>
      <c r="BD1047" s="105">
        <v>0</v>
      </c>
      <c r="BE1047" s="183" t="str">
        <f t="shared" si="120"/>
        <v>自身变成燃烧的烈风,移动速度降低25%,旋风状态中无法选并且无法释放其他技能，对附近的单位每360%攻击伤害+5200点固定伤害,并附加1秒眩晕和魔法印记</v>
      </c>
      <c r="BF1047" s="183" t="s">
        <v>2290</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row>
    <row r="1048" spans="1:75" s="3" customFormat="1" ht="19.5" customHeight="1">
      <c r="A1048" s="217"/>
      <c r="B1048" s="217"/>
      <c r="C1048" s="218">
        <v>64013501</v>
      </c>
      <c r="D1048" s="219" t="s">
        <v>760</v>
      </c>
      <c r="E1048" s="219" t="s">
        <v>761</v>
      </c>
      <c r="F1048" s="222">
        <v>1</v>
      </c>
      <c r="G1048" s="222">
        <v>0</v>
      </c>
      <c r="H1048" s="222">
        <v>0</v>
      </c>
      <c r="I1048" s="223">
        <v>0</v>
      </c>
      <c r="J1048" s="218">
        <v>1</v>
      </c>
      <c r="K1048" s="218">
        <v>0</v>
      </c>
      <c r="L1048" s="218">
        <v>0</v>
      </c>
      <c r="M1048" s="222">
        <v>0</v>
      </c>
      <c r="N1048" s="222">
        <v>0</v>
      </c>
      <c r="O1048" s="222">
        <v>2</v>
      </c>
      <c r="P1048" s="222">
        <v>1</v>
      </c>
      <c r="Q1048" s="222">
        <v>1</v>
      </c>
      <c r="R1048" s="222">
        <v>1</v>
      </c>
      <c r="S1048" s="224">
        <v>0</v>
      </c>
      <c r="T1048" s="222">
        <v>0</v>
      </c>
      <c r="U1048" s="222">
        <v>1</v>
      </c>
      <c r="V1048" s="222">
        <v>1</v>
      </c>
      <c r="W1048" s="222">
        <v>0</v>
      </c>
      <c r="X1048" s="222">
        <v>1.5</v>
      </c>
      <c r="Y1048" s="12">
        <v>0</v>
      </c>
      <c r="Z1048" s="222">
        <v>0</v>
      </c>
      <c r="AA1048" s="222">
        <v>0</v>
      </c>
      <c r="AB1048" s="222">
        <v>0</v>
      </c>
      <c r="AC1048" s="222">
        <v>0</v>
      </c>
      <c r="AD1048" s="222">
        <v>0</v>
      </c>
      <c r="AE1048" s="222">
        <v>1</v>
      </c>
      <c r="AF1048" s="222">
        <v>10</v>
      </c>
      <c r="AG1048" s="222">
        <v>2</v>
      </c>
      <c r="AH1048" s="222" t="s">
        <v>1036</v>
      </c>
      <c r="AI1048" s="224">
        <v>0</v>
      </c>
      <c r="AJ1048" s="224">
        <v>2</v>
      </c>
      <c r="AK1048" s="224">
        <v>0</v>
      </c>
      <c r="AL1048" s="224">
        <v>1.5</v>
      </c>
      <c r="AM1048" s="222">
        <v>0</v>
      </c>
      <c r="AN1048" s="222">
        <v>0.5</v>
      </c>
      <c r="AO1048" s="222">
        <v>0</v>
      </c>
      <c r="AP1048" s="222">
        <v>1</v>
      </c>
      <c r="AQ1048" s="222">
        <v>1000</v>
      </c>
      <c r="AR1048" s="222">
        <v>0.2</v>
      </c>
      <c r="AS1048" s="222">
        <v>15</v>
      </c>
      <c r="AT1048" s="224">
        <v>0</v>
      </c>
      <c r="AU1048" s="356" t="s">
        <v>2291</v>
      </c>
      <c r="AV1048" s="225"/>
      <c r="AW1048" s="219" t="s">
        <v>199</v>
      </c>
      <c r="AX1048" s="222" t="s">
        <v>215</v>
      </c>
      <c r="AY1048" s="218">
        <v>0</v>
      </c>
      <c r="AZ1048" s="218">
        <v>0</v>
      </c>
      <c r="BA1048" s="232" t="s">
        <v>216</v>
      </c>
      <c r="BB1048" s="222">
        <v>0</v>
      </c>
      <c r="BC1048" s="223">
        <v>0</v>
      </c>
      <c r="BD1048" s="223">
        <v>0</v>
      </c>
      <c r="BE1048" s="228" t="s">
        <v>2292</v>
      </c>
      <c r="BF1048" s="228" t="s">
        <v>2293</v>
      </c>
      <c r="BG1048" s="222">
        <v>0</v>
      </c>
      <c r="BH1048" s="222">
        <v>0</v>
      </c>
      <c r="BI1048" s="222">
        <v>0</v>
      </c>
      <c r="BJ1048" s="222">
        <v>0</v>
      </c>
      <c r="BK1048" s="222">
        <v>0</v>
      </c>
      <c r="BL1048" s="222">
        <v>0</v>
      </c>
      <c r="BM1048" s="221">
        <v>0</v>
      </c>
      <c r="BN1048" s="224">
        <v>0</v>
      </c>
      <c r="BO1048" s="224">
        <v>0</v>
      </c>
      <c r="BP1048" s="224">
        <v>0</v>
      </c>
      <c r="BQ1048" s="224">
        <v>0</v>
      </c>
      <c r="BR1048" s="224">
        <v>0</v>
      </c>
      <c r="BS1048" s="224">
        <v>0</v>
      </c>
      <c r="BT1048" s="224">
        <v>0</v>
      </c>
      <c r="BU1048" s="224">
        <v>0</v>
      </c>
      <c r="BV1048" s="47"/>
      <c r="BW1048" s="47"/>
    </row>
    <row r="1049" spans="1:75" s="3" customFormat="1" ht="19.5" customHeight="1">
      <c r="A1049" s="217"/>
      <c r="B1049" s="217"/>
      <c r="C1049" s="218">
        <v>64013601</v>
      </c>
      <c r="D1049" s="219" t="s">
        <v>2294</v>
      </c>
      <c r="E1049" s="219" t="s">
        <v>2295</v>
      </c>
      <c r="F1049" s="218">
        <v>1</v>
      </c>
      <c r="G1049" s="218">
        <v>0</v>
      </c>
      <c r="H1049" s="218">
        <v>0</v>
      </c>
      <c r="I1049" s="223">
        <v>0</v>
      </c>
      <c r="J1049" s="218">
        <v>1</v>
      </c>
      <c r="K1049" s="218">
        <v>0</v>
      </c>
      <c r="L1049" s="218">
        <v>0</v>
      </c>
      <c r="M1049" s="222">
        <v>0</v>
      </c>
      <c r="N1049" s="222">
        <v>0</v>
      </c>
      <c r="O1049" s="222">
        <v>2</v>
      </c>
      <c r="P1049" s="222">
        <v>3</v>
      </c>
      <c r="Q1049" s="222">
        <v>0.2</v>
      </c>
      <c r="R1049" s="222">
        <v>0</v>
      </c>
      <c r="S1049" s="224">
        <v>0</v>
      </c>
      <c r="T1049" s="222">
        <v>0</v>
      </c>
      <c r="U1049" s="222">
        <v>1</v>
      </c>
      <c r="V1049" s="222">
        <v>2</v>
      </c>
      <c r="W1049" s="222">
        <v>0</v>
      </c>
      <c r="X1049" s="222">
        <v>0</v>
      </c>
      <c r="Y1049" s="12">
        <v>0</v>
      </c>
      <c r="Z1049" s="222">
        <v>0</v>
      </c>
      <c r="AA1049" s="222">
        <v>1</v>
      </c>
      <c r="AB1049" s="222">
        <v>0</v>
      </c>
      <c r="AC1049" s="222">
        <v>0</v>
      </c>
      <c r="AD1049" s="222">
        <v>1</v>
      </c>
      <c r="AE1049" s="222">
        <v>1</v>
      </c>
      <c r="AF1049" s="222">
        <v>0</v>
      </c>
      <c r="AG1049" s="222">
        <v>1</v>
      </c>
      <c r="AH1049" s="222">
        <v>3</v>
      </c>
      <c r="AI1049" s="224">
        <v>0</v>
      </c>
      <c r="AJ1049" s="224">
        <v>1</v>
      </c>
      <c r="AK1049" s="224">
        <v>0</v>
      </c>
      <c r="AL1049" s="224">
        <v>3</v>
      </c>
      <c r="AM1049" s="222">
        <v>0</v>
      </c>
      <c r="AN1049" s="222">
        <v>0</v>
      </c>
      <c r="AO1049" s="222">
        <v>0</v>
      </c>
      <c r="AP1049" s="222">
        <v>0</v>
      </c>
      <c r="AQ1049" s="222">
        <v>500</v>
      </c>
      <c r="AR1049" s="222">
        <v>0</v>
      </c>
      <c r="AS1049" s="222">
        <v>0</v>
      </c>
      <c r="AT1049" s="224">
        <v>95101004</v>
      </c>
      <c r="AU1049" s="225">
        <v>0</v>
      </c>
      <c r="AV1049" s="225"/>
      <c r="AW1049" s="226" t="s">
        <v>198</v>
      </c>
      <c r="AX1049" s="222" t="s">
        <v>534</v>
      </c>
      <c r="AY1049" s="218">
        <v>0</v>
      </c>
      <c r="AZ1049" s="218">
        <v>0</v>
      </c>
      <c r="BA1049" s="219" t="s">
        <v>200</v>
      </c>
      <c r="BB1049" s="222">
        <v>0</v>
      </c>
      <c r="BC1049" s="223">
        <v>0</v>
      </c>
      <c r="BD1049" s="223">
        <v>0</v>
      </c>
      <c r="BE1049" s="228" t="s">
        <v>2296</v>
      </c>
      <c r="BF1049" s="228" t="s">
        <v>2297</v>
      </c>
      <c r="BG1049" s="222">
        <v>0</v>
      </c>
      <c r="BH1049" s="222">
        <v>0</v>
      </c>
      <c r="BI1049" s="222">
        <v>0</v>
      </c>
      <c r="BJ1049" s="222">
        <v>0</v>
      </c>
      <c r="BK1049" s="222">
        <v>0</v>
      </c>
      <c r="BL1049" s="222">
        <v>0</v>
      </c>
      <c r="BM1049" s="221">
        <v>0</v>
      </c>
      <c r="BN1049" s="224">
        <v>0</v>
      </c>
      <c r="BO1049" s="224">
        <v>0</v>
      </c>
      <c r="BP1049" s="224">
        <v>0</v>
      </c>
      <c r="BQ1049" s="224">
        <v>0</v>
      </c>
      <c r="BR1049" s="224">
        <v>0</v>
      </c>
      <c r="BS1049" s="224">
        <v>0</v>
      </c>
      <c r="BT1049" s="224">
        <v>0</v>
      </c>
      <c r="BU1049" s="224">
        <v>0</v>
      </c>
      <c r="BV1049" s="47"/>
      <c r="BW1049" s="47"/>
    </row>
    <row r="1050" spans="1:75" s="3" customFormat="1" ht="19.5" customHeight="1">
      <c r="A1050" s="217"/>
      <c r="B1050" s="217"/>
      <c r="C1050" s="218">
        <v>64013602</v>
      </c>
      <c r="D1050" s="219" t="s">
        <v>2294</v>
      </c>
      <c r="E1050" s="219" t="s">
        <v>2295</v>
      </c>
      <c r="F1050" s="218">
        <v>1</v>
      </c>
      <c r="G1050" s="218">
        <v>0</v>
      </c>
      <c r="H1050" s="218">
        <v>0</v>
      </c>
      <c r="I1050" s="223">
        <v>0</v>
      </c>
      <c r="J1050" s="218">
        <v>1</v>
      </c>
      <c r="K1050" s="218">
        <v>0</v>
      </c>
      <c r="L1050" s="218">
        <v>0</v>
      </c>
      <c r="M1050" s="222">
        <v>0</v>
      </c>
      <c r="N1050" s="222">
        <v>0</v>
      </c>
      <c r="O1050" s="222">
        <v>2</v>
      </c>
      <c r="P1050" s="222">
        <v>3</v>
      </c>
      <c r="Q1050" s="222">
        <v>0.2</v>
      </c>
      <c r="R1050" s="222">
        <v>0</v>
      </c>
      <c r="S1050" s="224">
        <v>0</v>
      </c>
      <c r="T1050" s="222">
        <v>0</v>
      </c>
      <c r="U1050" s="222">
        <v>1</v>
      </c>
      <c r="V1050" s="222">
        <v>2</v>
      </c>
      <c r="W1050" s="222">
        <v>0</v>
      </c>
      <c r="X1050" s="222">
        <v>0</v>
      </c>
      <c r="Y1050" s="12">
        <v>0</v>
      </c>
      <c r="Z1050" s="222">
        <v>0</v>
      </c>
      <c r="AA1050" s="222">
        <v>1</v>
      </c>
      <c r="AB1050" s="222">
        <v>0</v>
      </c>
      <c r="AC1050" s="222">
        <v>0</v>
      </c>
      <c r="AD1050" s="222">
        <v>1</v>
      </c>
      <c r="AE1050" s="222">
        <v>1</v>
      </c>
      <c r="AF1050" s="222">
        <v>0</v>
      </c>
      <c r="AG1050" s="222">
        <v>1</v>
      </c>
      <c r="AH1050" s="222">
        <v>3</v>
      </c>
      <c r="AI1050" s="224">
        <v>0</v>
      </c>
      <c r="AJ1050" s="224">
        <v>1</v>
      </c>
      <c r="AK1050" s="224">
        <v>0</v>
      </c>
      <c r="AL1050" s="224">
        <v>3</v>
      </c>
      <c r="AM1050" s="222">
        <v>0</v>
      </c>
      <c r="AN1050" s="222">
        <v>0</v>
      </c>
      <c r="AO1050" s="222">
        <v>0</v>
      </c>
      <c r="AP1050" s="222">
        <v>0</v>
      </c>
      <c r="AQ1050" s="222">
        <v>500</v>
      </c>
      <c r="AR1050" s="222">
        <v>0</v>
      </c>
      <c r="AS1050" s="222">
        <v>0</v>
      </c>
      <c r="AT1050" s="224">
        <v>95101004</v>
      </c>
      <c r="AU1050" s="225">
        <v>0</v>
      </c>
      <c r="AV1050" s="225"/>
      <c r="AW1050" s="226" t="s">
        <v>198</v>
      </c>
      <c r="AX1050" s="222" t="s">
        <v>534</v>
      </c>
      <c r="AY1050" s="218">
        <v>0</v>
      </c>
      <c r="AZ1050" s="218">
        <v>0</v>
      </c>
      <c r="BA1050" s="219" t="s">
        <v>200</v>
      </c>
      <c r="BB1050" s="222">
        <v>0</v>
      </c>
      <c r="BC1050" s="223">
        <v>0</v>
      </c>
      <c r="BD1050" s="223">
        <v>0</v>
      </c>
      <c r="BE1050" s="228" t="s">
        <v>2296</v>
      </c>
      <c r="BF1050" s="228" t="s">
        <v>2297</v>
      </c>
      <c r="BG1050" s="222">
        <v>0</v>
      </c>
      <c r="BH1050" s="222">
        <v>0</v>
      </c>
      <c r="BI1050" s="222">
        <v>0</v>
      </c>
      <c r="BJ1050" s="222">
        <v>0</v>
      </c>
      <c r="BK1050" s="222">
        <v>0</v>
      </c>
      <c r="BL1050" s="222">
        <v>0</v>
      </c>
      <c r="BM1050" s="221">
        <v>0</v>
      </c>
      <c r="BN1050" s="224">
        <v>0</v>
      </c>
      <c r="BO1050" s="224">
        <v>0</v>
      </c>
      <c r="BP1050" s="224">
        <v>0</v>
      </c>
      <c r="BQ1050" s="224">
        <v>0</v>
      </c>
      <c r="BR1050" s="224">
        <v>0</v>
      </c>
      <c r="BS1050" s="224">
        <v>0</v>
      </c>
      <c r="BT1050" s="224">
        <v>0</v>
      </c>
      <c r="BU1050" s="224">
        <v>0</v>
      </c>
      <c r="BV1050" s="47"/>
      <c r="BW1050" s="47"/>
    </row>
    <row r="1051" spans="1:75" s="3" customFormat="1" ht="19.5" customHeight="1">
      <c r="A1051" s="217"/>
      <c r="B1051" s="217"/>
      <c r="C1051" s="218">
        <v>64013603</v>
      </c>
      <c r="D1051" s="219" t="s">
        <v>2294</v>
      </c>
      <c r="E1051" s="219" t="s">
        <v>2295</v>
      </c>
      <c r="F1051" s="218">
        <v>1</v>
      </c>
      <c r="G1051" s="218">
        <v>0</v>
      </c>
      <c r="H1051" s="218">
        <v>0</v>
      </c>
      <c r="I1051" s="223">
        <v>0</v>
      </c>
      <c r="J1051" s="218">
        <v>1</v>
      </c>
      <c r="K1051" s="218">
        <v>0</v>
      </c>
      <c r="L1051" s="218">
        <v>0</v>
      </c>
      <c r="M1051" s="222">
        <v>0</v>
      </c>
      <c r="N1051" s="222">
        <v>0</v>
      </c>
      <c r="O1051" s="222">
        <v>2</v>
      </c>
      <c r="P1051" s="222">
        <v>3</v>
      </c>
      <c r="Q1051" s="222">
        <v>0.2</v>
      </c>
      <c r="R1051" s="222">
        <v>0</v>
      </c>
      <c r="S1051" s="224">
        <v>0</v>
      </c>
      <c r="T1051" s="222">
        <v>0</v>
      </c>
      <c r="U1051" s="222">
        <v>1</v>
      </c>
      <c r="V1051" s="222">
        <v>2</v>
      </c>
      <c r="W1051" s="222">
        <v>0</v>
      </c>
      <c r="X1051" s="222">
        <v>0</v>
      </c>
      <c r="Y1051" s="12">
        <v>0</v>
      </c>
      <c r="Z1051" s="222">
        <v>0</v>
      </c>
      <c r="AA1051" s="222">
        <v>1</v>
      </c>
      <c r="AB1051" s="222">
        <v>0</v>
      </c>
      <c r="AC1051" s="222">
        <v>0</v>
      </c>
      <c r="AD1051" s="222">
        <v>1</v>
      </c>
      <c r="AE1051" s="222">
        <v>1</v>
      </c>
      <c r="AF1051" s="222">
        <v>0</v>
      </c>
      <c r="AG1051" s="222">
        <v>1</v>
      </c>
      <c r="AH1051" s="222">
        <v>3</v>
      </c>
      <c r="AI1051" s="224">
        <v>0</v>
      </c>
      <c r="AJ1051" s="224">
        <v>1</v>
      </c>
      <c r="AK1051" s="224">
        <v>0</v>
      </c>
      <c r="AL1051" s="224">
        <v>3</v>
      </c>
      <c r="AM1051" s="222">
        <v>0</v>
      </c>
      <c r="AN1051" s="222">
        <v>0</v>
      </c>
      <c r="AO1051" s="222">
        <v>0</v>
      </c>
      <c r="AP1051" s="222">
        <v>0</v>
      </c>
      <c r="AQ1051" s="222">
        <v>500</v>
      </c>
      <c r="AR1051" s="222">
        <v>0</v>
      </c>
      <c r="AS1051" s="222">
        <v>0</v>
      </c>
      <c r="AT1051" s="224">
        <v>95101004</v>
      </c>
      <c r="AU1051" s="225">
        <v>0</v>
      </c>
      <c r="AV1051" s="225"/>
      <c r="AW1051" s="226" t="s">
        <v>198</v>
      </c>
      <c r="AX1051" s="222" t="s">
        <v>534</v>
      </c>
      <c r="AY1051" s="218">
        <v>0</v>
      </c>
      <c r="AZ1051" s="218">
        <v>0</v>
      </c>
      <c r="BA1051" s="219" t="s">
        <v>200</v>
      </c>
      <c r="BB1051" s="222">
        <v>0</v>
      </c>
      <c r="BC1051" s="223">
        <v>0</v>
      </c>
      <c r="BD1051" s="223">
        <v>0</v>
      </c>
      <c r="BE1051" s="228" t="s">
        <v>2296</v>
      </c>
      <c r="BF1051" s="228" t="s">
        <v>2297</v>
      </c>
      <c r="BG1051" s="222">
        <v>0</v>
      </c>
      <c r="BH1051" s="222">
        <v>0</v>
      </c>
      <c r="BI1051" s="222">
        <v>0</v>
      </c>
      <c r="BJ1051" s="222">
        <v>0</v>
      </c>
      <c r="BK1051" s="222">
        <v>0</v>
      </c>
      <c r="BL1051" s="222">
        <v>0</v>
      </c>
      <c r="BM1051" s="221">
        <v>0</v>
      </c>
      <c r="BN1051" s="224">
        <v>0</v>
      </c>
      <c r="BO1051" s="224">
        <v>0</v>
      </c>
      <c r="BP1051" s="224">
        <v>0</v>
      </c>
      <c r="BQ1051" s="224">
        <v>0</v>
      </c>
      <c r="BR1051" s="224">
        <v>0</v>
      </c>
      <c r="BS1051" s="224">
        <v>0</v>
      </c>
      <c r="BT1051" s="224">
        <v>0</v>
      </c>
      <c r="BU1051" s="224">
        <v>0</v>
      </c>
      <c r="BV1051" s="47"/>
      <c r="BW1051" s="47"/>
    </row>
    <row r="1052" spans="1:75" s="3" customFormat="1" ht="19.5" customHeight="1">
      <c r="A1052" s="217"/>
      <c r="B1052" s="217"/>
      <c r="C1052" s="218">
        <v>64013604</v>
      </c>
      <c r="D1052" s="219" t="s">
        <v>2294</v>
      </c>
      <c r="E1052" s="219" t="s">
        <v>2295</v>
      </c>
      <c r="F1052" s="218">
        <v>1</v>
      </c>
      <c r="G1052" s="218">
        <v>0</v>
      </c>
      <c r="H1052" s="218">
        <v>0</v>
      </c>
      <c r="I1052" s="223">
        <v>0</v>
      </c>
      <c r="J1052" s="218">
        <v>1</v>
      </c>
      <c r="K1052" s="218">
        <v>0</v>
      </c>
      <c r="L1052" s="218">
        <v>0</v>
      </c>
      <c r="M1052" s="222">
        <v>0</v>
      </c>
      <c r="N1052" s="222">
        <v>0</v>
      </c>
      <c r="O1052" s="222">
        <v>2</v>
      </c>
      <c r="P1052" s="222">
        <v>3</v>
      </c>
      <c r="Q1052" s="222">
        <v>0.2</v>
      </c>
      <c r="R1052" s="222">
        <v>0</v>
      </c>
      <c r="S1052" s="224">
        <v>0</v>
      </c>
      <c r="T1052" s="222">
        <v>0</v>
      </c>
      <c r="U1052" s="222">
        <v>1</v>
      </c>
      <c r="V1052" s="222">
        <v>2</v>
      </c>
      <c r="W1052" s="222">
        <v>0</v>
      </c>
      <c r="X1052" s="222">
        <v>0</v>
      </c>
      <c r="Y1052" s="12">
        <v>0</v>
      </c>
      <c r="Z1052" s="222">
        <v>0</v>
      </c>
      <c r="AA1052" s="222">
        <v>1</v>
      </c>
      <c r="AB1052" s="222">
        <v>0</v>
      </c>
      <c r="AC1052" s="222">
        <v>0</v>
      </c>
      <c r="AD1052" s="222">
        <v>1</v>
      </c>
      <c r="AE1052" s="222">
        <v>1</v>
      </c>
      <c r="AF1052" s="222">
        <v>0</v>
      </c>
      <c r="AG1052" s="222">
        <v>1</v>
      </c>
      <c r="AH1052" s="222">
        <v>3</v>
      </c>
      <c r="AI1052" s="224">
        <v>0</v>
      </c>
      <c r="AJ1052" s="224">
        <v>1</v>
      </c>
      <c r="AK1052" s="224">
        <v>0</v>
      </c>
      <c r="AL1052" s="224">
        <v>3</v>
      </c>
      <c r="AM1052" s="222">
        <v>0</v>
      </c>
      <c r="AN1052" s="222">
        <v>0</v>
      </c>
      <c r="AO1052" s="222">
        <v>0</v>
      </c>
      <c r="AP1052" s="222">
        <v>0</v>
      </c>
      <c r="AQ1052" s="222">
        <v>500</v>
      </c>
      <c r="AR1052" s="222">
        <v>0</v>
      </c>
      <c r="AS1052" s="222">
        <v>0</v>
      </c>
      <c r="AT1052" s="224">
        <v>95101004</v>
      </c>
      <c r="AU1052" s="225">
        <v>0</v>
      </c>
      <c r="AV1052" s="225"/>
      <c r="AW1052" s="226" t="s">
        <v>198</v>
      </c>
      <c r="AX1052" s="222" t="s">
        <v>534</v>
      </c>
      <c r="AY1052" s="218">
        <v>0</v>
      </c>
      <c r="AZ1052" s="218">
        <v>0</v>
      </c>
      <c r="BA1052" s="219" t="s">
        <v>200</v>
      </c>
      <c r="BB1052" s="222">
        <v>0</v>
      </c>
      <c r="BC1052" s="223">
        <v>0</v>
      </c>
      <c r="BD1052" s="223">
        <v>0</v>
      </c>
      <c r="BE1052" s="228" t="s">
        <v>2296</v>
      </c>
      <c r="BF1052" s="228" t="s">
        <v>2297</v>
      </c>
      <c r="BG1052" s="222">
        <v>0</v>
      </c>
      <c r="BH1052" s="222">
        <v>0</v>
      </c>
      <c r="BI1052" s="222">
        <v>0</v>
      </c>
      <c r="BJ1052" s="222">
        <v>0</v>
      </c>
      <c r="BK1052" s="222">
        <v>0</v>
      </c>
      <c r="BL1052" s="222">
        <v>0</v>
      </c>
      <c r="BM1052" s="221">
        <v>0</v>
      </c>
      <c r="BN1052" s="224">
        <v>0</v>
      </c>
      <c r="BO1052" s="224">
        <v>0</v>
      </c>
      <c r="BP1052" s="224">
        <v>0</v>
      </c>
      <c r="BQ1052" s="224">
        <v>0</v>
      </c>
      <c r="BR1052" s="224">
        <v>0</v>
      </c>
      <c r="BS1052" s="224">
        <v>0</v>
      </c>
      <c r="BT1052" s="224">
        <v>0</v>
      </c>
      <c r="BU1052" s="224">
        <v>0</v>
      </c>
      <c r="BV1052" s="47"/>
      <c r="BW1052" s="47"/>
    </row>
    <row r="1053" spans="1:75" s="3" customFormat="1" ht="19.5" customHeight="1">
      <c r="A1053" s="217"/>
      <c r="B1053" s="217"/>
      <c r="C1053" s="218">
        <v>64013605</v>
      </c>
      <c r="D1053" s="219" t="s">
        <v>2294</v>
      </c>
      <c r="E1053" s="219" t="s">
        <v>2295</v>
      </c>
      <c r="F1053" s="218">
        <v>1</v>
      </c>
      <c r="G1053" s="218">
        <v>0</v>
      </c>
      <c r="H1053" s="218">
        <v>0</v>
      </c>
      <c r="I1053" s="223">
        <v>0</v>
      </c>
      <c r="J1053" s="218">
        <v>1</v>
      </c>
      <c r="K1053" s="218">
        <v>0</v>
      </c>
      <c r="L1053" s="218">
        <v>0</v>
      </c>
      <c r="M1053" s="222">
        <v>0</v>
      </c>
      <c r="N1053" s="222">
        <v>0</v>
      </c>
      <c r="O1053" s="222">
        <v>2</v>
      </c>
      <c r="P1053" s="222">
        <v>3</v>
      </c>
      <c r="Q1053" s="222">
        <v>0.2</v>
      </c>
      <c r="R1053" s="222">
        <v>0</v>
      </c>
      <c r="S1053" s="224">
        <v>0</v>
      </c>
      <c r="T1053" s="222">
        <v>0</v>
      </c>
      <c r="U1053" s="222">
        <v>1</v>
      </c>
      <c r="V1053" s="222">
        <v>2</v>
      </c>
      <c r="W1053" s="222">
        <v>0</v>
      </c>
      <c r="X1053" s="222">
        <v>0</v>
      </c>
      <c r="Y1053" s="12">
        <v>0</v>
      </c>
      <c r="Z1053" s="222">
        <v>0</v>
      </c>
      <c r="AA1053" s="222">
        <v>1</v>
      </c>
      <c r="AB1053" s="222">
        <v>0</v>
      </c>
      <c r="AC1053" s="222">
        <v>0</v>
      </c>
      <c r="AD1053" s="222">
        <v>1</v>
      </c>
      <c r="AE1053" s="222">
        <v>1</v>
      </c>
      <c r="AF1053" s="222">
        <v>0</v>
      </c>
      <c r="AG1053" s="222">
        <v>1</v>
      </c>
      <c r="AH1053" s="222">
        <v>3</v>
      </c>
      <c r="AI1053" s="224">
        <v>0</v>
      </c>
      <c r="AJ1053" s="224">
        <v>1</v>
      </c>
      <c r="AK1053" s="224">
        <v>0</v>
      </c>
      <c r="AL1053" s="224">
        <v>3</v>
      </c>
      <c r="AM1053" s="222">
        <v>0</v>
      </c>
      <c r="AN1053" s="222">
        <v>0</v>
      </c>
      <c r="AO1053" s="222">
        <v>0</v>
      </c>
      <c r="AP1053" s="222">
        <v>0</v>
      </c>
      <c r="AQ1053" s="222">
        <v>500</v>
      </c>
      <c r="AR1053" s="222">
        <v>0</v>
      </c>
      <c r="AS1053" s="222">
        <v>0</v>
      </c>
      <c r="AT1053" s="224">
        <v>95101004</v>
      </c>
      <c r="AU1053" s="225">
        <v>0</v>
      </c>
      <c r="AV1053" s="225"/>
      <c r="AW1053" s="226" t="s">
        <v>198</v>
      </c>
      <c r="AX1053" s="222" t="s">
        <v>534</v>
      </c>
      <c r="AY1053" s="218">
        <v>0</v>
      </c>
      <c r="AZ1053" s="218">
        <v>0</v>
      </c>
      <c r="BA1053" s="219" t="s">
        <v>200</v>
      </c>
      <c r="BB1053" s="222">
        <v>0</v>
      </c>
      <c r="BC1053" s="223">
        <v>0</v>
      </c>
      <c r="BD1053" s="223">
        <v>0</v>
      </c>
      <c r="BE1053" s="228" t="s">
        <v>2296</v>
      </c>
      <c r="BF1053" s="228" t="s">
        <v>2297</v>
      </c>
      <c r="BG1053" s="222">
        <v>0</v>
      </c>
      <c r="BH1053" s="222">
        <v>0</v>
      </c>
      <c r="BI1053" s="222">
        <v>0</v>
      </c>
      <c r="BJ1053" s="222">
        <v>0</v>
      </c>
      <c r="BK1053" s="222">
        <v>0</v>
      </c>
      <c r="BL1053" s="222">
        <v>0</v>
      </c>
      <c r="BM1053" s="221">
        <v>0</v>
      </c>
      <c r="BN1053" s="224">
        <v>0</v>
      </c>
      <c r="BO1053" s="224">
        <v>0</v>
      </c>
      <c r="BP1053" s="224">
        <v>0</v>
      </c>
      <c r="BQ1053" s="224">
        <v>0</v>
      </c>
      <c r="BR1053" s="224">
        <v>0</v>
      </c>
      <c r="BS1053" s="224">
        <v>0</v>
      </c>
      <c r="BT1053" s="224">
        <v>0</v>
      </c>
      <c r="BU1053" s="224">
        <v>0</v>
      </c>
      <c r="BV1053" s="47"/>
      <c r="BW1053" s="47"/>
    </row>
    <row r="1054" spans="1:75" s="3" customFormat="1" ht="19.5" customHeight="1">
      <c r="A1054" s="217"/>
      <c r="B1054" s="217"/>
      <c r="C1054" s="218">
        <v>64013606</v>
      </c>
      <c r="D1054" s="219" t="s">
        <v>2294</v>
      </c>
      <c r="E1054" s="219" t="s">
        <v>2295</v>
      </c>
      <c r="F1054" s="218">
        <v>1</v>
      </c>
      <c r="G1054" s="218">
        <v>0</v>
      </c>
      <c r="H1054" s="218">
        <v>0</v>
      </c>
      <c r="I1054" s="223">
        <v>0</v>
      </c>
      <c r="J1054" s="218">
        <v>1</v>
      </c>
      <c r="K1054" s="218">
        <v>0</v>
      </c>
      <c r="L1054" s="218">
        <v>0</v>
      </c>
      <c r="M1054" s="222">
        <v>0</v>
      </c>
      <c r="N1054" s="222">
        <v>0</v>
      </c>
      <c r="O1054" s="222">
        <v>2</v>
      </c>
      <c r="P1054" s="222">
        <v>3</v>
      </c>
      <c r="Q1054" s="222">
        <v>0.2</v>
      </c>
      <c r="R1054" s="222">
        <v>0</v>
      </c>
      <c r="S1054" s="224">
        <v>0</v>
      </c>
      <c r="T1054" s="222">
        <v>0</v>
      </c>
      <c r="U1054" s="222">
        <v>1</v>
      </c>
      <c r="V1054" s="222">
        <v>2</v>
      </c>
      <c r="W1054" s="222">
        <v>0</v>
      </c>
      <c r="X1054" s="222">
        <v>0</v>
      </c>
      <c r="Y1054" s="12">
        <v>0</v>
      </c>
      <c r="Z1054" s="222">
        <v>0</v>
      </c>
      <c r="AA1054" s="222">
        <v>1</v>
      </c>
      <c r="AB1054" s="222">
        <v>0</v>
      </c>
      <c r="AC1054" s="222">
        <v>0</v>
      </c>
      <c r="AD1054" s="222">
        <v>1</v>
      </c>
      <c r="AE1054" s="222">
        <v>1</v>
      </c>
      <c r="AF1054" s="222">
        <v>0</v>
      </c>
      <c r="AG1054" s="222">
        <v>1</v>
      </c>
      <c r="AH1054" s="222">
        <v>3</v>
      </c>
      <c r="AI1054" s="224">
        <v>0</v>
      </c>
      <c r="AJ1054" s="224">
        <v>1</v>
      </c>
      <c r="AK1054" s="224">
        <v>0</v>
      </c>
      <c r="AL1054" s="224">
        <v>3</v>
      </c>
      <c r="AM1054" s="222">
        <v>0</v>
      </c>
      <c r="AN1054" s="222">
        <v>0</v>
      </c>
      <c r="AO1054" s="222">
        <v>0</v>
      </c>
      <c r="AP1054" s="222">
        <v>0</v>
      </c>
      <c r="AQ1054" s="222">
        <v>500</v>
      </c>
      <c r="AR1054" s="222">
        <v>0</v>
      </c>
      <c r="AS1054" s="222">
        <v>0</v>
      </c>
      <c r="AT1054" s="224">
        <v>95101004</v>
      </c>
      <c r="AU1054" s="225">
        <v>0</v>
      </c>
      <c r="AV1054" s="225"/>
      <c r="AW1054" s="226" t="s">
        <v>198</v>
      </c>
      <c r="AX1054" s="222" t="s">
        <v>534</v>
      </c>
      <c r="AY1054" s="218">
        <v>0</v>
      </c>
      <c r="AZ1054" s="218">
        <v>0</v>
      </c>
      <c r="BA1054" s="219" t="s">
        <v>200</v>
      </c>
      <c r="BB1054" s="222">
        <v>0</v>
      </c>
      <c r="BC1054" s="223">
        <v>0</v>
      </c>
      <c r="BD1054" s="223">
        <v>0</v>
      </c>
      <c r="BE1054" s="228" t="s">
        <v>2296</v>
      </c>
      <c r="BF1054" s="228" t="s">
        <v>2297</v>
      </c>
      <c r="BG1054" s="222">
        <v>0</v>
      </c>
      <c r="BH1054" s="222">
        <v>0</v>
      </c>
      <c r="BI1054" s="222">
        <v>0</v>
      </c>
      <c r="BJ1054" s="222">
        <v>0</v>
      </c>
      <c r="BK1054" s="222">
        <v>0</v>
      </c>
      <c r="BL1054" s="222">
        <v>0</v>
      </c>
      <c r="BM1054" s="221">
        <v>0</v>
      </c>
      <c r="BN1054" s="224">
        <v>0</v>
      </c>
      <c r="BO1054" s="224">
        <v>0</v>
      </c>
      <c r="BP1054" s="224">
        <v>0</v>
      </c>
      <c r="BQ1054" s="224">
        <v>0</v>
      </c>
      <c r="BR1054" s="224">
        <v>0</v>
      </c>
      <c r="BS1054" s="224">
        <v>0</v>
      </c>
      <c r="BT1054" s="224">
        <v>0</v>
      </c>
      <c r="BU1054" s="224">
        <v>0</v>
      </c>
      <c r="BV1054" s="47"/>
      <c r="BW1054" s="47"/>
    </row>
    <row r="1055" spans="1:75" s="1" customFormat="1" ht="20.100000000000001" customHeight="1">
      <c r="A1055" s="215"/>
      <c r="B1055" s="215"/>
      <c r="C1055" s="100">
        <v>64014101</v>
      </c>
      <c r="D1055" s="59" t="s">
        <v>2298</v>
      </c>
      <c r="E1055" s="59" t="s">
        <v>2299</v>
      </c>
      <c r="F1055" s="172">
        <v>0</v>
      </c>
      <c r="G1055" s="100">
        <v>64014101</v>
      </c>
      <c r="H1055" s="100">
        <v>64014102</v>
      </c>
      <c r="I1055" s="66">
        <v>0</v>
      </c>
      <c r="J1055" s="16">
        <v>18</v>
      </c>
      <c r="K1055" s="18">
        <v>5</v>
      </c>
      <c r="L1055" s="64">
        <v>0</v>
      </c>
      <c r="M1055" s="60">
        <v>0</v>
      </c>
      <c r="N1055" s="60">
        <v>0</v>
      </c>
      <c r="O1055" s="60">
        <v>1</v>
      </c>
      <c r="P1055" s="60">
        <v>0</v>
      </c>
      <c r="Q1055" s="60">
        <v>0</v>
      </c>
      <c r="R1055" s="60">
        <v>0</v>
      </c>
      <c r="S1055" s="68">
        <v>0</v>
      </c>
      <c r="T1055" s="60">
        <v>0</v>
      </c>
      <c r="U1055" s="60">
        <v>1</v>
      </c>
      <c r="V1055" s="60">
        <v>1</v>
      </c>
      <c r="W1055" s="60">
        <v>0</v>
      </c>
      <c r="X1055" s="18">
        <v>1</v>
      </c>
      <c r="Y1055" s="12">
        <v>0</v>
      </c>
      <c r="Z1055" s="18">
        <v>225</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5" t="s">
        <v>2176</v>
      </c>
      <c r="AW1055" s="19" t="s">
        <v>199</v>
      </c>
      <c r="AX1055" s="60" t="s">
        <v>545</v>
      </c>
      <c r="AY1055" s="64">
        <v>10000001</v>
      </c>
      <c r="AZ1055" s="64">
        <v>77005203</v>
      </c>
      <c r="BA1055" s="59" t="s">
        <v>315</v>
      </c>
      <c r="BB1055" s="60">
        <v>1</v>
      </c>
      <c r="BC1055" s="66">
        <v>0</v>
      </c>
      <c r="BD1055" s="66">
        <v>0</v>
      </c>
      <c r="BE1055" s="183" t="str">
        <f>"对目标区域释放一个疾风深渊，每秒造成"&amp;X1055*100&amp;"%攻击伤害+"&amp;Z1055&amp;"点固定伤害,持续6秒,并附加1层魔法印记"</f>
        <v>对目标区域释放一个疾风深渊，每秒造成100%攻击伤害+225点固定伤害,持续6秒,并附加1层魔法印记</v>
      </c>
      <c r="BF1055" s="183" t="s">
        <v>2300</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5"/>
      <c r="B1056" s="215"/>
      <c r="C1056" s="100">
        <v>64014102</v>
      </c>
      <c r="D1056" s="59" t="s">
        <v>2298</v>
      </c>
      <c r="E1056" s="59" t="s">
        <v>2299</v>
      </c>
      <c r="F1056" s="172">
        <v>1</v>
      </c>
      <c r="G1056" s="100">
        <v>64014101</v>
      </c>
      <c r="H1056" s="100">
        <v>64014103</v>
      </c>
      <c r="I1056" s="66">
        <v>0</v>
      </c>
      <c r="J1056" s="16">
        <v>27</v>
      </c>
      <c r="K1056" s="18">
        <v>2</v>
      </c>
      <c r="L1056" s="64">
        <v>0</v>
      </c>
      <c r="M1056" s="60">
        <v>0</v>
      </c>
      <c r="N1056" s="60">
        <v>0</v>
      </c>
      <c r="O1056" s="60">
        <v>1</v>
      </c>
      <c r="P1056" s="60">
        <v>0</v>
      </c>
      <c r="Q1056" s="60">
        <v>0</v>
      </c>
      <c r="R1056" s="60">
        <v>0</v>
      </c>
      <c r="S1056" s="68">
        <v>0</v>
      </c>
      <c r="T1056" s="60">
        <v>0</v>
      </c>
      <c r="U1056" s="60">
        <v>1</v>
      </c>
      <c r="V1056" s="60">
        <v>1</v>
      </c>
      <c r="W1056" s="60">
        <v>0</v>
      </c>
      <c r="X1056" s="18">
        <v>1</v>
      </c>
      <c r="Y1056" s="12">
        <v>0</v>
      </c>
      <c r="Z1056" s="18">
        <v>225</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5" t="s">
        <v>2176</v>
      </c>
      <c r="AW1056" s="19" t="s">
        <v>199</v>
      </c>
      <c r="AX1056" s="60" t="s">
        <v>545</v>
      </c>
      <c r="AY1056" s="64">
        <v>10000001</v>
      </c>
      <c r="AZ1056" s="64">
        <v>77005203</v>
      </c>
      <c r="BA1056" s="59" t="s">
        <v>315</v>
      </c>
      <c r="BB1056" s="60">
        <v>1</v>
      </c>
      <c r="BC1056" s="66">
        <v>0</v>
      </c>
      <c r="BD1056" s="66">
        <v>0</v>
      </c>
      <c r="BE1056" s="183" t="str">
        <f t="shared" ref="BE1056:BE1060" si="121">"对目标区域释放一个疾风深渊，每秒造成"&amp;X1056*100&amp;"%攻击伤害+"&amp;Z1056&amp;"点固定伤害,持续6秒,并附加1层魔法印记"</f>
        <v>对目标区域释放一个疾风深渊，每秒造成100%攻击伤害+225点固定伤害,持续6秒,并附加1层魔法印记</v>
      </c>
      <c r="BF1056" s="183" t="s">
        <v>2300</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5"/>
      <c r="B1057" s="215"/>
      <c r="C1057" s="100">
        <v>64014103</v>
      </c>
      <c r="D1057" s="59" t="s">
        <v>2298</v>
      </c>
      <c r="E1057" s="59" t="s">
        <v>2299</v>
      </c>
      <c r="F1057" s="172">
        <v>2</v>
      </c>
      <c r="G1057" s="100">
        <v>64014101</v>
      </c>
      <c r="H1057" s="100">
        <v>64014104</v>
      </c>
      <c r="I1057" s="66">
        <v>0</v>
      </c>
      <c r="J1057" s="16">
        <v>32</v>
      </c>
      <c r="K1057" s="18">
        <v>2</v>
      </c>
      <c r="L1057" s="64">
        <v>0</v>
      </c>
      <c r="M1057" s="60">
        <v>0</v>
      </c>
      <c r="N1057" s="60">
        <v>0</v>
      </c>
      <c r="O1057" s="60">
        <v>1</v>
      </c>
      <c r="P1057" s="60">
        <v>0</v>
      </c>
      <c r="Q1057" s="60">
        <v>0</v>
      </c>
      <c r="R1057" s="60">
        <v>0</v>
      </c>
      <c r="S1057" s="68">
        <v>0</v>
      </c>
      <c r="T1057" s="60">
        <v>0</v>
      </c>
      <c r="U1057" s="60">
        <v>1</v>
      </c>
      <c r="V1057" s="60">
        <v>1</v>
      </c>
      <c r="W1057" s="60">
        <v>0</v>
      </c>
      <c r="X1057" s="18">
        <v>1.2</v>
      </c>
      <c r="Y1057" s="12">
        <v>0</v>
      </c>
      <c r="Z1057" s="18">
        <v>450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5"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对目标区域释放一个疾风深渊，每秒造成120%攻击伤害+450点固定伤害,持续6秒,并附加1层魔法印记</v>
      </c>
      <c r="BF1057" s="183" t="s">
        <v>2301</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1" customFormat="1" ht="20.100000000000001" customHeight="1">
      <c r="A1058" s="215"/>
      <c r="B1058" s="215"/>
      <c r="C1058" s="100">
        <v>64014104</v>
      </c>
      <c r="D1058" s="59" t="s">
        <v>2298</v>
      </c>
      <c r="E1058" s="59" t="s">
        <v>2299</v>
      </c>
      <c r="F1058" s="172">
        <v>3</v>
      </c>
      <c r="G1058" s="100">
        <v>64014101</v>
      </c>
      <c r="H1058" s="60">
        <v>0</v>
      </c>
      <c r="I1058" s="66">
        <v>0</v>
      </c>
      <c r="J1058" s="16">
        <v>0</v>
      </c>
      <c r="K1058" s="18">
        <v>0</v>
      </c>
      <c r="L1058" s="64">
        <v>0</v>
      </c>
      <c r="M1058" s="60">
        <v>0</v>
      </c>
      <c r="N1058" s="60">
        <v>0</v>
      </c>
      <c r="O1058" s="60">
        <v>1</v>
      </c>
      <c r="P1058" s="60">
        <v>0</v>
      </c>
      <c r="Q1058" s="60">
        <v>0</v>
      </c>
      <c r="R1058" s="60">
        <v>0</v>
      </c>
      <c r="S1058" s="68">
        <v>0</v>
      </c>
      <c r="T1058" s="60">
        <v>0</v>
      </c>
      <c r="U1058" s="60">
        <v>1</v>
      </c>
      <c r="V1058" s="60">
        <v>1</v>
      </c>
      <c r="W1058" s="60">
        <v>0</v>
      </c>
      <c r="X1058" s="18">
        <v>1.4</v>
      </c>
      <c r="Y1058" s="12">
        <v>0</v>
      </c>
      <c r="Z1058" s="18">
        <v>700</v>
      </c>
      <c r="AA1058" s="60">
        <v>0</v>
      </c>
      <c r="AB1058" s="60">
        <v>0</v>
      </c>
      <c r="AC1058" s="60">
        <v>0</v>
      </c>
      <c r="AD1058" s="60">
        <v>0</v>
      </c>
      <c r="AE1058" s="60">
        <v>0</v>
      </c>
      <c r="AF1058" s="60">
        <v>9</v>
      </c>
      <c r="AG1058" s="60">
        <v>1</v>
      </c>
      <c r="AH1058" s="60">
        <v>4</v>
      </c>
      <c r="AI1058" s="68">
        <v>2</v>
      </c>
      <c r="AJ1058" s="68">
        <v>1</v>
      </c>
      <c r="AK1058" s="68">
        <v>0</v>
      </c>
      <c r="AL1058" s="68">
        <v>8</v>
      </c>
      <c r="AM1058" s="60">
        <v>0</v>
      </c>
      <c r="AN1058" s="60">
        <v>0</v>
      </c>
      <c r="AO1058" s="60">
        <v>0</v>
      </c>
      <c r="AP1058" s="60">
        <v>0</v>
      </c>
      <c r="AQ1058" s="60">
        <v>6000</v>
      </c>
      <c r="AR1058" s="60">
        <v>0.2</v>
      </c>
      <c r="AS1058" s="60">
        <v>0</v>
      </c>
      <c r="AT1058" s="68">
        <v>0</v>
      </c>
      <c r="AU1058" s="79">
        <v>0</v>
      </c>
      <c r="AV1058" s="355" t="s">
        <v>2176</v>
      </c>
      <c r="AW1058" s="19" t="s">
        <v>199</v>
      </c>
      <c r="AX1058" s="60" t="s">
        <v>545</v>
      </c>
      <c r="AY1058" s="64">
        <v>10000001</v>
      </c>
      <c r="AZ1058" s="64">
        <v>77005203</v>
      </c>
      <c r="BA1058" s="59" t="s">
        <v>315</v>
      </c>
      <c r="BB1058" s="60">
        <v>1</v>
      </c>
      <c r="BC1058" s="66">
        <v>0</v>
      </c>
      <c r="BD1058" s="66">
        <v>0</v>
      </c>
      <c r="BE1058" s="183" t="str">
        <f t="shared" si="121"/>
        <v>对目标区域释放一个疾风深渊，每秒造成140%攻击伤害+700点固定伤害,持续6秒,并附加1层魔法印记</v>
      </c>
      <c r="BF1058" s="183" t="s">
        <v>2302</v>
      </c>
      <c r="BG1058" s="60">
        <v>0</v>
      </c>
      <c r="BH1058" s="60">
        <v>0</v>
      </c>
      <c r="BI1058" s="60">
        <v>0</v>
      </c>
      <c r="BJ1058" s="60">
        <v>0</v>
      </c>
      <c r="BK1058" s="60">
        <v>0</v>
      </c>
      <c r="BL1058" s="60">
        <v>0</v>
      </c>
      <c r="BM1058" s="93">
        <v>0</v>
      </c>
      <c r="BN1058" s="68">
        <v>0</v>
      </c>
      <c r="BO1058" s="68">
        <v>0</v>
      </c>
      <c r="BP1058" s="68">
        <v>0</v>
      </c>
      <c r="BQ1058" s="68">
        <v>0</v>
      </c>
      <c r="BR1058" s="68">
        <v>0</v>
      </c>
      <c r="BS1058" s="68">
        <v>0</v>
      </c>
      <c r="BT1058" s="68">
        <v>0</v>
      </c>
      <c r="BU1058" s="68">
        <v>0</v>
      </c>
      <c r="BV1058" s="47"/>
      <c r="BW1058" s="47"/>
    </row>
    <row r="1059" spans="1:75" s="1" customFormat="1" ht="20.100000000000001" customHeight="1">
      <c r="A1059" s="215"/>
      <c r="B1059" s="215"/>
      <c r="C1059" s="100">
        <v>64014105</v>
      </c>
      <c r="D1059" s="59" t="s">
        <v>2298</v>
      </c>
      <c r="E1059" s="59" t="s">
        <v>2299</v>
      </c>
      <c r="F1059" s="172">
        <v>4</v>
      </c>
      <c r="G1059" s="100">
        <v>64014101</v>
      </c>
      <c r="H1059" s="60">
        <v>0</v>
      </c>
      <c r="I1059" s="66">
        <v>0</v>
      </c>
      <c r="J1059" s="16">
        <v>0</v>
      </c>
      <c r="K1059" s="18">
        <v>0</v>
      </c>
      <c r="L1059" s="64">
        <v>0</v>
      </c>
      <c r="M1059" s="60">
        <v>0</v>
      </c>
      <c r="N1059" s="60">
        <v>0</v>
      </c>
      <c r="O1059" s="60">
        <v>1</v>
      </c>
      <c r="P1059" s="60">
        <v>0</v>
      </c>
      <c r="Q1059" s="60">
        <v>0</v>
      </c>
      <c r="R1059" s="60">
        <v>0</v>
      </c>
      <c r="S1059" s="68">
        <v>0</v>
      </c>
      <c r="T1059" s="60">
        <v>0</v>
      </c>
      <c r="U1059" s="60">
        <v>1</v>
      </c>
      <c r="V1059" s="60">
        <v>1</v>
      </c>
      <c r="W1059" s="60">
        <v>0</v>
      </c>
      <c r="X1059" s="18">
        <v>1.6</v>
      </c>
      <c r="Y1059" s="12">
        <v>0</v>
      </c>
      <c r="Z1059" s="18">
        <v>1000</v>
      </c>
      <c r="AA1059" s="60">
        <v>0</v>
      </c>
      <c r="AB1059" s="60">
        <v>0</v>
      </c>
      <c r="AC1059" s="60">
        <v>0</v>
      </c>
      <c r="AD1059" s="60">
        <v>0</v>
      </c>
      <c r="AE1059" s="60">
        <v>0</v>
      </c>
      <c r="AF1059" s="60">
        <v>9</v>
      </c>
      <c r="AG1059" s="60">
        <v>1</v>
      </c>
      <c r="AH1059" s="60">
        <v>4</v>
      </c>
      <c r="AI1059" s="68">
        <v>2</v>
      </c>
      <c r="AJ1059" s="68">
        <v>1</v>
      </c>
      <c r="AK1059" s="68">
        <v>0</v>
      </c>
      <c r="AL1059" s="68">
        <v>8</v>
      </c>
      <c r="AM1059" s="60">
        <v>0</v>
      </c>
      <c r="AN1059" s="60">
        <v>0</v>
      </c>
      <c r="AO1059" s="60">
        <v>0</v>
      </c>
      <c r="AP1059" s="60">
        <v>0</v>
      </c>
      <c r="AQ1059" s="60">
        <v>6000</v>
      </c>
      <c r="AR1059" s="60">
        <v>0.2</v>
      </c>
      <c r="AS1059" s="60">
        <v>0</v>
      </c>
      <c r="AT1059" s="68">
        <v>0</v>
      </c>
      <c r="AU1059" s="79">
        <v>0</v>
      </c>
      <c r="AV1059" s="355" t="s">
        <v>2176</v>
      </c>
      <c r="AW1059" s="19" t="s">
        <v>199</v>
      </c>
      <c r="AX1059" s="60" t="s">
        <v>545</v>
      </c>
      <c r="AY1059" s="64">
        <v>10000001</v>
      </c>
      <c r="AZ1059" s="64">
        <v>77005203</v>
      </c>
      <c r="BA1059" s="59" t="s">
        <v>315</v>
      </c>
      <c r="BB1059" s="60">
        <v>1</v>
      </c>
      <c r="BC1059" s="66">
        <v>0</v>
      </c>
      <c r="BD1059" s="66">
        <v>0</v>
      </c>
      <c r="BE1059" s="183" t="str">
        <f t="shared" si="121"/>
        <v>对目标区域释放一个疾风深渊，每秒造成160%攻击伤害+1000点固定伤害,持续6秒,并附加1层魔法印记</v>
      </c>
      <c r="BF1059" s="183" t="s">
        <v>2303</v>
      </c>
      <c r="BG1059" s="60">
        <v>0</v>
      </c>
      <c r="BH1059" s="60">
        <v>0</v>
      </c>
      <c r="BI1059" s="60">
        <v>0</v>
      </c>
      <c r="BJ1059" s="60">
        <v>0</v>
      </c>
      <c r="BK1059" s="60">
        <v>0</v>
      </c>
      <c r="BL1059" s="60">
        <v>0</v>
      </c>
      <c r="BM1059" s="93">
        <v>0</v>
      </c>
      <c r="BN1059" s="68">
        <v>0</v>
      </c>
      <c r="BO1059" s="68">
        <v>0</v>
      </c>
      <c r="BP1059" s="68">
        <v>0</v>
      </c>
      <c r="BQ1059" s="68">
        <v>0</v>
      </c>
      <c r="BR1059" s="68">
        <v>0</v>
      </c>
      <c r="BS1059" s="68">
        <v>0</v>
      </c>
      <c r="BT1059" s="68">
        <v>0</v>
      </c>
      <c r="BU1059" s="68">
        <v>0</v>
      </c>
      <c r="BV1059" s="47"/>
      <c r="BW1059" s="47"/>
    </row>
    <row r="1060" spans="1:75" s="1" customFormat="1" ht="20.100000000000001" customHeight="1">
      <c r="A1060" s="215"/>
      <c r="B1060" s="215"/>
      <c r="C1060" s="100">
        <v>64014106</v>
      </c>
      <c r="D1060" s="59" t="s">
        <v>2298</v>
      </c>
      <c r="E1060" s="59" t="s">
        <v>2299</v>
      </c>
      <c r="F1060" s="172">
        <v>5</v>
      </c>
      <c r="G1060" s="100">
        <v>64014101</v>
      </c>
      <c r="H1060" s="60">
        <v>0</v>
      </c>
      <c r="I1060" s="66">
        <v>0</v>
      </c>
      <c r="J1060" s="16">
        <v>0</v>
      </c>
      <c r="K1060" s="18">
        <v>0</v>
      </c>
      <c r="L1060" s="64">
        <v>0</v>
      </c>
      <c r="M1060" s="60">
        <v>0</v>
      </c>
      <c r="N1060" s="60">
        <v>0</v>
      </c>
      <c r="O1060" s="60">
        <v>1</v>
      </c>
      <c r="P1060" s="60">
        <v>0</v>
      </c>
      <c r="Q1060" s="60">
        <v>0</v>
      </c>
      <c r="R1060" s="60">
        <v>0</v>
      </c>
      <c r="S1060" s="68">
        <v>0</v>
      </c>
      <c r="T1060" s="60">
        <v>0</v>
      </c>
      <c r="U1060" s="60">
        <v>1</v>
      </c>
      <c r="V1060" s="60">
        <v>1</v>
      </c>
      <c r="W1060" s="60">
        <v>0</v>
      </c>
      <c r="X1060" s="18">
        <v>1.8</v>
      </c>
      <c r="Y1060" s="12">
        <v>0</v>
      </c>
      <c r="Z1060" s="18">
        <v>1300</v>
      </c>
      <c r="AA1060" s="60">
        <v>0</v>
      </c>
      <c r="AB1060" s="60">
        <v>0</v>
      </c>
      <c r="AC1060" s="60">
        <v>0</v>
      </c>
      <c r="AD1060" s="60">
        <v>0</v>
      </c>
      <c r="AE1060" s="60">
        <v>0</v>
      </c>
      <c r="AF1060" s="60">
        <v>9</v>
      </c>
      <c r="AG1060" s="60">
        <v>1</v>
      </c>
      <c r="AH1060" s="60">
        <v>4</v>
      </c>
      <c r="AI1060" s="68">
        <v>2</v>
      </c>
      <c r="AJ1060" s="68">
        <v>1</v>
      </c>
      <c r="AK1060" s="68">
        <v>0</v>
      </c>
      <c r="AL1060" s="68">
        <v>8</v>
      </c>
      <c r="AM1060" s="60">
        <v>0</v>
      </c>
      <c r="AN1060" s="60">
        <v>0</v>
      </c>
      <c r="AO1060" s="60">
        <v>0</v>
      </c>
      <c r="AP1060" s="60">
        <v>0</v>
      </c>
      <c r="AQ1060" s="60">
        <v>6000</v>
      </c>
      <c r="AR1060" s="60">
        <v>0.2</v>
      </c>
      <c r="AS1060" s="60">
        <v>0</v>
      </c>
      <c r="AT1060" s="68">
        <v>0</v>
      </c>
      <c r="AU1060" s="79">
        <v>0</v>
      </c>
      <c r="AV1060" s="355" t="s">
        <v>2176</v>
      </c>
      <c r="AW1060" s="19" t="s">
        <v>199</v>
      </c>
      <c r="AX1060" s="60" t="s">
        <v>545</v>
      </c>
      <c r="AY1060" s="64">
        <v>10000001</v>
      </c>
      <c r="AZ1060" s="64">
        <v>77005203</v>
      </c>
      <c r="BA1060" s="59" t="s">
        <v>315</v>
      </c>
      <c r="BB1060" s="60">
        <v>1</v>
      </c>
      <c r="BC1060" s="66">
        <v>0</v>
      </c>
      <c r="BD1060" s="66">
        <v>0</v>
      </c>
      <c r="BE1060" s="183" t="str">
        <f t="shared" si="121"/>
        <v>对目标区域释放一个疾风深渊，每秒造成180%攻击伤害+1300点固定伤害,持续6秒,并附加1层魔法印记</v>
      </c>
      <c r="BF1060" s="183" t="s">
        <v>2304</v>
      </c>
      <c r="BG1060" s="60">
        <v>0</v>
      </c>
      <c r="BH1060" s="60">
        <v>0</v>
      </c>
      <c r="BI1060" s="60">
        <v>0</v>
      </c>
      <c r="BJ1060" s="60">
        <v>0</v>
      </c>
      <c r="BK1060" s="60">
        <v>0</v>
      </c>
      <c r="BL1060" s="60">
        <v>0</v>
      </c>
      <c r="BM1060" s="93">
        <v>0</v>
      </c>
      <c r="BN1060" s="68">
        <v>0</v>
      </c>
      <c r="BO1060" s="68">
        <v>0</v>
      </c>
      <c r="BP1060" s="68">
        <v>0</v>
      </c>
      <c r="BQ1060" s="68">
        <v>0</v>
      </c>
      <c r="BR1060" s="68">
        <v>0</v>
      </c>
      <c r="BS1060" s="68">
        <v>0</v>
      </c>
      <c r="BT1060" s="68">
        <v>0</v>
      </c>
      <c r="BU1060" s="68">
        <v>0</v>
      </c>
      <c r="BV1060" s="47"/>
      <c r="BW1060" s="47"/>
    </row>
    <row r="1061" spans="1:75" s="2" customFormat="1" ht="19.5" customHeight="1">
      <c r="A1061" s="216"/>
      <c r="B1061" s="215"/>
      <c r="C1061" s="64">
        <v>64014201</v>
      </c>
      <c r="D1061" s="99" t="s">
        <v>2305</v>
      </c>
      <c r="E1061" s="99" t="s">
        <v>2306</v>
      </c>
      <c r="F1061" s="172">
        <v>0</v>
      </c>
      <c r="G1061" s="64">
        <v>64014201</v>
      </c>
      <c r="H1061" s="64">
        <v>64014202</v>
      </c>
      <c r="I1061" s="105">
        <v>0</v>
      </c>
      <c r="J1061" s="16">
        <v>25</v>
      </c>
      <c r="K1061" s="18">
        <v>5</v>
      </c>
      <c r="L1061" s="101">
        <v>0</v>
      </c>
      <c r="M1061" s="101">
        <v>0</v>
      </c>
      <c r="N1061" s="101">
        <v>0</v>
      </c>
      <c r="O1061" s="101">
        <v>1</v>
      </c>
      <c r="P1061" s="101">
        <v>0</v>
      </c>
      <c r="Q1061" s="101">
        <v>0</v>
      </c>
      <c r="R1061" s="101">
        <v>0</v>
      </c>
      <c r="S1061" s="106">
        <v>0</v>
      </c>
      <c r="T1061" s="101">
        <v>0</v>
      </c>
      <c r="U1061" s="101">
        <v>1</v>
      </c>
      <c r="V1061" s="101">
        <v>1</v>
      </c>
      <c r="W1061" s="101">
        <v>0</v>
      </c>
      <c r="X1061" s="18">
        <v>2.8</v>
      </c>
      <c r="Y1061" s="12">
        <v>0</v>
      </c>
      <c r="Z1061" s="18">
        <v>900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0" t="s">
        <v>2307</v>
      </c>
      <c r="AV1061" s="355" t="s">
        <v>2176</v>
      </c>
      <c r="AW1061" s="19" t="s">
        <v>199</v>
      </c>
      <c r="AX1061" s="101" t="s">
        <v>534</v>
      </c>
      <c r="AY1061" s="100">
        <v>10000001</v>
      </c>
      <c r="AZ1061" s="100">
        <v>77005201</v>
      </c>
      <c r="BA1061" s="99" t="s">
        <v>586</v>
      </c>
      <c r="BB1061" s="60" t="s">
        <v>2308</v>
      </c>
      <c r="BC1061" s="106">
        <v>0</v>
      </c>
      <c r="BD1061" s="106">
        <v>0</v>
      </c>
      <c r="BE1061" s="183" t="str">
        <f>"对目标区域释放移动的魔球，对敌方单位造成"&amp;X1061*100&amp;"%攻击伤害+"&amp;Z1061&amp;"点固定伤害,并附加1层魔法印记"</f>
        <v>对目标区域释放移动的魔球，对敌方单位造成280%攻击伤害+900点固定伤害,并附加1层魔法印记</v>
      </c>
      <c r="BF1061" s="183" t="s">
        <v>2309</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6"/>
      <c r="B1062" s="215"/>
      <c r="C1062" s="64">
        <v>64014202</v>
      </c>
      <c r="D1062" s="99" t="s">
        <v>2305</v>
      </c>
      <c r="E1062" s="99" t="s">
        <v>2306</v>
      </c>
      <c r="F1062" s="172">
        <v>1</v>
      </c>
      <c r="G1062" s="64">
        <v>64014201</v>
      </c>
      <c r="H1062" s="64">
        <v>64014203</v>
      </c>
      <c r="I1062" s="105">
        <v>0</v>
      </c>
      <c r="J1062" s="16">
        <v>32</v>
      </c>
      <c r="K1062" s="18">
        <v>2</v>
      </c>
      <c r="L1062" s="101">
        <v>0</v>
      </c>
      <c r="M1062" s="101">
        <v>0</v>
      </c>
      <c r="N1062" s="101">
        <v>0</v>
      </c>
      <c r="O1062" s="101">
        <v>1</v>
      </c>
      <c r="P1062" s="101">
        <v>0</v>
      </c>
      <c r="Q1062" s="101">
        <v>0</v>
      </c>
      <c r="R1062" s="101">
        <v>0</v>
      </c>
      <c r="S1062" s="106">
        <v>0</v>
      </c>
      <c r="T1062" s="101">
        <v>0</v>
      </c>
      <c r="U1062" s="101">
        <v>1</v>
      </c>
      <c r="V1062" s="101">
        <v>1</v>
      </c>
      <c r="W1062" s="101">
        <v>0</v>
      </c>
      <c r="X1062" s="18">
        <v>2.8</v>
      </c>
      <c r="Y1062" s="12">
        <v>0</v>
      </c>
      <c r="Z1062" s="18">
        <v>900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0" t="s">
        <v>2307</v>
      </c>
      <c r="AV1062" s="355" t="s">
        <v>2176</v>
      </c>
      <c r="AW1062" s="19" t="s">
        <v>199</v>
      </c>
      <c r="AX1062" s="101" t="s">
        <v>534</v>
      </c>
      <c r="AY1062" s="100">
        <v>10000001</v>
      </c>
      <c r="AZ1062" s="100">
        <v>77005201</v>
      </c>
      <c r="BA1062" s="99" t="s">
        <v>586</v>
      </c>
      <c r="BB1062" s="60" t="s">
        <v>2308</v>
      </c>
      <c r="BC1062" s="106">
        <v>0</v>
      </c>
      <c r="BD1062" s="106">
        <v>0</v>
      </c>
      <c r="BE1062" s="183" t="str">
        <f t="shared" ref="BE1062:BE1066" si="122">"对目标区域释放移动的魔球，对敌方单位造成"&amp;X1062*100&amp;"%攻击伤害+"&amp;Z1062&amp;"点固定伤害,并附加1层魔法印记"</f>
        <v>对目标区域释放移动的魔球，对敌方单位造成280%攻击伤害+900点固定伤害,并附加1层魔法印记</v>
      </c>
      <c r="BF1062" s="183" t="s">
        <v>2309</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6"/>
      <c r="B1063" s="216"/>
      <c r="C1063" s="64">
        <v>64014203</v>
      </c>
      <c r="D1063" s="99" t="s">
        <v>2305</v>
      </c>
      <c r="E1063" s="99" t="s">
        <v>2306</v>
      </c>
      <c r="F1063" s="172">
        <v>2</v>
      </c>
      <c r="G1063" s="64">
        <v>64014201</v>
      </c>
      <c r="H1063" s="64">
        <v>64014204</v>
      </c>
      <c r="I1063" s="105">
        <v>0</v>
      </c>
      <c r="J1063" s="16">
        <v>37</v>
      </c>
      <c r="K1063" s="18">
        <v>2</v>
      </c>
      <c r="L1063" s="101">
        <v>0</v>
      </c>
      <c r="M1063" s="101">
        <v>0</v>
      </c>
      <c r="N1063" s="101">
        <v>0</v>
      </c>
      <c r="O1063" s="101">
        <v>1</v>
      </c>
      <c r="P1063" s="101">
        <v>0</v>
      </c>
      <c r="Q1063" s="101">
        <v>0</v>
      </c>
      <c r="R1063" s="101">
        <v>0</v>
      </c>
      <c r="S1063" s="106">
        <v>0</v>
      </c>
      <c r="T1063" s="101">
        <v>0</v>
      </c>
      <c r="U1063" s="101">
        <v>1</v>
      </c>
      <c r="V1063" s="101">
        <v>1</v>
      </c>
      <c r="W1063" s="101">
        <v>0</v>
      </c>
      <c r="X1063" s="18">
        <v>3</v>
      </c>
      <c r="Y1063" s="12">
        <v>0</v>
      </c>
      <c r="Z1063" s="18">
        <v>1800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0" t="s">
        <v>2307</v>
      </c>
      <c r="AV1063" s="355"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对目标区域释放移动的魔球，对敌方单位造成300%攻击伤害+1800点固定伤害,并附加1层魔法印记</v>
      </c>
      <c r="BF1063" s="183" t="s">
        <v>2310</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19.5" customHeight="1">
      <c r="A1064" s="216"/>
      <c r="B1064" s="216"/>
      <c r="C1064" s="64">
        <v>64014204</v>
      </c>
      <c r="D1064" s="99" t="s">
        <v>2305</v>
      </c>
      <c r="E1064" s="99" t="s">
        <v>2306</v>
      </c>
      <c r="F1064" s="172">
        <v>3</v>
      </c>
      <c r="G1064" s="64">
        <v>64014201</v>
      </c>
      <c r="H1064" s="60">
        <v>0</v>
      </c>
      <c r="I1064" s="105">
        <v>0</v>
      </c>
      <c r="J1064" s="16">
        <v>0</v>
      </c>
      <c r="K1064" s="18">
        <v>0</v>
      </c>
      <c r="L1064" s="101">
        <v>0</v>
      </c>
      <c r="M1064" s="101">
        <v>0</v>
      </c>
      <c r="N1064" s="101">
        <v>0</v>
      </c>
      <c r="O1064" s="101">
        <v>1</v>
      </c>
      <c r="P1064" s="101">
        <v>0</v>
      </c>
      <c r="Q1064" s="101">
        <v>0</v>
      </c>
      <c r="R1064" s="101">
        <v>0</v>
      </c>
      <c r="S1064" s="106">
        <v>0</v>
      </c>
      <c r="T1064" s="101">
        <v>0</v>
      </c>
      <c r="U1064" s="101">
        <v>1</v>
      </c>
      <c r="V1064" s="101">
        <v>1</v>
      </c>
      <c r="W1064" s="101">
        <v>0</v>
      </c>
      <c r="X1064" s="18">
        <v>3.3</v>
      </c>
      <c r="Y1064" s="12">
        <v>0</v>
      </c>
      <c r="Z1064" s="18">
        <v>2800</v>
      </c>
      <c r="AA1064" s="101">
        <v>0</v>
      </c>
      <c r="AB1064" s="101">
        <v>0</v>
      </c>
      <c r="AC1064" s="101">
        <v>0</v>
      </c>
      <c r="AD1064" s="101">
        <v>0</v>
      </c>
      <c r="AE1064" s="101">
        <v>0</v>
      </c>
      <c r="AF1064" s="101">
        <v>12</v>
      </c>
      <c r="AG1064" s="101">
        <v>1</v>
      </c>
      <c r="AH1064" s="114">
        <v>2</v>
      </c>
      <c r="AI1064" s="106">
        <v>2</v>
      </c>
      <c r="AJ1064" s="106">
        <v>2</v>
      </c>
      <c r="AK1064" s="106">
        <v>0</v>
      </c>
      <c r="AL1064" s="106">
        <v>3</v>
      </c>
      <c r="AM1064" s="101">
        <v>0</v>
      </c>
      <c r="AN1064" s="101">
        <v>0</v>
      </c>
      <c r="AO1064" s="101">
        <v>0</v>
      </c>
      <c r="AP1064" s="101">
        <v>0.2</v>
      </c>
      <c r="AQ1064" s="101">
        <v>3000</v>
      </c>
      <c r="AR1064" s="101">
        <v>0.2</v>
      </c>
      <c r="AS1064" s="101">
        <v>20</v>
      </c>
      <c r="AT1064" s="106">
        <v>0</v>
      </c>
      <c r="AU1064" s="340" t="s">
        <v>2307</v>
      </c>
      <c r="AV1064" s="355" t="s">
        <v>2176</v>
      </c>
      <c r="AW1064" s="19" t="s">
        <v>199</v>
      </c>
      <c r="AX1064" s="101" t="s">
        <v>534</v>
      </c>
      <c r="AY1064" s="100">
        <v>10000001</v>
      </c>
      <c r="AZ1064" s="100">
        <v>77005201</v>
      </c>
      <c r="BA1064" s="99" t="s">
        <v>586</v>
      </c>
      <c r="BB1064" s="60" t="s">
        <v>2308</v>
      </c>
      <c r="BC1064" s="106">
        <v>0</v>
      </c>
      <c r="BD1064" s="106">
        <v>0</v>
      </c>
      <c r="BE1064" s="183" t="str">
        <f t="shared" si="122"/>
        <v>对目标区域释放移动的魔球，对敌方单位造成330%攻击伤害+2800点固定伤害,并附加1层魔法印记</v>
      </c>
      <c r="BF1064" s="183" t="s">
        <v>2311</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106">
        <v>0</v>
      </c>
      <c r="BV1064" s="47"/>
      <c r="BW1064" s="47"/>
    </row>
    <row r="1065" spans="1:75" s="2" customFormat="1" ht="19.5" customHeight="1">
      <c r="A1065" s="216"/>
      <c r="B1065" s="216"/>
      <c r="C1065" s="64">
        <v>64014205</v>
      </c>
      <c r="D1065" s="99" t="s">
        <v>2305</v>
      </c>
      <c r="E1065" s="99" t="s">
        <v>2306</v>
      </c>
      <c r="F1065" s="172">
        <v>4</v>
      </c>
      <c r="G1065" s="64">
        <v>64014201</v>
      </c>
      <c r="H1065" s="60">
        <v>0</v>
      </c>
      <c r="I1065" s="105">
        <v>0</v>
      </c>
      <c r="J1065" s="16">
        <v>0</v>
      </c>
      <c r="K1065" s="18">
        <v>0</v>
      </c>
      <c r="L1065" s="101">
        <v>0</v>
      </c>
      <c r="M1065" s="101">
        <v>0</v>
      </c>
      <c r="N1065" s="101">
        <v>0</v>
      </c>
      <c r="O1065" s="101">
        <v>1</v>
      </c>
      <c r="P1065" s="101">
        <v>0</v>
      </c>
      <c r="Q1065" s="101">
        <v>0</v>
      </c>
      <c r="R1065" s="101">
        <v>0</v>
      </c>
      <c r="S1065" s="106">
        <v>0</v>
      </c>
      <c r="T1065" s="101">
        <v>0</v>
      </c>
      <c r="U1065" s="101">
        <v>1</v>
      </c>
      <c r="V1065" s="101">
        <v>1</v>
      </c>
      <c r="W1065" s="101">
        <v>0</v>
      </c>
      <c r="X1065" s="18">
        <v>3.6</v>
      </c>
      <c r="Y1065" s="12">
        <v>0</v>
      </c>
      <c r="Z1065" s="18">
        <v>4000</v>
      </c>
      <c r="AA1065" s="101">
        <v>0</v>
      </c>
      <c r="AB1065" s="101">
        <v>0</v>
      </c>
      <c r="AC1065" s="101">
        <v>0</v>
      </c>
      <c r="AD1065" s="101">
        <v>0</v>
      </c>
      <c r="AE1065" s="101">
        <v>0</v>
      </c>
      <c r="AF1065" s="101">
        <v>12</v>
      </c>
      <c r="AG1065" s="101">
        <v>1</v>
      </c>
      <c r="AH1065" s="114">
        <v>2</v>
      </c>
      <c r="AI1065" s="106">
        <v>2</v>
      </c>
      <c r="AJ1065" s="106">
        <v>2</v>
      </c>
      <c r="AK1065" s="106">
        <v>0</v>
      </c>
      <c r="AL1065" s="106">
        <v>3</v>
      </c>
      <c r="AM1065" s="101">
        <v>0</v>
      </c>
      <c r="AN1065" s="101">
        <v>0</v>
      </c>
      <c r="AO1065" s="101">
        <v>0</v>
      </c>
      <c r="AP1065" s="101">
        <v>0.2</v>
      </c>
      <c r="AQ1065" s="101">
        <v>3000</v>
      </c>
      <c r="AR1065" s="101">
        <v>0.2</v>
      </c>
      <c r="AS1065" s="101">
        <v>20</v>
      </c>
      <c r="AT1065" s="106">
        <v>0</v>
      </c>
      <c r="AU1065" s="340" t="s">
        <v>2307</v>
      </c>
      <c r="AV1065" s="355" t="s">
        <v>2176</v>
      </c>
      <c r="AW1065" s="19" t="s">
        <v>199</v>
      </c>
      <c r="AX1065" s="101" t="s">
        <v>534</v>
      </c>
      <c r="AY1065" s="100">
        <v>10000001</v>
      </c>
      <c r="AZ1065" s="100">
        <v>77005201</v>
      </c>
      <c r="BA1065" s="99" t="s">
        <v>586</v>
      </c>
      <c r="BB1065" s="60" t="s">
        <v>2308</v>
      </c>
      <c r="BC1065" s="106">
        <v>0</v>
      </c>
      <c r="BD1065" s="106">
        <v>0</v>
      </c>
      <c r="BE1065" s="183" t="str">
        <f t="shared" si="122"/>
        <v>对目标区域释放移动的魔球，对敌方单位造成360%攻击伤害+4000点固定伤害,并附加1层魔法印记</v>
      </c>
      <c r="BF1065" s="183" t="s">
        <v>2312</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106">
        <v>0</v>
      </c>
      <c r="BV1065" s="47"/>
      <c r="BW1065" s="47"/>
    </row>
    <row r="1066" spans="1:75" s="2" customFormat="1" ht="19.5" customHeight="1">
      <c r="A1066" s="216"/>
      <c r="B1066" s="216"/>
      <c r="C1066" s="64">
        <v>64014206</v>
      </c>
      <c r="D1066" s="99" t="s">
        <v>2305</v>
      </c>
      <c r="E1066" s="99" t="s">
        <v>2306</v>
      </c>
      <c r="F1066" s="172">
        <v>5</v>
      </c>
      <c r="G1066" s="64">
        <v>64014201</v>
      </c>
      <c r="H1066" s="60">
        <v>0</v>
      </c>
      <c r="I1066" s="105">
        <v>0</v>
      </c>
      <c r="J1066" s="16">
        <v>0</v>
      </c>
      <c r="K1066" s="18">
        <v>0</v>
      </c>
      <c r="L1066" s="101">
        <v>0</v>
      </c>
      <c r="M1066" s="101">
        <v>0</v>
      </c>
      <c r="N1066" s="101">
        <v>0</v>
      </c>
      <c r="O1066" s="101">
        <v>1</v>
      </c>
      <c r="P1066" s="101">
        <v>0</v>
      </c>
      <c r="Q1066" s="101">
        <v>0</v>
      </c>
      <c r="R1066" s="101">
        <v>0</v>
      </c>
      <c r="S1066" s="106">
        <v>0</v>
      </c>
      <c r="T1066" s="101">
        <v>0</v>
      </c>
      <c r="U1066" s="101">
        <v>1</v>
      </c>
      <c r="V1066" s="101">
        <v>1</v>
      </c>
      <c r="W1066" s="101">
        <v>0</v>
      </c>
      <c r="X1066" s="18">
        <v>4</v>
      </c>
      <c r="Y1066" s="12">
        <v>0</v>
      </c>
      <c r="Z1066" s="18">
        <v>5200</v>
      </c>
      <c r="AA1066" s="101">
        <v>0</v>
      </c>
      <c r="AB1066" s="101">
        <v>0</v>
      </c>
      <c r="AC1066" s="101">
        <v>0</v>
      </c>
      <c r="AD1066" s="101">
        <v>0</v>
      </c>
      <c r="AE1066" s="101">
        <v>0</v>
      </c>
      <c r="AF1066" s="101">
        <v>12</v>
      </c>
      <c r="AG1066" s="101">
        <v>1</v>
      </c>
      <c r="AH1066" s="114">
        <v>2</v>
      </c>
      <c r="AI1066" s="106">
        <v>2</v>
      </c>
      <c r="AJ1066" s="106">
        <v>2</v>
      </c>
      <c r="AK1066" s="106">
        <v>0</v>
      </c>
      <c r="AL1066" s="106">
        <v>3</v>
      </c>
      <c r="AM1066" s="101">
        <v>0</v>
      </c>
      <c r="AN1066" s="101">
        <v>0</v>
      </c>
      <c r="AO1066" s="101">
        <v>0</v>
      </c>
      <c r="AP1066" s="101">
        <v>0.2</v>
      </c>
      <c r="AQ1066" s="101">
        <v>3000</v>
      </c>
      <c r="AR1066" s="101">
        <v>0.2</v>
      </c>
      <c r="AS1066" s="101">
        <v>20</v>
      </c>
      <c r="AT1066" s="106">
        <v>0</v>
      </c>
      <c r="AU1066" s="340" t="s">
        <v>2307</v>
      </c>
      <c r="AV1066" s="355" t="s">
        <v>2176</v>
      </c>
      <c r="AW1066" s="19" t="s">
        <v>199</v>
      </c>
      <c r="AX1066" s="101" t="s">
        <v>534</v>
      </c>
      <c r="AY1066" s="100">
        <v>10000001</v>
      </c>
      <c r="AZ1066" s="100">
        <v>77005201</v>
      </c>
      <c r="BA1066" s="99" t="s">
        <v>586</v>
      </c>
      <c r="BB1066" s="60" t="s">
        <v>2308</v>
      </c>
      <c r="BC1066" s="106">
        <v>0</v>
      </c>
      <c r="BD1066" s="106">
        <v>0</v>
      </c>
      <c r="BE1066" s="183" t="str">
        <f t="shared" si="122"/>
        <v>对目标区域释放移动的魔球，对敌方单位造成400%攻击伤害+5200点固定伤害,并附加1层魔法印记</v>
      </c>
      <c r="BF1066" s="183" t="s">
        <v>2313</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106">
        <v>0</v>
      </c>
      <c r="BV1066" s="47"/>
      <c r="BW1066" s="47"/>
    </row>
    <row r="1067" spans="1:75" s="2" customFormat="1" ht="20.100000000000001" customHeight="1">
      <c r="A1067" s="216"/>
      <c r="B1067" s="216"/>
      <c r="C1067" s="100">
        <v>64014301</v>
      </c>
      <c r="D1067" s="99" t="s">
        <v>2314</v>
      </c>
      <c r="E1067" s="99" t="s">
        <v>2315</v>
      </c>
      <c r="F1067" s="172">
        <v>0</v>
      </c>
      <c r="G1067" s="100">
        <v>64014301</v>
      </c>
      <c r="H1067" s="60">
        <v>64014302</v>
      </c>
      <c r="I1067" s="105">
        <v>0</v>
      </c>
      <c r="J1067" s="16">
        <v>30</v>
      </c>
      <c r="K1067" s="18">
        <v>5</v>
      </c>
      <c r="L1067" s="100">
        <v>0</v>
      </c>
      <c r="M1067" s="101">
        <v>0</v>
      </c>
      <c r="N1067" s="101">
        <v>0</v>
      </c>
      <c r="O1067" s="101">
        <v>1</v>
      </c>
      <c r="P1067" s="101">
        <v>0</v>
      </c>
      <c r="Q1067" s="101">
        <v>0</v>
      </c>
      <c r="R1067" s="101">
        <v>0</v>
      </c>
      <c r="S1067" s="106">
        <v>0</v>
      </c>
      <c r="T1067" s="101">
        <v>0</v>
      </c>
      <c r="U1067" s="101">
        <v>1</v>
      </c>
      <c r="V1067" s="101">
        <v>1</v>
      </c>
      <c r="W1067" s="101">
        <v>0</v>
      </c>
      <c r="X1067" s="18">
        <v>2.5</v>
      </c>
      <c r="Y1067" s="12">
        <v>0</v>
      </c>
      <c r="Z1067" s="18">
        <v>900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"对区域投掷一个技能造成"&amp;X1067*100&amp;"%+"&amp;Z1067&amp;"伤害和50%减速效果持续3秒，技能释放命中目标后，技能进入2段阶段，再次点击技能会引发2次爆炸对目标造成伤害,并眩晕1秒"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7" s="137" t="s">
        <v>2316</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5" t="s">
        <v>2317</v>
      </c>
      <c r="BV1067" s="47"/>
      <c r="BW1067" s="47"/>
    </row>
    <row r="1068" spans="1:75" s="2" customFormat="1" ht="20.100000000000001" customHeight="1">
      <c r="A1068" s="216"/>
      <c r="B1068" s="216"/>
      <c r="C1068" s="100">
        <v>64014302</v>
      </c>
      <c r="D1068" s="99" t="s">
        <v>2314</v>
      </c>
      <c r="E1068" s="99" t="s">
        <v>2315</v>
      </c>
      <c r="F1068" s="172">
        <v>1</v>
      </c>
      <c r="G1068" s="100">
        <v>64014301</v>
      </c>
      <c r="H1068" s="60">
        <v>64014303</v>
      </c>
      <c r="I1068" s="105">
        <v>0</v>
      </c>
      <c r="J1068" s="16">
        <v>37</v>
      </c>
      <c r="K1068" s="18">
        <v>2</v>
      </c>
      <c r="L1068" s="100">
        <v>0</v>
      </c>
      <c r="M1068" s="101">
        <v>0</v>
      </c>
      <c r="N1068" s="101">
        <v>0</v>
      </c>
      <c r="O1068" s="101">
        <v>1</v>
      </c>
      <c r="P1068" s="101">
        <v>0</v>
      </c>
      <c r="Q1068" s="101">
        <v>0</v>
      </c>
      <c r="R1068" s="101">
        <v>0</v>
      </c>
      <c r="S1068" s="106">
        <v>0</v>
      </c>
      <c r="T1068" s="101">
        <v>0</v>
      </c>
      <c r="U1068" s="101">
        <v>1</v>
      </c>
      <c r="V1068" s="101">
        <v>1</v>
      </c>
      <c r="W1068" s="101">
        <v>0</v>
      </c>
      <c r="X1068" s="18">
        <v>2.5</v>
      </c>
      <c r="Y1068" s="12">
        <v>0</v>
      </c>
      <c r="Z1068" s="18">
        <v>900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ref="BE1068:BE1072" si="123">"对区域投掷一个技能造成"&amp;X1068*100&amp;"%+"&amp;Z1068&amp;"伤害和50%减速效果持续3秒，技能释放命中目标后，技能进入2段阶段，再次点击技能会引发2次爆炸对目标造成伤害,并眩晕1秒"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8" s="137" t="s">
        <v>2316</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5" t="s">
        <v>2318</v>
      </c>
      <c r="BV1068" s="47"/>
      <c r="BW1068" s="47"/>
    </row>
    <row r="1069" spans="1:75" s="2" customFormat="1" ht="20.100000000000001" customHeight="1">
      <c r="A1069" s="216"/>
      <c r="B1069" s="216"/>
      <c r="C1069" s="100">
        <v>64014303</v>
      </c>
      <c r="D1069" s="99" t="s">
        <v>2314</v>
      </c>
      <c r="E1069" s="99" t="s">
        <v>2315</v>
      </c>
      <c r="F1069" s="172">
        <v>2</v>
      </c>
      <c r="G1069" s="100">
        <v>64014301</v>
      </c>
      <c r="H1069" s="60">
        <v>64014304</v>
      </c>
      <c r="I1069" s="105">
        <v>0</v>
      </c>
      <c r="J1069" s="16">
        <v>42</v>
      </c>
      <c r="K1069" s="18">
        <v>2</v>
      </c>
      <c r="L1069" s="100">
        <v>0</v>
      </c>
      <c r="M1069" s="101">
        <v>0</v>
      </c>
      <c r="N1069" s="101">
        <v>0</v>
      </c>
      <c r="O1069" s="101">
        <v>1</v>
      </c>
      <c r="P1069" s="101">
        <v>0</v>
      </c>
      <c r="Q1069" s="101">
        <v>0</v>
      </c>
      <c r="R1069" s="101">
        <v>0</v>
      </c>
      <c r="S1069" s="106">
        <v>0</v>
      </c>
      <c r="T1069" s="101">
        <v>0</v>
      </c>
      <c r="U1069" s="101">
        <v>1</v>
      </c>
      <c r="V1069" s="101">
        <v>1</v>
      </c>
      <c r="W1069" s="101">
        <v>0</v>
      </c>
      <c r="X1069" s="18">
        <v>2.75</v>
      </c>
      <c r="Y1069" s="12">
        <v>0</v>
      </c>
      <c r="Z1069" s="18">
        <v>1800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对区域投掷一个技能造成275%+1800伤害和50%减速效果持续3秒，技能释放命中目标后，技能进入2段阶段，再次点击技能会引发2次爆炸对目标造成伤害,并眩晕1秒</v>
      </c>
      <c r="BF1069" s="137" t="s">
        <v>2319</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5" t="s">
        <v>2320</v>
      </c>
      <c r="BV1069" s="47"/>
      <c r="BW1069" s="47"/>
    </row>
    <row r="1070" spans="1:75" s="2" customFormat="1" ht="20.100000000000001" customHeight="1">
      <c r="A1070" s="216"/>
      <c r="B1070" s="216"/>
      <c r="C1070" s="100">
        <v>64014304</v>
      </c>
      <c r="D1070" s="99" t="s">
        <v>2314</v>
      </c>
      <c r="E1070" s="99" t="s">
        <v>2315</v>
      </c>
      <c r="F1070" s="172">
        <v>3</v>
      </c>
      <c r="G1070" s="100">
        <v>64014301</v>
      </c>
      <c r="H1070" s="60">
        <v>0</v>
      </c>
      <c r="I1070" s="105">
        <v>0</v>
      </c>
      <c r="J1070" s="18">
        <v>0</v>
      </c>
      <c r="K1070" s="18">
        <v>0</v>
      </c>
      <c r="L1070" s="100">
        <v>0</v>
      </c>
      <c r="M1070" s="101">
        <v>0</v>
      </c>
      <c r="N1070" s="101">
        <v>0</v>
      </c>
      <c r="O1070" s="101">
        <v>1</v>
      </c>
      <c r="P1070" s="101">
        <v>0</v>
      </c>
      <c r="Q1070" s="101">
        <v>0</v>
      </c>
      <c r="R1070" s="101">
        <v>0</v>
      </c>
      <c r="S1070" s="106">
        <v>0</v>
      </c>
      <c r="T1070" s="101">
        <v>0</v>
      </c>
      <c r="U1070" s="101">
        <v>1</v>
      </c>
      <c r="V1070" s="101">
        <v>1</v>
      </c>
      <c r="W1070" s="101">
        <v>0</v>
      </c>
      <c r="X1070" s="18">
        <v>3</v>
      </c>
      <c r="Y1070" s="12">
        <v>0</v>
      </c>
      <c r="Z1070" s="18">
        <v>2800</v>
      </c>
      <c r="AA1070" s="101">
        <v>0</v>
      </c>
      <c r="AB1070" s="101">
        <v>0</v>
      </c>
      <c r="AC1070" s="101">
        <v>0</v>
      </c>
      <c r="AD1070" s="101">
        <v>0</v>
      </c>
      <c r="AE1070" s="101">
        <v>0</v>
      </c>
      <c r="AF1070" s="101">
        <v>12</v>
      </c>
      <c r="AG1070" s="101">
        <v>1</v>
      </c>
      <c r="AH1070" s="101">
        <v>4</v>
      </c>
      <c r="AI1070" s="106">
        <v>2</v>
      </c>
      <c r="AJ1070" s="106">
        <v>1</v>
      </c>
      <c r="AK1070" s="106">
        <v>0</v>
      </c>
      <c r="AL1070" s="106">
        <v>7</v>
      </c>
      <c r="AM1070" s="101">
        <v>0</v>
      </c>
      <c r="AN1070" s="101">
        <v>0</v>
      </c>
      <c r="AO1070" s="101">
        <v>0</v>
      </c>
      <c r="AP1070" s="100">
        <v>0.2</v>
      </c>
      <c r="AQ1070" s="101">
        <v>1000</v>
      </c>
      <c r="AR1070" s="101">
        <v>0.4</v>
      </c>
      <c r="AS1070" s="101">
        <v>0</v>
      </c>
      <c r="AT1070" s="106">
        <v>0</v>
      </c>
      <c r="AU1070" s="101">
        <v>95102003</v>
      </c>
      <c r="AV1070" s="101"/>
      <c r="AW1070" s="19" t="s">
        <v>199</v>
      </c>
      <c r="AX1070" s="101" t="s">
        <v>545</v>
      </c>
      <c r="AY1070" s="100">
        <v>0</v>
      </c>
      <c r="AZ1070" s="100">
        <v>77005207</v>
      </c>
      <c r="BA1070" s="99" t="s">
        <v>200</v>
      </c>
      <c r="BB1070" s="101">
        <v>0</v>
      </c>
      <c r="BC1070" s="105">
        <v>0</v>
      </c>
      <c r="BD1070" s="105">
        <v>0</v>
      </c>
      <c r="BE1070" s="137" t="str">
        <f t="shared" si="123"/>
        <v>对区域投掷一个技能造成300%+2800伤害和50%减速效果持续3秒，技能释放命中目标后，技能进入2段阶段，再次点击技能会引发2次爆炸对目标造成伤害,并眩晕1秒</v>
      </c>
      <c r="BF1070" s="137" t="s">
        <v>2321</v>
      </c>
      <c r="BG1070" s="101">
        <v>0</v>
      </c>
      <c r="BH1070" s="101">
        <v>0</v>
      </c>
      <c r="BI1070" s="101">
        <v>0</v>
      </c>
      <c r="BJ1070" s="101">
        <v>0</v>
      </c>
      <c r="BK1070" s="101">
        <v>0</v>
      </c>
      <c r="BL1070" s="101">
        <v>0</v>
      </c>
      <c r="BM1070" s="97">
        <v>0</v>
      </c>
      <c r="BN1070" s="106">
        <v>0</v>
      </c>
      <c r="BO1070" s="106">
        <v>0</v>
      </c>
      <c r="BP1070" s="106">
        <v>0</v>
      </c>
      <c r="BQ1070" s="106">
        <v>0</v>
      </c>
      <c r="BR1070" s="106">
        <v>0</v>
      </c>
      <c r="BS1070" s="106">
        <v>0</v>
      </c>
      <c r="BT1070" s="106">
        <v>0</v>
      </c>
      <c r="BU1070" s="335" t="s">
        <v>2322</v>
      </c>
      <c r="BV1070" s="47"/>
      <c r="BW1070" s="47"/>
    </row>
    <row r="1071" spans="1:75" s="2" customFormat="1" ht="20.100000000000001" customHeight="1">
      <c r="A1071" s="216"/>
      <c r="B1071" s="216"/>
      <c r="C1071" s="100">
        <v>64014305</v>
      </c>
      <c r="D1071" s="99" t="s">
        <v>2314</v>
      </c>
      <c r="E1071" s="99" t="s">
        <v>2315</v>
      </c>
      <c r="F1071" s="172">
        <v>4</v>
      </c>
      <c r="G1071" s="100">
        <v>64014301</v>
      </c>
      <c r="H1071" s="60">
        <v>0</v>
      </c>
      <c r="I1071" s="105">
        <v>0</v>
      </c>
      <c r="J1071" s="18">
        <v>0</v>
      </c>
      <c r="K1071" s="18">
        <v>0</v>
      </c>
      <c r="L1071" s="100">
        <v>0</v>
      </c>
      <c r="M1071" s="101">
        <v>0</v>
      </c>
      <c r="N1071" s="101">
        <v>0</v>
      </c>
      <c r="O1071" s="101">
        <v>1</v>
      </c>
      <c r="P1071" s="101">
        <v>0</v>
      </c>
      <c r="Q1071" s="101">
        <v>0</v>
      </c>
      <c r="R1071" s="101">
        <v>0</v>
      </c>
      <c r="S1071" s="106">
        <v>0</v>
      </c>
      <c r="T1071" s="101">
        <v>0</v>
      </c>
      <c r="U1071" s="101">
        <v>1</v>
      </c>
      <c r="V1071" s="101">
        <v>1</v>
      </c>
      <c r="W1071" s="101">
        <v>0</v>
      </c>
      <c r="X1071" s="18">
        <v>3.25</v>
      </c>
      <c r="Y1071" s="12">
        <v>0</v>
      </c>
      <c r="Z1071" s="18">
        <v>4000</v>
      </c>
      <c r="AA1071" s="101">
        <v>0</v>
      </c>
      <c r="AB1071" s="101">
        <v>0</v>
      </c>
      <c r="AC1071" s="101">
        <v>0</v>
      </c>
      <c r="AD1071" s="101">
        <v>0</v>
      </c>
      <c r="AE1071" s="101">
        <v>0</v>
      </c>
      <c r="AF1071" s="101">
        <v>12</v>
      </c>
      <c r="AG1071" s="101">
        <v>1</v>
      </c>
      <c r="AH1071" s="101">
        <v>4</v>
      </c>
      <c r="AI1071" s="106">
        <v>2</v>
      </c>
      <c r="AJ1071" s="106">
        <v>1</v>
      </c>
      <c r="AK1071" s="106">
        <v>0</v>
      </c>
      <c r="AL1071" s="106">
        <v>7</v>
      </c>
      <c r="AM1071" s="101">
        <v>0</v>
      </c>
      <c r="AN1071" s="101">
        <v>0</v>
      </c>
      <c r="AO1071" s="101">
        <v>0</v>
      </c>
      <c r="AP1071" s="100">
        <v>0.2</v>
      </c>
      <c r="AQ1071" s="101">
        <v>1000</v>
      </c>
      <c r="AR1071" s="101">
        <v>0.4</v>
      </c>
      <c r="AS1071" s="101">
        <v>0</v>
      </c>
      <c r="AT1071" s="106">
        <v>0</v>
      </c>
      <c r="AU1071" s="101">
        <v>95102003</v>
      </c>
      <c r="AV1071" s="101"/>
      <c r="AW1071" s="19" t="s">
        <v>199</v>
      </c>
      <c r="AX1071" s="101" t="s">
        <v>545</v>
      </c>
      <c r="AY1071" s="100">
        <v>0</v>
      </c>
      <c r="AZ1071" s="100">
        <v>77005207</v>
      </c>
      <c r="BA1071" s="99" t="s">
        <v>200</v>
      </c>
      <c r="BB1071" s="101">
        <v>0</v>
      </c>
      <c r="BC1071" s="105">
        <v>0</v>
      </c>
      <c r="BD1071" s="105">
        <v>0</v>
      </c>
      <c r="BE1071" s="137" t="str">
        <f t="shared" si="123"/>
        <v>对区域投掷一个技能造成325%+4000伤害和50%减速效果持续3秒，技能释放命中目标后，技能进入2段阶段，再次点击技能会引发2次爆炸对目标造成伤害,并眩晕1秒</v>
      </c>
      <c r="BF1071" s="137" t="s">
        <v>2323</v>
      </c>
      <c r="BG1071" s="101">
        <v>0</v>
      </c>
      <c r="BH1071" s="101">
        <v>0</v>
      </c>
      <c r="BI1071" s="101">
        <v>0</v>
      </c>
      <c r="BJ1071" s="101">
        <v>0</v>
      </c>
      <c r="BK1071" s="101">
        <v>0</v>
      </c>
      <c r="BL1071" s="101">
        <v>0</v>
      </c>
      <c r="BM1071" s="97">
        <v>0</v>
      </c>
      <c r="BN1071" s="106">
        <v>0</v>
      </c>
      <c r="BO1071" s="106">
        <v>0</v>
      </c>
      <c r="BP1071" s="106">
        <v>0</v>
      </c>
      <c r="BQ1071" s="106">
        <v>0</v>
      </c>
      <c r="BR1071" s="106">
        <v>0</v>
      </c>
      <c r="BS1071" s="106">
        <v>0</v>
      </c>
      <c r="BT1071" s="106">
        <v>0</v>
      </c>
      <c r="BU1071" s="335" t="s">
        <v>2324</v>
      </c>
      <c r="BV1071" s="47"/>
      <c r="BW1071" s="47"/>
    </row>
    <row r="1072" spans="1:75" s="2" customFormat="1" ht="20.100000000000001" customHeight="1">
      <c r="A1072" s="216"/>
      <c r="B1072" s="216"/>
      <c r="C1072" s="100">
        <v>64014306</v>
      </c>
      <c r="D1072" s="99" t="s">
        <v>2314</v>
      </c>
      <c r="E1072" s="99" t="s">
        <v>2315</v>
      </c>
      <c r="F1072" s="172">
        <v>5</v>
      </c>
      <c r="G1072" s="100">
        <v>64014301</v>
      </c>
      <c r="H1072" s="60">
        <v>0</v>
      </c>
      <c r="I1072" s="105">
        <v>0</v>
      </c>
      <c r="J1072" s="18">
        <v>0</v>
      </c>
      <c r="K1072" s="18">
        <v>0</v>
      </c>
      <c r="L1072" s="100">
        <v>0</v>
      </c>
      <c r="M1072" s="101">
        <v>0</v>
      </c>
      <c r="N1072" s="101">
        <v>0</v>
      </c>
      <c r="O1072" s="101">
        <v>1</v>
      </c>
      <c r="P1072" s="101">
        <v>0</v>
      </c>
      <c r="Q1072" s="101">
        <v>0</v>
      </c>
      <c r="R1072" s="101">
        <v>0</v>
      </c>
      <c r="S1072" s="106">
        <v>0</v>
      </c>
      <c r="T1072" s="101">
        <v>0</v>
      </c>
      <c r="U1072" s="101">
        <v>1</v>
      </c>
      <c r="V1072" s="101">
        <v>1</v>
      </c>
      <c r="W1072" s="101">
        <v>0</v>
      </c>
      <c r="X1072" s="18">
        <v>3.5</v>
      </c>
      <c r="Y1072" s="12">
        <v>0</v>
      </c>
      <c r="Z1072" s="18">
        <v>5200</v>
      </c>
      <c r="AA1072" s="101">
        <v>0</v>
      </c>
      <c r="AB1072" s="101">
        <v>0</v>
      </c>
      <c r="AC1072" s="101">
        <v>0</v>
      </c>
      <c r="AD1072" s="101">
        <v>0</v>
      </c>
      <c r="AE1072" s="101">
        <v>0</v>
      </c>
      <c r="AF1072" s="101">
        <v>12</v>
      </c>
      <c r="AG1072" s="101">
        <v>1</v>
      </c>
      <c r="AH1072" s="101">
        <v>4</v>
      </c>
      <c r="AI1072" s="106">
        <v>2</v>
      </c>
      <c r="AJ1072" s="106">
        <v>1</v>
      </c>
      <c r="AK1072" s="106">
        <v>0</v>
      </c>
      <c r="AL1072" s="106">
        <v>7</v>
      </c>
      <c r="AM1072" s="101">
        <v>0</v>
      </c>
      <c r="AN1072" s="101">
        <v>0</v>
      </c>
      <c r="AO1072" s="101">
        <v>0</v>
      </c>
      <c r="AP1072" s="100">
        <v>0.2</v>
      </c>
      <c r="AQ1072" s="101">
        <v>1000</v>
      </c>
      <c r="AR1072" s="101">
        <v>0.4</v>
      </c>
      <c r="AS1072" s="101">
        <v>0</v>
      </c>
      <c r="AT1072" s="106">
        <v>0</v>
      </c>
      <c r="AU1072" s="101">
        <v>95102003</v>
      </c>
      <c r="AV1072" s="101"/>
      <c r="AW1072" s="19" t="s">
        <v>199</v>
      </c>
      <c r="AX1072" s="101" t="s">
        <v>545</v>
      </c>
      <c r="AY1072" s="100">
        <v>0</v>
      </c>
      <c r="AZ1072" s="100">
        <v>77005207</v>
      </c>
      <c r="BA1072" s="99" t="s">
        <v>200</v>
      </c>
      <c r="BB1072" s="101">
        <v>0</v>
      </c>
      <c r="BC1072" s="105">
        <v>0</v>
      </c>
      <c r="BD1072" s="105">
        <v>0</v>
      </c>
      <c r="BE1072" s="137" t="str">
        <f t="shared" si="123"/>
        <v>对区域投掷一个技能造成350%+5200伤害和50%减速效果持续3秒，技能释放命中目标后，技能进入2段阶段，再次点击技能会引发2次爆炸对目标造成伤害,并眩晕1秒</v>
      </c>
      <c r="BF1072" s="137" t="s">
        <v>2325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335" t="s">
        <v>2326</v>
      </c>
      <c r="BV1072" s="47"/>
      <c r="BW1072" s="47"/>
    </row>
    <row r="1073" spans="1:75" s="1" customFormat="1" ht="20.100000000000001" customHeight="1">
      <c r="A1073" s="215"/>
      <c r="B1073" s="215"/>
      <c r="C1073" s="64">
        <v>64014401</v>
      </c>
      <c r="D1073" s="59" t="s">
        <v>2327</v>
      </c>
      <c r="E1073" s="59" t="s">
        <v>2328</v>
      </c>
      <c r="F1073" s="172">
        <v>0</v>
      </c>
      <c r="G1073" s="64">
        <v>64014401</v>
      </c>
      <c r="H1073" s="60">
        <v>64014402</v>
      </c>
      <c r="I1073" s="66">
        <v>0</v>
      </c>
      <c r="J1073" s="16">
        <v>35</v>
      </c>
      <c r="K1073" s="18">
        <v>5</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2" t="s">
        <v>2329</v>
      </c>
      <c r="AU1073" s="355" t="s">
        <v>198</v>
      </c>
      <c r="AV1073" s="60"/>
      <c r="AW1073" s="19" t="s">
        <v>199</v>
      </c>
      <c r="AX1073" s="60" t="s">
        <v>545</v>
      </c>
      <c r="AY1073" s="64">
        <v>0</v>
      </c>
      <c r="AZ1073" s="64">
        <v>77005204</v>
      </c>
      <c r="BA1073" s="59" t="s">
        <v>200</v>
      </c>
      <c r="BB1073" s="60">
        <v>0</v>
      </c>
      <c r="BC1073" s="66">
        <v>0</v>
      </c>
      <c r="BD1073" s="66">
        <v>0</v>
      </c>
      <c r="BE1073"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3" s="183" t="s">
        <v>2330</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5"/>
      <c r="B1074" s="215"/>
      <c r="C1074" s="64">
        <v>64014402</v>
      </c>
      <c r="D1074" s="59" t="s">
        <v>2327</v>
      </c>
      <c r="E1074" s="59" t="s">
        <v>2328</v>
      </c>
      <c r="F1074" s="172">
        <v>1</v>
      </c>
      <c r="G1074" s="64">
        <v>64014401</v>
      </c>
      <c r="H1074" s="60">
        <v>64014403</v>
      </c>
      <c r="I1074" s="66">
        <v>0</v>
      </c>
      <c r="J1074" s="16">
        <v>42</v>
      </c>
      <c r="K1074" s="18">
        <v>2</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2" t="s">
        <v>2329</v>
      </c>
      <c r="AU1074" s="355" t="s">
        <v>198</v>
      </c>
      <c r="AV1074" s="60"/>
      <c r="AW1074" s="19" t="s">
        <v>199</v>
      </c>
      <c r="AX1074" s="60" t="s">
        <v>545</v>
      </c>
      <c r="AY1074" s="64">
        <v>0</v>
      </c>
      <c r="AZ1074" s="64">
        <v>77005204</v>
      </c>
      <c r="BA1074" s="59" t="s">
        <v>200</v>
      </c>
      <c r="BB1074" s="60">
        <v>0</v>
      </c>
      <c r="BC1074" s="66">
        <v>0</v>
      </c>
      <c r="BD1074" s="66">
        <v>0</v>
      </c>
      <c r="BE1074"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4" s="183" t="s">
        <v>2330</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5"/>
      <c r="B1075" s="215"/>
      <c r="C1075" s="64">
        <v>64014403</v>
      </c>
      <c r="D1075" s="59" t="s">
        <v>2327</v>
      </c>
      <c r="E1075" s="59" t="s">
        <v>2328</v>
      </c>
      <c r="F1075" s="172">
        <v>2</v>
      </c>
      <c r="G1075" s="64">
        <v>64014401</v>
      </c>
      <c r="H1075" s="60">
        <v>64014404</v>
      </c>
      <c r="I1075" s="66">
        <v>0</v>
      </c>
      <c r="J1075" s="16">
        <v>47</v>
      </c>
      <c r="K1075" s="18">
        <v>2</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2" t="s">
        <v>2329</v>
      </c>
      <c r="AU1075" s="355" t="s">
        <v>198</v>
      </c>
      <c r="AV1075" s="60"/>
      <c r="AW1075" s="19" t="s">
        <v>199</v>
      </c>
      <c r="AX1075" s="60" t="s">
        <v>545</v>
      </c>
      <c r="AY1075" s="64">
        <v>0</v>
      </c>
      <c r="AZ1075" s="64">
        <v>77005204</v>
      </c>
      <c r="BA1075" s="59" t="s">
        <v>200</v>
      </c>
      <c r="BB1075" s="60">
        <v>0</v>
      </c>
      <c r="BC1075" s="66">
        <v>0</v>
      </c>
      <c r="BD1075" s="66">
        <v>0</v>
      </c>
      <c r="BE1075" s="183" t="str">
        <f t="shared" ref="BE1075:BE1078" si="124">"自身变成风神之女，每次攻击附带龙卷风,龙卷风每次攻击造成"&amp;X1080*100&amp;"%攻击伤害+"&amp;Z1080&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5" s="183" t="s">
        <v>2331</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1" customFormat="1" ht="20.100000000000001" customHeight="1">
      <c r="A1076" s="215"/>
      <c r="B1076" s="215"/>
      <c r="C1076" s="64">
        <v>64014404</v>
      </c>
      <c r="D1076" s="59" t="s">
        <v>2327</v>
      </c>
      <c r="E1076" s="59" t="s">
        <v>2328</v>
      </c>
      <c r="F1076" s="172">
        <v>3</v>
      </c>
      <c r="G1076" s="64">
        <v>64014401</v>
      </c>
      <c r="H1076" s="60">
        <v>0</v>
      </c>
      <c r="I1076" s="66">
        <v>0</v>
      </c>
      <c r="J1076" s="18">
        <v>0</v>
      </c>
      <c r="K1076" s="18">
        <v>0</v>
      </c>
      <c r="L1076" s="64">
        <v>0</v>
      </c>
      <c r="M1076" s="60">
        <v>0</v>
      </c>
      <c r="N1076" s="60">
        <v>0</v>
      </c>
      <c r="O1076" s="60">
        <v>1</v>
      </c>
      <c r="P1076" s="60">
        <v>0</v>
      </c>
      <c r="Q1076" s="60">
        <v>0</v>
      </c>
      <c r="R1076" s="60">
        <v>0</v>
      </c>
      <c r="S1076" s="68">
        <v>0</v>
      </c>
      <c r="T1076" s="60">
        <v>0</v>
      </c>
      <c r="U1076" s="60">
        <v>1</v>
      </c>
      <c r="V1076" s="60">
        <v>1</v>
      </c>
      <c r="W1076" s="60">
        <v>0</v>
      </c>
      <c r="X1076" s="60">
        <v>0</v>
      </c>
      <c r="Y1076" s="12">
        <v>0</v>
      </c>
      <c r="Z1076" s="60">
        <v>0</v>
      </c>
      <c r="AA1076" s="60">
        <v>0</v>
      </c>
      <c r="AB1076" s="60">
        <v>0</v>
      </c>
      <c r="AC1076" s="60">
        <v>0</v>
      </c>
      <c r="AD1076" s="60">
        <v>0</v>
      </c>
      <c r="AE1076" s="60">
        <v>0</v>
      </c>
      <c r="AF1076" s="60">
        <v>30</v>
      </c>
      <c r="AG1076" s="60">
        <v>1</v>
      </c>
      <c r="AH1076" s="60">
        <v>4</v>
      </c>
      <c r="AI1076" s="68">
        <v>0</v>
      </c>
      <c r="AJ1076" s="68">
        <v>0</v>
      </c>
      <c r="AK1076" s="68">
        <v>0</v>
      </c>
      <c r="AL1076" s="68">
        <v>1.5</v>
      </c>
      <c r="AM1076" s="60">
        <v>0</v>
      </c>
      <c r="AN1076" s="60">
        <v>0</v>
      </c>
      <c r="AO1076" s="60">
        <v>0</v>
      </c>
      <c r="AP1076" s="64">
        <v>0.1</v>
      </c>
      <c r="AQ1076" s="60">
        <v>3000</v>
      </c>
      <c r="AR1076" s="60">
        <v>0.1</v>
      </c>
      <c r="AS1076" s="60">
        <v>0</v>
      </c>
      <c r="AT1076" s="342" t="s">
        <v>2329</v>
      </c>
      <c r="AU1076" s="355" t="s">
        <v>198</v>
      </c>
      <c r="AV1076" s="60"/>
      <c r="AW1076" s="19" t="s">
        <v>199</v>
      </c>
      <c r="AX1076" s="60" t="s">
        <v>545</v>
      </c>
      <c r="AY1076" s="64">
        <v>0</v>
      </c>
      <c r="AZ1076" s="64">
        <v>77005204</v>
      </c>
      <c r="BA1076" s="59" t="s">
        <v>200</v>
      </c>
      <c r="BB1076" s="60">
        <v>0</v>
      </c>
      <c r="BC1076" s="66">
        <v>0</v>
      </c>
      <c r="BD1076" s="66">
        <v>0</v>
      </c>
      <c r="BE1076" s="183" t="str">
        <f t="shared" si="124"/>
        <v>自身变成风神之女，每次攻击附带龙卷风,龙卷风每次攻击造成115%攻击伤害+2800点固定伤害,如果目标血量低于35%,则普攻技能提升50%,变身效果持续12秒,命中目标后造成范围爆炸,造成100%伤害</v>
      </c>
      <c r="BF1076" s="183" t="s">
        <v>2332</v>
      </c>
      <c r="BG1076" s="60">
        <v>0</v>
      </c>
      <c r="BH1076" s="60">
        <v>0</v>
      </c>
      <c r="BI1076" s="60">
        <v>0</v>
      </c>
      <c r="BJ1076" s="60">
        <v>0</v>
      </c>
      <c r="BK1076" s="60">
        <v>0</v>
      </c>
      <c r="BL1076" s="60">
        <v>0</v>
      </c>
      <c r="BM1076" s="93">
        <v>0</v>
      </c>
      <c r="BN1076" s="68">
        <v>0</v>
      </c>
      <c r="BO1076" s="68">
        <v>0</v>
      </c>
      <c r="BP1076" s="68">
        <v>0</v>
      </c>
      <c r="BQ1076" s="68">
        <v>0</v>
      </c>
      <c r="BR1076" s="68">
        <v>0</v>
      </c>
      <c r="BS1076" s="68">
        <v>0</v>
      </c>
      <c r="BT1076" s="68">
        <v>0</v>
      </c>
      <c r="BU1076" s="68">
        <v>0</v>
      </c>
      <c r="BV1076" s="47"/>
      <c r="BW1076" s="47"/>
    </row>
    <row r="1077" spans="1:75" s="1" customFormat="1" ht="20.100000000000001" customHeight="1">
      <c r="A1077" s="215"/>
      <c r="B1077" s="215"/>
      <c r="C1077" s="64">
        <v>64014405</v>
      </c>
      <c r="D1077" s="59" t="s">
        <v>2327</v>
      </c>
      <c r="E1077" s="59" t="s">
        <v>2328</v>
      </c>
      <c r="F1077" s="172">
        <v>4</v>
      </c>
      <c r="G1077" s="64">
        <v>64014401</v>
      </c>
      <c r="H1077" s="60">
        <v>0</v>
      </c>
      <c r="I1077" s="66">
        <v>0</v>
      </c>
      <c r="J1077" s="18">
        <v>0</v>
      </c>
      <c r="K1077" s="18">
        <v>0</v>
      </c>
      <c r="L1077" s="64">
        <v>0</v>
      </c>
      <c r="M1077" s="60">
        <v>0</v>
      </c>
      <c r="N1077" s="60">
        <v>0</v>
      </c>
      <c r="O1077" s="60">
        <v>1</v>
      </c>
      <c r="P1077" s="60">
        <v>0</v>
      </c>
      <c r="Q1077" s="60">
        <v>0</v>
      </c>
      <c r="R1077" s="60">
        <v>0</v>
      </c>
      <c r="S1077" s="68">
        <v>0</v>
      </c>
      <c r="T1077" s="60">
        <v>0</v>
      </c>
      <c r="U1077" s="60">
        <v>1</v>
      </c>
      <c r="V1077" s="60">
        <v>1</v>
      </c>
      <c r="W1077" s="60">
        <v>0</v>
      </c>
      <c r="X1077" s="60">
        <v>0</v>
      </c>
      <c r="Y1077" s="12">
        <v>0</v>
      </c>
      <c r="Z1077" s="60">
        <v>0</v>
      </c>
      <c r="AA1077" s="60">
        <v>0</v>
      </c>
      <c r="AB1077" s="60">
        <v>0</v>
      </c>
      <c r="AC1077" s="60">
        <v>0</v>
      </c>
      <c r="AD1077" s="60">
        <v>0</v>
      </c>
      <c r="AE1077" s="60">
        <v>0</v>
      </c>
      <c r="AF1077" s="60">
        <v>30</v>
      </c>
      <c r="AG1077" s="60">
        <v>1</v>
      </c>
      <c r="AH1077" s="60">
        <v>4</v>
      </c>
      <c r="AI1077" s="68">
        <v>0</v>
      </c>
      <c r="AJ1077" s="68">
        <v>0</v>
      </c>
      <c r="AK1077" s="68">
        <v>0</v>
      </c>
      <c r="AL1077" s="68">
        <v>1.5</v>
      </c>
      <c r="AM1077" s="60">
        <v>0</v>
      </c>
      <c r="AN1077" s="60">
        <v>0</v>
      </c>
      <c r="AO1077" s="60">
        <v>0</v>
      </c>
      <c r="AP1077" s="64">
        <v>0.1</v>
      </c>
      <c r="AQ1077" s="60">
        <v>3000</v>
      </c>
      <c r="AR1077" s="60">
        <v>0.1</v>
      </c>
      <c r="AS1077" s="60">
        <v>0</v>
      </c>
      <c r="AT1077" s="342" t="s">
        <v>2329</v>
      </c>
      <c r="AU1077" s="355" t="s">
        <v>198</v>
      </c>
      <c r="AV1077" s="60"/>
      <c r="AW1077" s="19" t="s">
        <v>199</v>
      </c>
      <c r="AX1077" s="60" t="s">
        <v>545</v>
      </c>
      <c r="AY1077" s="64">
        <v>0</v>
      </c>
      <c r="AZ1077" s="64">
        <v>77005204</v>
      </c>
      <c r="BA1077" s="59" t="s">
        <v>200</v>
      </c>
      <c r="BB1077" s="60">
        <v>0</v>
      </c>
      <c r="BC1077" s="66">
        <v>0</v>
      </c>
      <c r="BD1077" s="66">
        <v>0</v>
      </c>
      <c r="BE1077" s="183" t="str">
        <f t="shared" si="124"/>
        <v>自身变成风神之女，每次攻击附带龙卷风,龙卷风每次攻击造成122.5%攻击伤害+4000点固定伤害,如果目标血量低于35%,则普攻技能提升50%,变身效果持续12秒,命中目标后造成范围爆炸,造成100%伤害</v>
      </c>
      <c r="BF1077" s="183" t="s">
        <v>2333</v>
      </c>
      <c r="BG1077" s="60">
        <v>0</v>
      </c>
      <c r="BH1077" s="60">
        <v>0</v>
      </c>
      <c r="BI1077" s="60">
        <v>0</v>
      </c>
      <c r="BJ1077" s="60">
        <v>0</v>
      </c>
      <c r="BK1077" s="60">
        <v>0</v>
      </c>
      <c r="BL1077" s="60">
        <v>0</v>
      </c>
      <c r="BM1077" s="93">
        <v>0</v>
      </c>
      <c r="BN1077" s="68">
        <v>0</v>
      </c>
      <c r="BO1077" s="68">
        <v>0</v>
      </c>
      <c r="BP1077" s="68">
        <v>0</v>
      </c>
      <c r="BQ1077" s="68">
        <v>0</v>
      </c>
      <c r="BR1077" s="68">
        <v>0</v>
      </c>
      <c r="BS1077" s="68">
        <v>0</v>
      </c>
      <c r="BT1077" s="68">
        <v>0</v>
      </c>
      <c r="BU1077" s="68">
        <v>0</v>
      </c>
      <c r="BV1077" s="47"/>
      <c r="BW1077" s="47"/>
    </row>
    <row r="1078" spans="1:75" s="1" customFormat="1" ht="20.100000000000001" customHeight="1">
      <c r="A1078" s="215"/>
      <c r="B1078" s="215"/>
      <c r="C1078" s="64">
        <v>64014406</v>
      </c>
      <c r="D1078" s="59" t="s">
        <v>2327</v>
      </c>
      <c r="E1078" s="59" t="s">
        <v>2328</v>
      </c>
      <c r="F1078" s="172">
        <v>5</v>
      </c>
      <c r="G1078" s="64">
        <v>64014401</v>
      </c>
      <c r="H1078" s="60">
        <v>0</v>
      </c>
      <c r="I1078" s="66">
        <v>0</v>
      </c>
      <c r="J1078" s="18">
        <v>0</v>
      </c>
      <c r="K1078" s="18">
        <v>0</v>
      </c>
      <c r="L1078" s="64">
        <v>0</v>
      </c>
      <c r="M1078" s="60">
        <v>0</v>
      </c>
      <c r="N1078" s="60">
        <v>0</v>
      </c>
      <c r="O1078" s="60">
        <v>1</v>
      </c>
      <c r="P1078" s="60">
        <v>0</v>
      </c>
      <c r="Q1078" s="60">
        <v>0</v>
      </c>
      <c r="R1078" s="60">
        <v>0</v>
      </c>
      <c r="S1078" s="68">
        <v>0</v>
      </c>
      <c r="T1078" s="60">
        <v>0</v>
      </c>
      <c r="U1078" s="60">
        <v>1</v>
      </c>
      <c r="V1078" s="60">
        <v>1</v>
      </c>
      <c r="W1078" s="60">
        <v>0</v>
      </c>
      <c r="X1078" s="60">
        <v>0</v>
      </c>
      <c r="Y1078" s="12">
        <v>0</v>
      </c>
      <c r="Z1078" s="60">
        <v>0</v>
      </c>
      <c r="AA1078" s="60">
        <v>0</v>
      </c>
      <c r="AB1078" s="60">
        <v>0</v>
      </c>
      <c r="AC1078" s="60">
        <v>0</v>
      </c>
      <c r="AD1078" s="60">
        <v>0</v>
      </c>
      <c r="AE1078" s="60">
        <v>0</v>
      </c>
      <c r="AF1078" s="60">
        <v>30</v>
      </c>
      <c r="AG1078" s="60">
        <v>1</v>
      </c>
      <c r="AH1078" s="60">
        <v>4</v>
      </c>
      <c r="AI1078" s="68">
        <v>0</v>
      </c>
      <c r="AJ1078" s="68">
        <v>0</v>
      </c>
      <c r="AK1078" s="68">
        <v>0</v>
      </c>
      <c r="AL1078" s="68">
        <v>1.5</v>
      </c>
      <c r="AM1078" s="60">
        <v>0</v>
      </c>
      <c r="AN1078" s="60">
        <v>0</v>
      </c>
      <c r="AO1078" s="60">
        <v>0</v>
      </c>
      <c r="AP1078" s="64">
        <v>0.1</v>
      </c>
      <c r="AQ1078" s="60">
        <v>3000</v>
      </c>
      <c r="AR1078" s="60">
        <v>0.1</v>
      </c>
      <c r="AS1078" s="60">
        <v>0</v>
      </c>
      <c r="AT1078" s="342" t="s">
        <v>2329</v>
      </c>
      <c r="AU1078" s="355" t="s">
        <v>198</v>
      </c>
      <c r="AV1078" s="60"/>
      <c r="AW1078" s="19" t="s">
        <v>199</v>
      </c>
      <c r="AX1078" s="60" t="s">
        <v>545</v>
      </c>
      <c r="AY1078" s="64">
        <v>0</v>
      </c>
      <c r="AZ1078" s="64">
        <v>77005204</v>
      </c>
      <c r="BA1078" s="59" t="s">
        <v>200</v>
      </c>
      <c r="BB1078" s="60">
        <v>0</v>
      </c>
      <c r="BC1078" s="66">
        <v>0</v>
      </c>
      <c r="BD1078" s="66">
        <v>0</v>
      </c>
      <c r="BE1078" s="183" t="str">
        <f t="shared" si="124"/>
        <v>自身变成风神之女，每次攻击附带龙卷风,龙卷风每次攻击造成130%攻击伤害+5200点固定伤害,如果目标血量低于35%,则普攻技能提升50%,变身效果持续12秒,命中目标后造成范围爆炸,造成100%伤害</v>
      </c>
      <c r="BF1078" s="183" t="s">
        <v>2334</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68">
        <v>0</v>
      </c>
      <c r="BV1078" s="47"/>
      <c r="BW1078" s="47"/>
    </row>
    <row r="1079" spans="1:75" s="2" customFormat="1" ht="19.5" customHeight="1">
      <c r="A1079" s="216"/>
      <c r="B1079" s="216"/>
      <c r="C1079" s="100">
        <v>64014451</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v>
      </c>
      <c r="Y1079" s="12">
        <v>1.05</v>
      </c>
      <c r="Z1079" s="101">
        <v>900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0" t="s">
        <v>2307</v>
      </c>
      <c r="AV1079" s="355"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pans="1:75" s="2" customFormat="1" ht="19.5" customHeight="1">
      <c r="A1080" s="216"/>
      <c r="B1080" s="216"/>
      <c r="C1080" s="100">
        <v>64014452</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1.075</v>
      </c>
      <c r="Y1080" s="12">
        <v>1.2250000000000001</v>
      </c>
      <c r="Z1080" s="101">
        <v>1800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0" t="s">
        <v>2307</v>
      </c>
      <c r="AV1080" s="355"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pans="1:75" s="2" customFormat="1" ht="19.5" customHeight="1">
      <c r="A1081" s="216"/>
      <c r="B1081" s="216"/>
      <c r="C1081" s="100">
        <v>64014453</v>
      </c>
      <c r="D1081" s="99" t="s">
        <v>2335</v>
      </c>
      <c r="E1081" s="99" t="s">
        <v>2336</v>
      </c>
      <c r="F1081" s="172">
        <v>1</v>
      </c>
      <c r="G1081" s="101">
        <v>63021101</v>
      </c>
      <c r="H1081" s="60">
        <v>0</v>
      </c>
      <c r="I1081" s="105">
        <v>0</v>
      </c>
      <c r="J1081" s="100">
        <v>1</v>
      </c>
      <c r="K1081" s="101">
        <v>0</v>
      </c>
      <c r="L1081" s="101">
        <v>0</v>
      </c>
      <c r="M1081" s="101">
        <v>0</v>
      </c>
      <c r="N1081" s="101">
        <v>0</v>
      </c>
      <c r="O1081" s="101">
        <v>1</v>
      </c>
      <c r="P1081" s="101">
        <v>0</v>
      </c>
      <c r="Q1081" s="101">
        <v>0</v>
      </c>
      <c r="R1081" s="101">
        <v>0</v>
      </c>
      <c r="S1081" s="106">
        <v>0</v>
      </c>
      <c r="T1081" s="101">
        <v>0</v>
      </c>
      <c r="U1081" s="101">
        <v>0</v>
      </c>
      <c r="V1081" s="101">
        <v>1</v>
      </c>
      <c r="W1081" s="12">
        <v>0</v>
      </c>
      <c r="X1081" s="12">
        <v>1.1499999999999999</v>
      </c>
      <c r="Y1081" s="12">
        <v>1.4</v>
      </c>
      <c r="Z1081" s="101">
        <v>2800</v>
      </c>
      <c r="AA1081" s="101">
        <v>0</v>
      </c>
      <c r="AB1081" s="101">
        <v>0</v>
      </c>
      <c r="AC1081" s="101">
        <v>0</v>
      </c>
      <c r="AD1081" s="101">
        <v>0</v>
      </c>
      <c r="AE1081" s="101">
        <v>0</v>
      </c>
      <c r="AF1081" s="101">
        <v>0</v>
      </c>
      <c r="AG1081" s="101">
        <v>1</v>
      </c>
      <c r="AH1081" s="114">
        <v>2</v>
      </c>
      <c r="AI1081" s="106">
        <v>0</v>
      </c>
      <c r="AJ1081" s="106">
        <v>2</v>
      </c>
      <c r="AK1081" s="106">
        <v>1</v>
      </c>
      <c r="AL1081" s="106">
        <v>8</v>
      </c>
      <c r="AM1081" s="101">
        <v>3</v>
      </c>
      <c r="AN1081" s="101">
        <v>0</v>
      </c>
      <c r="AO1081" s="101">
        <v>0</v>
      </c>
      <c r="AP1081" s="101">
        <v>0.2</v>
      </c>
      <c r="AQ1081" s="101">
        <v>1200</v>
      </c>
      <c r="AR1081" s="101">
        <v>0.2</v>
      </c>
      <c r="AS1081" s="101">
        <v>15</v>
      </c>
      <c r="AT1081" s="106">
        <v>0</v>
      </c>
      <c r="AU1081" s="340" t="s">
        <v>2307</v>
      </c>
      <c r="AV1081" s="355" t="s">
        <v>2291</v>
      </c>
      <c r="AW1081" s="19" t="s">
        <v>199</v>
      </c>
      <c r="AX1081" s="101" t="s">
        <v>534</v>
      </c>
      <c r="AY1081" s="100">
        <v>10000001</v>
      </c>
      <c r="AZ1081" s="100">
        <v>77005205</v>
      </c>
      <c r="BA1081" s="99" t="s">
        <v>586</v>
      </c>
      <c r="BB1081" s="60" t="s">
        <v>2177</v>
      </c>
      <c r="BC1081" s="106">
        <v>0</v>
      </c>
      <c r="BD1081" s="106">
        <v>0</v>
      </c>
      <c r="BE1081" s="137" t="s">
        <v>2337</v>
      </c>
      <c r="BF1081" s="137" t="s">
        <v>2338</v>
      </c>
      <c r="BG1081" s="101">
        <v>0</v>
      </c>
      <c r="BH1081" s="101">
        <v>0</v>
      </c>
      <c r="BI1081" s="101">
        <v>0</v>
      </c>
      <c r="BJ1081" s="101">
        <v>0</v>
      </c>
      <c r="BK1081" s="101">
        <v>0</v>
      </c>
      <c r="BL1081" s="101">
        <v>0</v>
      </c>
      <c r="BM1081" s="97">
        <v>0</v>
      </c>
      <c r="BN1081" s="106">
        <v>0</v>
      </c>
      <c r="BO1081" s="106">
        <v>0</v>
      </c>
      <c r="BP1081" s="106">
        <v>0</v>
      </c>
      <c r="BQ1081" s="106">
        <v>0</v>
      </c>
      <c r="BR1081" s="106">
        <v>0</v>
      </c>
      <c r="BS1081" s="106">
        <v>0</v>
      </c>
      <c r="BT1081" s="106">
        <v>0</v>
      </c>
      <c r="BU1081" s="106">
        <v>0</v>
      </c>
      <c r="BV1081" s="47" t="s">
        <v>2339</v>
      </c>
      <c r="BW1081" s="47"/>
    </row>
    <row r="1082" spans="1:75" s="2" customFormat="1" ht="19.5" customHeight="1">
      <c r="A1082" s="216"/>
      <c r="B1082" s="216"/>
      <c r="C1082" s="100">
        <v>64014454</v>
      </c>
      <c r="D1082" s="99" t="s">
        <v>2335</v>
      </c>
      <c r="E1082" s="99" t="s">
        <v>2336</v>
      </c>
      <c r="F1082" s="172">
        <v>1</v>
      </c>
      <c r="G1082" s="101">
        <v>63021101</v>
      </c>
      <c r="H1082" s="60">
        <v>0</v>
      </c>
      <c r="I1082" s="105">
        <v>0</v>
      </c>
      <c r="J1082" s="100">
        <v>1</v>
      </c>
      <c r="K1082" s="101">
        <v>0</v>
      </c>
      <c r="L1082" s="101">
        <v>0</v>
      </c>
      <c r="M1082" s="101">
        <v>0</v>
      </c>
      <c r="N1082" s="101">
        <v>0</v>
      </c>
      <c r="O1082" s="101">
        <v>1</v>
      </c>
      <c r="P1082" s="101">
        <v>0</v>
      </c>
      <c r="Q1082" s="101">
        <v>0</v>
      </c>
      <c r="R1082" s="101">
        <v>0</v>
      </c>
      <c r="S1082" s="106">
        <v>0</v>
      </c>
      <c r="T1082" s="101">
        <v>0</v>
      </c>
      <c r="U1082" s="101">
        <v>0</v>
      </c>
      <c r="V1082" s="101">
        <v>1</v>
      </c>
      <c r="W1082" s="12">
        <v>0</v>
      </c>
      <c r="X1082" s="12">
        <v>1.2250000000000001</v>
      </c>
      <c r="Y1082" s="12">
        <v>1.575</v>
      </c>
      <c r="Z1082" s="101">
        <v>4000</v>
      </c>
      <c r="AA1082" s="101">
        <v>0</v>
      </c>
      <c r="AB1082" s="101">
        <v>0</v>
      </c>
      <c r="AC1082" s="101">
        <v>0</v>
      </c>
      <c r="AD1082" s="101">
        <v>0</v>
      </c>
      <c r="AE1082" s="101">
        <v>0</v>
      </c>
      <c r="AF1082" s="101">
        <v>0</v>
      </c>
      <c r="AG1082" s="101">
        <v>1</v>
      </c>
      <c r="AH1082" s="114">
        <v>2</v>
      </c>
      <c r="AI1082" s="106">
        <v>0</v>
      </c>
      <c r="AJ1082" s="106">
        <v>2</v>
      </c>
      <c r="AK1082" s="106">
        <v>1</v>
      </c>
      <c r="AL1082" s="106">
        <v>8</v>
      </c>
      <c r="AM1082" s="101">
        <v>3</v>
      </c>
      <c r="AN1082" s="101">
        <v>0</v>
      </c>
      <c r="AO1082" s="101">
        <v>0</v>
      </c>
      <c r="AP1082" s="101">
        <v>0.2</v>
      </c>
      <c r="AQ1082" s="101">
        <v>1200</v>
      </c>
      <c r="AR1082" s="101">
        <v>0.2</v>
      </c>
      <c r="AS1082" s="101">
        <v>15</v>
      </c>
      <c r="AT1082" s="106">
        <v>0</v>
      </c>
      <c r="AU1082" s="340" t="s">
        <v>2307</v>
      </c>
      <c r="AV1082" s="355" t="s">
        <v>2291</v>
      </c>
      <c r="AW1082" s="19" t="s">
        <v>199</v>
      </c>
      <c r="AX1082" s="101" t="s">
        <v>534</v>
      </c>
      <c r="AY1082" s="100">
        <v>10000001</v>
      </c>
      <c r="AZ1082" s="100">
        <v>77005205</v>
      </c>
      <c r="BA1082" s="99" t="s">
        <v>586</v>
      </c>
      <c r="BB1082" s="60" t="s">
        <v>2177</v>
      </c>
      <c r="BC1082" s="106">
        <v>0</v>
      </c>
      <c r="BD1082" s="106">
        <v>0</v>
      </c>
      <c r="BE1082" s="137" t="s">
        <v>2337</v>
      </c>
      <c r="BF1082" s="137" t="s">
        <v>2338</v>
      </c>
      <c r="BG1082" s="101">
        <v>0</v>
      </c>
      <c r="BH1082" s="101">
        <v>0</v>
      </c>
      <c r="BI1082" s="101">
        <v>0</v>
      </c>
      <c r="BJ1082" s="101">
        <v>0</v>
      </c>
      <c r="BK1082" s="101">
        <v>0</v>
      </c>
      <c r="BL1082" s="101">
        <v>0</v>
      </c>
      <c r="BM1082" s="97">
        <v>0</v>
      </c>
      <c r="BN1082" s="106">
        <v>0</v>
      </c>
      <c r="BO1082" s="106">
        <v>0</v>
      </c>
      <c r="BP1082" s="106">
        <v>0</v>
      </c>
      <c r="BQ1082" s="106">
        <v>0</v>
      </c>
      <c r="BR1082" s="106">
        <v>0</v>
      </c>
      <c r="BS1082" s="106">
        <v>0</v>
      </c>
      <c r="BT1082" s="106">
        <v>0</v>
      </c>
      <c r="BU1082" s="106">
        <v>0</v>
      </c>
      <c r="BV1082" s="47" t="s">
        <v>2339</v>
      </c>
      <c r="BW1082" s="47"/>
    </row>
    <row r="1083" spans="1:75" s="2" customFormat="1" ht="19.5" customHeight="1">
      <c r="A1083" s="216"/>
      <c r="B1083" s="216"/>
      <c r="C1083" s="100">
        <v>64014455</v>
      </c>
      <c r="D1083" s="99" t="s">
        <v>2335</v>
      </c>
      <c r="E1083" s="99" t="s">
        <v>2336</v>
      </c>
      <c r="F1083" s="172">
        <v>1</v>
      </c>
      <c r="G1083" s="101">
        <v>63021101</v>
      </c>
      <c r="H1083" s="60">
        <v>0</v>
      </c>
      <c r="I1083" s="105">
        <v>0</v>
      </c>
      <c r="J1083" s="100">
        <v>1</v>
      </c>
      <c r="K1083" s="101">
        <v>0</v>
      </c>
      <c r="L1083" s="101">
        <v>0</v>
      </c>
      <c r="M1083" s="101">
        <v>0</v>
      </c>
      <c r="N1083" s="101">
        <v>0</v>
      </c>
      <c r="O1083" s="101">
        <v>1</v>
      </c>
      <c r="P1083" s="101">
        <v>0</v>
      </c>
      <c r="Q1083" s="101">
        <v>0</v>
      </c>
      <c r="R1083" s="101">
        <v>0</v>
      </c>
      <c r="S1083" s="106">
        <v>0</v>
      </c>
      <c r="T1083" s="101">
        <v>0</v>
      </c>
      <c r="U1083" s="101">
        <v>0</v>
      </c>
      <c r="V1083" s="101">
        <v>1</v>
      </c>
      <c r="W1083" s="12">
        <v>0</v>
      </c>
      <c r="X1083" s="12">
        <v>1.3</v>
      </c>
      <c r="Y1083" s="12">
        <v>1.75</v>
      </c>
      <c r="Z1083" s="101">
        <v>5200</v>
      </c>
      <c r="AA1083" s="101">
        <v>0</v>
      </c>
      <c r="AB1083" s="101">
        <v>0</v>
      </c>
      <c r="AC1083" s="101">
        <v>0</v>
      </c>
      <c r="AD1083" s="101">
        <v>0</v>
      </c>
      <c r="AE1083" s="101">
        <v>0</v>
      </c>
      <c r="AF1083" s="101">
        <v>0</v>
      </c>
      <c r="AG1083" s="101">
        <v>1</v>
      </c>
      <c r="AH1083" s="114">
        <v>2</v>
      </c>
      <c r="AI1083" s="106">
        <v>0</v>
      </c>
      <c r="AJ1083" s="106">
        <v>2</v>
      </c>
      <c r="AK1083" s="106">
        <v>1</v>
      </c>
      <c r="AL1083" s="106">
        <v>8</v>
      </c>
      <c r="AM1083" s="101">
        <v>3</v>
      </c>
      <c r="AN1083" s="101">
        <v>0</v>
      </c>
      <c r="AO1083" s="101">
        <v>0</v>
      </c>
      <c r="AP1083" s="101">
        <v>0.2</v>
      </c>
      <c r="AQ1083" s="101">
        <v>1200</v>
      </c>
      <c r="AR1083" s="101">
        <v>0.2</v>
      </c>
      <c r="AS1083" s="101">
        <v>15</v>
      </c>
      <c r="AT1083" s="106">
        <v>0</v>
      </c>
      <c r="AU1083" s="340" t="s">
        <v>2307</v>
      </c>
      <c r="AV1083" s="355" t="s">
        <v>2291</v>
      </c>
      <c r="AW1083" s="19" t="s">
        <v>199</v>
      </c>
      <c r="AX1083" s="101" t="s">
        <v>534</v>
      </c>
      <c r="AY1083" s="100">
        <v>10000001</v>
      </c>
      <c r="AZ1083" s="100">
        <v>77005205</v>
      </c>
      <c r="BA1083" s="99" t="s">
        <v>586</v>
      </c>
      <c r="BB1083" s="60" t="s">
        <v>2177</v>
      </c>
      <c r="BC1083" s="106">
        <v>0</v>
      </c>
      <c r="BD1083" s="106">
        <v>0</v>
      </c>
      <c r="BE1083" s="137" t="s">
        <v>2337</v>
      </c>
      <c r="BF1083" s="137" t="s">
        <v>2338</v>
      </c>
      <c r="BG1083" s="101">
        <v>0</v>
      </c>
      <c r="BH1083" s="101">
        <v>0</v>
      </c>
      <c r="BI1083" s="101">
        <v>0</v>
      </c>
      <c r="BJ1083" s="101">
        <v>0</v>
      </c>
      <c r="BK1083" s="101">
        <v>0</v>
      </c>
      <c r="BL1083" s="101">
        <v>0</v>
      </c>
      <c r="BM1083" s="97">
        <v>0</v>
      </c>
      <c r="BN1083" s="106">
        <v>0</v>
      </c>
      <c r="BO1083" s="106">
        <v>0</v>
      </c>
      <c r="BP1083" s="106">
        <v>0</v>
      </c>
      <c r="BQ1083" s="106">
        <v>0</v>
      </c>
      <c r="BR1083" s="106">
        <v>0</v>
      </c>
      <c r="BS1083" s="106">
        <v>0</v>
      </c>
      <c r="BT1083" s="106">
        <v>0</v>
      </c>
      <c r="BU1083" s="106">
        <v>0</v>
      </c>
      <c r="BV1083" s="47" t="s">
        <v>2339</v>
      </c>
      <c r="BW1083" s="47"/>
    </row>
    <row r="1084" spans="1:75" s="3" customFormat="1" ht="19.5" customHeight="1">
      <c r="A1084" s="217"/>
      <c r="B1084" s="217"/>
      <c r="C1084" s="218">
        <v>64014501</v>
      </c>
      <c r="D1084" s="219" t="s">
        <v>2245</v>
      </c>
      <c r="E1084" s="219" t="s">
        <v>2246</v>
      </c>
      <c r="F1084" s="218">
        <v>1</v>
      </c>
      <c r="G1084" s="218">
        <v>0</v>
      </c>
      <c r="H1084" s="218">
        <v>0</v>
      </c>
      <c r="I1084" s="223">
        <v>0</v>
      </c>
      <c r="J1084" s="218">
        <v>1</v>
      </c>
      <c r="K1084" s="218">
        <v>0</v>
      </c>
      <c r="L1084" s="218">
        <v>0</v>
      </c>
      <c r="M1084" s="222">
        <v>0</v>
      </c>
      <c r="N1084" s="222">
        <v>0</v>
      </c>
      <c r="O1084" s="222">
        <v>2</v>
      </c>
      <c r="P1084" s="222">
        <v>3</v>
      </c>
      <c r="Q1084" s="222">
        <v>0.2</v>
      </c>
      <c r="R1084" s="222">
        <v>0</v>
      </c>
      <c r="S1084" s="224">
        <v>0</v>
      </c>
      <c r="T1084" s="222">
        <v>0</v>
      </c>
      <c r="U1084" s="222">
        <v>1</v>
      </c>
      <c r="V1084" s="222">
        <v>2</v>
      </c>
      <c r="W1084" s="222">
        <v>0</v>
      </c>
      <c r="X1084" s="222">
        <v>0.5</v>
      </c>
      <c r="Y1084" s="12">
        <v>0</v>
      </c>
      <c r="Z1084" s="222">
        <v>0</v>
      </c>
      <c r="AA1084" s="222">
        <v>1</v>
      </c>
      <c r="AB1084" s="222">
        <v>0</v>
      </c>
      <c r="AC1084" s="222">
        <v>0</v>
      </c>
      <c r="AD1084" s="222">
        <v>1</v>
      </c>
      <c r="AE1084" s="222">
        <v>1</v>
      </c>
      <c r="AF1084" s="222">
        <v>0</v>
      </c>
      <c r="AG1084" s="222">
        <v>1</v>
      </c>
      <c r="AH1084" s="222">
        <v>2</v>
      </c>
      <c r="AI1084" s="224">
        <v>1</v>
      </c>
      <c r="AJ1084" s="224">
        <v>1</v>
      </c>
      <c r="AK1084" s="224">
        <v>0</v>
      </c>
      <c r="AL1084" s="224">
        <v>3</v>
      </c>
      <c r="AM1084" s="222">
        <v>0</v>
      </c>
      <c r="AN1084" s="222">
        <v>0</v>
      </c>
      <c r="AO1084" s="222">
        <v>0</v>
      </c>
      <c r="AP1084" s="222">
        <v>0</v>
      </c>
      <c r="AQ1084" s="222">
        <v>1000</v>
      </c>
      <c r="AR1084" s="222">
        <v>0.4</v>
      </c>
      <c r="AS1084" s="222">
        <v>0</v>
      </c>
      <c r="AT1084" s="224">
        <v>0</v>
      </c>
      <c r="AU1084" s="356" t="s">
        <v>2291</v>
      </c>
      <c r="AV1084" s="225"/>
      <c r="AW1084" s="226" t="s">
        <v>198</v>
      </c>
      <c r="AX1084" s="222" t="s">
        <v>534</v>
      </c>
      <c r="AY1084" s="218">
        <v>0</v>
      </c>
      <c r="AZ1084" s="218">
        <v>77005207</v>
      </c>
      <c r="BA1084" s="219" t="s">
        <v>200</v>
      </c>
      <c r="BB1084" s="222">
        <v>0</v>
      </c>
      <c r="BC1084" s="223">
        <v>0</v>
      </c>
      <c r="BD1084" s="223">
        <v>0</v>
      </c>
      <c r="BE1084" s="228" t="s">
        <v>2340</v>
      </c>
      <c r="BF1084" s="228" t="s">
        <v>2341</v>
      </c>
      <c r="BG1084" s="222">
        <v>0</v>
      </c>
      <c r="BH1084" s="222">
        <v>0</v>
      </c>
      <c r="BI1084" s="222">
        <v>0</v>
      </c>
      <c r="BJ1084" s="222">
        <v>0</v>
      </c>
      <c r="BK1084" s="222">
        <v>0</v>
      </c>
      <c r="BL1084" s="222">
        <v>0</v>
      </c>
      <c r="BM1084" s="221">
        <v>0</v>
      </c>
      <c r="BN1084" s="224">
        <v>0</v>
      </c>
      <c r="BO1084" s="224">
        <v>0</v>
      </c>
      <c r="BP1084" s="224">
        <v>0</v>
      </c>
      <c r="BQ1084" s="224">
        <v>0</v>
      </c>
      <c r="BR1084" s="224">
        <v>0</v>
      </c>
      <c r="BS1084" s="224">
        <v>0</v>
      </c>
      <c r="BT1084" s="224">
        <v>0</v>
      </c>
      <c r="BU1084" s="224">
        <v>0</v>
      </c>
      <c r="BV1084" s="47"/>
      <c r="BW1084" s="47">
        <v>1</v>
      </c>
    </row>
    <row r="1085" spans="1:75" s="3" customFormat="1" ht="19.5" customHeight="1">
      <c r="A1085" s="217"/>
      <c r="B1085" s="217"/>
      <c r="C1085" s="218">
        <v>64014601</v>
      </c>
      <c r="D1085" s="219" t="s">
        <v>2342</v>
      </c>
      <c r="E1085" s="219" t="s">
        <v>2343</v>
      </c>
      <c r="F1085" s="218">
        <v>1</v>
      </c>
      <c r="G1085" s="222">
        <v>0</v>
      </c>
      <c r="H1085" s="218">
        <v>0</v>
      </c>
      <c r="I1085" s="223">
        <v>0</v>
      </c>
      <c r="J1085" s="218">
        <v>1</v>
      </c>
      <c r="K1085" s="218">
        <v>0</v>
      </c>
      <c r="L1085" s="218">
        <v>0</v>
      </c>
      <c r="M1085" s="222">
        <v>0</v>
      </c>
      <c r="N1085" s="222">
        <v>0</v>
      </c>
      <c r="O1085" s="222">
        <v>2</v>
      </c>
      <c r="P1085" s="222">
        <v>16</v>
      </c>
      <c r="Q1085" s="222">
        <v>1</v>
      </c>
      <c r="R1085" s="222">
        <v>0</v>
      </c>
      <c r="S1085" s="224">
        <v>0</v>
      </c>
      <c r="T1085" s="222">
        <v>0</v>
      </c>
      <c r="U1085" s="222">
        <v>1</v>
      </c>
      <c r="V1085" s="222">
        <v>2</v>
      </c>
      <c r="W1085" s="222">
        <v>0</v>
      </c>
      <c r="X1085" s="222">
        <v>1.5</v>
      </c>
      <c r="Y1085" s="12">
        <v>0</v>
      </c>
      <c r="Z1085" s="222">
        <v>0</v>
      </c>
      <c r="AA1085" s="222">
        <v>0</v>
      </c>
      <c r="AB1085" s="222">
        <v>0</v>
      </c>
      <c r="AC1085" s="222">
        <v>0</v>
      </c>
      <c r="AD1085" s="222">
        <v>0</v>
      </c>
      <c r="AE1085" s="222">
        <v>1</v>
      </c>
      <c r="AF1085" s="222">
        <v>0</v>
      </c>
      <c r="AG1085" s="222">
        <v>1</v>
      </c>
      <c r="AH1085" s="222">
        <v>2</v>
      </c>
      <c r="AI1085" s="224">
        <v>0</v>
      </c>
      <c r="AJ1085" s="224">
        <v>2</v>
      </c>
      <c r="AK1085" s="224">
        <v>0</v>
      </c>
      <c r="AL1085" s="224">
        <v>2</v>
      </c>
      <c r="AM1085" s="222">
        <v>0</v>
      </c>
      <c r="AN1085" s="222">
        <v>0</v>
      </c>
      <c r="AO1085" s="222">
        <v>0</v>
      </c>
      <c r="AP1085" s="222">
        <v>0</v>
      </c>
      <c r="AQ1085" s="222">
        <v>5000</v>
      </c>
      <c r="AR1085" s="222">
        <v>0</v>
      </c>
      <c r="AS1085" s="222">
        <v>15</v>
      </c>
      <c r="AT1085" s="231">
        <v>0</v>
      </c>
      <c r="AU1085" s="356" t="s">
        <v>2291</v>
      </c>
      <c r="AV1085" s="225"/>
      <c r="AW1085" s="219" t="s">
        <v>198</v>
      </c>
      <c r="AX1085" s="222" t="s">
        <v>534</v>
      </c>
      <c r="AY1085" s="218">
        <v>10000007</v>
      </c>
      <c r="AZ1085" s="218">
        <v>77005205</v>
      </c>
      <c r="BA1085" s="219" t="s">
        <v>586</v>
      </c>
      <c r="BB1085" s="222" t="s">
        <v>2344</v>
      </c>
      <c r="BC1085" s="223">
        <v>0</v>
      </c>
      <c r="BD1085" s="223">
        <v>1</v>
      </c>
      <c r="BE1085" s="228" t="s">
        <v>2345</v>
      </c>
      <c r="BF1085" s="228" t="s">
        <v>2346</v>
      </c>
      <c r="BG1085" s="222">
        <v>0</v>
      </c>
      <c r="BH1085" s="222">
        <v>0</v>
      </c>
      <c r="BI1085" s="222">
        <v>0</v>
      </c>
      <c r="BJ1085" s="222">
        <v>0</v>
      </c>
      <c r="BK1085" s="222">
        <v>0</v>
      </c>
      <c r="BL1085" s="222">
        <v>0</v>
      </c>
      <c r="BM1085" s="221">
        <v>0</v>
      </c>
      <c r="BN1085" s="224">
        <v>0</v>
      </c>
      <c r="BO1085" s="224">
        <v>0</v>
      </c>
      <c r="BP1085" s="224">
        <v>0</v>
      </c>
      <c r="BQ1085" s="224">
        <v>0</v>
      </c>
      <c r="BR1085" s="224">
        <v>0</v>
      </c>
      <c r="BS1085" s="224">
        <v>0</v>
      </c>
      <c r="BT1085" s="224">
        <v>0</v>
      </c>
      <c r="BU1085" s="224">
        <v>0</v>
      </c>
      <c r="BV1085" s="47"/>
      <c r="BW1085" s="47"/>
    </row>
    <row r="1086" spans="1:75" s="3" customFormat="1" ht="19.5" customHeight="1">
      <c r="A1086" s="217"/>
      <c r="B1086" s="217"/>
      <c r="C1086" s="218">
        <v>64014602</v>
      </c>
      <c r="D1086" s="219" t="s">
        <v>2342</v>
      </c>
      <c r="E1086" s="219" t="s">
        <v>2343</v>
      </c>
      <c r="F1086" s="218">
        <v>1</v>
      </c>
      <c r="G1086" s="222">
        <v>0</v>
      </c>
      <c r="H1086" s="218">
        <v>0</v>
      </c>
      <c r="I1086" s="223">
        <v>0</v>
      </c>
      <c r="J1086" s="218">
        <v>1</v>
      </c>
      <c r="K1086" s="218">
        <v>0</v>
      </c>
      <c r="L1086" s="218">
        <v>0</v>
      </c>
      <c r="M1086" s="222">
        <v>0</v>
      </c>
      <c r="N1086" s="222">
        <v>0</v>
      </c>
      <c r="O1086" s="222">
        <v>2</v>
      </c>
      <c r="P1086" s="222">
        <v>16</v>
      </c>
      <c r="Q1086" s="222">
        <v>1</v>
      </c>
      <c r="R1086" s="222">
        <v>0</v>
      </c>
      <c r="S1086" s="224">
        <v>0</v>
      </c>
      <c r="T1086" s="222">
        <v>0</v>
      </c>
      <c r="U1086" s="222">
        <v>1</v>
      </c>
      <c r="V1086" s="222">
        <v>2</v>
      </c>
      <c r="W1086" s="222">
        <v>0</v>
      </c>
      <c r="X1086" s="222">
        <v>1.5</v>
      </c>
      <c r="Y1086" s="12">
        <v>0</v>
      </c>
      <c r="Z1086" s="222">
        <v>0</v>
      </c>
      <c r="AA1086" s="222">
        <v>0</v>
      </c>
      <c r="AB1086" s="222">
        <v>0</v>
      </c>
      <c r="AC1086" s="222">
        <v>0</v>
      </c>
      <c r="AD1086" s="222">
        <v>0</v>
      </c>
      <c r="AE1086" s="222">
        <v>1</v>
      </c>
      <c r="AF1086" s="222">
        <v>0</v>
      </c>
      <c r="AG1086" s="222">
        <v>1</v>
      </c>
      <c r="AH1086" s="222">
        <v>2</v>
      </c>
      <c r="AI1086" s="224">
        <v>0</v>
      </c>
      <c r="AJ1086" s="224">
        <v>2</v>
      </c>
      <c r="AK1086" s="224">
        <v>0</v>
      </c>
      <c r="AL1086" s="224">
        <v>2</v>
      </c>
      <c r="AM1086" s="222">
        <v>0</v>
      </c>
      <c r="AN1086" s="222">
        <v>0</v>
      </c>
      <c r="AO1086" s="222">
        <v>0</v>
      </c>
      <c r="AP1086" s="222">
        <v>0</v>
      </c>
      <c r="AQ1086" s="222">
        <v>5000</v>
      </c>
      <c r="AR1086" s="222">
        <v>0</v>
      </c>
      <c r="AS1086" s="222">
        <v>15</v>
      </c>
      <c r="AT1086" s="231">
        <v>0</v>
      </c>
      <c r="AU1086" s="356" t="s">
        <v>2291</v>
      </c>
      <c r="AV1086" s="225"/>
      <c r="AW1086" s="219" t="s">
        <v>198</v>
      </c>
      <c r="AX1086" s="222" t="s">
        <v>534</v>
      </c>
      <c r="AY1086" s="218">
        <v>10000007</v>
      </c>
      <c r="AZ1086" s="218">
        <v>77005205</v>
      </c>
      <c r="BA1086" s="219" t="s">
        <v>586</v>
      </c>
      <c r="BB1086" s="222" t="s">
        <v>2344</v>
      </c>
      <c r="BC1086" s="223">
        <v>0</v>
      </c>
      <c r="BD1086" s="223">
        <v>1</v>
      </c>
      <c r="BE1086" s="228" t="s">
        <v>2345</v>
      </c>
      <c r="BF1086" s="228" t="s">
        <v>2346</v>
      </c>
      <c r="BG1086" s="222">
        <v>0</v>
      </c>
      <c r="BH1086" s="222">
        <v>0</v>
      </c>
      <c r="BI1086" s="222">
        <v>0</v>
      </c>
      <c r="BJ1086" s="222">
        <v>0</v>
      </c>
      <c r="BK1086" s="222">
        <v>0</v>
      </c>
      <c r="BL1086" s="222">
        <v>0</v>
      </c>
      <c r="BM1086" s="221">
        <v>0</v>
      </c>
      <c r="BN1086" s="224">
        <v>0</v>
      </c>
      <c r="BO1086" s="224">
        <v>0</v>
      </c>
      <c r="BP1086" s="224">
        <v>0</v>
      </c>
      <c r="BQ1086" s="224">
        <v>0</v>
      </c>
      <c r="BR1086" s="224">
        <v>0</v>
      </c>
      <c r="BS1086" s="224">
        <v>0</v>
      </c>
      <c r="BT1086" s="224">
        <v>0</v>
      </c>
      <c r="BU1086" s="224">
        <v>0</v>
      </c>
      <c r="BV1086" s="47"/>
      <c r="BW1086" s="47"/>
    </row>
    <row r="1087" spans="1:75" s="3" customFormat="1" ht="19.5" customHeight="1">
      <c r="A1087" s="217"/>
      <c r="B1087" s="217"/>
      <c r="C1087" s="218">
        <v>64014603</v>
      </c>
      <c r="D1087" s="219" t="s">
        <v>2342</v>
      </c>
      <c r="E1087" s="219" t="s">
        <v>2343</v>
      </c>
      <c r="F1087" s="218">
        <v>1</v>
      </c>
      <c r="G1087" s="222">
        <v>0</v>
      </c>
      <c r="H1087" s="218">
        <v>0</v>
      </c>
      <c r="I1087" s="223">
        <v>0</v>
      </c>
      <c r="J1087" s="218">
        <v>1</v>
      </c>
      <c r="K1087" s="218">
        <v>0</v>
      </c>
      <c r="L1087" s="218">
        <v>0</v>
      </c>
      <c r="M1087" s="222">
        <v>0</v>
      </c>
      <c r="N1087" s="222">
        <v>0</v>
      </c>
      <c r="O1087" s="222">
        <v>2</v>
      </c>
      <c r="P1087" s="222">
        <v>16</v>
      </c>
      <c r="Q1087" s="222">
        <v>1</v>
      </c>
      <c r="R1087" s="222">
        <v>0</v>
      </c>
      <c r="S1087" s="224">
        <v>0</v>
      </c>
      <c r="T1087" s="222">
        <v>0</v>
      </c>
      <c r="U1087" s="222">
        <v>1</v>
      </c>
      <c r="V1087" s="222">
        <v>2</v>
      </c>
      <c r="W1087" s="222">
        <v>0</v>
      </c>
      <c r="X1087" s="222">
        <v>1.5</v>
      </c>
      <c r="Y1087" s="12">
        <v>0</v>
      </c>
      <c r="Z1087" s="222">
        <v>0</v>
      </c>
      <c r="AA1087" s="222">
        <v>0</v>
      </c>
      <c r="AB1087" s="222">
        <v>0</v>
      </c>
      <c r="AC1087" s="222">
        <v>0</v>
      </c>
      <c r="AD1087" s="222">
        <v>0</v>
      </c>
      <c r="AE1087" s="222">
        <v>1</v>
      </c>
      <c r="AF1087" s="222">
        <v>0</v>
      </c>
      <c r="AG1087" s="222">
        <v>1</v>
      </c>
      <c r="AH1087" s="222">
        <v>2</v>
      </c>
      <c r="AI1087" s="224">
        <v>0</v>
      </c>
      <c r="AJ1087" s="224">
        <v>2</v>
      </c>
      <c r="AK1087" s="224">
        <v>0</v>
      </c>
      <c r="AL1087" s="224">
        <v>2</v>
      </c>
      <c r="AM1087" s="222">
        <v>0</v>
      </c>
      <c r="AN1087" s="222">
        <v>0</v>
      </c>
      <c r="AO1087" s="222">
        <v>0</v>
      </c>
      <c r="AP1087" s="222">
        <v>0</v>
      </c>
      <c r="AQ1087" s="222">
        <v>5000</v>
      </c>
      <c r="AR1087" s="222">
        <v>0</v>
      </c>
      <c r="AS1087" s="222">
        <v>15</v>
      </c>
      <c r="AT1087" s="231">
        <v>0</v>
      </c>
      <c r="AU1087" s="356" t="s">
        <v>2291</v>
      </c>
      <c r="AV1087" s="225"/>
      <c r="AW1087" s="219" t="s">
        <v>198</v>
      </c>
      <c r="AX1087" s="222" t="s">
        <v>534</v>
      </c>
      <c r="AY1087" s="218">
        <v>10000007</v>
      </c>
      <c r="AZ1087" s="218">
        <v>77005205</v>
      </c>
      <c r="BA1087" s="219" t="s">
        <v>586</v>
      </c>
      <c r="BB1087" s="222" t="s">
        <v>2344</v>
      </c>
      <c r="BC1087" s="223">
        <v>0</v>
      </c>
      <c r="BD1087" s="223">
        <v>1</v>
      </c>
      <c r="BE1087" s="228" t="s">
        <v>2345</v>
      </c>
      <c r="BF1087" s="228" t="s">
        <v>2346</v>
      </c>
      <c r="BG1087" s="222">
        <v>0</v>
      </c>
      <c r="BH1087" s="222">
        <v>0</v>
      </c>
      <c r="BI1087" s="222">
        <v>0</v>
      </c>
      <c r="BJ1087" s="222">
        <v>0</v>
      </c>
      <c r="BK1087" s="222">
        <v>0</v>
      </c>
      <c r="BL1087" s="222">
        <v>0</v>
      </c>
      <c r="BM1087" s="221">
        <v>0</v>
      </c>
      <c r="BN1087" s="224">
        <v>0</v>
      </c>
      <c r="BO1087" s="224">
        <v>0</v>
      </c>
      <c r="BP1087" s="224">
        <v>0</v>
      </c>
      <c r="BQ1087" s="224">
        <v>0</v>
      </c>
      <c r="BR1087" s="224">
        <v>0</v>
      </c>
      <c r="BS1087" s="224">
        <v>0</v>
      </c>
      <c r="BT1087" s="224">
        <v>0</v>
      </c>
      <c r="BU1087" s="224">
        <v>0</v>
      </c>
      <c r="BV1087" s="47"/>
      <c r="BW1087" s="47"/>
    </row>
    <row r="1088" spans="1:75" s="3" customFormat="1" ht="19.5" customHeight="1">
      <c r="A1088" s="217"/>
      <c r="B1088" s="217"/>
      <c r="C1088" s="218">
        <v>64014604</v>
      </c>
      <c r="D1088" s="219" t="s">
        <v>2342</v>
      </c>
      <c r="E1088" s="219" t="s">
        <v>2343</v>
      </c>
      <c r="F1088" s="218">
        <v>1</v>
      </c>
      <c r="G1088" s="222">
        <v>0</v>
      </c>
      <c r="H1088" s="218">
        <v>0</v>
      </c>
      <c r="I1088" s="223">
        <v>0</v>
      </c>
      <c r="J1088" s="218">
        <v>1</v>
      </c>
      <c r="K1088" s="218">
        <v>0</v>
      </c>
      <c r="L1088" s="218">
        <v>0</v>
      </c>
      <c r="M1088" s="222">
        <v>0</v>
      </c>
      <c r="N1088" s="222">
        <v>0</v>
      </c>
      <c r="O1088" s="222">
        <v>2</v>
      </c>
      <c r="P1088" s="222">
        <v>16</v>
      </c>
      <c r="Q1088" s="222">
        <v>1</v>
      </c>
      <c r="R1088" s="222">
        <v>0</v>
      </c>
      <c r="S1088" s="224">
        <v>0</v>
      </c>
      <c r="T1088" s="222">
        <v>0</v>
      </c>
      <c r="U1088" s="222">
        <v>1</v>
      </c>
      <c r="V1088" s="222">
        <v>2</v>
      </c>
      <c r="W1088" s="222">
        <v>0</v>
      </c>
      <c r="X1088" s="222">
        <v>1.5</v>
      </c>
      <c r="Y1088" s="12">
        <v>0</v>
      </c>
      <c r="Z1088" s="222">
        <v>0</v>
      </c>
      <c r="AA1088" s="222">
        <v>0</v>
      </c>
      <c r="AB1088" s="222">
        <v>0</v>
      </c>
      <c r="AC1088" s="222">
        <v>0</v>
      </c>
      <c r="AD1088" s="222">
        <v>0</v>
      </c>
      <c r="AE1088" s="222">
        <v>1</v>
      </c>
      <c r="AF1088" s="222">
        <v>0</v>
      </c>
      <c r="AG1088" s="222">
        <v>1</v>
      </c>
      <c r="AH1088" s="222">
        <v>2</v>
      </c>
      <c r="AI1088" s="224">
        <v>0</v>
      </c>
      <c r="AJ1088" s="224">
        <v>2</v>
      </c>
      <c r="AK1088" s="224">
        <v>0</v>
      </c>
      <c r="AL1088" s="224">
        <v>2</v>
      </c>
      <c r="AM1088" s="222">
        <v>0</v>
      </c>
      <c r="AN1088" s="222">
        <v>0</v>
      </c>
      <c r="AO1088" s="222">
        <v>0</v>
      </c>
      <c r="AP1088" s="222">
        <v>0</v>
      </c>
      <c r="AQ1088" s="222">
        <v>5000</v>
      </c>
      <c r="AR1088" s="222">
        <v>0</v>
      </c>
      <c r="AS1088" s="222">
        <v>15</v>
      </c>
      <c r="AT1088" s="231">
        <v>0</v>
      </c>
      <c r="AU1088" s="356" t="s">
        <v>2291</v>
      </c>
      <c r="AV1088" s="225"/>
      <c r="AW1088" s="219" t="s">
        <v>198</v>
      </c>
      <c r="AX1088" s="222" t="s">
        <v>534</v>
      </c>
      <c r="AY1088" s="218">
        <v>10000007</v>
      </c>
      <c r="AZ1088" s="218">
        <v>77005205</v>
      </c>
      <c r="BA1088" s="219" t="s">
        <v>586</v>
      </c>
      <c r="BB1088" s="222" t="s">
        <v>2344</v>
      </c>
      <c r="BC1088" s="223">
        <v>0</v>
      </c>
      <c r="BD1088" s="223">
        <v>1</v>
      </c>
      <c r="BE1088" s="228" t="s">
        <v>2345</v>
      </c>
      <c r="BF1088" s="228" t="s">
        <v>2346</v>
      </c>
      <c r="BG1088" s="222">
        <v>0</v>
      </c>
      <c r="BH1088" s="222">
        <v>0</v>
      </c>
      <c r="BI1088" s="222">
        <v>0</v>
      </c>
      <c r="BJ1088" s="222">
        <v>0</v>
      </c>
      <c r="BK1088" s="222">
        <v>0</v>
      </c>
      <c r="BL1088" s="222">
        <v>0</v>
      </c>
      <c r="BM1088" s="221">
        <v>0</v>
      </c>
      <c r="BN1088" s="224">
        <v>0</v>
      </c>
      <c r="BO1088" s="224">
        <v>0</v>
      </c>
      <c r="BP1088" s="224">
        <v>0</v>
      </c>
      <c r="BQ1088" s="224">
        <v>0</v>
      </c>
      <c r="BR1088" s="224">
        <v>0</v>
      </c>
      <c r="BS1088" s="224">
        <v>0</v>
      </c>
      <c r="BT1088" s="224">
        <v>0</v>
      </c>
      <c r="BU1088" s="224">
        <v>0</v>
      </c>
      <c r="BV1088" s="47"/>
      <c r="BW1088" s="47"/>
    </row>
    <row r="1089" spans="1:75" s="3" customFormat="1" ht="19.5" customHeight="1">
      <c r="A1089" s="217"/>
      <c r="B1089" s="217"/>
      <c r="C1089" s="218">
        <v>64014605</v>
      </c>
      <c r="D1089" s="219" t="s">
        <v>2342</v>
      </c>
      <c r="E1089" s="219" t="s">
        <v>2343</v>
      </c>
      <c r="F1089" s="218">
        <v>1</v>
      </c>
      <c r="G1089" s="222">
        <v>0</v>
      </c>
      <c r="H1089" s="218">
        <v>0</v>
      </c>
      <c r="I1089" s="223">
        <v>0</v>
      </c>
      <c r="J1089" s="218">
        <v>1</v>
      </c>
      <c r="K1089" s="218">
        <v>0</v>
      </c>
      <c r="L1089" s="218">
        <v>0</v>
      </c>
      <c r="M1089" s="222">
        <v>0</v>
      </c>
      <c r="N1089" s="222">
        <v>0</v>
      </c>
      <c r="O1089" s="222">
        <v>2</v>
      </c>
      <c r="P1089" s="222">
        <v>16</v>
      </c>
      <c r="Q1089" s="222">
        <v>1</v>
      </c>
      <c r="R1089" s="222">
        <v>0</v>
      </c>
      <c r="S1089" s="224">
        <v>0</v>
      </c>
      <c r="T1089" s="222">
        <v>0</v>
      </c>
      <c r="U1089" s="222">
        <v>1</v>
      </c>
      <c r="V1089" s="222">
        <v>2</v>
      </c>
      <c r="W1089" s="222">
        <v>0</v>
      </c>
      <c r="X1089" s="222">
        <v>1.5</v>
      </c>
      <c r="Y1089" s="12">
        <v>0</v>
      </c>
      <c r="Z1089" s="222">
        <v>0</v>
      </c>
      <c r="AA1089" s="222">
        <v>0</v>
      </c>
      <c r="AB1089" s="222">
        <v>0</v>
      </c>
      <c r="AC1089" s="222">
        <v>0</v>
      </c>
      <c r="AD1089" s="222">
        <v>0</v>
      </c>
      <c r="AE1089" s="222">
        <v>1</v>
      </c>
      <c r="AF1089" s="222">
        <v>0</v>
      </c>
      <c r="AG1089" s="222">
        <v>1</v>
      </c>
      <c r="AH1089" s="222">
        <v>2</v>
      </c>
      <c r="AI1089" s="224">
        <v>0</v>
      </c>
      <c r="AJ1089" s="224">
        <v>2</v>
      </c>
      <c r="AK1089" s="224">
        <v>0</v>
      </c>
      <c r="AL1089" s="224">
        <v>2</v>
      </c>
      <c r="AM1089" s="222">
        <v>0</v>
      </c>
      <c r="AN1089" s="222">
        <v>0</v>
      </c>
      <c r="AO1089" s="222">
        <v>0</v>
      </c>
      <c r="AP1089" s="222">
        <v>0</v>
      </c>
      <c r="AQ1089" s="222">
        <v>5000</v>
      </c>
      <c r="AR1089" s="222">
        <v>0</v>
      </c>
      <c r="AS1089" s="222">
        <v>15</v>
      </c>
      <c r="AT1089" s="231">
        <v>0</v>
      </c>
      <c r="AU1089" s="356" t="s">
        <v>2291</v>
      </c>
      <c r="AV1089" s="225"/>
      <c r="AW1089" s="219" t="s">
        <v>198</v>
      </c>
      <c r="AX1089" s="222" t="s">
        <v>534</v>
      </c>
      <c r="AY1089" s="218">
        <v>10000007</v>
      </c>
      <c r="AZ1089" s="218">
        <v>77005205</v>
      </c>
      <c r="BA1089" s="219" t="s">
        <v>586</v>
      </c>
      <c r="BB1089" s="222" t="s">
        <v>2344</v>
      </c>
      <c r="BC1089" s="223">
        <v>0</v>
      </c>
      <c r="BD1089" s="223">
        <v>1</v>
      </c>
      <c r="BE1089" s="228" t="s">
        <v>2345</v>
      </c>
      <c r="BF1089" s="228" t="s">
        <v>2346</v>
      </c>
      <c r="BG1089" s="222">
        <v>0</v>
      </c>
      <c r="BH1089" s="222">
        <v>0</v>
      </c>
      <c r="BI1089" s="222">
        <v>0</v>
      </c>
      <c r="BJ1089" s="222">
        <v>0</v>
      </c>
      <c r="BK1089" s="222">
        <v>0</v>
      </c>
      <c r="BL1089" s="222">
        <v>0</v>
      </c>
      <c r="BM1089" s="221">
        <v>0</v>
      </c>
      <c r="BN1089" s="224">
        <v>0</v>
      </c>
      <c r="BO1089" s="224">
        <v>0</v>
      </c>
      <c r="BP1089" s="224">
        <v>0</v>
      </c>
      <c r="BQ1089" s="224">
        <v>0</v>
      </c>
      <c r="BR1089" s="224">
        <v>0</v>
      </c>
      <c r="BS1089" s="224">
        <v>0</v>
      </c>
      <c r="BT1089" s="224">
        <v>0</v>
      </c>
      <c r="BU1089" s="224">
        <v>0</v>
      </c>
      <c r="BV1089" s="47"/>
      <c r="BW1089" s="47"/>
    </row>
    <row r="1090" spans="1:75" s="3" customFormat="1" ht="19.5" customHeight="1">
      <c r="A1090" s="217"/>
      <c r="B1090" s="217"/>
      <c r="C1090" s="218">
        <v>64014606</v>
      </c>
      <c r="D1090" s="219" t="s">
        <v>2342</v>
      </c>
      <c r="E1090" s="219" t="s">
        <v>2343</v>
      </c>
      <c r="F1090" s="218">
        <v>1</v>
      </c>
      <c r="G1090" s="222">
        <v>0</v>
      </c>
      <c r="H1090" s="218">
        <v>0</v>
      </c>
      <c r="I1090" s="223">
        <v>0</v>
      </c>
      <c r="J1090" s="218">
        <v>1</v>
      </c>
      <c r="K1090" s="218">
        <v>0</v>
      </c>
      <c r="L1090" s="218">
        <v>0</v>
      </c>
      <c r="M1090" s="222">
        <v>0</v>
      </c>
      <c r="N1090" s="222">
        <v>0</v>
      </c>
      <c r="O1090" s="222">
        <v>2</v>
      </c>
      <c r="P1090" s="222">
        <v>16</v>
      </c>
      <c r="Q1090" s="222">
        <v>1</v>
      </c>
      <c r="R1090" s="222">
        <v>0</v>
      </c>
      <c r="S1090" s="224">
        <v>0</v>
      </c>
      <c r="T1090" s="222">
        <v>0</v>
      </c>
      <c r="U1090" s="222">
        <v>1</v>
      </c>
      <c r="V1090" s="222">
        <v>2</v>
      </c>
      <c r="W1090" s="222">
        <v>0</v>
      </c>
      <c r="X1090" s="222">
        <v>1.5</v>
      </c>
      <c r="Y1090" s="12">
        <v>0</v>
      </c>
      <c r="Z1090" s="222">
        <v>0</v>
      </c>
      <c r="AA1090" s="222">
        <v>0</v>
      </c>
      <c r="AB1090" s="222">
        <v>0</v>
      </c>
      <c r="AC1090" s="222">
        <v>0</v>
      </c>
      <c r="AD1090" s="222">
        <v>0</v>
      </c>
      <c r="AE1090" s="222">
        <v>1</v>
      </c>
      <c r="AF1090" s="222">
        <v>0</v>
      </c>
      <c r="AG1090" s="222">
        <v>1</v>
      </c>
      <c r="AH1090" s="222">
        <v>2</v>
      </c>
      <c r="AI1090" s="224">
        <v>0</v>
      </c>
      <c r="AJ1090" s="224">
        <v>2</v>
      </c>
      <c r="AK1090" s="224">
        <v>0</v>
      </c>
      <c r="AL1090" s="224">
        <v>2</v>
      </c>
      <c r="AM1090" s="222">
        <v>0</v>
      </c>
      <c r="AN1090" s="222">
        <v>0</v>
      </c>
      <c r="AO1090" s="222">
        <v>0</v>
      </c>
      <c r="AP1090" s="222">
        <v>0</v>
      </c>
      <c r="AQ1090" s="222">
        <v>5000</v>
      </c>
      <c r="AR1090" s="222">
        <v>0</v>
      </c>
      <c r="AS1090" s="222">
        <v>15</v>
      </c>
      <c r="AT1090" s="231">
        <v>0</v>
      </c>
      <c r="AU1090" s="356" t="s">
        <v>2291</v>
      </c>
      <c r="AV1090" s="225"/>
      <c r="AW1090" s="219" t="s">
        <v>198</v>
      </c>
      <c r="AX1090" s="222" t="s">
        <v>534</v>
      </c>
      <c r="AY1090" s="218">
        <v>10000007</v>
      </c>
      <c r="AZ1090" s="218">
        <v>77005205</v>
      </c>
      <c r="BA1090" s="219" t="s">
        <v>586</v>
      </c>
      <c r="BB1090" s="222" t="s">
        <v>2344</v>
      </c>
      <c r="BC1090" s="223">
        <v>0</v>
      </c>
      <c r="BD1090" s="223">
        <v>1</v>
      </c>
      <c r="BE1090" s="228" t="s">
        <v>2345</v>
      </c>
      <c r="BF1090" s="228" t="s">
        <v>2346</v>
      </c>
      <c r="BG1090" s="222">
        <v>0</v>
      </c>
      <c r="BH1090" s="222">
        <v>0</v>
      </c>
      <c r="BI1090" s="222">
        <v>0</v>
      </c>
      <c r="BJ1090" s="222">
        <v>0</v>
      </c>
      <c r="BK1090" s="222">
        <v>0</v>
      </c>
      <c r="BL1090" s="222">
        <v>0</v>
      </c>
      <c r="BM1090" s="221">
        <v>0</v>
      </c>
      <c r="BN1090" s="224">
        <v>0</v>
      </c>
      <c r="BO1090" s="224">
        <v>0</v>
      </c>
      <c r="BP1090" s="224">
        <v>0</v>
      </c>
      <c r="BQ1090" s="224">
        <v>0</v>
      </c>
      <c r="BR1090" s="224">
        <v>0</v>
      </c>
      <c r="BS1090" s="224">
        <v>0</v>
      </c>
      <c r="BT1090" s="224">
        <v>0</v>
      </c>
      <c r="BU1090" s="224">
        <v>0</v>
      </c>
      <c r="BV1090" s="47"/>
      <c r="BW1090" s="47"/>
    </row>
    <row r="1091" spans="1:75" s="3" customFormat="1" ht="19.5" customHeight="1">
      <c r="A1091" s="217"/>
      <c r="B1091" s="217"/>
      <c r="C1091" s="218">
        <v>64014701</v>
      </c>
      <c r="D1091" s="219" t="s">
        <v>2347</v>
      </c>
      <c r="E1091" s="219" t="s">
        <v>2348</v>
      </c>
      <c r="F1091" s="218">
        <v>1</v>
      </c>
      <c r="G1091" s="218">
        <v>0</v>
      </c>
      <c r="H1091" s="218">
        <v>0</v>
      </c>
      <c r="I1091" s="223">
        <v>0</v>
      </c>
      <c r="J1091" s="218">
        <v>1</v>
      </c>
      <c r="K1091" s="218">
        <v>0</v>
      </c>
      <c r="L1091" s="218">
        <v>0</v>
      </c>
      <c r="M1091" s="222">
        <v>0</v>
      </c>
      <c r="N1091" s="222">
        <v>0</v>
      </c>
      <c r="O1091" s="222">
        <v>2</v>
      </c>
      <c r="P1091" s="222">
        <v>3</v>
      </c>
      <c r="Q1091" s="222">
        <v>0.2</v>
      </c>
      <c r="R1091" s="222">
        <v>0</v>
      </c>
      <c r="S1091" s="224">
        <v>0</v>
      </c>
      <c r="T1091" s="222">
        <v>0</v>
      </c>
      <c r="U1091" s="222">
        <v>1</v>
      </c>
      <c r="V1091" s="222">
        <v>2</v>
      </c>
      <c r="W1091" s="222">
        <v>0</v>
      </c>
      <c r="X1091" s="222">
        <v>0.5</v>
      </c>
      <c r="Y1091" s="222">
        <v>0.5</v>
      </c>
      <c r="Z1091" s="222">
        <v>0</v>
      </c>
      <c r="AA1091" s="222">
        <v>1</v>
      </c>
      <c r="AB1091" s="222">
        <v>0</v>
      </c>
      <c r="AC1091" s="222">
        <v>0</v>
      </c>
      <c r="AD1091" s="222">
        <v>1</v>
      </c>
      <c r="AE1091" s="222">
        <v>1</v>
      </c>
      <c r="AF1091" s="222">
        <v>12</v>
      </c>
      <c r="AG1091" s="222">
        <v>1</v>
      </c>
      <c r="AH1091" s="222">
        <v>3</v>
      </c>
      <c r="AI1091" s="224">
        <v>1</v>
      </c>
      <c r="AJ1091" s="224">
        <v>1</v>
      </c>
      <c r="AK1091" s="224">
        <v>0</v>
      </c>
      <c r="AL1091" s="224">
        <v>3</v>
      </c>
      <c r="AM1091" s="222">
        <v>0</v>
      </c>
      <c r="AN1091" s="222">
        <v>0</v>
      </c>
      <c r="AO1091" s="222">
        <v>0</v>
      </c>
      <c r="AP1091" s="222">
        <v>0</v>
      </c>
      <c r="AQ1091" s="222">
        <v>2000</v>
      </c>
      <c r="AR1091" s="222">
        <v>0.3</v>
      </c>
      <c r="AS1091" s="222">
        <v>0</v>
      </c>
      <c r="AT1091" s="224">
        <v>0</v>
      </c>
      <c r="AU1091" s="356" t="s">
        <v>2349</v>
      </c>
      <c r="AV1091" s="225"/>
      <c r="AW1091" s="226" t="s">
        <v>198</v>
      </c>
      <c r="AX1091" s="222" t="s">
        <v>534</v>
      </c>
      <c r="AY1091" s="218">
        <v>0</v>
      </c>
      <c r="AZ1091" s="218">
        <v>77005202</v>
      </c>
      <c r="BA1091" s="219" t="s">
        <v>200</v>
      </c>
      <c r="BB1091" s="222">
        <v>0</v>
      </c>
      <c r="BC1091" s="223">
        <v>0</v>
      </c>
      <c r="BD1091" s="223">
        <v>0</v>
      </c>
      <c r="BE1091" s="228" t="s">
        <v>2247</v>
      </c>
      <c r="BF1091" s="228" t="s">
        <v>2248</v>
      </c>
      <c r="BG1091" s="222">
        <v>0</v>
      </c>
      <c r="BH1091" s="222">
        <v>0</v>
      </c>
      <c r="BI1091" s="222">
        <v>0</v>
      </c>
      <c r="BJ1091" s="222">
        <v>0</v>
      </c>
      <c r="BK1091" s="222">
        <v>0</v>
      </c>
      <c r="BL1091" s="222">
        <v>0</v>
      </c>
      <c r="BM1091" s="221">
        <v>0</v>
      </c>
      <c r="BN1091" s="224">
        <v>0</v>
      </c>
      <c r="BO1091" s="224">
        <v>0</v>
      </c>
      <c r="BP1091" s="224">
        <v>0</v>
      </c>
      <c r="BQ1091" s="224">
        <v>0</v>
      </c>
      <c r="BR1091" s="224">
        <v>0</v>
      </c>
      <c r="BS1091" s="224">
        <v>0</v>
      </c>
      <c r="BT1091" s="224">
        <v>0</v>
      </c>
      <c r="BU1091" s="224">
        <v>0</v>
      </c>
      <c r="BV1091" s="47"/>
      <c r="BW1091" s="47"/>
    </row>
    <row r="1092" spans="1:75" s="3" customFormat="1" ht="19.5" customHeight="1">
      <c r="A1092" s="217"/>
      <c r="B1092" s="217"/>
      <c r="C1092" s="218">
        <v>64014702</v>
      </c>
      <c r="D1092" s="219" t="s">
        <v>2347</v>
      </c>
      <c r="E1092" s="219" t="s">
        <v>2348</v>
      </c>
      <c r="F1092" s="218">
        <v>1</v>
      </c>
      <c r="G1092" s="218">
        <v>0</v>
      </c>
      <c r="H1092" s="218">
        <v>0</v>
      </c>
      <c r="I1092" s="223">
        <v>0</v>
      </c>
      <c r="J1092" s="218">
        <v>1</v>
      </c>
      <c r="K1092" s="218">
        <v>0</v>
      </c>
      <c r="L1092" s="218">
        <v>0</v>
      </c>
      <c r="M1092" s="222">
        <v>0</v>
      </c>
      <c r="N1092" s="222">
        <v>0</v>
      </c>
      <c r="O1092" s="222">
        <v>2</v>
      </c>
      <c r="P1092" s="222">
        <v>3</v>
      </c>
      <c r="Q1092" s="222">
        <v>0.2</v>
      </c>
      <c r="R1092" s="222">
        <v>0</v>
      </c>
      <c r="S1092" s="224">
        <v>0</v>
      </c>
      <c r="T1092" s="222">
        <v>0</v>
      </c>
      <c r="U1092" s="222">
        <v>1</v>
      </c>
      <c r="V1092" s="222">
        <v>2</v>
      </c>
      <c r="W1092" s="222">
        <v>0</v>
      </c>
      <c r="X1092" s="222">
        <v>0.5</v>
      </c>
      <c r="Y1092" s="222">
        <v>0.5</v>
      </c>
      <c r="Z1092" s="222">
        <v>0</v>
      </c>
      <c r="AA1092" s="222">
        <v>1</v>
      </c>
      <c r="AB1092" s="222">
        <v>0</v>
      </c>
      <c r="AC1092" s="222">
        <v>0</v>
      </c>
      <c r="AD1092" s="222">
        <v>1</v>
      </c>
      <c r="AE1092" s="222">
        <v>1</v>
      </c>
      <c r="AF1092" s="222">
        <v>12</v>
      </c>
      <c r="AG1092" s="222">
        <v>1</v>
      </c>
      <c r="AH1092" s="222">
        <v>3</v>
      </c>
      <c r="AI1092" s="224">
        <v>1</v>
      </c>
      <c r="AJ1092" s="224">
        <v>1</v>
      </c>
      <c r="AK1092" s="224">
        <v>0</v>
      </c>
      <c r="AL1092" s="224">
        <v>3</v>
      </c>
      <c r="AM1092" s="222">
        <v>0</v>
      </c>
      <c r="AN1092" s="222">
        <v>0</v>
      </c>
      <c r="AO1092" s="222">
        <v>0</v>
      </c>
      <c r="AP1092" s="222">
        <v>0</v>
      </c>
      <c r="AQ1092" s="222">
        <v>2000</v>
      </c>
      <c r="AR1092" s="222">
        <v>0.3</v>
      </c>
      <c r="AS1092" s="222">
        <v>0</v>
      </c>
      <c r="AT1092" s="224">
        <v>0</v>
      </c>
      <c r="AU1092" s="356" t="s">
        <v>2349</v>
      </c>
      <c r="AV1092" s="225"/>
      <c r="AW1092" s="226" t="s">
        <v>198</v>
      </c>
      <c r="AX1092" s="222" t="s">
        <v>534</v>
      </c>
      <c r="AY1092" s="218">
        <v>0</v>
      </c>
      <c r="AZ1092" s="218">
        <v>77005202</v>
      </c>
      <c r="BA1092" s="219" t="s">
        <v>200</v>
      </c>
      <c r="BB1092" s="222">
        <v>0</v>
      </c>
      <c r="BC1092" s="223">
        <v>0</v>
      </c>
      <c r="BD1092" s="223">
        <v>0</v>
      </c>
      <c r="BE1092" s="228" t="s">
        <v>2247</v>
      </c>
      <c r="BF1092" s="228" t="s">
        <v>2248</v>
      </c>
      <c r="BG1092" s="222">
        <v>0</v>
      </c>
      <c r="BH1092" s="222">
        <v>0</v>
      </c>
      <c r="BI1092" s="222">
        <v>0</v>
      </c>
      <c r="BJ1092" s="222">
        <v>0</v>
      </c>
      <c r="BK1092" s="222">
        <v>0</v>
      </c>
      <c r="BL1092" s="222">
        <v>0</v>
      </c>
      <c r="BM1092" s="221">
        <v>0</v>
      </c>
      <c r="BN1092" s="224">
        <v>0</v>
      </c>
      <c r="BO1092" s="224">
        <v>0</v>
      </c>
      <c r="BP1092" s="224">
        <v>0</v>
      </c>
      <c r="BQ1092" s="224">
        <v>0</v>
      </c>
      <c r="BR1092" s="224">
        <v>0</v>
      </c>
      <c r="BS1092" s="224">
        <v>0</v>
      </c>
      <c r="BT1092" s="224">
        <v>0</v>
      </c>
      <c r="BU1092" s="224">
        <v>0</v>
      </c>
      <c r="BV1092" s="47"/>
      <c r="BW1092" s="47"/>
    </row>
    <row r="1093" spans="1:75" s="3" customFormat="1" ht="19.5" customHeight="1">
      <c r="A1093" s="217"/>
      <c r="B1093" s="217"/>
      <c r="C1093" s="218">
        <v>64014703</v>
      </c>
      <c r="D1093" s="219" t="s">
        <v>2347</v>
      </c>
      <c r="E1093" s="219" t="s">
        <v>2348</v>
      </c>
      <c r="F1093" s="218">
        <v>1</v>
      </c>
      <c r="G1093" s="218">
        <v>0</v>
      </c>
      <c r="H1093" s="218">
        <v>0</v>
      </c>
      <c r="I1093" s="223">
        <v>0</v>
      </c>
      <c r="J1093" s="218">
        <v>1</v>
      </c>
      <c r="K1093" s="218">
        <v>0</v>
      </c>
      <c r="L1093" s="218">
        <v>0</v>
      </c>
      <c r="M1093" s="222">
        <v>0</v>
      </c>
      <c r="N1093" s="222">
        <v>0</v>
      </c>
      <c r="O1093" s="222">
        <v>2</v>
      </c>
      <c r="P1093" s="222">
        <v>3</v>
      </c>
      <c r="Q1093" s="222">
        <v>0.2</v>
      </c>
      <c r="R1093" s="222">
        <v>0</v>
      </c>
      <c r="S1093" s="224">
        <v>0</v>
      </c>
      <c r="T1093" s="222">
        <v>0</v>
      </c>
      <c r="U1093" s="222">
        <v>1</v>
      </c>
      <c r="V1093" s="222">
        <v>2</v>
      </c>
      <c r="W1093" s="222">
        <v>0</v>
      </c>
      <c r="X1093" s="222">
        <v>0.55000000000000004</v>
      </c>
      <c r="Y1093" s="222">
        <v>0.55000000000000004</v>
      </c>
      <c r="Z1093" s="222">
        <v>0</v>
      </c>
      <c r="AA1093" s="222">
        <v>1</v>
      </c>
      <c r="AB1093" s="222">
        <v>0</v>
      </c>
      <c r="AC1093" s="222">
        <v>0</v>
      </c>
      <c r="AD1093" s="222">
        <v>1</v>
      </c>
      <c r="AE1093" s="222">
        <v>1</v>
      </c>
      <c r="AF1093" s="222">
        <v>12</v>
      </c>
      <c r="AG1093" s="222">
        <v>1</v>
      </c>
      <c r="AH1093" s="222">
        <v>3</v>
      </c>
      <c r="AI1093" s="224">
        <v>1</v>
      </c>
      <c r="AJ1093" s="224">
        <v>1</v>
      </c>
      <c r="AK1093" s="224">
        <v>0</v>
      </c>
      <c r="AL1093" s="224">
        <v>3</v>
      </c>
      <c r="AM1093" s="222">
        <v>0</v>
      </c>
      <c r="AN1093" s="222">
        <v>0</v>
      </c>
      <c r="AO1093" s="222">
        <v>0</v>
      </c>
      <c r="AP1093" s="222">
        <v>0</v>
      </c>
      <c r="AQ1093" s="222">
        <v>2000</v>
      </c>
      <c r="AR1093" s="222">
        <v>0.3</v>
      </c>
      <c r="AS1093" s="222">
        <v>0</v>
      </c>
      <c r="AT1093" s="224">
        <v>0</v>
      </c>
      <c r="AU1093" s="356" t="s">
        <v>2349</v>
      </c>
      <c r="AV1093" s="225"/>
      <c r="AW1093" s="226" t="s">
        <v>198</v>
      </c>
      <c r="AX1093" s="222" t="s">
        <v>534</v>
      </c>
      <c r="AY1093" s="218">
        <v>0</v>
      </c>
      <c r="AZ1093" s="218">
        <v>77005202</v>
      </c>
      <c r="BA1093" s="219" t="s">
        <v>200</v>
      </c>
      <c r="BB1093" s="222">
        <v>0</v>
      </c>
      <c r="BC1093" s="223">
        <v>0</v>
      </c>
      <c r="BD1093" s="223">
        <v>0</v>
      </c>
      <c r="BE1093" s="228" t="s">
        <v>2247</v>
      </c>
      <c r="BF1093" s="228" t="s">
        <v>2248</v>
      </c>
      <c r="BG1093" s="222">
        <v>0</v>
      </c>
      <c r="BH1093" s="222">
        <v>0</v>
      </c>
      <c r="BI1093" s="222">
        <v>0</v>
      </c>
      <c r="BJ1093" s="222">
        <v>0</v>
      </c>
      <c r="BK1093" s="222">
        <v>0</v>
      </c>
      <c r="BL1093" s="222">
        <v>0</v>
      </c>
      <c r="BM1093" s="221">
        <v>0</v>
      </c>
      <c r="BN1093" s="224">
        <v>0</v>
      </c>
      <c r="BO1093" s="224">
        <v>0</v>
      </c>
      <c r="BP1093" s="224">
        <v>0</v>
      </c>
      <c r="BQ1093" s="224">
        <v>0</v>
      </c>
      <c r="BR1093" s="224">
        <v>0</v>
      </c>
      <c r="BS1093" s="224">
        <v>0</v>
      </c>
      <c r="BT1093" s="224">
        <v>0</v>
      </c>
      <c r="BU1093" s="224">
        <v>0</v>
      </c>
      <c r="BV1093" s="47"/>
      <c r="BW1093" s="47"/>
    </row>
    <row r="1094" spans="1:75" s="3" customFormat="1" ht="19.5" customHeight="1">
      <c r="A1094" s="217"/>
      <c r="B1094" s="217"/>
      <c r="C1094" s="218">
        <v>64014704</v>
      </c>
      <c r="D1094" s="219" t="s">
        <v>2347</v>
      </c>
      <c r="E1094" s="219" t="s">
        <v>2348</v>
      </c>
      <c r="F1094" s="218">
        <v>1</v>
      </c>
      <c r="G1094" s="218">
        <v>0</v>
      </c>
      <c r="H1094" s="218">
        <v>0</v>
      </c>
      <c r="I1094" s="223">
        <v>0</v>
      </c>
      <c r="J1094" s="218">
        <v>1</v>
      </c>
      <c r="K1094" s="218">
        <v>0</v>
      </c>
      <c r="L1094" s="218">
        <v>0</v>
      </c>
      <c r="M1094" s="222">
        <v>0</v>
      </c>
      <c r="N1094" s="222">
        <v>0</v>
      </c>
      <c r="O1094" s="222">
        <v>2</v>
      </c>
      <c r="P1094" s="222">
        <v>3</v>
      </c>
      <c r="Q1094" s="222">
        <v>0.2</v>
      </c>
      <c r="R1094" s="222">
        <v>0</v>
      </c>
      <c r="S1094" s="224">
        <v>0</v>
      </c>
      <c r="T1094" s="222">
        <v>0</v>
      </c>
      <c r="U1094" s="222">
        <v>1</v>
      </c>
      <c r="V1094" s="222">
        <v>2</v>
      </c>
      <c r="W1094" s="222">
        <v>0</v>
      </c>
      <c r="X1094" s="222">
        <v>0.6</v>
      </c>
      <c r="Y1094" s="222">
        <v>0.6</v>
      </c>
      <c r="Z1094" s="222">
        <v>0</v>
      </c>
      <c r="AA1094" s="222">
        <v>1</v>
      </c>
      <c r="AB1094" s="222">
        <v>0</v>
      </c>
      <c r="AC1094" s="222">
        <v>0</v>
      </c>
      <c r="AD1094" s="222">
        <v>1</v>
      </c>
      <c r="AE1094" s="222">
        <v>1</v>
      </c>
      <c r="AF1094" s="222">
        <v>12</v>
      </c>
      <c r="AG1094" s="222">
        <v>1</v>
      </c>
      <c r="AH1094" s="222">
        <v>3</v>
      </c>
      <c r="AI1094" s="224">
        <v>1</v>
      </c>
      <c r="AJ1094" s="224">
        <v>1</v>
      </c>
      <c r="AK1094" s="224">
        <v>0</v>
      </c>
      <c r="AL1094" s="224">
        <v>3</v>
      </c>
      <c r="AM1094" s="222">
        <v>0</v>
      </c>
      <c r="AN1094" s="222">
        <v>0</v>
      </c>
      <c r="AO1094" s="222">
        <v>0</v>
      </c>
      <c r="AP1094" s="222">
        <v>0</v>
      </c>
      <c r="AQ1094" s="222">
        <v>2000</v>
      </c>
      <c r="AR1094" s="222">
        <v>0.3</v>
      </c>
      <c r="AS1094" s="222">
        <v>0</v>
      </c>
      <c r="AT1094" s="224">
        <v>0</v>
      </c>
      <c r="AU1094" s="356" t="s">
        <v>2349</v>
      </c>
      <c r="AV1094" s="225"/>
      <c r="AW1094" s="226" t="s">
        <v>198</v>
      </c>
      <c r="AX1094" s="222" t="s">
        <v>534</v>
      </c>
      <c r="AY1094" s="218">
        <v>0</v>
      </c>
      <c r="AZ1094" s="218">
        <v>77005202</v>
      </c>
      <c r="BA1094" s="219" t="s">
        <v>200</v>
      </c>
      <c r="BB1094" s="222">
        <v>0</v>
      </c>
      <c r="BC1094" s="223">
        <v>0</v>
      </c>
      <c r="BD1094" s="223">
        <v>0</v>
      </c>
      <c r="BE1094" s="228" t="s">
        <v>2247</v>
      </c>
      <c r="BF1094" s="228" t="s">
        <v>2248</v>
      </c>
      <c r="BG1094" s="222">
        <v>0</v>
      </c>
      <c r="BH1094" s="222">
        <v>0</v>
      </c>
      <c r="BI1094" s="222">
        <v>0</v>
      </c>
      <c r="BJ1094" s="222">
        <v>0</v>
      </c>
      <c r="BK1094" s="222">
        <v>0</v>
      </c>
      <c r="BL1094" s="222">
        <v>0</v>
      </c>
      <c r="BM1094" s="221">
        <v>0</v>
      </c>
      <c r="BN1094" s="224">
        <v>0</v>
      </c>
      <c r="BO1094" s="224">
        <v>0</v>
      </c>
      <c r="BP1094" s="224">
        <v>0</v>
      </c>
      <c r="BQ1094" s="224">
        <v>0</v>
      </c>
      <c r="BR1094" s="224">
        <v>0</v>
      </c>
      <c r="BS1094" s="224">
        <v>0</v>
      </c>
      <c r="BT1094" s="224">
        <v>0</v>
      </c>
      <c r="BU1094" s="224">
        <v>0</v>
      </c>
      <c r="BV1094" s="47"/>
      <c r="BW1094" s="47"/>
    </row>
    <row r="1095" spans="1:75" s="3" customFormat="1" ht="19.5" customHeight="1">
      <c r="A1095" s="217"/>
      <c r="B1095" s="217"/>
      <c r="C1095" s="218">
        <v>64014705</v>
      </c>
      <c r="D1095" s="219" t="s">
        <v>2347</v>
      </c>
      <c r="E1095" s="219" t="s">
        <v>2348</v>
      </c>
      <c r="F1095" s="218">
        <v>1</v>
      </c>
      <c r="G1095" s="218">
        <v>0</v>
      </c>
      <c r="H1095" s="218">
        <v>0</v>
      </c>
      <c r="I1095" s="223">
        <v>0</v>
      </c>
      <c r="J1095" s="218">
        <v>1</v>
      </c>
      <c r="K1095" s="218">
        <v>0</v>
      </c>
      <c r="L1095" s="218">
        <v>0</v>
      </c>
      <c r="M1095" s="222">
        <v>0</v>
      </c>
      <c r="N1095" s="222">
        <v>0</v>
      </c>
      <c r="O1095" s="222">
        <v>2</v>
      </c>
      <c r="P1095" s="222">
        <v>3</v>
      </c>
      <c r="Q1095" s="222">
        <v>0.2</v>
      </c>
      <c r="R1095" s="222">
        <v>0</v>
      </c>
      <c r="S1095" s="224">
        <v>0</v>
      </c>
      <c r="T1095" s="222">
        <v>0</v>
      </c>
      <c r="U1095" s="222">
        <v>1</v>
      </c>
      <c r="V1095" s="222">
        <v>2</v>
      </c>
      <c r="W1095" s="222">
        <v>0</v>
      </c>
      <c r="X1095" s="222">
        <v>0.65</v>
      </c>
      <c r="Y1095" s="222">
        <v>0.65</v>
      </c>
      <c r="Z1095" s="222">
        <v>0</v>
      </c>
      <c r="AA1095" s="222">
        <v>1</v>
      </c>
      <c r="AB1095" s="222">
        <v>0</v>
      </c>
      <c r="AC1095" s="222">
        <v>0</v>
      </c>
      <c r="AD1095" s="222">
        <v>1</v>
      </c>
      <c r="AE1095" s="222">
        <v>1</v>
      </c>
      <c r="AF1095" s="222">
        <v>12</v>
      </c>
      <c r="AG1095" s="222">
        <v>1</v>
      </c>
      <c r="AH1095" s="222">
        <v>3</v>
      </c>
      <c r="AI1095" s="224">
        <v>1</v>
      </c>
      <c r="AJ1095" s="224">
        <v>1</v>
      </c>
      <c r="AK1095" s="224">
        <v>0</v>
      </c>
      <c r="AL1095" s="224">
        <v>3</v>
      </c>
      <c r="AM1095" s="222">
        <v>0</v>
      </c>
      <c r="AN1095" s="222">
        <v>0</v>
      </c>
      <c r="AO1095" s="222">
        <v>0</v>
      </c>
      <c r="AP1095" s="222">
        <v>0</v>
      </c>
      <c r="AQ1095" s="222">
        <v>2000</v>
      </c>
      <c r="AR1095" s="222">
        <v>0.3</v>
      </c>
      <c r="AS1095" s="222">
        <v>0</v>
      </c>
      <c r="AT1095" s="224">
        <v>0</v>
      </c>
      <c r="AU1095" s="356" t="s">
        <v>2349</v>
      </c>
      <c r="AV1095" s="225"/>
      <c r="AW1095" s="226" t="s">
        <v>198</v>
      </c>
      <c r="AX1095" s="222" t="s">
        <v>534</v>
      </c>
      <c r="AY1095" s="218">
        <v>0</v>
      </c>
      <c r="AZ1095" s="218">
        <v>77005202</v>
      </c>
      <c r="BA1095" s="219" t="s">
        <v>200</v>
      </c>
      <c r="BB1095" s="222">
        <v>0</v>
      </c>
      <c r="BC1095" s="223">
        <v>0</v>
      </c>
      <c r="BD1095" s="223">
        <v>0</v>
      </c>
      <c r="BE1095" s="228" t="s">
        <v>2247</v>
      </c>
      <c r="BF1095" s="228" t="s">
        <v>2248</v>
      </c>
      <c r="BG1095" s="222">
        <v>0</v>
      </c>
      <c r="BH1095" s="222">
        <v>0</v>
      </c>
      <c r="BI1095" s="222">
        <v>0</v>
      </c>
      <c r="BJ1095" s="222">
        <v>0</v>
      </c>
      <c r="BK1095" s="222">
        <v>0</v>
      </c>
      <c r="BL1095" s="222">
        <v>0</v>
      </c>
      <c r="BM1095" s="221">
        <v>0</v>
      </c>
      <c r="BN1095" s="224">
        <v>0</v>
      </c>
      <c r="BO1095" s="224">
        <v>0</v>
      </c>
      <c r="BP1095" s="224">
        <v>0</v>
      </c>
      <c r="BQ1095" s="224">
        <v>0</v>
      </c>
      <c r="BR1095" s="224">
        <v>0</v>
      </c>
      <c r="BS1095" s="224">
        <v>0</v>
      </c>
      <c r="BT1095" s="224">
        <v>0</v>
      </c>
      <c r="BU1095" s="224">
        <v>0</v>
      </c>
      <c r="BV1095" s="47"/>
      <c r="BW1095" s="47"/>
    </row>
    <row r="1096" spans="1:75" s="3" customFormat="1" ht="19.5" customHeight="1">
      <c r="A1096" s="217"/>
      <c r="B1096" s="217"/>
      <c r="C1096" s="218">
        <v>64014706</v>
      </c>
      <c r="D1096" s="219" t="s">
        <v>2347</v>
      </c>
      <c r="E1096" s="219" t="s">
        <v>2348</v>
      </c>
      <c r="F1096" s="218">
        <v>1</v>
      </c>
      <c r="G1096" s="218">
        <v>0</v>
      </c>
      <c r="H1096" s="218">
        <v>0</v>
      </c>
      <c r="I1096" s="223">
        <v>0</v>
      </c>
      <c r="J1096" s="218">
        <v>1</v>
      </c>
      <c r="K1096" s="218">
        <v>0</v>
      </c>
      <c r="L1096" s="218">
        <v>0</v>
      </c>
      <c r="M1096" s="222">
        <v>0</v>
      </c>
      <c r="N1096" s="222">
        <v>0</v>
      </c>
      <c r="O1096" s="222">
        <v>2</v>
      </c>
      <c r="P1096" s="222">
        <v>3</v>
      </c>
      <c r="Q1096" s="222">
        <v>0.2</v>
      </c>
      <c r="R1096" s="222">
        <v>0</v>
      </c>
      <c r="S1096" s="224">
        <v>0</v>
      </c>
      <c r="T1096" s="222">
        <v>0</v>
      </c>
      <c r="U1096" s="222">
        <v>1</v>
      </c>
      <c r="V1096" s="222">
        <v>2</v>
      </c>
      <c r="W1096" s="222">
        <v>0</v>
      </c>
      <c r="X1096" s="222">
        <v>0.7</v>
      </c>
      <c r="Y1096" s="222">
        <v>0.7</v>
      </c>
      <c r="Z1096" s="222">
        <v>0</v>
      </c>
      <c r="AA1096" s="222">
        <v>1</v>
      </c>
      <c r="AB1096" s="222">
        <v>0</v>
      </c>
      <c r="AC1096" s="222">
        <v>0</v>
      </c>
      <c r="AD1096" s="222">
        <v>1</v>
      </c>
      <c r="AE1096" s="222">
        <v>1</v>
      </c>
      <c r="AF1096" s="222">
        <v>12</v>
      </c>
      <c r="AG1096" s="222">
        <v>1</v>
      </c>
      <c r="AH1096" s="222">
        <v>3</v>
      </c>
      <c r="AI1096" s="224">
        <v>1</v>
      </c>
      <c r="AJ1096" s="224">
        <v>1</v>
      </c>
      <c r="AK1096" s="224">
        <v>0</v>
      </c>
      <c r="AL1096" s="224">
        <v>3</v>
      </c>
      <c r="AM1096" s="222">
        <v>0</v>
      </c>
      <c r="AN1096" s="222">
        <v>0</v>
      </c>
      <c r="AO1096" s="222">
        <v>0</v>
      </c>
      <c r="AP1096" s="222">
        <v>0</v>
      </c>
      <c r="AQ1096" s="222">
        <v>2000</v>
      </c>
      <c r="AR1096" s="222">
        <v>0.3</v>
      </c>
      <c r="AS1096" s="222">
        <v>0</v>
      </c>
      <c r="AT1096" s="224">
        <v>0</v>
      </c>
      <c r="AU1096" s="356" t="s">
        <v>2349</v>
      </c>
      <c r="AV1096" s="225"/>
      <c r="AW1096" s="226" t="s">
        <v>198</v>
      </c>
      <c r="AX1096" s="222" t="s">
        <v>534</v>
      </c>
      <c r="AY1096" s="218">
        <v>0</v>
      </c>
      <c r="AZ1096" s="218">
        <v>77005202</v>
      </c>
      <c r="BA1096" s="219" t="s">
        <v>200</v>
      </c>
      <c r="BB1096" s="222">
        <v>0</v>
      </c>
      <c r="BC1096" s="223">
        <v>0</v>
      </c>
      <c r="BD1096" s="223">
        <v>0</v>
      </c>
      <c r="BE1096" s="228" t="s">
        <v>2247</v>
      </c>
      <c r="BF1096" s="228" t="s">
        <v>2248</v>
      </c>
      <c r="BG1096" s="222">
        <v>0</v>
      </c>
      <c r="BH1096" s="222">
        <v>0</v>
      </c>
      <c r="BI1096" s="222">
        <v>0</v>
      </c>
      <c r="BJ1096" s="222">
        <v>0</v>
      </c>
      <c r="BK1096" s="222">
        <v>0</v>
      </c>
      <c r="BL1096" s="222">
        <v>0</v>
      </c>
      <c r="BM1096" s="221">
        <v>0</v>
      </c>
      <c r="BN1096" s="224">
        <v>0</v>
      </c>
      <c r="BO1096" s="224">
        <v>0</v>
      </c>
      <c r="BP1096" s="224">
        <v>0</v>
      </c>
      <c r="BQ1096" s="224">
        <v>0</v>
      </c>
      <c r="BR1096" s="224">
        <v>0</v>
      </c>
      <c r="BS1096" s="224">
        <v>0</v>
      </c>
      <c r="BT1096" s="224">
        <v>0</v>
      </c>
      <c r="BU1096" s="224">
        <v>0</v>
      </c>
      <c r="BV1096" s="47"/>
      <c r="BW1096" s="47"/>
    </row>
    <row r="1097" spans="1:75" s="2" customFormat="1" ht="19.5" customHeight="1">
      <c r="A1097" s="216"/>
      <c r="B1097" s="216"/>
      <c r="C1097" s="100">
        <v>64015101</v>
      </c>
      <c r="D1097" s="99" t="s">
        <v>2350</v>
      </c>
      <c r="E1097" s="99" t="s">
        <v>2351</v>
      </c>
      <c r="F1097" s="172">
        <v>0</v>
      </c>
      <c r="G1097" s="101">
        <v>64015101</v>
      </c>
      <c r="H1097" s="60">
        <v>64015102</v>
      </c>
      <c r="I1097" s="105">
        <v>0</v>
      </c>
      <c r="J1097" s="16">
        <v>18</v>
      </c>
      <c r="K1097" s="18">
        <v>5</v>
      </c>
      <c r="L1097" s="101">
        <v>0</v>
      </c>
      <c r="M1097" s="101">
        <v>0</v>
      </c>
      <c r="N1097" s="101">
        <v>0</v>
      </c>
      <c r="O1097" s="101">
        <v>1</v>
      </c>
      <c r="P1097" s="101">
        <v>0</v>
      </c>
      <c r="Q1097" s="101">
        <v>0</v>
      </c>
      <c r="R1097" s="101">
        <v>0</v>
      </c>
      <c r="S1097" s="106">
        <v>0</v>
      </c>
      <c r="T1097" s="101">
        <v>0</v>
      </c>
      <c r="U1097" s="101">
        <v>1</v>
      </c>
      <c r="V1097" s="101">
        <v>1</v>
      </c>
      <c r="W1097" s="101">
        <v>0</v>
      </c>
      <c r="X1097" s="101">
        <v>1</v>
      </c>
      <c r="Y1097" s="12">
        <v>0</v>
      </c>
      <c r="Z1097" s="101">
        <f>Z1109/3</f>
        <v>300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在区域内生成契约之地，在此区域己方的召唤单位伤害提升，并每秒对敌人造成"&amp;X1097*100&amp;"%攻击伤害+"&amp;Z1097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7" s="183" t="s">
        <v>2354</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6"/>
      <c r="B1098" s="216"/>
      <c r="C1098" s="100">
        <v>64015102</v>
      </c>
      <c r="D1098" s="99" t="s">
        <v>2350</v>
      </c>
      <c r="E1098" s="99" t="s">
        <v>2351</v>
      </c>
      <c r="F1098" s="172">
        <v>1</v>
      </c>
      <c r="G1098" s="101">
        <v>64015101</v>
      </c>
      <c r="H1098" s="60">
        <v>64015103</v>
      </c>
      <c r="I1098" s="105">
        <v>0</v>
      </c>
      <c r="J1098" s="16">
        <v>27</v>
      </c>
      <c r="K1098" s="18">
        <v>2</v>
      </c>
      <c r="L1098" s="101">
        <v>0</v>
      </c>
      <c r="M1098" s="101">
        <v>0</v>
      </c>
      <c r="N1098" s="101">
        <v>0</v>
      </c>
      <c r="O1098" s="101">
        <v>1</v>
      </c>
      <c r="P1098" s="101">
        <v>0</v>
      </c>
      <c r="Q1098" s="101">
        <v>0</v>
      </c>
      <c r="R1098" s="101">
        <v>0</v>
      </c>
      <c r="S1098" s="106">
        <v>0</v>
      </c>
      <c r="T1098" s="101">
        <v>0</v>
      </c>
      <c r="U1098" s="101">
        <v>1</v>
      </c>
      <c r="V1098" s="101">
        <v>1</v>
      </c>
      <c r="W1098" s="101">
        <v>0</v>
      </c>
      <c r="X1098" s="101">
        <v>1</v>
      </c>
      <c r="Y1098" s="12">
        <v>0</v>
      </c>
      <c r="Z1098" s="101">
        <f t="shared" ref="Z1098:Z1099" si="125">Z1110/3</f>
        <v>300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ref="BE1098:BE1102" si="126">"在区域内生成契约之地，在此区域己方的召唤单位伤害提升，并每秒对敌人造成"&amp;X1098*100&amp;"%攻击伤害+"&amp;Z1098&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8" s="183" t="s">
        <v>2354</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6"/>
      <c r="B1099" s="216"/>
      <c r="C1099" s="100">
        <v>64015103</v>
      </c>
      <c r="D1099" s="99" t="s">
        <v>2350</v>
      </c>
      <c r="E1099" s="99" t="s">
        <v>2351</v>
      </c>
      <c r="F1099" s="172">
        <v>2</v>
      </c>
      <c r="G1099" s="101">
        <v>64015101</v>
      </c>
      <c r="H1099" s="60">
        <v>64015104</v>
      </c>
      <c r="I1099" s="105">
        <v>0</v>
      </c>
      <c r="J1099" s="16">
        <v>32</v>
      </c>
      <c r="K1099" s="18">
        <v>2</v>
      </c>
      <c r="L1099" s="101">
        <v>0</v>
      </c>
      <c r="M1099" s="101">
        <v>0</v>
      </c>
      <c r="N1099" s="101">
        <v>0</v>
      </c>
      <c r="O1099" s="101">
        <v>1</v>
      </c>
      <c r="P1099" s="101">
        <v>0</v>
      </c>
      <c r="Q1099" s="101">
        <v>0</v>
      </c>
      <c r="R1099" s="101">
        <v>0</v>
      </c>
      <c r="S1099" s="106">
        <v>0</v>
      </c>
      <c r="T1099" s="101">
        <v>0</v>
      </c>
      <c r="U1099" s="101">
        <v>1</v>
      </c>
      <c r="V1099" s="101">
        <v>1</v>
      </c>
      <c r="W1099" s="101">
        <v>0</v>
      </c>
      <c r="X1099" s="101">
        <v>1.1000000000000001</v>
      </c>
      <c r="Y1099" s="12">
        <v>0</v>
      </c>
      <c r="Z1099" s="101">
        <f t="shared" si="125"/>
        <v>600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9" s="183" t="s">
        <v>2355</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s="2" customFormat="1" ht="19.5" customHeight="1">
      <c r="A1100" s="216"/>
      <c r="B1100" s="216"/>
      <c r="C1100" s="100">
        <v>64015104</v>
      </c>
      <c r="D1100" s="99" t="s">
        <v>2350</v>
      </c>
      <c r="E1100" s="99" t="s">
        <v>2351</v>
      </c>
      <c r="F1100" s="172">
        <v>3</v>
      </c>
      <c r="G1100" s="101">
        <v>64015101</v>
      </c>
      <c r="H1100" s="60">
        <v>0</v>
      </c>
      <c r="I1100" s="105">
        <v>0</v>
      </c>
      <c r="J1100" s="16">
        <v>0</v>
      </c>
      <c r="K1100" s="18">
        <v>0</v>
      </c>
      <c r="L1100" s="101">
        <v>0</v>
      </c>
      <c r="M1100" s="101">
        <v>0</v>
      </c>
      <c r="N1100" s="101">
        <v>0</v>
      </c>
      <c r="O1100" s="101">
        <v>1</v>
      </c>
      <c r="P1100" s="101">
        <v>0</v>
      </c>
      <c r="Q1100" s="101">
        <v>0</v>
      </c>
      <c r="R1100" s="101">
        <v>0</v>
      </c>
      <c r="S1100" s="106">
        <v>0</v>
      </c>
      <c r="T1100" s="101">
        <v>0</v>
      </c>
      <c r="U1100" s="101">
        <v>1</v>
      </c>
      <c r="V1100" s="101">
        <v>1</v>
      </c>
      <c r="W1100" s="101">
        <v>0</v>
      </c>
      <c r="X1100" s="101">
        <v>1.2</v>
      </c>
      <c r="Y1100" s="12">
        <v>0</v>
      </c>
      <c r="Z1100" s="101">
        <v>950</v>
      </c>
      <c r="AA1100" s="101">
        <v>0</v>
      </c>
      <c r="AB1100" s="101">
        <v>0</v>
      </c>
      <c r="AC1100" s="101">
        <v>0</v>
      </c>
      <c r="AD1100" s="101">
        <v>0</v>
      </c>
      <c r="AE1100" s="101">
        <v>0</v>
      </c>
      <c r="AF1100" s="101">
        <v>12</v>
      </c>
      <c r="AG1100" s="101">
        <v>1</v>
      </c>
      <c r="AH1100" s="114">
        <v>6</v>
      </c>
      <c r="AI1100" s="106">
        <v>2</v>
      </c>
      <c r="AJ1100" s="106">
        <v>1</v>
      </c>
      <c r="AK1100" s="106">
        <v>0</v>
      </c>
      <c r="AL1100" s="106">
        <v>8</v>
      </c>
      <c r="AM1100" s="101">
        <v>0</v>
      </c>
      <c r="AN1100" s="101">
        <v>0</v>
      </c>
      <c r="AO1100" s="101">
        <v>0</v>
      </c>
      <c r="AP1100" s="101">
        <v>0.2</v>
      </c>
      <c r="AQ1100" s="101">
        <v>5000</v>
      </c>
      <c r="AR1100" s="101">
        <v>0.2</v>
      </c>
      <c r="AS1100" s="101">
        <v>0</v>
      </c>
      <c r="AT1100" s="106">
        <v>0</v>
      </c>
      <c r="AU1100" s="101">
        <v>95103001</v>
      </c>
      <c r="AV1100" s="101"/>
      <c r="AW1100" s="19" t="s">
        <v>199</v>
      </c>
      <c r="AX1100" s="101" t="s">
        <v>534</v>
      </c>
      <c r="AY1100" s="100">
        <v>10000001</v>
      </c>
      <c r="AZ1100" s="100">
        <v>77005301</v>
      </c>
      <c r="BA1100" s="99" t="s">
        <v>2352</v>
      </c>
      <c r="BB1100" s="101" t="s">
        <v>2353</v>
      </c>
      <c r="BC1100" s="106">
        <v>0</v>
      </c>
      <c r="BD1100" s="106">
        <v>0</v>
      </c>
      <c r="BE1100"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00" s="183" t="s">
        <v>2356</v>
      </c>
      <c r="BG1100" s="101">
        <v>0</v>
      </c>
      <c r="BH1100" s="101">
        <v>0</v>
      </c>
      <c r="BI1100" s="101">
        <v>0</v>
      </c>
      <c r="BJ1100" s="101">
        <v>0</v>
      </c>
      <c r="BK1100" s="101">
        <v>0</v>
      </c>
      <c r="BL1100" s="101">
        <v>0</v>
      </c>
      <c r="BM1100" s="97">
        <v>0</v>
      </c>
      <c r="BN1100" s="106">
        <v>0</v>
      </c>
      <c r="BO1100" s="106">
        <v>0</v>
      </c>
      <c r="BP1100" s="106">
        <v>0</v>
      </c>
      <c r="BQ1100" s="106">
        <v>0</v>
      </c>
      <c r="BR1100" s="106">
        <v>0</v>
      </c>
      <c r="BS1100" s="106">
        <v>0</v>
      </c>
      <c r="BT1100" s="106">
        <v>0</v>
      </c>
      <c r="BU1100" s="106">
        <v>0</v>
      </c>
      <c r="BV1100" s="47"/>
      <c r="BW1100" s="47"/>
    </row>
    <row r="1101" spans="1:75" s="2" customFormat="1" ht="19.5" customHeight="1">
      <c r="A1101" s="216"/>
      <c r="B1101" s="216"/>
      <c r="C1101" s="100">
        <v>64015105</v>
      </c>
      <c r="D1101" s="99" t="s">
        <v>2350</v>
      </c>
      <c r="E1101" s="99" t="s">
        <v>2351</v>
      </c>
      <c r="F1101" s="172">
        <v>4</v>
      </c>
      <c r="G1101" s="101">
        <v>64015101</v>
      </c>
      <c r="H1101" s="60">
        <v>0</v>
      </c>
      <c r="I1101" s="105">
        <v>0</v>
      </c>
      <c r="J1101" s="16">
        <v>0</v>
      </c>
      <c r="K1101" s="18">
        <v>0</v>
      </c>
      <c r="L1101" s="101">
        <v>0</v>
      </c>
      <c r="M1101" s="101">
        <v>0</v>
      </c>
      <c r="N1101" s="101">
        <v>0</v>
      </c>
      <c r="O1101" s="101">
        <v>1</v>
      </c>
      <c r="P1101" s="101">
        <v>0</v>
      </c>
      <c r="Q1101" s="101">
        <v>0</v>
      </c>
      <c r="R1101" s="101">
        <v>0</v>
      </c>
      <c r="S1101" s="106">
        <v>0</v>
      </c>
      <c r="T1101" s="101">
        <v>0</v>
      </c>
      <c r="U1101" s="101">
        <v>1</v>
      </c>
      <c r="V1101" s="101">
        <v>1</v>
      </c>
      <c r="W1101" s="101">
        <v>0</v>
      </c>
      <c r="X1101" s="101">
        <v>1.3</v>
      </c>
      <c r="Y1101" s="12">
        <v>0</v>
      </c>
      <c r="Z1101" s="101">
        <v>1500</v>
      </c>
      <c r="AA1101" s="101">
        <v>0</v>
      </c>
      <c r="AB1101" s="101">
        <v>0</v>
      </c>
      <c r="AC1101" s="101">
        <v>0</v>
      </c>
      <c r="AD1101" s="101">
        <v>0</v>
      </c>
      <c r="AE1101" s="101">
        <v>0</v>
      </c>
      <c r="AF1101" s="101">
        <v>12</v>
      </c>
      <c r="AG1101" s="101">
        <v>1</v>
      </c>
      <c r="AH1101" s="114">
        <v>6</v>
      </c>
      <c r="AI1101" s="106">
        <v>2</v>
      </c>
      <c r="AJ1101" s="106">
        <v>1</v>
      </c>
      <c r="AK1101" s="106">
        <v>0</v>
      </c>
      <c r="AL1101" s="106">
        <v>8</v>
      </c>
      <c r="AM1101" s="101">
        <v>0</v>
      </c>
      <c r="AN1101" s="101">
        <v>0</v>
      </c>
      <c r="AO1101" s="101">
        <v>0</v>
      </c>
      <c r="AP1101" s="101">
        <v>0.2</v>
      </c>
      <c r="AQ1101" s="101">
        <v>5000</v>
      </c>
      <c r="AR1101" s="101">
        <v>0.2</v>
      </c>
      <c r="AS1101" s="101">
        <v>0</v>
      </c>
      <c r="AT1101" s="106">
        <v>0</v>
      </c>
      <c r="AU1101" s="101">
        <v>95103001</v>
      </c>
      <c r="AV1101" s="101"/>
      <c r="AW1101" s="19" t="s">
        <v>199</v>
      </c>
      <c r="AX1101" s="101" t="s">
        <v>534</v>
      </c>
      <c r="AY1101" s="100">
        <v>10000001</v>
      </c>
      <c r="AZ1101" s="100">
        <v>77005301</v>
      </c>
      <c r="BA1101" s="99" t="s">
        <v>2352</v>
      </c>
      <c r="BB1101" s="101" t="s">
        <v>2353</v>
      </c>
      <c r="BC1101" s="106">
        <v>0</v>
      </c>
      <c r="BD1101" s="106">
        <v>0</v>
      </c>
      <c r="BE1101"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01" s="183" t="s">
        <v>2357</v>
      </c>
      <c r="BG1101" s="101">
        <v>0</v>
      </c>
      <c r="BH1101" s="101">
        <v>0</v>
      </c>
      <c r="BI1101" s="101">
        <v>0</v>
      </c>
      <c r="BJ1101" s="101">
        <v>0</v>
      </c>
      <c r="BK1101" s="101">
        <v>0</v>
      </c>
      <c r="BL1101" s="101">
        <v>0</v>
      </c>
      <c r="BM1101" s="97">
        <v>0</v>
      </c>
      <c r="BN1101" s="106">
        <v>0</v>
      </c>
      <c r="BO1101" s="106">
        <v>0</v>
      </c>
      <c r="BP1101" s="106">
        <v>0</v>
      </c>
      <c r="BQ1101" s="106">
        <v>0</v>
      </c>
      <c r="BR1101" s="106">
        <v>0</v>
      </c>
      <c r="BS1101" s="106">
        <v>0</v>
      </c>
      <c r="BT1101" s="106">
        <v>0</v>
      </c>
      <c r="BU1101" s="106">
        <v>0</v>
      </c>
      <c r="BV1101" s="47"/>
      <c r="BW1101" s="47"/>
    </row>
    <row r="1102" spans="1:75" s="2" customFormat="1" ht="19.5" customHeight="1">
      <c r="A1102" s="216"/>
      <c r="B1102" s="216"/>
      <c r="C1102" s="100">
        <v>64015106</v>
      </c>
      <c r="D1102" s="99" t="s">
        <v>2350</v>
      </c>
      <c r="E1102" s="99" t="s">
        <v>2351</v>
      </c>
      <c r="F1102" s="172">
        <v>5</v>
      </c>
      <c r="G1102" s="101">
        <v>64015101</v>
      </c>
      <c r="H1102" s="60">
        <v>0</v>
      </c>
      <c r="I1102" s="105">
        <v>0</v>
      </c>
      <c r="J1102" s="16">
        <v>0</v>
      </c>
      <c r="K1102" s="18">
        <v>0</v>
      </c>
      <c r="L1102" s="101">
        <v>0</v>
      </c>
      <c r="M1102" s="101">
        <v>0</v>
      </c>
      <c r="N1102" s="101">
        <v>0</v>
      </c>
      <c r="O1102" s="101">
        <v>1</v>
      </c>
      <c r="P1102" s="101">
        <v>0</v>
      </c>
      <c r="Q1102" s="101">
        <v>0</v>
      </c>
      <c r="R1102" s="101">
        <v>0</v>
      </c>
      <c r="S1102" s="106">
        <v>0</v>
      </c>
      <c r="T1102" s="101">
        <v>0</v>
      </c>
      <c r="U1102" s="101">
        <v>1</v>
      </c>
      <c r="V1102" s="101">
        <v>1</v>
      </c>
      <c r="W1102" s="101">
        <v>0</v>
      </c>
      <c r="X1102" s="101">
        <v>1.4</v>
      </c>
      <c r="Y1102" s="12">
        <v>0</v>
      </c>
      <c r="Z1102" s="101">
        <v>2000</v>
      </c>
      <c r="AA1102" s="101">
        <v>0</v>
      </c>
      <c r="AB1102" s="101">
        <v>0</v>
      </c>
      <c r="AC1102" s="101">
        <v>0</v>
      </c>
      <c r="AD1102" s="101">
        <v>0</v>
      </c>
      <c r="AE1102" s="101">
        <v>0</v>
      </c>
      <c r="AF1102" s="101">
        <v>12</v>
      </c>
      <c r="AG1102" s="101">
        <v>1</v>
      </c>
      <c r="AH1102" s="114">
        <v>6</v>
      </c>
      <c r="AI1102" s="106">
        <v>2</v>
      </c>
      <c r="AJ1102" s="106">
        <v>1</v>
      </c>
      <c r="AK1102" s="106">
        <v>0</v>
      </c>
      <c r="AL1102" s="106">
        <v>8</v>
      </c>
      <c r="AM1102" s="101">
        <v>0</v>
      </c>
      <c r="AN1102" s="101">
        <v>0</v>
      </c>
      <c r="AO1102" s="101">
        <v>0</v>
      </c>
      <c r="AP1102" s="101">
        <v>0.2</v>
      </c>
      <c r="AQ1102" s="101">
        <v>5000</v>
      </c>
      <c r="AR1102" s="101">
        <v>0.2</v>
      </c>
      <c r="AS1102" s="101">
        <v>0</v>
      </c>
      <c r="AT1102" s="106">
        <v>0</v>
      </c>
      <c r="AU1102" s="101">
        <v>95103001</v>
      </c>
      <c r="AV1102" s="101"/>
      <c r="AW1102" s="19" t="s">
        <v>199</v>
      </c>
      <c r="AX1102" s="101" t="s">
        <v>534</v>
      </c>
      <c r="AY1102" s="100">
        <v>10000001</v>
      </c>
      <c r="AZ1102" s="100">
        <v>77005301</v>
      </c>
      <c r="BA1102" s="99" t="s">
        <v>2352</v>
      </c>
      <c r="BB1102" s="101" t="s">
        <v>2353</v>
      </c>
      <c r="BC1102" s="106">
        <v>0</v>
      </c>
      <c r="BD1102" s="106">
        <v>0</v>
      </c>
      <c r="BE1102"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02" s="183" t="s">
        <v>2358</v>
      </c>
      <c r="BG1102" s="101">
        <v>0</v>
      </c>
      <c r="BH1102" s="101">
        <v>0</v>
      </c>
      <c r="BI1102" s="101">
        <v>0</v>
      </c>
      <c r="BJ1102" s="101">
        <v>0</v>
      </c>
      <c r="BK1102" s="101">
        <v>0</v>
      </c>
      <c r="BL1102" s="101">
        <v>0</v>
      </c>
      <c r="BM1102" s="97">
        <v>0</v>
      </c>
      <c r="BN1102" s="106">
        <v>0</v>
      </c>
      <c r="BO1102" s="106">
        <v>0</v>
      </c>
      <c r="BP1102" s="106">
        <v>0</v>
      </c>
      <c r="BQ1102" s="106">
        <v>0</v>
      </c>
      <c r="BR1102" s="106">
        <v>0</v>
      </c>
      <c r="BS1102" s="106">
        <v>0</v>
      </c>
      <c r="BT1102" s="106">
        <v>0</v>
      </c>
      <c r="BU1102" s="106">
        <v>0</v>
      </c>
      <c r="BV1102" s="47"/>
      <c r="BW1102" s="47"/>
    </row>
    <row r="1103" spans="1:75" ht="20.100000000000001" customHeight="1">
      <c r="C1103" s="64">
        <v>64015201</v>
      </c>
      <c r="D1103" s="200" t="s">
        <v>2359</v>
      </c>
      <c r="E1103" s="200" t="s">
        <v>2360</v>
      </c>
      <c r="F1103" s="172">
        <v>0</v>
      </c>
      <c r="G1103" s="64">
        <v>64015201</v>
      </c>
      <c r="H1103" s="64">
        <v>64015202</v>
      </c>
      <c r="I1103" s="174">
        <v>0</v>
      </c>
      <c r="J1103" s="16">
        <v>25</v>
      </c>
      <c r="K1103" s="16">
        <v>5</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204">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203" t="s">
        <v>2100</v>
      </c>
      <c r="AU1103" s="354" t="s">
        <v>2101</v>
      </c>
      <c r="AV1103" s="203"/>
      <c r="AW1103" s="19" t="s">
        <v>199</v>
      </c>
      <c r="AX1103" s="175" t="s">
        <v>2102</v>
      </c>
      <c r="AY1103" s="175" t="s">
        <v>198</v>
      </c>
      <c r="AZ1103" s="175">
        <v>21203010</v>
      </c>
      <c r="BA1103" s="200" t="s">
        <v>200</v>
      </c>
      <c r="BB1103" s="175">
        <v>0</v>
      </c>
      <c r="BC1103" s="175">
        <v>0</v>
      </c>
      <c r="BD1103" s="175">
        <v>0</v>
      </c>
      <c r="BE1103" s="212" t="s">
        <v>2103</v>
      </c>
      <c r="BF1103" s="212" t="s">
        <v>2104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64015202</v>
      </c>
      <c r="D1104" s="200" t="s">
        <v>2359</v>
      </c>
      <c r="E1104" s="200" t="s">
        <v>2360</v>
      </c>
      <c r="F1104" s="172">
        <v>1</v>
      </c>
      <c r="G1104" s="64">
        <v>64015201</v>
      </c>
      <c r="H1104" s="64">
        <v>64015203</v>
      </c>
      <c r="I1104" s="174">
        <v>0</v>
      </c>
      <c r="J1104" s="16">
        <v>32</v>
      </c>
      <c r="K1104" s="16">
        <v>2</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3" t="s">
        <v>2100</v>
      </c>
      <c r="AU1104" s="354" t="s">
        <v>2101</v>
      </c>
      <c r="AV1104" s="203"/>
      <c r="AW1104" s="19" t="s">
        <v>199</v>
      </c>
      <c r="AX1104" s="175" t="s">
        <v>2102</v>
      </c>
      <c r="AY1104" s="175" t="s">
        <v>198</v>
      </c>
      <c r="AZ1104" s="175">
        <v>21203010</v>
      </c>
      <c r="BA1104" s="200" t="s">
        <v>200</v>
      </c>
      <c r="BB1104" s="175">
        <v>0</v>
      </c>
      <c r="BC1104" s="175">
        <v>0</v>
      </c>
      <c r="BD1104" s="175">
        <v>0</v>
      </c>
      <c r="BE1104" s="212" t="s">
        <v>2103</v>
      </c>
      <c r="BF1104" s="212" t="s">
        <v>2104</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64015203</v>
      </c>
      <c r="D1105" s="200" t="s">
        <v>2359</v>
      </c>
      <c r="E1105" s="200" t="s">
        <v>2360</v>
      </c>
      <c r="F1105" s="172">
        <v>2</v>
      </c>
      <c r="G1105" s="64">
        <v>64015201</v>
      </c>
      <c r="H1105" s="64">
        <v>64015204</v>
      </c>
      <c r="I1105" s="174">
        <v>0</v>
      </c>
      <c r="J1105" s="16">
        <v>37</v>
      </c>
      <c r="K1105" s="16">
        <v>2</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3" t="s">
        <v>2105</v>
      </c>
      <c r="AU1105" s="354" t="s">
        <v>2106</v>
      </c>
      <c r="AV1105" s="203"/>
      <c r="AW1105" s="19" t="s">
        <v>199</v>
      </c>
      <c r="AX1105" s="175" t="s">
        <v>2102</v>
      </c>
      <c r="AY1105" s="175" t="s">
        <v>198</v>
      </c>
      <c r="AZ1105" s="175">
        <v>21203010</v>
      </c>
      <c r="BA1105" s="200" t="s">
        <v>200</v>
      </c>
      <c r="BB1105" s="175">
        <v>0</v>
      </c>
      <c r="BC1105" s="175">
        <v>0</v>
      </c>
      <c r="BD1105" s="175">
        <v>0</v>
      </c>
      <c r="BE1105" s="212" t="s">
        <v>2107</v>
      </c>
      <c r="BF1105" s="212" t="s">
        <v>2108</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ht="20.100000000000001" customHeight="1">
      <c r="C1106" s="64">
        <v>64015204</v>
      </c>
      <c r="D1106" s="200" t="s">
        <v>2359</v>
      </c>
      <c r="E1106" s="200" t="s">
        <v>2360</v>
      </c>
      <c r="F1106" s="172">
        <v>3</v>
      </c>
      <c r="G1106" s="64">
        <v>64015201</v>
      </c>
      <c r="H1106" s="172">
        <v>0</v>
      </c>
      <c r="I1106" s="174">
        <v>0</v>
      </c>
      <c r="J1106" s="16">
        <v>0</v>
      </c>
      <c r="K1106" s="179">
        <v>0</v>
      </c>
      <c r="L1106" s="172">
        <v>0</v>
      </c>
      <c r="M1106" s="175">
        <v>0</v>
      </c>
      <c r="N1106" s="175">
        <v>0</v>
      </c>
      <c r="O1106" s="175">
        <v>1</v>
      </c>
      <c r="P1106" s="175">
        <v>0</v>
      </c>
      <c r="Q1106" s="175">
        <v>0</v>
      </c>
      <c r="R1106" s="175">
        <v>0</v>
      </c>
      <c r="S1106" s="175">
        <v>0</v>
      </c>
      <c r="T1106" s="175">
        <v>0</v>
      </c>
      <c r="U1106" s="172">
        <v>1</v>
      </c>
      <c r="V1106" s="175">
        <v>2</v>
      </c>
      <c r="W1106" s="175">
        <v>0</v>
      </c>
      <c r="X1106" s="176">
        <v>0</v>
      </c>
      <c r="Y1106" s="12">
        <v>0</v>
      </c>
      <c r="Z1106" s="176">
        <v>0</v>
      </c>
      <c r="AA1106" s="175">
        <v>0</v>
      </c>
      <c r="AB1106" s="175">
        <v>0</v>
      </c>
      <c r="AC1106" s="175">
        <v>0</v>
      </c>
      <c r="AD1106" s="176">
        <v>0</v>
      </c>
      <c r="AE1106" s="175">
        <v>0</v>
      </c>
      <c r="AF1106" s="176">
        <v>25</v>
      </c>
      <c r="AG1106" s="175">
        <v>1</v>
      </c>
      <c r="AH1106" s="176">
        <v>20</v>
      </c>
      <c r="AI1106" s="175">
        <v>2</v>
      </c>
      <c r="AJ1106" s="175">
        <v>1</v>
      </c>
      <c r="AK1106" s="175">
        <v>1</v>
      </c>
      <c r="AL1106" s="175">
        <v>6</v>
      </c>
      <c r="AM1106" s="175">
        <v>0</v>
      </c>
      <c r="AN1106" s="175">
        <v>0</v>
      </c>
      <c r="AO1106" s="175">
        <v>0</v>
      </c>
      <c r="AP1106" s="176">
        <v>0.25</v>
      </c>
      <c r="AQ1106" s="176">
        <v>2000</v>
      </c>
      <c r="AR1106" s="175">
        <v>0.1</v>
      </c>
      <c r="AS1106" s="175">
        <v>0</v>
      </c>
      <c r="AT1106" s="354" t="s">
        <v>2109</v>
      </c>
      <c r="AU1106" s="354" t="s">
        <v>2110</v>
      </c>
      <c r="AV1106" s="203"/>
      <c r="AW1106" s="19" t="s">
        <v>199</v>
      </c>
      <c r="AX1106" s="175" t="s">
        <v>2102</v>
      </c>
      <c r="AY1106" s="175" t="s">
        <v>198</v>
      </c>
      <c r="AZ1106" s="175">
        <v>21203010</v>
      </c>
      <c r="BA1106" s="200" t="s">
        <v>200</v>
      </c>
      <c r="BB1106" s="175">
        <v>0</v>
      </c>
      <c r="BC1106" s="175">
        <v>0</v>
      </c>
      <c r="BD1106" s="175">
        <v>0</v>
      </c>
      <c r="BE1106" s="212" t="s">
        <v>2111</v>
      </c>
      <c r="BF1106" s="212" t="s">
        <v>2112</v>
      </c>
      <c r="BG1106" s="175">
        <v>0</v>
      </c>
      <c r="BH1106" s="172">
        <v>0</v>
      </c>
      <c r="BI1106" s="175">
        <v>0</v>
      </c>
      <c r="BJ1106" s="175">
        <v>0</v>
      </c>
      <c r="BK1106" s="175">
        <v>0</v>
      </c>
      <c r="BL1106" s="175">
        <v>0</v>
      </c>
      <c r="BM1106" s="178">
        <v>0</v>
      </c>
      <c r="BN1106" s="175">
        <v>0</v>
      </c>
      <c r="BO1106" s="175">
        <v>0</v>
      </c>
      <c r="BP1106" s="175">
        <v>0</v>
      </c>
      <c r="BQ1106" s="175">
        <v>0</v>
      </c>
      <c r="BR1106" s="175">
        <v>0</v>
      </c>
      <c r="BS1106" s="175">
        <v>0</v>
      </c>
      <c r="BT1106" s="12">
        <v>0</v>
      </c>
      <c r="BU1106" s="47">
        <v>0</v>
      </c>
      <c r="BV1106" s="47"/>
      <c r="BW1106" s="47"/>
    </row>
    <row r="1107" spans="1:75" ht="20.100000000000001" customHeight="1">
      <c r="C1107" s="64">
        <v>64015205</v>
      </c>
      <c r="D1107" s="200" t="s">
        <v>2359</v>
      </c>
      <c r="E1107" s="200" t="s">
        <v>2360</v>
      </c>
      <c r="F1107" s="172">
        <v>4</v>
      </c>
      <c r="G1107" s="64">
        <v>64015201</v>
      </c>
      <c r="H1107" s="172">
        <v>0</v>
      </c>
      <c r="I1107" s="174">
        <v>0</v>
      </c>
      <c r="J1107" s="16">
        <v>0</v>
      </c>
      <c r="K1107" s="16">
        <v>0</v>
      </c>
      <c r="L1107" s="172">
        <v>0</v>
      </c>
      <c r="M1107" s="175">
        <v>0</v>
      </c>
      <c r="N1107" s="175">
        <v>0</v>
      </c>
      <c r="O1107" s="175">
        <v>1</v>
      </c>
      <c r="P1107" s="175">
        <v>0</v>
      </c>
      <c r="Q1107" s="175">
        <v>0</v>
      </c>
      <c r="R1107" s="175">
        <v>0</v>
      </c>
      <c r="S1107" s="175">
        <v>0</v>
      </c>
      <c r="T1107" s="175">
        <v>0</v>
      </c>
      <c r="U1107" s="172">
        <v>1</v>
      </c>
      <c r="V1107" s="175">
        <v>2</v>
      </c>
      <c r="W1107" s="175">
        <v>0</v>
      </c>
      <c r="X1107" s="176">
        <v>0</v>
      </c>
      <c r="Y1107" s="12">
        <v>0</v>
      </c>
      <c r="Z1107" s="176">
        <v>0</v>
      </c>
      <c r="AA1107" s="175">
        <v>0</v>
      </c>
      <c r="AB1107" s="175">
        <v>0</v>
      </c>
      <c r="AC1107" s="175">
        <v>0</v>
      </c>
      <c r="AD1107" s="176">
        <v>0</v>
      </c>
      <c r="AE1107" s="175">
        <v>0</v>
      </c>
      <c r="AF1107" s="176">
        <v>25</v>
      </c>
      <c r="AG1107" s="175">
        <v>1</v>
      </c>
      <c r="AH1107" s="176">
        <v>20</v>
      </c>
      <c r="AI1107" s="175">
        <v>2</v>
      </c>
      <c r="AJ1107" s="175">
        <v>1</v>
      </c>
      <c r="AK1107" s="175">
        <v>1</v>
      </c>
      <c r="AL1107" s="175">
        <v>6</v>
      </c>
      <c r="AM1107" s="175">
        <v>0</v>
      </c>
      <c r="AN1107" s="175">
        <v>0</v>
      </c>
      <c r="AO1107" s="175">
        <v>0</v>
      </c>
      <c r="AP1107" s="176">
        <v>0.25</v>
      </c>
      <c r="AQ1107" s="176">
        <v>2000</v>
      </c>
      <c r="AR1107" s="175">
        <v>0.1</v>
      </c>
      <c r="AS1107" s="175">
        <v>0</v>
      </c>
      <c r="AT1107" s="203" t="s">
        <v>2113</v>
      </c>
      <c r="AU1107" s="354" t="s">
        <v>2114</v>
      </c>
      <c r="AV1107" s="203"/>
      <c r="AW1107" s="19" t="s">
        <v>199</v>
      </c>
      <c r="AX1107" s="175" t="s">
        <v>2102</v>
      </c>
      <c r="AY1107" s="175" t="s">
        <v>198</v>
      </c>
      <c r="AZ1107" s="175">
        <v>21203010</v>
      </c>
      <c r="BA1107" s="200" t="s">
        <v>200</v>
      </c>
      <c r="BB1107" s="175">
        <v>0</v>
      </c>
      <c r="BC1107" s="175">
        <v>0</v>
      </c>
      <c r="BD1107" s="175">
        <v>0</v>
      </c>
      <c r="BE1107" s="212" t="s">
        <v>2115</v>
      </c>
      <c r="BF1107" s="212" t="s">
        <v>2116</v>
      </c>
      <c r="BG1107" s="175">
        <v>0</v>
      </c>
      <c r="BH1107" s="172">
        <v>0</v>
      </c>
      <c r="BI1107" s="175">
        <v>0</v>
      </c>
      <c r="BJ1107" s="175">
        <v>0</v>
      </c>
      <c r="BK1107" s="175">
        <v>0</v>
      </c>
      <c r="BL1107" s="175">
        <v>0</v>
      </c>
      <c r="BM1107" s="178">
        <v>0</v>
      </c>
      <c r="BN1107" s="175">
        <v>0</v>
      </c>
      <c r="BO1107" s="175">
        <v>0</v>
      </c>
      <c r="BP1107" s="175">
        <v>0</v>
      </c>
      <c r="BQ1107" s="175">
        <v>0</v>
      </c>
      <c r="BR1107" s="175">
        <v>0</v>
      </c>
      <c r="BS1107" s="175">
        <v>0</v>
      </c>
      <c r="BT1107" s="12">
        <v>0</v>
      </c>
      <c r="BU1107" s="47">
        <v>0</v>
      </c>
      <c r="BV1107" s="47"/>
      <c r="BW1107" s="47"/>
    </row>
    <row r="1108" spans="1:75" ht="20.100000000000001" customHeight="1">
      <c r="C1108" s="64">
        <v>64015206</v>
      </c>
      <c r="D1108" s="200" t="s">
        <v>2359</v>
      </c>
      <c r="E1108" s="200" t="s">
        <v>2360</v>
      </c>
      <c r="F1108" s="172">
        <v>5</v>
      </c>
      <c r="G1108" s="64">
        <v>64015201</v>
      </c>
      <c r="H1108" s="176">
        <v>0</v>
      </c>
      <c r="I1108" s="174">
        <v>0</v>
      </c>
      <c r="J1108" s="16">
        <v>0</v>
      </c>
      <c r="K1108" s="16">
        <v>0</v>
      </c>
      <c r="L1108" s="172">
        <v>0</v>
      </c>
      <c r="M1108" s="175">
        <v>0</v>
      </c>
      <c r="N1108" s="175">
        <v>0</v>
      </c>
      <c r="O1108" s="175">
        <v>1</v>
      </c>
      <c r="P1108" s="175">
        <v>0</v>
      </c>
      <c r="Q1108" s="175">
        <v>0</v>
      </c>
      <c r="R1108" s="175">
        <v>0</v>
      </c>
      <c r="S1108" s="175">
        <v>0</v>
      </c>
      <c r="T1108" s="175">
        <v>0</v>
      </c>
      <c r="U1108" s="172">
        <v>1</v>
      </c>
      <c r="V1108" s="175">
        <v>2</v>
      </c>
      <c r="W1108" s="175">
        <v>0</v>
      </c>
      <c r="X1108" s="176">
        <v>0</v>
      </c>
      <c r="Y1108" s="12">
        <v>0</v>
      </c>
      <c r="Z1108" s="176">
        <v>0</v>
      </c>
      <c r="AA1108" s="175">
        <v>0</v>
      </c>
      <c r="AB1108" s="175">
        <v>0</v>
      </c>
      <c r="AC1108" s="175">
        <v>0</v>
      </c>
      <c r="AD1108" s="176">
        <v>0</v>
      </c>
      <c r="AE1108" s="175">
        <v>0</v>
      </c>
      <c r="AF1108" s="176">
        <v>25</v>
      </c>
      <c r="AG1108" s="175">
        <v>1</v>
      </c>
      <c r="AH1108" s="176">
        <v>20</v>
      </c>
      <c r="AI1108" s="175">
        <v>2</v>
      </c>
      <c r="AJ1108" s="175">
        <v>1</v>
      </c>
      <c r="AK1108" s="175">
        <v>1</v>
      </c>
      <c r="AL1108" s="175">
        <v>6</v>
      </c>
      <c r="AM1108" s="175">
        <v>0</v>
      </c>
      <c r="AN1108" s="175">
        <v>0</v>
      </c>
      <c r="AO1108" s="175">
        <v>0</v>
      </c>
      <c r="AP1108" s="176">
        <v>0.25</v>
      </c>
      <c r="AQ1108" s="176">
        <v>2000</v>
      </c>
      <c r="AR1108" s="175">
        <v>0.1</v>
      </c>
      <c r="AS1108" s="175">
        <v>0</v>
      </c>
      <c r="AT1108" s="203" t="s">
        <v>2117</v>
      </c>
      <c r="AU1108" s="354" t="s">
        <v>2118</v>
      </c>
      <c r="AV1108" s="203"/>
      <c r="AW1108" s="19" t="s">
        <v>199</v>
      </c>
      <c r="AX1108" s="175" t="s">
        <v>2102</v>
      </c>
      <c r="AY1108" s="175" t="s">
        <v>198</v>
      </c>
      <c r="AZ1108" s="175">
        <v>21203010</v>
      </c>
      <c r="BA1108" s="200" t="s">
        <v>200</v>
      </c>
      <c r="BB1108" s="175">
        <v>0</v>
      </c>
      <c r="BC1108" s="175">
        <v>0</v>
      </c>
      <c r="BD1108" s="175">
        <v>0</v>
      </c>
      <c r="BE1108" s="212" t="s">
        <v>2119</v>
      </c>
      <c r="BF1108" s="212" t="s">
        <v>2120</v>
      </c>
      <c r="BG1108" s="175">
        <v>0</v>
      </c>
      <c r="BH1108" s="172">
        <v>0</v>
      </c>
      <c r="BI1108" s="175">
        <v>0</v>
      </c>
      <c r="BJ1108" s="175">
        <v>0</v>
      </c>
      <c r="BK1108" s="175">
        <v>0</v>
      </c>
      <c r="BL1108" s="175">
        <v>0</v>
      </c>
      <c r="BM1108" s="178">
        <v>0</v>
      </c>
      <c r="BN1108" s="175">
        <v>0</v>
      </c>
      <c r="BO1108" s="175">
        <v>0</v>
      </c>
      <c r="BP1108" s="175">
        <v>0</v>
      </c>
      <c r="BQ1108" s="175">
        <v>0</v>
      </c>
      <c r="BR1108" s="175">
        <v>0</v>
      </c>
      <c r="BS1108" s="175">
        <v>0</v>
      </c>
      <c r="BT1108" s="12">
        <v>0</v>
      </c>
      <c r="BU1108" s="47">
        <v>0</v>
      </c>
      <c r="BV1108" s="47"/>
      <c r="BW1108" s="47"/>
    </row>
    <row r="1109" spans="1:75" s="2" customFormat="1" ht="20.100000000000001" customHeight="1">
      <c r="A1109" s="216"/>
      <c r="B1109" s="216"/>
      <c r="C1109" s="100">
        <v>64015301</v>
      </c>
      <c r="D1109" s="99" t="s">
        <v>2361</v>
      </c>
      <c r="E1109" s="99" t="s">
        <v>2362</v>
      </c>
      <c r="F1109" s="172">
        <v>0</v>
      </c>
      <c r="G1109" s="100">
        <v>64015301</v>
      </c>
      <c r="H1109" s="60">
        <v>64015302</v>
      </c>
      <c r="I1109" s="105">
        <v>0</v>
      </c>
      <c r="J1109" s="16">
        <v>30</v>
      </c>
      <c r="K1109" s="18">
        <v>5</v>
      </c>
      <c r="L1109" s="100">
        <v>0</v>
      </c>
      <c r="M1109" s="101">
        <v>0</v>
      </c>
      <c r="N1109" s="101">
        <v>0</v>
      </c>
      <c r="O1109" s="101">
        <v>1</v>
      </c>
      <c r="P1109" s="101">
        <v>0</v>
      </c>
      <c r="Q1109" s="101">
        <v>0</v>
      </c>
      <c r="R1109" s="101">
        <v>0</v>
      </c>
      <c r="S1109" s="106">
        <v>0</v>
      </c>
      <c r="T1109" s="101">
        <v>0</v>
      </c>
      <c r="U1109" s="101">
        <v>1</v>
      </c>
      <c r="V1109" s="101">
        <v>1</v>
      </c>
      <c r="W1109" s="101">
        <v>0</v>
      </c>
      <c r="X1109" s="18">
        <v>2.5</v>
      </c>
      <c r="Y1109" s="12">
        <v>0</v>
      </c>
      <c r="Z1109" s="18">
        <v>900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5" t="s">
        <v>2176</v>
      </c>
      <c r="AW1109" s="19" t="s">
        <v>199</v>
      </c>
      <c r="AX1109" s="101" t="s">
        <v>545</v>
      </c>
      <c r="AY1109" s="100">
        <v>0</v>
      </c>
      <c r="AZ1109" s="100">
        <v>77005303</v>
      </c>
      <c r="BA1109" s="59" t="s">
        <v>315</v>
      </c>
      <c r="BB1109" s="60">
        <v>0</v>
      </c>
      <c r="BC1109" s="105">
        <v>0</v>
      </c>
      <c r="BD1109" s="105">
        <v>0</v>
      </c>
      <c r="BE1109" s="183" t="str">
        <f>"对目标区域立即造成"&amp;X1109*100&amp;"%攻击伤害+"&amp;Z1109&amp;"点固定伤害,并附带魔法印记和并眩晕2秒"</f>
        <v>对目标区域立即造成250%攻击伤害+900点固定伤害,并附带魔法印记和并眩晕2秒</v>
      </c>
      <c r="BF1109" s="183" t="s">
        <v>2363</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6"/>
      <c r="B1110" s="216"/>
      <c r="C1110" s="100">
        <v>64015302</v>
      </c>
      <c r="D1110" s="99" t="s">
        <v>2361</v>
      </c>
      <c r="E1110" s="99" t="s">
        <v>2362</v>
      </c>
      <c r="F1110" s="172">
        <v>1</v>
      </c>
      <c r="G1110" s="100">
        <v>64015301</v>
      </c>
      <c r="H1110" s="60">
        <v>64015303</v>
      </c>
      <c r="I1110" s="105">
        <v>0</v>
      </c>
      <c r="J1110" s="16">
        <v>37</v>
      </c>
      <c r="K1110" s="18">
        <v>2</v>
      </c>
      <c r="L1110" s="100">
        <v>0</v>
      </c>
      <c r="M1110" s="101">
        <v>0</v>
      </c>
      <c r="N1110" s="101">
        <v>0</v>
      </c>
      <c r="O1110" s="101">
        <v>1</v>
      </c>
      <c r="P1110" s="101">
        <v>0</v>
      </c>
      <c r="Q1110" s="101">
        <v>0</v>
      </c>
      <c r="R1110" s="101">
        <v>0</v>
      </c>
      <c r="S1110" s="106">
        <v>0</v>
      </c>
      <c r="T1110" s="101">
        <v>0</v>
      </c>
      <c r="U1110" s="101">
        <v>1</v>
      </c>
      <c r="V1110" s="101">
        <v>1</v>
      </c>
      <c r="W1110" s="101">
        <v>0</v>
      </c>
      <c r="X1110" s="18">
        <v>2.5</v>
      </c>
      <c r="Y1110" s="12">
        <v>0</v>
      </c>
      <c r="Z1110" s="18">
        <v>900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5" t="s">
        <v>2176</v>
      </c>
      <c r="AW1110" s="19" t="s">
        <v>199</v>
      </c>
      <c r="AX1110" s="101" t="s">
        <v>545</v>
      </c>
      <c r="AY1110" s="100">
        <v>0</v>
      </c>
      <c r="AZ1110" s="100">
        <v>77005303</v>
      </c>
      <c r="BA1110" s="59" t="s">
        <v>315</v>
      </c>
      <c r="BB1110" s="60">
        <v>1</v>
      </c>
      <c r="BC1110" s="105">
        <v>0</v>
      </c>
      <c r="BD1110" s="105">
        <v>0</v>
      </c>
      <c r="BE1110" s="183" t="str">
        <f t="shared" ref="BE1110:BE1114" si="127">"对目标区域立即造成"&amp;X1110*100&amp;"%攻击伤害+"&amp;Z1110&amp;"点固定伤害,并附带魔法印记和并眩晕2秒"</f>
        <v>对目标区域立即造成250%攻击伤害+900点固定伤害,并附带魔法印记和并眩晕2秒</v>
      </c>
      <c r="BF1110" s="183" t="s">
        <v>2363</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20.100000000000001" customHeight="1">
      <c r="A1111" s="216"/>
      <c r="B1111" s="216"/>
      <c r="C1111" s="100">
        <v>64015303</v>
      </c>
      <c r="D1111" s="99" t="s">
        <v>2361</v>
      </c>
      <c r="E1111" s="99" t="s">
        <v>2362</v>
      </c>
      <c r="F1111" s="172">
        <v>2</v>
      </c>
      <c r="G1111" s="100">
        <v>64015301</v>
      </c>
      <c r="H1111" s="60">
        <v>64015304</v>
      </c>
      <c r="I1111" s="105">
        <v>0</v>
      </c>
      <c r="J1111" s="16">
        <v>42</v>
      </c>
      <c r="K1111" s="18">
        <v>2</v>
      </c>
      <c r="L1111" s="100">
        <v>0</v>
      </c>
      <c r="M1111" s="101">
        <v>0</v>
      </c>
      <c r="N1111" s="101">
        <v>0</v>
      </c>
      <c r="O1111" s="101">
        <v>1</v>
      </c>
      <c r="P1111" s="101">
        <v>0</v>
      </c>
      <c r="Q1111" s="101">
        <v>0</v>
      </c>
      <c r="R1111" s="101">
        <v>0</v>
      </c>
      <c r="S1111" s="106">
        <v>0</v>
      </c>
      <c r="T1111" s="101">
        <v>0</v>
      </c>
      <c r="U1111" s="101">
        <v>1</v>
      </c>
      <c r="V1111" s="101">
        <v>1</v>
      </c>
      <c r="W1111" s="101">
        <v>0</v>
      </c>
      <c r="X1111" s="18">
        <v>2.75</v>
      </c>
      <c r="Y1111" s="12">
        <v>0</v>
      </c>
      <c r="Z1111" s="18">
        <v>1800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5" t="s">
        <v>2176</v>
      </c>
      <c r="AW1111" s="19" t="s">
        <v>199</v>
      </c>
      <c r="AX1111" s="101" t="s">
        <v>545</v>
      </c>
      <c r="AY1111" s="100">
        <v>0</v>
      </c>
      <c r="AZ1111" s="100">
        <v>77005303</v>
      </c>
      <c r="BA1111" s="59" t="s">
        <v>315</v>
      </c>
      <c r="BB1111" s="60">
        <v>1</v>
      </c>
      <c r="BC1111" s="105">
        <v>0</v>
      </c>
      <c r="BD1111" s="105">
        <v>0</v>
      </c>
      <c r="BE1111" s="183" t="str">
        <f t="shared" si="127"/>
        <v>对目标区域立即造成275%攻击伤害+1800点固定伤害,并附带魔法印记和并眩晕2秒</v>
      </c>
      <c r="BF1111" s="183" t="s">
        <v>2364</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2" customFormat="1" ht="20.100000000000001" customHeight="1">
      <c r="A1112" s="216"/>
      <c r="B1112" s="216"/>
      <c r="C1112" s="100">
        <v>64015304</v>
      </c>
      <c r="D1112" s="99" t="s">
        <v>2361</v>
      </c>
      <c r="E1112" s="99" t="s">
        <v>2362</v>
      </c>
      <c r="F1112" s="172">
        <v>3</v>
      </c>
      <c r="G1112" s="100">
        <v>64015301</v>
      </c>
      <c r="H1112" s="60">
        <v>0</v>
      </c>
      <c r="I1112" s="105">
        <v>0</v>
      </c>
      <c r="J1112" s="18">
        <v>0</v>
      </c>
      <c r="K1112" s="18">
        <v>0</v>
      </c>
      <c r="L1112" s="100">
        <v>0</v>
      </c>
      <c r="M1112" s="101">
        <v>0</v>
      </c>
      <c r="N1112" s="101">
        <v>0</v>
      </c>
      <c r="O1112" s="101">
        <v>1</v>
      </c>
      <c r="P1112" s="101">
        <v>0</v>
      </c>
      <c r="Q1112" s="101">
        <v>0</v>
      </c>
      <c r="R1112" s="101">
        <v>0</v>
      </c>
      <c r="S1112" s="106">
        <v>0</v>
      </c>
      <c r="T1112" s="101">
        <v>0</v>
      </c>
      <c r="U1112" s="101">
        <v>1</v>
      </c>
      <c r="V1112" s="101">
        <v>1</v>
      </c>
      <c r="W1112" s="101">
        <v>0</v>
      </c>
      <c r="X1112" s="18">
        <v>3</v>
      </c>
      <c r="Y1112" s="12">
        <v>0</v>
      </c>
      <c r="Z1112" s="18">
        <v>2800</v>
      </c>
      <c r="AA1112" s="101">
        <v>0</v>
      </c>
      <c r="AB1112" s="101">
        <v>0</v>
      </c>
      <c r="AC1112" s="101">
        <v>0</v>
      </c>
      <c r="AD1112" s="101">
        <v>0</v>
      </c>
      <c r="AE1112" s="101">
        <v>0</v>
      </c>
      <c r="AF1112" s="101">
        <v>9</v>
      </c>
      <c r="AG1112" s="101">
        <v>1</v>
      </c>
      <c r="AH1112" s="101">
        <v>4</v>
      </c>
      <c r="AI1112" s="106">
        <v>2</v>
      </c>
      <c r="AJ1112" s="106">
        <v>1</v>
      </c>
      <c r="AK1112" s="106">
        <v>0</v>
      </c>
      <c r="AL1112" s="106">
        <v>8</v>
      </c>
      <c r="AM1112" s="101">
        <v>0</v>
      </c>
      <c r="AN1112" s="101">
        <v>0</v>
      </c>
      <c r="AO1112" s="101">
        <v>0</v>
      </c>
      <c r="AP1112" s="100">
        <v>0.2</v>
      </c>
      <c r="AQ1112" s="101">
        <v>3000</v>
      </c>
      <c r="AR1112" s="101">
        <v>0.2</v>
      </c>
      <c r="AS1112" s="101">
        <v>0</v>
      </c>
      <c r="AT1112" s="106">
        <v>0</v>
      </c>
      <c r="AU1112" s="101">
        <v>95102005</v>
      </c>
      <c r="AV1112" s="355" t="s">
        <v>2176</v>
      </c>
      <c r="AW1112" s="19" t="s">
        <v>199</v>
      </c>
      <c r="AX1112" s="101" t="s">
        <v>545</v>
      </c>
      <c r="AY1112" s="100">
        <v>0</v>
      </c>
      <c r="AZ1112" s="100">
        <v>77005303</v>
      </c>
      <c r="BA1112" s="59" t="s">
        <v>315</v>
      </c>
      <c r="BB1112" s="60">
        <v>1</v>
      </c>
      <c r="BC1112" s="105">
        <v>0</v>
      </c>
      <c r="BD1112" s="105">
        <v>0</v>
      </c>
      <c r="BE1112" s="183" t="str">
        <f t="shared" si="127"/>
        <v>对目标区域立即造成300%攻击伤害+2800点固定伤害,并附带魔法印记和并眩晕2秒</v>
      </c>
      <c r="BF1112" s="183" t="s">
        <v>2365</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row>
    <row r="1113" spans="1:75" s="2" customFormat="1" ht="20.100000000000001" customHeight="1">
      <c r="A1113" s="216"/>
      <c r="B1113" s="216"/>
      <c r="C1113" s="100">
        <v>64015305</v>
      </c>
      <c r="D1113" s="99" t="s">
        <v>2361</v>
      </c>
      <c r="E1113" s="99" t="s">
        <v>2362</v>
      </c>
      <c r="F1113" s="172">
        <v>4</v>
      </c>
      <c r="G1113" s="100">
        <v>64015301</v>
      </c>
      <c r="H1113" s="60">
        <v>0</v>
      </c>
      <c r="I1113" s="105">
        <v>0</v>
      </c>
      <c r="J1113" s="18">
        <v>0</v>
      </c>
      <c r="K1113" s="18">
        <v>0</v>
      </c>
      <c r="L1113" s="100">
        <v>0</v>
      </c>
      <c r="M1113" s="101">
        <v>0</v>
      </c>
      <c r="N1113" s="101">
        <v>0</v>
      </c>
      <c r="O1113" s="101">
        <v>1</v>
      </c>
      <c r="P1113" s="101">
        <v>0</v>
      </c>
      <c r="Q1113" s="101">
        <v>0</v>
      </c>
      <c r="R1113" s="101">
        <v>0</v>
      </c>
      <c r="S1113" s="106">
        <v>0</v>
      </c>
      <c r="T1113" s="101">
        <v>0</v>
      </c>
      <c r="U1113" s="101">
        <v>1</v>
      </c>
      <c r="V1113" s="101">
        <v>1</v>
      </c>
      <c r="W1113" s="101">
        <v>0</v>
      </c>
      <c r="X1113" s="18">
        <v>3.25</v>
      </c>
      <c r="Y1113" s="12">
        <v>0</v>
      </c>
      <c r="Z1113" s="18">
        <v>4000</v>
      </c>
      <c r="AA1113" s="101">
        <v>0</v>
      </c>
      <c r="AB1113" s="101">
        <v>0</v>
      </c>
      <c r="AC1113" s="101">
        <v>0</v>
      </c>
      <c r="AD1113" s="101">
        <v>0</v>
      </c>
      <c r="AE1113" s="101">
        <v>0</v>
      </c>
      <c r="AF1113" s="101">
        <v>9</v>
      </c>
      <c r="AG1113" s="101">
        <v>1</v>
      </c>
      <c r="AH1113" s="101">
        <v>4</v>
      </c>
      <c r="AI1113" s="106">
        <v>2</v>
      </c>
      <c r="AJ1113" s="106">
        <v>1</v>
      </c>
      <c r="AK1113" s="106">
        <v>0</v>
      </c>
      <c r="AL1113" s="106">
        <v>8</v>
      </c>
      <c r="AM1113" s="101">
        <v>0</v>
      </c>
      <c r="AN1113" s="101">
        <v>0</v>
      </c>
      <c r="AO1113" s="101">
        <v>0</v>
      </c>
      <c r="AP1113" s="100">
        <v>0.2</v>
      </c>
      <c r="AQ1113" s="101">
        <v>3000</v>
      </c>
      <c r="AR1113" s="101">
        <v>0.2</v>
      </c>
      <c r="AS1113" s="101">
        <v>0</v>
      </c>
      <c r="AT1113" s="106">
        <v>0</v>
      </c>
      <c r="AU1113" s="101">
        <v>95102005</v>
      </c>
      <c r="AV1113" s="355" t="s">
        <v>2176</v>
      </c>
      <c r="AW1113" s="19" t="s">
        <v>199</v>
      </c>
      <c r="AX1113" s="101" t="s">
        <v>545</v>
      </c>
      <c r="AY1113" s="100">
        <v>0</v>
      </c>
      <c r="AZ1113" s="100">
        <v>77005303</v>
      </c>
      <c r="BA1113" s="59" t="s">
        <v>315</v>
      </c>
      <c r="BB1113" s="60">
        <v>1</v>
      </c>
      <c r="BC1113" s="105">
        <v>0</v>
      </c>
      <c r="BD1113" s="105">
        <v>0</v>
      </c>
      <c r="BE1113" s="183" t="str">
        <f t="shared" si="127"/>
        <v>对目标区域立即造成325%攻击伤害+4000点固定伤害,并附带魔法印记和并眩晕2秒</v>
      </c>
      <c r="BF1113" s="183" t="s">
        <v>2366</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row>
    <row r="1114" spans="1:75" s="2" customFormat="1" ht="19.5" customHeight="1">
      <c r="A1114" s="216"/>
      <c r="B1114" s="216"/>
      <c r="C1114" s="100">
        <v>64015306</v>
      </c>
      <c r="D1114" s="99" t="s">
        <v>2361</v>
      </c>
      <c r="E1114" s="99" t="s">
        <v>2362</v>
      </c>
      <c r="F1114" s="172">
        <v>5</v>
      </c>
      <c r="G1114" s="100">
        <v>64015301</v>
      </c>
      <c r="H1114" s="60">
        <v>0</v>
      </c>
      <c r="I1114" s="105">
        <v>0</v>
      </c>
      <c r="J1114" s="18">
        <v>0</v>
      </c>
      <c r="K1114" s="18">
        <v>0</v>
      </c>
      <c r="L1114" s="100">
        <v>0</v>
      </c>
      <c r="M1114" s="101">
        <v>0</v>
      </c>
      <c r="N1114" s="101">
        <v>0</v>
      </c>
      <c r="O1114" s="101">
        <v>1</v>
      </c>
      <c r="P1114" s="101">
        <v>0</v>
      </c>
      <c r="Q1114" s="101">
        <v>0</v>
      </c>
      <c r="R1114" s="101">
        <v>0</v>
      </c>
      <c r="S1114" s="106">
        <v>0</v>
      </c>
      <c r="T1114" s="101">
        <v>0</v>
      </c>
      <c r="U1114" s="101">
        <v>1</v>
      </c>
      <c r="V1114" s="101">
        <v>1</v>
      </c>
      <c r="W1114" s="101">
        <v>0</v>
      </c>
      <c r="X1114" s="18">
        <v>3.5</v>
      </c>
      <c r="Y1114" s="12">
        <v>0</v>
      </c>
      <c r="Z1114" s="18">
        <v>5200</v>
      </c>
      <c r="AA1114" s="101">
        <v>0</v>
      </c>
      <c r="AB1114" s="101">
        <v>0</v>
      </c>
      <c r="AC1114" s="101">
        <v>0</v>
      </c>
      <c r="AD1114" s="101">
        <v>0</v>
      </c>
      <c r="AE1114" s="101">
        <v>0</v>
      </c>
      <c r="AF1114" s="101">
        <v>9</v>
      </c>
      <c r="AG1114" s="101">
        <v>1</v>
      </c>
      <c r="AH1114" s="101">
        <v>4</v>
      </c>
      <c r="AI1114" s="106">
        <v>2</v>
      </c>
      <c r="AJ1114" s="106">
        <v>1</v>
      </c>
      <c r="AK1114" s="106">
        <v>0</v>
      </c>
      <c r="AL1114" s="106">
        <v>8</v>
      </c>
      <c r="AM1114" s="101">
        <v>0</v>
      </c>
      <c r="AN1114" s="101">
        <v>0</v>
      </c>
      <c r="AO1114" s="101">
        <v>0</v>
      </c>
      <c r="AP1114" s="100">
        <v>0.2</v>
      </c>
      <c r="AQ1114" s="101">
        <v>3000</v>
      </c>
      <c r="AR1114" s="101">
        <v>0.2</v>
      </c>
      <c r="AS1114" s="101">
        <v>0</v>
      </c>
      <c r="AT1114" s="106">
        <v>0</v>
      </c>
      <c r="AU1114" s="101">
        <v>95102005</v>
      </c>
      <c r="AV1114" s="355" t="s">
        <v>2176</v>
      </c>
      <c r="AW1114" s="19" t="s">
        <v>199</v>
      </c>
      <c r="AX1114" s="101" t="s">
        <v>545</v>
      </c>
      <c r="AY1114" s="100">
        <v>0</v>
      </c>
      <c r="AZ1114" s="100">
        <v>77005303</v>
      </c>
      <c r="BA1114" s="59" t="s">
        <v>315</v>
      </c>
      <c r="BB1114" s="60">
        <v>1</v>
      </c>
      <c r="BC1114" s="105">
        <v>0</v>
      </c>
      <c r="BD1114" s="105">
        <v>0</v>
      </c>
      <c r="BE1114" s="183" t="str">
        <f t="shared" si="127"/>
        <v>对目标区域立即造成350%攻击伤害+5200点固定伤害,并附带魔法印记和并眩晕2秒</v>
      </c>
      <c r="BF1114" s="183" t="s">
        <v>2367</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row>
    <row r="1115" spans="1:75" s="1" customFormat="1" ht="20.100000000000001" customHeight="1">
      <c r="A1115" s="215"/>
      <c r="B1115" s="215"/>
      <c r="C1115" s="64">
        <v>64015401</v>
      </c>
      <c r="D1115" s="59" t="s">
        <v>2368</v>
      </c>
      <c r="E1115" s="59" t="s">
        <v>2369</v>
      </c>
      <c r="F1115" s="172">
        <v>0</v>
      </c>
      <c r="G1115" s="64">
        <v>64015401</v>
      </c>
      <c r="H1115" s="60">
        <v>64015402</v>
      </c>
      <c r="I1115" s="66">
        <v>0</v>
      </c>
      <c r="J1115" s="16">
        <v>35</v>
      </c>
      <c r="K1115" s="18">
        <v>5</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5" t="s">
        <v>2371</v>
      </c>
      <c r="BC1115" s="66">
        <v>0</v>
      </c>
      <c r="BD1115" s="66">
        <v>0</v>
      </c>
      <c r="BE1115" s="90" t="s">
        <v>2372</v>
      </c>
      <c r="BF1115" s="90" t="s">
        <v>2373</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5"/>
      <c r="B1116" s="215"/>
      <c r="C1116" s="64">
        <v>64015402</v>
      </c>
      <c r="D1116" s="59" t="s">
        <v>2368</v>
      </c>
      <c r="E1116" s="59" t="s">
        <v>2369</v>
      </c>
      <c r="F1116" s="172">
        <v>1</v>
      </c>
      <c r="G1116" s="64">
        <v>64015401</v>
      </c>
      <c r="H1116" s="60">
        <v>64015403</v>
      </c>
      <c r="I1116" s="66">
        <v>0</v>
      </c>
      <c r="J1116" s="16">
        <v>42</v>
      </c>
      <c r="K1116" s="18">
        <v>2</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5" t="s">
        <v>2371</v>
      </c>
      <c r="BC1116" s="66">
        <v>0</v>
      </c>
      <c r="BD1116" s="66">
        <v>0</v>
      </c>
      <c r="BE1116" s="90" t="s">
        <v>2372</v>
      </c>
      <c r="BF1116" s="90" t="s">
        <v>2373</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5"/>
      <c r="B1117" s="215"/>
      <c r="C1117" s="64">
        <v>64015403</v>
      </c>
      <c r="D1117" s="59" t="s">
        <v>2368</v>
      </c>
      <c r="E1117" s="59" t="s">
        <v>2369</v>
      </c>
      <c r="F1117" s="172">
        <v>2</v>
      </c>
      <c r="G1117" s="64">
        <v>64015401</v>
      </c>
      <c r="H1117" s="60">
        <v>64015404</v>
      </c>
      <c r="I1117" s="66">
        <v>0</v>
      </c>
      <c r="J1117" s="16">
        <v>47</v>
      </c>
      <c r="K1117" s="18">
        <v>2</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5" t="s">
        <v>2374</v>
      </c>
      <c r="BC1117" s="66">
        <v>0</v>
      </c>
      <c r="BD1117" s="66">
        <v>0</v>
      </c>
      <c r="BE1117" s="90" t="s">
        <v>2375</v>
      </c>
      <c r="BF1117" s="90" t="s">
        <v>2376</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1" customFormat="1" ht="20.100000000000001" customHeight="1">
      <c r="A1118" s="215"/>
      <c r="B1118" s="215"/>
      <c r="C1118" s="64">
        <v>64015404</v>
      </c>
      <c r="D1118" s="59" t="s">
        <v>2368</v>
      </c>
      <c r="E1118" s="59" t="s">
        <v>2369</v>
      </c>
      <c r="F1118" s="172">
        <v>3</v>
      </c>
      <c r="G1118" s="64">
        <v>64015401</v>
      </c>
      <c r="H1118" s="60">
        <v>0</v>
      </c>
      <c r="I1118" s="66">
        <v>0</v>
      </c>
      <c r="J1118" s="18">
        <v>0</v>
      </c>
      <c r="K1118" s="18">
        <v>0</v>
      </c>
      <c r="L1118" s="64">
        <v>0</v>
      </c>
      <c r="M1118" s="60">
        <v>0</v>
      </c>
      <c r="N1118" s="60">
        <v>0</v>
      </c>
      <c r="O1118" s="60">
        <v>1</v>
      </c>
      <c r="P1118" s="60">
        <v>0</v>
      </c>
      <c r="Q1118" s="60">
        <v>0</v>
      </c>
      <c r="R1118" s="60">
        <v>0</v>
      </c>
      <c r="S1118" s="68">
        <v>0</v>
      </c>
      <c r="T1118" s="60">
        <v>0</v>
      </c>
      <c r="U1118" s="60">
        <v>1</v>
      </c>
      <c r="V1118" s="60">
        <v>1</v>
      </c>
      <c r="W1118" s="60">
        <v>0</v>
      </c>
      <c r="X1118" s="60">
        <v>0</v>
      </c>
      <c r="Y1118" s="12">
        <v>0</v>
      </c>
      <c r="Z1118" s="60">
        <v>0</v>
      </c>
      <c r="AA1118" s="60">
        <v>0</v>
      </c>
      <c r="AB1118" s="60">
        <v>0</v>
      </c>
      <c r="AC1118" s="60">
        <v>0</v>
      </c>
      <c r="AD1118" s="60">
        <v>0</v>
      </c>
      <c r="AE1118" s="60">
        <v>0</v>
      </c>
      <c r="AF1118" s="60">
        <v>30</v>
      </c>
      <c r="AG1118" s="60">
        <v>0</v>
      </c>
      <c r="AH1118" s="60">
        <v>0</v>
      </c>
      <c r="AI1118" s="68">
        <v>0</v>
      </c>
      <c r="AJ1118" s="68">
        <v>0</v>
      </c>
      <c r="AK1118" s="68">
        <v>0</v>
      </c>
      <c r="AL1118" s="68">
        <v>1.5</v>
      </c>
      <c r="AM1118" s="60">
        <v>0</v>
      </c>
      <c r="AN1118" s="60">
        <v>0</v>
      </c>
      <c r="AO1118" s="60">
        <v>0</v>
      </c>
      <c r="AP1118" s="64">
        <v>0.2</v>
      </c>
      <c r="AQ1118" s="60">
        <v>3000</v>
      </c>
      <c r="AR1118" s="60">
        <v>0.2</v>
      </c>
      <c r="AS1118" s="60">
        <v>0</v>
      </c>
      <c r="AT1118" s="68">
        <v>0</v>
      </c>
      <c r="AU1118" s="60">
        <v>0</v>
      </c>
      <c r="AV1118" s="60"/>
      <c r="AW1118" s="19" t="s">
        <v>199</v>
      </c>
      <c r="AX1118" s="60" t="s">
        <v>545</v>
      </c>
      <c r="AY1118" s="64">
        <v>0</v>
      </c>
      <c r="AZ1118" s="64">
        <v>0</v>
      </c>
      <c r="BA1118" s="59" t="s">
        <v>2370</v>
      </c>
      <c r="BB1118" s="355" t="s">
        <v>2377</v>
      </c>
      <c r="BC1118" s="66">
        <v>0</v>
      </c>
      <c r="BD1118" s="66">
        <v>0</v>
      </c>
      <c r="BE1118" s="90" t="s">
        <v>2378</v>
      </c>
      <c r="BF1118" s="90" t="s">
        <v>2379</v>
      </c>
      <c r="BG1118" s="60">
        <v>0</v>
      </c>
      <c r="BH1118" s="60">
        <v>0</v>
      </c>
      <c r="BI1118" s="60">
        <v>0</v>
      </c>
      <c r="BJ1118" s="60">
        <v>0</v>
      </c>
      <c r="BK1118" s="60">
        <v>0</v>
      </c>
      <c r="BL1118" s="60">
        <v>0</v>
      </c>
      <c r="BM1118" s="93">
        <v>0</v>
      </c>
      <c r="BN1118" s="68">
        <v>0</v>
      </c>
      <c r="BO1118" s="68">
        <v>0</v>
      </c>
      <c r="BP1118" s="68">
        <v>0</v>
      </c>
      <c r="BQ1118" s="68">
        <v>0</v>
      </c>
      <c r="BR1118" s="68">
        <v>0</v>
      </c>
      <c r="BS1118" s="68">
        <v>0</v>
      </c>
      <c r="BT1118" s="68">
        <v>0</v>
      </c>
      <c r="BU1118" s="68">
        <v>0</v>
      </c>
      <c r="BV1118" s="47"/>
      <c r="BW1118" s="47"/>
    </row>
    <row r="1119" spans="1:75" s="1" customFormat="1" ht="20.100000000000001" customHeight="1">
      <c r="A1119" s="215"/>
      <c r="B1119" s="215"/>
      <c r="C1119" s="64">
        <v>64015405</v>
      </c>
      <c r="D1119" s="59" t="s">
        <v>2368</v>
      </c>
      <c r="E1119" s="59" t="s">
        <v>2369</v>
      </c>
      <c r="F1119" s="172">
        <v>4</v>
      </c>
      <c r="G1119" s="64">
        <v>64015401</v>
      </c>
      <c r="H1119" s="60">
        <v>0</v>
      </c>
      <c r="I1119" s="66">
        <v>0</v>
      </c>
      <c r="J1119" s="18">
        <v>0</v>
      </c>
      <c r="K1119" s="18">
        <v>0</v>
      </c>
      <c r="L1119" s="64">
        <v>0</v>
      </c>
      <c r="M1119" s="60">
        <v>0</v>
      </c>
      <c r="N1119" s="60">
        <v>0</v>
      </c>
      <c r="O1119" s="60">
        <v>1</v>
      </c>
      <c r="P1119" s="60">
        <v>0</v>
      </c>
      <c r="Q1119" s="60">
        <v>0</v>
      </c>
      <c r="R1119" s="60">
        <v>0</v>
      </c>
      <c r="S1119" s="68">
        <v>0</v>
      </c>
      <c r="T1119" s="60">
        <v>0</v>
      </c>
      <c r="U1119" s="60">
        <v>1</v>
      </c>
      <c r="V1119" s="60">
        <v>1</v>
      </c>
      <c r="W1119" s="60">
        <v>0</v>
      </c>
      <c r="X1119" s="60">
        <v>0</v>
      </c>
      <c r="Y1119" s="12">
        <v>0</v>
      </c>
      <c r="Z1119" s="60">
        <v>0</v>
      </c>
      <c r="AA1119" s="60">
        <v>0</v>
      </c>
      <c r="AB1119" s="60">
        <v>0</v>
      </c>
      <c r="AC1119" s="60">
        <v>0</v>
      </c>
      <c r="AD1119" s="60">
        <v>0</v>
      </c>
      <c r="AE1119" s="60">
        <v>0</v>
      </c>
      <c r="AF1119" s="60">
        <v>30</v>
      </c>
      <c r="AG1119" s="60">
        <v>0</v>
      </c>
      <c r="AH1119" s="60">
        <v>0</v>
      </c>
      <c r="AI1119" s="68">
        <v>0</v>
      </c>
      <c r="AJ1119" s="68">
        <v>0</v>
      </c>
      <c r="AK1119" s="68">
        <v>0</v>
      </c>
      <c r="AL1119" s="68">
        <v>1.5</v>
      </c>
      <c r="AM1119" s="60">
        <v>0</v>
      </c>
      <c r="AN1119" s="60">
        <v>0</v>
      </c>
      <c r="AO1119" s="60">
        <v>0</v>
      </c>
      <c r="AP1119" s="64">
        <v>0.2</v>
      </c>
      <c r="AQ1119" s="60">
        <v>3000</v>
      </c>
      <c r="AR1119" s="60">
        <v>0.2</v>
      </c>
      <c r="AS1119" s="60">
        <v>0</v>
      </c>
      <c r="AT1119" s="68">
        <v>0</v>
      </c>
      <c r="AU1119" s="60">
        <v>0</v>
      </c>
      <c r="AV1119" s="60"/>
      <c r="AW1119" s="19" t="s">
        <v>199</v>
      </c>
      <c r="AX1119" s="60" t="s">
        <v>545</v>
      </c>
      <c r="AY1119" s="64">
        <v>0</v>
      </c>
      <c r="AZ1119" s="64">
        <v>0</v>
      </c>
      <c r="BA1119" s="59" t="s">
        <v>2370</v>
      </c>
      <c r="BB1119" s="355" t="s">
        <v>2380</v>
      </c>
      <c r="BC1119" s="66">
        <v>0</v>
      </c>
      <c r="BD1119" s="66">
        <v>0</v>
      </c>
      <c r="BE1119" s="90" t="s">
        <v>2381</v>
      </c>
      <c r="BF1119" s="90" t="s">
        <v>2382</v>
      </c>
      <c r="BG1119" s="60">
        <v>0</v>
      </c>
      <c r="BH1119" s="60">
        <v>0</v>
      </c>
      <c r="BI1119" s="60">
        <v>0</v>
      </c>
      <c r="BJ1119" s="60">
        <v>0</v>
      </c>
      <c r="BK1119" s="60">
        <v>0</v>
      </c>
      <c r="BL1119" s="60">
        <v>0</v>
      </c>
      <c r="BM1119" s="93">
        <v>0</v>
      </c>
      <c r="BN1119" s="68">
        <v>0</v>
      </c>
      <c r="BO1119" s="68">
        <v>0</v>
      </c>
      <c r="BP1119" s="68">
        <v>0</v>
      </c>
      <c r="BQ1119" s="68">
        <v>0</v>
      </c>
      <c r="BR1119" s="68">
        <v>0</v>
      </c>
      <c r="BS1119" s="68">
        <v>0</v>
      </c>
      <c r="BT1119" s="68">
        <v>0</v>
      </c>
      <c r="BU1119" s="68">
        <v>0</v>
      </c>
      <c r="BV1119" s="47"/>
      <c r="BW1119" s="47"/>
    </row>
    <row r="1120" spans="1:75" s="1" customFormat="1" ht="20.100000000000001" customHeight="1">
      <c r="A1120" s="215"/>
      <c r="B1120" s="215"/>
      <c r="C1120" s="64">
        <v>64015406</v>
      </c>
      <c r="D1120" s="59" t="s">
        <v>2368</v>
      </c>
      <c r="E1120" s="59" t="s">
        <v>2369</v>
      </c>
      <c r="F1120" s="172">
        <v>5</v>
      </c>
      <c r="G1120" s="64">
        <v>64015401</v>
      </c>
      <c r="H1120" s="60">
        <v>0</v>
      </c>
      <c r="I1120" s="66">
        <v>0</v>
      </c>
      <c r="J1120" s="18">
        <v>0</v>
      </c>
      <c r="K1120" s="18">
        <v>0</v>
      </c>
      <c r="L1120" s="64">
        <v>0</v>
      </c>
      <c r="M1120" s="60">
        <v>0</v>
      </c>
      <c r="N1120" s="60">
        <v>0</v>
      </c>
      <c r="O1120" s="60">
        <v>1</v>
      </c>
      <c r="P1120" s="60">
        <v>0</v>
      </c>
      <c r="Q1120" s="60">
        <v>0</v>
      </c>
      <c r="R1120" s="60">
        <v>0</v>
      </c>
      <c r="S1120" s="68">
        <v>0</v>
      </c>
      <c r="T1120" s="60">
        <v>0</v>
      </c>
      <c r="U1120" s="60">
        <v>1</v>
      </c>
      <c r="V1120" s="60">
        <v>1</v>
      </c>
      <c r="W1120" s="60">
        <v>0</v>
      </c>
      <c r="X1120" s="60">
        <v>0</v>
      </c>
      <c r="Y1120" s="12">
        <v>0</v>
      </c>
      <c r="Z1120" s="60">
        <v>0</v>
      </c>
      <c r="AA1120" s="60">
        <v>0</v>
      </c>
      <c r="AB1120" s="60">
        <v>0</v>
      </c>
      <c r="AC1120" s="60">
        <v>0</v>
      </c>
      <c r="AD1120" s="60">
        <v>0</v>
      </c>
      <c r="AE1120" s="60">
        <v>0</v>
      </c>
      <c r="AF1120" s="60">
        <v>30</v>
      </c>
      <c r="AG1120" s="60">
        <v>0</v>
      </c>
      <c r="AH1120" s="60">
        <v>0</v>
      </c>
      <c r="AI1120" s="68">
        <v>0</v>
      </c>
      <c r="AJ1120" s="68">
        <v>0</v>
      </c>
      <c r="AK1120" s="68">
        <v>0</v>
      </c>
      <c r="AL1120" s="68">
        <v>1.5</v>
      </c>
      <c r="AM1120" s="60">
        <v>0</v>
      </c>
      <c r="AN1120" s="60">
        <v>0</v>
      </c>
      <c r="AO1120" s="60">
        <v>0</v>
      </c>
      <c r="AP1120" s="64">
        <v>0.2</v>
      </c>
      <c r="AQ1120" s="60">
        <v>3000</v>
      </c>
      <c r="AR1120" s="60">
        <v>0.2</v>
      </c>
      <c r="AS1120" s="60">
        <v>0</v>
      </c>
      <c r="AT1120" s="68">
        <v>0</v>
      </c>
      <c r="AU1120" s="60">
        <v>0</v>
      </c>
      <c r="AV1120" s="60"/>
      <c r="AW1120" s="19" t="s">
        <v>199</v>
      </c>
      <c r="AX1120" s="60" t="s">
        <v>545</v>
      </c>
      <c r="AY1120" s="64">
        <v>0</v>
      </c>
      <c r="AZ1120" s="64">
        <v>0</v>
      </c>
      <c r="BA1120" s="59" t="s">
        <v>2370</v>
      </c>
      <c r="BB1120" s="355" t="s">
        <v>2383</v>
      </c>
      <c r="BC1120" s="66">
        <v>0</v>
      </c>
      <c r="BD1120" s="66">
        <v>0</v>
      </c>
      <c r="BE1120" s="90" t="s">
        <v>2384</v>
      </c>
      <c r="BF1120" s="90" t="s">
        <v>2385</v>
      </c>
      <c r="BG1120" s="60">
        <v>0</v>
      </c>
      <c r="BH1120" s="60">
        <v>0</v>
      </c>
      <c r="BI1120" s="60">
        <v>0</v>
      </c>
      <c r="BJ1120" s="60">
        <v>0</v>
      </c>
      <c r="BK1120" s="60">
        <v>0</v>
      </c>
      <c r="BL1120" s="60">
        <v>0</v>
      </c>
      <c r="BM1120" s="93">
        <v>0</v>
      </c>
      <c r="BN1120" s="68">
        <v>0</v>
      </c>
      <c r="BO1120" s="68">
        <v>0</v>
      </c>
      <c r="BP1120" s="68">
        <v>0</v>
      </c>
      <c r="BQ1120" s="68">
        <v>0</v>
      </c>
      <c r="BR1120" s="68">
        <v>0</v>
      </c>
      <c r="BS1120" s="68">
        <v>0</v>
      </c>
      <c r="BT1120" s="68">
        <v>0</v>
      </c>
      <c r="BU1120" s="68">
        <v>0</v>
      </c>
      <c r="BV1120" s="47"/>
      <c r="BW1120" s="47"/>
    </row>
    <row r="1121" spans="1:75" s="3" customFormat="1" ht="20.100000000000001" customHeight="1">
      <c r="A1121" s="217"/>
      <c r="B1121" s="217"/>
      <c r="C1121" s="218">
        <v>64015501</v>
      </c>
      <c r="D1121" s="219" t="s">
        <v>600</v>
      </c>
      <c r="E1121" s="220" t="s">
        <v>601</v>
      </c>
      <c r="F1121" s="221">
        <v>1</v>
      </c>
      <c r="G1121" s="222">
        <v>63021101</v>
      </c>
      <c r="H1121" s="218">
        <v>0</v>
      </c>
      <c r="I1121" s="223">
        <v>0</v>
      </c>
      <c r="J1121" s="218">
        <v>1</v>
      </c>
      <c r="K1121" s="222">
        <v>0</v>
      </c>
      <c r="L1121" s="218">
        <v>0</v>
      </c>
      <c r="M1121" s="222">
        <v>0</v>
      </c>
      <c r="N1121" s="222">
        <v>0</v>
      </c>
      <c r="O1121" s="222">
        <v>1</v>
      </c>
      <c r="P1121" s="222">
        <v>0</v>
      </c>
      <c r="Q1121" s="222">
        <v>0</v>
      </c>
      <c r="R1121" s="222">
        <v>0</v>
      </c>
      <c r="S1121" s="224">
        <v>0</v>
      </c>
      <c r="T1121" s="222">
        <v>0</v>
      </c>
      <c r="U1121" s="222">
        <v>1</v>
      </c>
      <c r="V1121" s="222">
        <v>1</v>
      </c>
      <c r="W1121" s="222">
        <v>0</v>
      </c>
      <c r="X1121" s="222">
        <v>0</v>
      </c>
      <c r="Y1121" s="12">
        <v>0</v>
      </c>
      <c r="Z1121" s="222">
        <v>0</v>
      </c>
      <c r="AA1121" s="222">
        <v>0</v>
      </c>
      <c r="AB1121" s="222">
        <v>0</v>
      </c>
      <c r="AC1121" s="222">
        <v>0</v>
      </c>
      <c r="AD1121" s="222">
        <v>0</v>
      </c>
      <c r="AE1121" s="222">
        <v>0</v>
      </c>
      <c r="AF1121" s="222">
        <v>24</v>
      </c>
      <c r="AG1121" s="222">
        <v>0</v>
      </c>
      <c r="AH1121" s="222">
        <v>0</v>
      </c>
      <c r="AI1121" s="224">
        <v>0</v>
      </c>
      <c r="AJ1121" s="224">
        <v>0</v>
      </c>
      <c r="AK1121" s="224">
        <v>0</v>
      </c>
      <c r="AL1121" s="224">
        <v>1.5</v>
      </c>
      <c r="AM1121" s="222">
        <v>0</v>
      </c>
      <c r="AN1121" s="222">
        <v>0</v>
      </c>
      <c r="AO1121" s="222">
        <v>0</v>
      </c>
      <c r="AP1121" s="218">
        <v>0.2</v>
      </c>
      <c r="AQ1121" s="222">
        <v>3000</v>
      </c>
      <c r="AR1121" s="222">
        <v>0.2</v>
      </c>
      <c r="AS1121" s="222">
        <v>0</v>
      </c>
      <c r="AT1121" s="224">
        <v>0</v>
      </c>
      <c r="AU1121" s="222" t="s">
        <v>198</v>
      </c>
      <c r="AV1121" s="222"/>
      <c r="AW1121" s="219" t="s">
        <v>198</v>
      </c>
      <c r="AX1121" s="222" t="s">
        <v>545</v>
      </c>
      <c r="AY1121" s="218">
        <v>0</v>
      </c>
      <c r="AZ1121" s="218">
        <v>0</v>
      </c>
      <c r="BA1121" s="219" t="s">
        <v>2386</v>
      </c>
      <c r="BB1121" s="358" t="s">
        <v>2387</v>
      </c>
      <c r="BC1121" s="223">
        <v>0</v>
      </c>
      <c r="BD1121" s="223">
        <v>0</v>
      </c>
      <c r="BE1121" s="228" t="s">
        <v>2388</v>
      </c>
      <c r="BF1121" s="228" t="s">
        <v>2389</v>
      </c>
      <c r="BG1121" s="222">
        <v>0</v>
      </c>
      <c r="BH1121" s="222">
        <v>0</v>
      </c>
      <c r="BI1121" s="222">
        <v>0</v>
      </c>
      <c r="BJ1121" s="222">
        <v>0</v>
      </c>
      <c r="BK1121" s="222">
        <v>0</v>
      </c>
      <c r="BL1121" s="222">
        <v>0</v>
      </c>
      <c r="BM1121" s="221">
        <v>0</v>
      </c>
      <c r="BN1121" s="224">
        <v>0</v>
      </c>
      <c r="BO1121" s="224">
        <v>0</v>
      </c>
      <c r="BP1121" s="224">
        <v>0</v>
      </c>
      <c r="BQ1121" s="224">
        <v>0</v>
      </c>
      <c r="BR1121" s="224">
        <v>0</v>
      </c>
      <c r="BS1121" s="224">
        <v>0</v>
      </c>
      <c r="BT1121" s="224">
        <v>0</v>
      </c>
      <c r="BU1121" s="224">
        <v>0</v>
      </c>
      <c r="BV1121" s="47"/>
      <c r="BW1121" s="47"/>
    </row>
    <row r="1122" spans="1:75" s="3" customFormat="1" ht="20.100000000000001" customHeight="1">
      <c r="C1122" s="218">
        <v>64015601</v>
      </c>
      <c r="D1122" s="226" t="s">
        <v>2390</v>
      </c>
      <c r="E1122" s="226" t="s">
        <v>2391</v>
      </c>
      <c r="F1122" s="222">
        <v>1</v>
      </c>
      <c r="G1122" s="222">
        <v>0</v>
      </c>
      <c r="H1122" s="218">
        <v>0</v>
      </c>
      <c r="I1122" s="223">
        <v>0</v>
      </c>
      <c r="J1122" s="222">
        <v>1</v>
      </c>
      <c r="K1122" s="222">
        <v>0</v>
      </c>
      <c r="L1122" s="222">
        <v>0</v>
      </c>
      <c r="M1122" s="218">
        <v>0</v>
      </c>
      <c r="N1122" s="218">
        <v>0</v>
      </c>
      <c r="O1122" s="218">
        <v>2</v>
      </c>
      <c r="P1122" s="218">
        <v>16</v>
      </c>
      <c r="Q1122" s="218">
        <v>10</v>
      </c>
      <c r="R1122" s="218">
        <v>0</v>
      </c>
      <c r="S1122" s="224">
        <v>0</v>
      </c>
      <c r="T1122" s="223">
        <v>0</v>
      </c>
      <c r="U1122" s="222">
        <v>1</v>
      </c>
      <c r="V1122" s="218">
        <v>2</v>
      </c>
      <c r="W1122" s="218">
        <v>0</v>
      </c>
      <c r="X1122" s="218">
        <v>2.6</v>
      </c>
      <c r="Y1122" s="12">
        <v>0</v>
      </c>
      <c r="Z1122" s="218">
        <v>0</v>
      </c>
      <c r="AA1122" s="218">
        <v>1</v>
      </c>
      <c r="AB1122" s="218">
        <v>0</v>
      </c>
      <c r="AC1122" s="218">
        <v>0</v>
      </c>
      <c r="AD1122" s="218">
        <v>0</v>
      </c>
      <c r="AE1122" s="218">
        <v>0</v>
      </c>
      <c r="AF1122" s="218">
        <v>0</v>
      </c>
      <c r="AG1122" s="218">
        <v>2</v>
      </c>
      <c r="AH1122" s="218" t="s">
        <v>213</v>
      </c>
      <c r="AI1122" s="224">
        <v>0</v>
      </c>
      <c r="AJ1122" s="224">
        <v>2</v>
      </c>
      <c r="AK1122" s="224">
        <v>0</v>
      </c>
      <c r="AL1122" s="224">
        <v>3</v>
      </c>
      <c r="AM1122" s="218">
        <v>0</v>
      </c>
      <c r="AN1122" s="218">
        <v>0</v>
      </c>
      <c r="AO1122" s="218">
        <v>0</v>
      </c>
      <c r="AP1122" s="218">
        <v>1</v>
      </c>
      <c r="AQ1122" s="218">
        <v>2000</v>
      </c>
      <c r="AR1122" s="218">
        <v>1</v>
      </c>
      <c r="AS1122" s="218">
        <v>0</v>
      </c>
      <c r="AT1122" s="224">
        <v>0</v>
      </c>
      <c r="AU1122" s="218">
        <v>95103003</v>
      </c>
      <c r="AV1122" s="218"/>
      <c r="AW1122" s="226" t="s">
        <v>287</v>
      </c>
      <c r="AX1122" s="218" t="s">
        <v>534</v>
      </c>
      <c r="AY1122" s="218">
        <v>10000015</v>
      </c>
      <c r="AZ1122" s="218">
        <v>77005304</v>
      </c>
      <c r="BA1122" s="219" t="s">
        <v>200</v>
      </c>
      <c r="BB1122" s="226">
        <v>0</v>
      </c>
      <c r="BC1122" s="223">
        <v>0</v>
      </c>
      <c r="BD1122" s="223">
        <v>0</v>
      </c>
      <c r="BE1122" s="235" t="s">
        <v>2392</v>
      </c>
      <c r="BF1122" s="235" t="s">
        <v>2393</v>
      </c>
      <c r="BG1122" s="218">
        <v>0</v>
      </c>
      <c r="BH1122" s="222">
        <v>0</v>
      </c>
      <c r="BI1122" s="218">
        <v>0</v>
      </c>
      <c r="BJ1122" s="218">
        <v>0</v>
      </c>
      <c r="BK1122" s="218">
        <v>0</v>
      </c>
      <c r="BL1122" s="218">
        <v>0</v>
      </c>
      <c r="BM1122" s="221">
        <v>0</v>
      </c>
      <c r="BN1122" s="224">
        <v>1</v>
      </c>
      <c r="BO1122" s="224">
        <v>0</v>
      </c>
      <c r="BP1122" s="224">
        <v>0</v>
      </c>
      <c r="BQ1122" s="224">
        <v>0</v>
      </c>
      <c r="BR1122" s="224">
        <v>0</v>
      </c>
      <c r="BS1122" s="224">
        <v>0</v>
      </c>
      <c r="BT1122" s="224">
        <v>0</v>
      </c>
      <c r="BU1122" s="224">
        <v>0</v>
      </c>
      <c r="BV1122" s="47"/>
      <c r="BW1122" s="47"/>
    </row>
    <row r="1123" spans="1:75" s="3" customFormat="1" ht="19.5" customHeight="1">
      <c r="A1123" s="217"/>
      <c r="B1123" s="217"/>
      <c r="C1123" s="218">
        <v>64015602</v>
      </c>
      <c r="D1123" s="219" t="s">
        <v>1265</v>
      </c>
      <c r="E1123" s="219" t="s">
        <v>1266</v>
      </c>
      <c r="F1123" s="222">
        <v>1</v>
      </c>
      <c r="G1123" s="222">
        <v>0</v>
      </c>
      <c r="H1123" s="222">
        <v>0</v>
      </c>
      <c r="I1123" s="223">
        <v>0</v>
      </c>
      <c r="J1123" s="218">
        <v>1</v>
      </c>
      <c r="K1123" s="218">
        <v>0</v>
      </c>
      <c r="L1123" s="218">
        <v>0</v>
      </c>
      <c r="M1123" s="222">
        <v>0</v>
      </c>
      <c r="N1123" s="222">
        <v>0</v>
      </c>
      <c r="O1123" s="222">
        <v>2</v>
      </c>
      <c r="P1123" s="222">
        <v>1</v>
      </c>
      <c r="Q1123" s="222">
        <v>0.2</v>
      </c>
      <c r="R1123" s="222">
        <v>0</v>
      </c>
      <c r="S1123" s="224">
        <v>0</v>
      </c>
      <c r="T1123" s="222">
        <v>0</v>
      </c>
      <c r="U1123" s="222">
        <v>1</v>
      </c>
      <c r="V1123" s="222">
        <v>1</v>
      </c>
      <c r="W1123" s="222">
        <v>0</v>
      </c>
      <c r="X1123" s="222">
        <v>0</v>
      </c>
      <c r="Y1123" s="12">
        <v>0</v>
      </c>
      <c r="Z1123" s="222">
        <v>0</v>
      </c>
      <c r="AA1123" s="222">
        <v>1</v>
      </c>
      <c r="AB1123" s="222">
        <v>0</v>
      </c>
      <c r="AC1123" s="222">
        <v>0</v>
      </c>
      <c r="AD1123" s="222">
        <v>0</v>
      </c>
      <c r="AE1123" s="222">
        <v>1</v>
      </c>
      <c r="AF1123" s="222">
        <v>12</v>
      </c>
      <c r="AG1123" s="222">
        <v>2</v>
      </c>
      <c r="AH1123" s="222" t="s">
        <v>213</v>
      </c>
      <c r="AI1123" s="224">
        <v>0</v>
      </c>
      <c r="AJ1123" s="224">
        <v>2</v>
      </c>
      <c r="AK1123" s="224">
        <v>0</v>
      </c>
      <c r="AL1123" s="224">
        <v>1.5</v>
      </c>
      <c r="AM1123" s="222">
        <v>0</v>
      </c>
      <c r="AN1123" s="222">
        <v>0</v>
      </c>
      <c r="AO1123" s="222">
        <v>0</v>
      </c>
      <c r="AP1123" s="222">
        <v>0.3</v>
      </c>
      <c r="AQ1123" s="222">
        <v>300</v>
      </c>
      <c r="AR1123" s="222">
        <v>0</v>
      </c>
      <c r="AS1123" s="222">
        <v>15</v>
      </c>
      <c r="AT1123" s="224">
        <v>0</v>
      </c>
      <c r="AU1123" s="225">
        <v>0</v>
      </c>
      <c r="AV1123" s="225"/>
      <c r="AW1123" s="219" t="s">
        <v>198</v>
      </c>
      <c r="AX1123" s="222" t="s">
        <v>215</v>
      </c>
      <c r="AY1123" s="218">
        <v>0</v>
      </c>
      <c r="AZ1123" s="218">
        <v>0</v>
      </c>
      <c r="BA1123" s="232" t="s">
        <v>216</v>
      </c>
      <c r="BB1123" s="222">
        <v>1</v>
      </c>
      <c r="BC1123" s="223">
        <v>0</v>
      </c>
      <c r="BD1123" s="223">
        <v>0</v>
      </c>
      <c r="BE1123" s="228" t="s">
        <v>2394</v>
      </c>
      <c r="BF1123" s="228" t="s">
        <v>2395</v>
      </c>
      <c r="BG1123" s="222">
        <v>0</v>
      </c>
      <c r="BH1123" s="222">
        <v>0</v>
      </c>
      <c r="BI1123" s="222">
        <v>0</v>
      </c>
      <c r="BJ1123" s="222">
        <v>0</v>
      </c>
      <c r="BK1123" s="222">
        <v>0</v>
      </c>
      <c r="BL1123" s="222">
        <v>0</v>
      </c>
      <c r="BM1123" s="221">
        <v>0</v>
      </c>
      <c r="BN1123" s="224">
        <v>0</v>
      </c>
      <c r="BO1123" s="224">
        <v>0</v>
      </c>
      <c r="BP1123" s="224">
        <v>0</v>
      </c>
      <c r="BQ1123" s="224">
        <v>0</v>
      </c>
      <c r="BR1123" s="224">
        <v>0</v>
      </c>
      <c r="BS1123" s="224">
        <v>1</v>
      </c>
      <c r="BT1123" s="224">
        <v>64015603</v>
      </c>
      <c r="BU1123" s="224">
        <v>0</v>
      </c>
      <c r="BV1123" s="47"/>
      <c r="BW1123" s="47"/>
    </row>
    <row r="1124" spans="1:75" s="3" customFormat="1" ht="19.5" customHeight="1">
      <c r="A1124" s="217"/>
      <c r="B1124" s="217"/>
      <c r="C1124" s="218">
        <v>64015603</v>
      </c>
      <c r="D1124" s="226" t="s">
        <v>1265</v>
      </c>
      <c r="E1124" s="226" t="s">
        <v>1266</v>
      </c>
      <c r="F1124" s="222">
        <v>1</v>
      </c>
      <c r="G1124" s="222">
        <v>0</v>
      </c>
      <c r="H1124" s="218">
        <v>0</v>
      </c>
      <c r="I1124" s="223">
        <v>0</v>
      </c>
      <c r="J1124" s="222">
        <v>1</v>
      </c>
      <c r="K1124" s="222">
        <v>0</v>
      </c>
      <c r="L1124" s="222">
        <v>0</v>
      </c>
      <c r="M1124" s="218">
        <v>0</v>
      </c>
      <c r="N1124" s="218">
        <v>0</v>
      </c>
      <c r="O1124" s="218">
        <v>2</v>
      </c>
      <c r="P1124" s="218">
        <v>1</v>
      </c>
      <c r="Q1124" s="218">
        <v>1</v>
      </c>
      <c r="R1124" s="218">
        <v>0</v>
      </c>
      <c r="S1124" s="224">
        <v>0</v>
      </c>
      <c r="T1124" s="223">
        <v>0</v>
      </c>
      <c r="U1124" s="222">
        <v>1</v>
      </c>
      <c r="V1124" s="218">
        <v>1</v>
      </c>
      <c r="W1124" s="218">
        <v>0</v>
      </c>
      <c r="X1124" s="218">
        <v>1.5</v>
      </c>
      <c r="Y1124" s="12">
        <v>0</v>
      </c>
      <c r="Z1124" s="218">
        <v>0</v>
      </c>
      <c r="AA1124" s="218">
        <v>1</v>
      </c>
      <c r="AB1124" s="218">
        <v>0</v>
      </c>
      <c r="AC1124" s="218">
        <v>0</v>
      </c>
      <c r="AD1124" s="218">
        <v>0</v>
      </c>
      <c r="AE1124" s="218">
        <v>0</v>
      </c>
      <c r="AF1124" s="218">
        <v>0</v>
      </c>
      <c r="AG1124" s="218">
        <v>1</v>
      </c>
      <c r="AH1124" s="234">
        <v>4</v>
      </c>
      <c r="AI1124" s="224">
        <v>0</v>
      </c>
      <c r="AJ1124" s="224">
        <v>1</v>
      </c>
      <c r="AK1124" s="224">
        <v>0</v>
      </c>
      <c r="AL1124" s="224">
        <v>5</v>
      </c>
      <c r="AM1124" s="218">
        <v>0</v>
      </c>
      <c r="AN1124" s="218">
        <v>1</v>
      </c>
      <c r="AO1124" s="218">
        <v>0</v>
      </c>
      <c r="AP1124" s="218">
        <v>0.6</v>
      </c>
      <c r="AQ1124" s="218">
        <v>2000</v>
      </c>
      <c r="AR1124" s="218">
        <v>0.6</v>
      </c>
      <c r="AS1124" s="218">
        <v>0</v>
      </c>
      <c r="AT1124" s="224">
        <v>0</v>
      </c>
      <c r="AU1124" s="218">
        <v>95103001</v>
      </c>
      <c r="AV1124" s="218"/>
      <c r="AW1124" s="226" t="s">
        <v>287</v>
      </c>
      <c r="AX1124" s="218" t="s">
        <v>545</v>
      </c>
      <c r="AY1124" s="218">
        <v>10001005</v>
      </c>
      <c r="AZ1124" s="218">
        <v>77005305</v>
      </c>
      <c r="BA1124" s="226" t="s">
        <v>200</v>
      </c>
      <c r="BB1124" s="226">
        <v>0</v>
      </c>
      <c r="BC1124" s="223">
        <v>0</v>
      </c>
      <c r="BD1124" s="223">
        <v>0</v>
      </c>
      <c r="BE1124" s="235" t="s">
        <v>1269</v>
      </c>
      <c r="BF1124" s="235" t="s">
        <v>1270</v>
      </c>
      <c r="BG1124" s="218">
        <v>0</v>
      </c>
      <c r="BH1124" s="222">
        <v>0</v>
      </c>
      <c r="BI1124" s="218">
        <v>0</v>
      </c>
      <c r="BJ1124" s="218">
        <v>0</v>
      </c>
      <c r="BK1124" s="218">
        <v>0</v>
      </c>
      <c r="BL1124" s="218">
        <v>0</v>
      </c>
      <c r="BM1124" s="221">
        <v>0</v>
      </c>
      <c r="BN1124" s="224">
        <v>0</v>
      </c>
      <c r="BO1124" s="224">
        <v>0</v>
      </c>
      <c r="BP1124" s="224">
        <v>0</v>
      </c>
      <c r="BQ1124" s="224">
        <v>0</v>
      </c>
      <c r="BR1124" s="224">
        <v>0</v>
      </c>
      <c r="BS1124" s="224">
        <v>0</v>
      </c>
      <c r="BT1124" s="224">
        <v>0</v>
      </c>
      <c r="BU1124" s="224">
        <v>0</v>
      </c>
      <c r="BV1124" s="47"/>
      <c r="BW1124" s="47"/>
    </row>
    <row r="1125" spans="1:75" ht="20.100000000000001" customHeight="1">
      <c r="C1125" s="12">
        <v>65011101</v>
      </c>
      <c r="D1125" s="13" t="s">
        <v>1443</v>
      </c>
      <c r="E1125" s="13" t="s">
        <v>1444</v>
      </c>
      <c r="F1125" s="12">
        <v>0</v>
      </c>
      <c r="G1125" s="12">
        <v>65011101</v>
      </c>
      <c r="H1125" s="12">
        <v>65011102</v>
      </c>
      <c r="I1125" s="12">
        <v>0</v>
      </c>
      <c r="J1125" s="12">
        <v>1</v>
      </c>
      <c r="K1125" s="12">
        <v>5</v>
      </c>
      <c r="L1125" s="12">
        <v>0</v>
      </c>
      <c r="M1125" s="12">
        <v>0</v>
      </c>
      <c r="N1125" s="12">
        <v>0</v>
      </c>
      <c r="O1125" s="12">
        <v>1</v>
      </c>
      <c r="P1125" s="12">
        <v>0</v>
      </c>
      <c r="Q1125" s="12">
        <v>0</v>
      </c>
      <c r="R1125" s="12">
        <v>0</v>
      </c>
      <c r="S1125" s="12">
        <v>0</v>
      </c>
      <c r="T1125" s="12">
        <v>0</v>
      </c>
      <c r="U1125" s="12">
        <v>1</v>
      </c>
      <c r="V1125" s="12">
        <v>2</v>
      </c>
      <c r="W1125" s="12">
        <v>0</v>
      </c>
      <c r="X1125" s="12">
        <v>2.5</v>
      </c>
      <c r="Y1125" s="12">
        <v>0</v>
      </c>
      <c r="Z1125" s="12">
        <v>1000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"在目标区域召唤巨刃造成"&amp;X1125*100&amp;"%攻击伤害+"&amp;Z1125&amp;"点固定伤害,随后在技能范围中的敌人每秒受到120%攻击伤害+"&amp;BR1125&amp;"点伤害,并使目标置空1秒"</f>
        <v>在目标区域召唤巨刃造成250%攻击伤害+1000点固定伤害,随后在技能范围中的敌人每秒受到120%攻击伤害+500点伤害,并使目标置空1秒</v>
      </c>
      <c r="BF1125" s="184" t="s">
        <v>2396</v>
      </c>
      <c r="BG1125" s="12">
        <v>0</v>
      </c>
      <c r="BH1125" s="12">
        <v>0</v>
      </c>
      <c r="BI1125" s="12">
        <v>0</v>
      </c>
      <c r="BJ1125" s="12">
        <v>0</v>
      </c>
      <c r="BK1125" s="12">
        <v>0</v>
      </c>
      <c r="BL1125" s="12">
        <v>0</v>
      </c>
      <c r="BM1125" s="185">
        <v>0</v>
      </c>
      <c r="BN1125" s="12">
        <v>0</v>
      </c>
      <c r="BO1125" s="12">
        <v>0</v>
      </c>
      <c r="BP1125" s="12">
        <v>1000</v>
      </c>
      <c r="BQ1125" s="12">
        <v>1.2</v>
      </c>
      <c r="BR1125" s="12">
        <v>500</v>
      </c>
      <c r="BS1125" s="12">
        <v>0</v>
      </c>
      <c r="BT1125" s="12">
        <v>0</v>
      </c>
      <c r="BU1125" s="47">
        <v>0</v>
      </c>
      <c r="BV1125" s="47"/>
      <c r="BW1125" s="47"/>
    </row>
    <row r="1126" spans="1:75" ht="20.100000000000001" customHeight="1">
      <c r="C1126" s="12">
        <v>65011102</v>
      </c>
      <c r="D1126" s="13" t="s">
        <v>1443</v>
      </c>
      <c r="E1126" s="13" t="s">
        <v>1444</v>
      </c>
      <c r="F1126" s="12">
        <v>1</v>
      </c>
      <c r="G1126" s="12">
        <v>65011101</v>
      </c>
      <c r="H1126" s="12">
        <v>65011103</v>
      </c>
      <c r="I1126" s="12">
        <v>0</v>
      </c>
      <c r="J1126" s="12">
        <v>1</v>
      </c>
      <c r="K1126" s="12">
        <v>2</v>
      </c>
      <c r="L1126" s="12">
        <v>0</v>
      </c>
      <c r="M1126" s="12">
        <v>0</v>
      </c>
      <c r="N1126" s="12">
        <v>0</v>
      </c>
      <c r="O1126" s="12">
        <v>1</v>
      </c>
      <c r="P1126" s="12">
        <v>0</v>
      </c>
      <c r="Q1126" s="12">
        <v>0</v>
      </c>
      <c r="R1126" s="12">
        <v>0</v>
      </c>
      <c r="S1126" s="12">
        <v>0</v>
      </c>
      <c r="T1126" s="12">
        <v>0</v>
      </c>
      <c r="U1126" s="12">
        <v>1</v>
      </c>
      <c r="V1126" s="12">
        <v>2</v>
      </c>
      <c r="W1126" s="12">
        <v>0</v>
      </c>
      <c r="X1126" s="12">
        <v>2.5</v>
      </c>
      <c r="Y1126" s="12">
        <v>0</v>
      </c>
      <c r="Z1126" s="12">
        <v>1000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ref="BE1126:BE1130" si="128">"在目标区域召唤巨刃造成"&amp;X1126*100&amp;"%攻击伤害+"&amp;Z1126&amp;"点固定伤害,随后在技能范围中的敌人每秒受到120%攻击伤害+"&amp;BR1126&amp;"点伤害,并使目标置空1秒"</f>
        <v>在目标区域召唤巨刃造成250%攻击伤害+1000点固定伤害,随后在技能范围中的敌人每秒受到120%攻击伤害+500点伤害,并使目标置空1秒</v>
      </c>
      <c r="BF1126" s="184" t="s">
        <v>2396</v>
      </c>
      <c r="BG1126" s="12">
        <v>0</v>
      </c>
      <c r="BH1126" s="12">
        <v>0</v>
      </c>
      <c r="BI1126" s="12">
        <v>0</v>
      </c>
      <c r="BJ1126" s="12">
        <v>0</v>
      </c>
      <c r="BK1126" s="12">
        <v>0</v>
      </c>
      <c r="BL1126" s="12">
        <v>0</v>
      </c>
      <c r="BM1126" s="185">
        <v>0</v>
      </c>
      <c r="BN1126" s="12">
        <v>0</v>
      </c>
      <c r="BO1126" s="12">
        <v>0</v>
      </c>
      <c r="BP1126" s="12">
        <v>1000</v>
      </c>
      <c r="BQ1126" s="12">
        <v>1.2</v>
      </c>
      <c r="BR1126" s="12">
        <v>500</v>
      </c>
      <c r="BS1126" s="12">
        <v>0</v>
      </c>
      <c r="BT1126" s="12">
        <v>0</v>
      </c>
      <c r="BU1126" s="47">
        <v>0</v>
      </c>
      <c r="BV1126" s="47"/>
      <c r="BW1126" s="47"/>
    </row>
    <row r="1127" spans="1:75" ht="20.100000000000001" customHeight="1">
      <c r="C1127" s="12">
        <v>65011103</v>
      </c>
      <c r="D1127" s="13" t="s">
        <v>1443</v>
      </c>
      <c r="E1127" s="13" t="s">
        <v>1444</v>
      </c>
      <c r="F1127" s="12">
        <v>2</v>
      </c>
      <c r="G1127" s="12">
        <v>65011101</v>
      </c>
      <c r="H1127" s="12">
        <v>65011104</v>
      </c>
      <c r="I1127" s="12">
        <v>0</v>
      </c>
      <c r="J1127" s="12">
        <v>1</v>
      </c>
      <c r="K1127" s="12">
        <v>2</v>
      </c>
      <c r="L1127" s="12">
        <v>0</v>
      </c>
      <c r="M1127" s="12">
        <v>0</v>
      </c>
      <c r="N1127" s="12">
        <v>0</v>
      </c>
      <c r="O1127" s="12">
        <v>1</v>
      </c>
      <c r="P1127" s="12">
        <v>0</v>
      </c>
      <c r="Q1127" s="12">
        <v>0</v>
      </c>
      <c r="R1127" s="12">
        <v>0</v>
      </c>
      <c r="S1127" s="12">
        <v>0</v>
      </c>
      <c r="T1127" s="12">
        <v>0</v>
      </c>
      <c r="U1127" s="12">
        <v>1</v>
      </c>
      <c r="V1127" s="12">
        <v>2</v>
      </c>
      <c r="W1127" s="12">
        <v>0</v>
      </c>
      <c r="X1127" s="12">
        <v>2.75</v>
      </c>
      <c r="Y1127" s="12">
        <v>0</v>
      </c>
      <c r="Z1127" s="12">
        <v>1500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在目标区域召唤巨刃造成275%攻击伤害+1500点固定伤害,随后在技能范围中的敌人每秒受到120%攻击伤害+1000点伤害,并使目标置空1秒</v>
      </c>
      <c r="BF1127" s="184" t="s">
        <v>2397</v>
      </c>
      <c r="BG1127" s="12">
        <v>0</v>
      </c>
      <c r="BH1127" s="12">
        <v>0</v>
      </c>
      <c r="BI1127" s="12">
        <v>0</v>
      </c>
      <c r="BJ1127" s="12">
        <v>0</v>
      </c>
      <c r="BK1127" s="12">
        <v>0</v>
      </c>
      <c r="BL1127" s="12">
        <v>0</v>
      </c>
      <c r="BM1127" s="185">
        <v>0</v>
      </c>
      <c r="BN1127" s="12">
        <v>0</v>
      </c>
      <c r="BO1127" s="12">
        <v>0</v>
      </c>
      <c r="BP1127" s="12">
        <v>1000</v>
      </c>
      <c r="BQ1127" s="12">
        <v>1.4</v>
      </c>
      <c r="BR1127" s="12">
        <v>1000</v>
      </c>
      <c r="BS1127" s="12">
        <v>0</v>
      </c>
      <c r="BT1127" s="12">
        <v>0</v>
      </c>
      <c r="BU1127" s="47">
        <v>0</v>
      </c>
      <c r="BV1127" s="47"/>
      <c r="BW1127" s="47"/>
    </row>
    <row r="1128" spans="1:75" ht="20.100000000000001" customHeight="1">
      <c r="C1128" s="12">
        <v>65011104</v>
      </c>
      <c r="D1128" s="13" t="s">
        <v>1443</v>
      </c>
      <c r="E1128" s="13" t="s">
        <v>1444</v>
      </c>
      <c r="F1128" s="12">
        <v>3</v>
      </c>
      <c r="G1128" s="12">
        <v>65011101</v>
      </c>
      <c r="H1128" s="12">
        <v>0</v>
      </c>
      <c r="I1128" s="12">
        <v>0</v>
      </c>
      <c r="J1128" s="12">
        <v>1</v>
      </c>
      <c r="K1128" s="12">
        <v>0</v>
      </c>
      <c r="L1128" s="12">
        <v>0</v>
      </c>
      <c r="M1128" s="12">
        <v>0</v>
      </c>
      <c r="N1128" s="12">
        <v>0</v>
      </c>
      <c r="O1128" s="12">
        <v>1</v>
      </c>
      <c r="P1128" s="12">
        <v>0</v>
      </c>
      <c r="Q1128" s="12">
        <v>0</v>
      </c>
      <c r="R1128" s="12">
        <v>0</v>
      </c>
      <c r="S1128" s="12">
        <v>0</v>
      </c>
      <c r="T1128" s="12">
        <v>0</v>
      </c>
      <c r="U1128" s="12">
        <v>1</v>
      </c>
      <c r="V1128" s="12">
        <v>2</v>
      </c>
      <c r="W1128" s="12">
        <v>0</v>
      </c>
      <c r="X1128" s="12">
        <v>3</v>
      </c>
      <c r="Y1128" s="12">
        <v>0</v>
      </c>
      <c r="Z1128" s="12">
        <v>2000</v>
      </c>
      <c r="AA1128" s="12">
        <v>1</v>
      </c>
      <c r="AB1128" s="12">
        <v>15</v>
      </c>
      <c r="AC1128" s="12">
        <v>0</v>
      </c>
      <c r="AD1128" s="12">
        <v>0</v>
      </c>
      <c r="AE1128" s="12">
        <v>0</v>
      </c>
      <c r="AF1128" s="12">
        <v>9</v>
      </c>
      <c r="AG1128" s="12">
        <v>1</v>
      </c>
      <c r="AH1128" s="68">
        <v>4</v>
      </c>
      <c r="AI1128" s="12">
        <v>2</v>
      </c>
      <c r="AJ1128" s="12">
        <v>1</v>
      </c>
      <c r="AK1128" s="12">
        <v>0</v>
      </c>
      <c r="AL1128" s="12">
        <v>7</v>
      </c>
      <c r="AM1128" s="12">
        <v>0</v>
      </c>
      <c r="AN1128" s="12">
        <v>0</v>
      </c>
      <c r="AO1128" s="12">
        <v>0</v>
      </c>
      <c r="AP1128" s="12">
        <v>0.5</v>
      </c>
      <c r="AQ1128" s="12">
        <v>6000</v>
      </c>
      <c r="AR1128" s="12">
        <v>0.5</v>
      </c>
      <c r="AS1128" s="12">
        <v>0</v>
      </c>
      <c r="AT1128" s="12">
        <v>0</v>
      </c>
      <c r="AU1128" s="12">
        <v>92040010</v>
      </c>
      <c r="AV1128" s="12"/>
      <c r="AW1128" s="13" t="s">
        <v>617</v>
      </c>
      <c r="AX1128" s="12" t="s">
        <v>1041</v>
      </c>
      <c r="AY1128" s="12">
        <v>10000007</v>
      </c>
      <c r="AZ1128" s="12">
        <v>21400010</v>
      </c>
      <c r="BA1128" s="13" t="s">
        <v>1574</v>
      </c>
      <c r="BB1128" s="12">
        <v>0</v>
      </c>
      <c r="BC1128" s="12">
        <v>0</v>
      </c>
      <c r="BD1128" s="12">
        <v>0</v>
      </c>
      <c r="BE1128" s="184" t="str">
        <f t="shared" si="128"/>
        <v>在目标区域召唤巨刃造成300%攻击伤害+2000点固定伤害,随后在技能范围中的敌人每秒受到120%攻击伤害+1500点伤害,并使目标置空1秒</v>
      </c>
      <c r="BF1128" s="184" t="s">
        <v>2398</v>
      </c>
      <c r="BG1128" s="12">
        <v>0</v>
      </c>
      <c r="BH1128" s="12">
        <v>0</v>
      </c>
      <c r="BI1128" s="12">
        <v>0</v>
      </c>
      <c r="BJ1128" s="12">
        <v>0</v>
      </c>
      <c r="BK1128" s="12">
        <v>0</v>
      </c>
      <c r="BL1128" s="12">
        <v>0</v>
      </c>
      <c r="BM1128" s="185">
        <v>0</v>
      </c>
      <c r="BN1128" s="12">
        <v>0</v>
      </c>
      <c r="BO1128" s="12">
        <v>0</v>
      </c>
      <c r="BP1128" s="12">
        <v>1000</v>
      </c>
      <c r="BQ1128" s="12">
        <v>1.6</v>
      </c>
      <c r="BR1128" s="12">
        <v>1500</v>
      </c>
      <c r="BS1128" s="12">
        <v>0</v>
      </c>
      <c r="BT1128" s="12">
        <v>0</v>
      </c>
      <c r="BU1128" s="47">
        <v>0</v>
      </c>
      <c r="BV1128" s="47"/>
      <c r="BW1128" s="47"/>
    </row>
    <row r="1129" spans="1:75" ht="20.100000000000001" customHeight="1">
      <c r="C1129" s="12">
        <v>65011105</v>
      </c>
      <c r="D1129" s="13" t="s">
        <v>1443</v>
      </c>
      <c r="E1129" s="13" t="s">
        <v>1444</v>
      </c>
      <c r="F1129" s="12">
        <v>4</v>
      </c>
      <c r="G1129" s="12">
        <v>65011101</v>
      </c>
      <c r="H1129" s="12">
        <v>0</v>
      </c>
      <c r="I1129" s="12">
        <v>0</v>
      </c>
      <c r="J1129" s="12">
        <v>1</v>
      </c>
      <c r="K1129" s="12">
        <v>0</v>
      </c>
      <c r="L1129" s="12">
        <v>0</v>
      </c>
      <c r="M1129" s="12">
        <v>0</v>
      </c>
      <c r="N1129" s="12">
        <v>0</v>
      </c>
      <c r="O1129" s="12">
        <v>1</v>
      </c>
      <c r="P1129" s="12">
        <v>0</v>
      </c>
      <c r="Q1129" s="12">
        <v>0</v>
      </c>
      <c r="R1129" s="12">
        <v>0</v>
      </c>
      <c r="S1129" s="12">
        <v>0</v>
      </c>
      <c r="T1129" s="12">
        <v>0</v>
      </c>
      <c r="U1129" s="12">
        <v>1</v>
      </c>
      <c r="V1129" s="12">
        <v>2</v>
      </c>
      <c r="W1129" s="12">
        <v>0</v>
      </c>
      <c r="X1129" s="12">
        <v>3.25</v>
      </c>
      <c r="Y1129" s="12">
        <v>0</v>
      </c>
      <c r="Z1129" s="12">
        <v>2750</v>
      </c>
      <c r="AA1129" s="12">
        <v>1</v>
      </c>
      <c r="AB1129" s="12">
        <v>15</v>
      </c>
      <c r="AC1129" s="12">
        <v>0</v>
      </c>
      <c r="AD1129" s="12">
        <v>0</v>
      </c>
      <c r="AE1129" s="12">
        <v>0</v>
      </c>
      <c r="AF1129" s="12">
        <v>9</v>
      </c>
      <c r="AG1129" s="12">
        <v>1</v>
      </c>
      <c r="AH1129" s="68">
        <v>4</v>
      </c>
      <c r="AI1129" s="12">
        <v>2</v>
      </c>
      <c r="AJ1129" s="12">
        <v>1</v>
      </c>
      <c r="AK1129" s="12">
        <v>0</v>
      </c>
      <c r="AL1129" s="12">
        <v>7</v>
      </c>
      <c r="AM1129" s="12">
        <v>0</v>
      </c>
      <c r="AN1129" s="12">
        <v>0</v>
      </c>
      <c r="AO1129" s="12">
        <v>0</v>
      </c>
      <c r="AP1129" s="12">
        <v>0.5</v>
      </c>
      <c r="AQ1129" s="12">
        <v>6000</v>
      </c>
      <c r="AR1129" s="12">
        <v>0.5</v>
      </c>
      <c r="AS1129" s="12">
        <v>0</v>
      </c>
      <c r="AT1129" s="12">
        <v>0</v>
      </c>
      <c r="AU1129" s="12">
        <v>92040010</v>
      </c>
      <c r="AV1129" s="12"/>
      <c r="AW1129" s="13" t="s">
        <v>617</v>
      </c>
      <c r="AX1129" s="12" t="s">
        <v>1041</v>
      </c>
      <c r="AY1129" s="12">
        <v>10000007</v>
      </c>
      <c r="AZ1129" s="12">
        <v>21400010</v>
      </c>
      <c r="BA1129" s="13" t="s">
        <v>1574</v>
      </c>
      <c r="BB1129" s="12">
        <v>0</v>
      </c>
      <c r="BC1129" s="12">
        <v>0</v>
      </c>
      <c r="BD1129" s="12">
        <v>0</v>
      </c>
      <c r="BE1129" s="184" t="str">
        <f t="shared" si="128"/>
        <v>在目标区域召唤巨刃造成325%攻击伤害+2750点固定伤害,随后在技能范围中的敌人每秒受到120%攻击伤害+2000点伤害,并使目标置空1秒</v>
      </c>
      <c r="BF1129" s="184" t="s">
        <v>2399</v>
      </c>
      <c r="BG1129" s="12">
        <v>0</v>
      </c>
      <c r="BH1129" s="12">
        <v>0</v>
      </c>
      <c r="BI1129" s="12">
        <v>0</v>
      </c>
      <c r="BJ1129" s="12">
        <v>0</v>
      </c>
      <c r="BK1129" s="12">
        <v>0</v>
      </c>
      <c r="BL1129" s="12">
        <v>0</v>
      </c>
      <c r="BM1129" s="185">
        <v>0</v>
      </c>
      <c r="BN1129" s="12">
        <v>0</v>
      </c>
      <c r="BO1129" s="12">
        <v>0</v>
      </c>
      <c r="BP1129" s="12">
        <v>1000</v>
      </c>
      <c r="BQ1129" s="12">
        <v>1.8</v>
      </c>
      <c r="BR1129" s="12">
        <v>2000</v>
      </c>
      <c r="BS1129" s="12">
        <v>0</v>
      </c>
      <c r="BT1129" s="12">
        <v>0</v>
      </c>
      <c r="BU1129" s="47">
        <v>0</v>
      </c>
      <c r="BV1129" s="47"/>
      <c r="BW1129" s="47"/>
    </row>
    <row r="1130" spans="1:75" ht="20.100000000000001" customHeight="1">
      <c r="C1130" s="12">
        <v>65011106</v>
      </c>
      <c r="D1130" s="13" t="s">
        <v>1443</v>
      </c>
      <c r="E1130" s="13" t="s">
        <v>1444</v>
      </c>
      <c r="F1130" s="12">
        <v>5</v>
      </c>
      <c r="G1130" s="12">
        <v>65011101</v>
      </c>
      <c r="H1130" s="12">
        <v>0</v>
      </c>
      <c r="I1130" s="12">
        <v>0</v>
      </c>
      <c r="J1130" s="12">
        <v>1</v>
      </c>
      <c r="K1130" s="12">
        <v>0</v>
      </c>
      <c r="L1130" s="12">
        <v>0</v>
      </c>
      <c r="M1130" s="12">
        <v>0</v>
      </c>
      <c r="N1130" s="12">
        <v>0</v>
      </c>
      <c r="O1130" s="12">
        <v>1</v>
      </c>
      <c r="P1130" s="12">
        <v>0</v>
      </c>
      <c r="Q1130" s="12">
        <v>0</v>
      </c>
      <c r="R1130" s="12">
        <v>0</v>
      </c>
      <c r="S1130" s="12">
        <v>0</v>
      </c>
      <c r="T1130" s="12">
        <v>0</v>
      </c>
      <c r="U1130" s="12">
        <v>1</v>
      </c>
      <c r="V1130" s="12">
        <v>2</v>
      </c>
      <c r="W1130" s="12">
        <v>0</v>
      </c>
      <c r="X1130" s="12">
        <v>3.5</v>
      </c>
      <c r="Y1130" s="12">
        <v>0</v>
      </c>
      <c r="Z1130" s="12">
        <v>3500</v>
      </c>
      <c r="AA1130" s="12">
        <v>1</v>
      </c>
      <c r="AB1130" s="12">
        <v>15</v>
      </c>
      <c r="AC1130" s="12">
        <v>0</v>
      </c>
      <c r="AD1130" s="12">
        <v>0</v>
      </c>
      <c r="AE1130" s="12">
        <v>0</v>
      </c>
      <c r="AF1130" s="12">
        <v>9</v>
      </c>
      <c r="AG1130" s="12">
        <v>1</v>
      </c>
      <c r="AH1130" s="68">
        <v>4</v>
      </c>
      <c r="AI1130" s="12">
        <v>2</v>
      </c>
      <c r="AJ1130" s="12">
        <v>1</v>
      </c>
      <c r="AK1130" s="12">
        <v>0</v>
      </c>
      <c r="AL1130" s="12">
        <v>7</v>
      </c>
      <c r="AM1130" s="12">
        <v>0</v>
      </c>
      <c r="AN1130" s="12">
        <v>0</v>
      </c>
      <c r="AO1130" s="12">
        <v>0</v>
      </c>
      <c r="AP1130" s="12">
        <v>0.5</v>
      </c>
      <c r="AQ1130" s="12">
        <v>6000</v>
      </c>
      <c r="AR1130" s="12">
        <v>0.5</v>
      </c>
      <c r="AS1130" s="12">
        <v>0</v>
      </c>
      <c r="AT1130" s="12">
        <v>0</v>
      </c>
      <c r="AU1130" s="12">
        <v>92040010</v>
      </c>
      <c r="AV1130" s="12"/>
      <c r="AW1130" s="13" t="s">
        <v>617</v>
      </c>
      <c r="AX1130" s="12" t="s">
        <v>1041</v>
      </c>
      <c r="AY1130" s="12">
        <v>10000007</v>
      </c>
      <c r="AZ1130" s="12">
        <v>21400010</v>
      </c>
      <c r="BA1130" s="13" t="s">
        <v>1574</v>
      </c>
      <c r="BB1130" s="12">
        <v>0</v>
      </c>
      <c r="BC1130" s="12">
        <v>0</v>
      </c>
      <c r="BD1130" s="12">
        <v>0</v>
      </c>
      <c r="BE1130" s="184" t="str">
        <f t="shared" si="128"/>
        <v>在目标区域召唤巨刃造成350%攻击伤害+3500点固定伤害,随后在技能范围中的敌人每秒受到120%攻击伤害+2500点伤害,并使目标置空1秒</v>
      </c>
      <c r="BF1130" s="184" t="s">
        <v>2400</v>
      </c>
      <c r="BG1130" s="12">
        <v>0</v>
      </c>
      <c r="BH1130" s="12">
        <v>0</v>
      </c>
      <c r="BI1130" s="12">
        <v>0</v>
      </c>
      <c r="BJ1130" s="12">
        <v>0</v>
      </c>
      <c r="BK1130" s="12">
        <v>0</v>
      </c>
      <c r="BL1130" s="12">
        <v>0</v>
      </c>
      <c r="BM1130" s="185">
        <v>0</v>
      </c>
      <c r="BN1130" s="12">
        <v>0</v>
      </c>
      <c r="BO1130" s="12">
        <v>0</v>
      </c>
      <c r="BP1130" s="12">
        <v>1000</v>
      </c>
      <c r="BQ1130" s="12">
        <v>2</v>
      </c>
      <c r="BR1130" s="12">
        <v>2500</v>
      </c>
      <c r="BS1130" s="12">
        <v>0</v>
      </c>
      <c r="BT1130" s="12">
        <v>0</v>
      </c>
      <c r="BU1130" s="47">
        <v>0</v>
      </c>
      <c r="BV1130" s="47"/>
      <c r="BW1130" s="47"/>
    </row>
    <row r="1131" spans="1:75" ht="20.100000000000001" customHeight="1">
      <c r="C1131" s="18">
        <v>65011201</v>
      </c>
      <c r="D1131" s="19" t="s">
        <v>1450</v>
      </c>
      <c r="E1131" s="19" t="s">
        <v>1451</v>
      </c>
      <c r="F1131" s="16">
        <v>0</v>
      </c>
      <c r="G1131" s="18">
        <v>65011201</v>
      </c>
      <c r="H1131" s="18">
        <v>65011202</v>
      </c>
      <c r="I1131" s="27">
        <v>0</v>
      </c>
      <c r="J1131" s="16">
        <v>3</v>
      </c>
      <c r="K1131" s="16">
        <v>5</v>
      </c>
      <c r="L1131" s="16">
        <v>0</v>
      </c>
      <c r="M1131" s="18">
        <v>0</v>
      </c>
      <c r="N1131" s="18">
        <v>0</v>
      </c>
      <c r="O1131" s="18">
        <v>1</v>
      </c>
      <c r="P1131" s="18">
        <v>0</v>
      </c>
      <c r="Q1131" s="18">
        <v>0</v>
      </c>
      <c r="R1131" s="18">
        <v>0</v>
      </c>
      <c r="S1131" s="12">
        <v>0</v>
      </c>
      <c r="T1131" s="27">
        <v>0</v>
      </c>
      <c r="U1131" s="16">
        <v>1</v>
      </c>
      <c r="V1131" s="18">
        <v>2</v>
      </c>
      <c r="W1131" s="18">
        <v>0</v>
      </c>
      <c r="X1131" s="18">
        <v>2.5</v>
      </c>
      <c r="Y1131" s="12">
        <v>0</v>
      </c>
      <c r="Z1131" s="18">
        <v>900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"立即对附近敌方单位造成"&amp;X1131*100&amp;"%攻击伤害+"&amp;Z1131&amp;"点固定伤害,并使其造成伤害降低20%,持续3秒"</f>
        <v>立即对附近敌方单位造成250%攻击伤害+900点固定伤害,并使其造成伤害降低20%,持续3秒</v>
      </c>
      <c r="BF1131" s="183" t="s">
        <v>2401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65011202</v>
      </c>
      <c r="D1132" s="19" t="s">
        <v>1450</v>
      </c>
      <c r="E1132" s="19" t="s">
        <v>1451</v>
      </c>
      <c r="F1132" s="16">
        <v>1</v>
      </c>
      <c r="G1132" s="18">
        <v>65011201</v>
      </c>
      <c r="H1132" s="18">
        <v>65011203</v>
      </c>
      <c r="I1132" s="27">
        <v>0</v>
      </c>
      <c r="J1132" s="16">
        <v>3</v>
      </c>
      <c r="K1132" s="16">
        <v>2</v>
      </c>
      <c r="L1132" s="16">
        <v>0</v>
      </c>
      <c r="M1132" s="18">
        <v>0</v>
      </c>
      <c r="N1132" s="18">
        <v>0</v>
      </c>
      <c r="O1132" s="18">
        <v>1</v>
      </c>
      <c r="P1132" s="18">
        <v>0</v>
      </c>
      <c r="Q1132" s="18">
        <v>0</v>
      </c>
      <c r="R1132" s="18">
        <v>0</v>
      </c>
      <c r="S1132" s="12">
        <v>0</v>
      </c>
      <c r="T1132" s="27">
        <v>0</v>
      </c>
      <c r="U1132" s="16">
        <v>1</v>
      </c>
      <c r="V1132" s="18">
        <v>2</v>
      </c>
      <c r="W1132" s="18">
        <v>0</v>
      </c>
      <c r="X1132" s="18">
        <v>2.5</v>
      </c>
      <c r="Y1132" s="12">
        <v>0</v>
      </c>
      <c r="Z1132" s="18">
        <v>900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ref="BE1132:BE1136" si="129">"立即对附近敌方单位造成"&amp;X1132*100&amp;"%攻击伤害+"&amp;Z1132&amp;"点固定伤害,并使其造成伤害降低20%,持续3秒"</f>
        <v>立即对附近敌方单位造成250%攻击伤害+900点固定伤害,并使其造成伤害降低20%,持续3秒</v>
      </c>
      <c r="BF1132" s="183" t="s">
        <v>2401</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65011203</v>
      </c>
      <c r="D1133" s="19" t="s">
        <v>1450</v>
      </c>
      <c r="E1133" s="19" t="s">
        <v>1451</v>
      </c>
      <c r="F1133" s="16">
        <v>2</v>
      </c>
      <c r="G1133" s="18">
        <v>65011201</v>
      </c>
      <c r="H1133" s="18">
        <v>65011204</v>
      </c>
      <c r="I1133" s="27">
        <v>0</v>
      </c>
      <c r="J1133" s="16">
        <v>3</v>
      </c>
      <c r="K1133" s="16">
        <v>2</v>
      </c>
      <c r="L1133" s="16">
        <v>0</v>
      </c>
      <c r="M1133" s="18">
        <v>0</v>
      </c>
      <c r="N1133" s="18">
        <v>0</v>
      </c>
      <c r="O1133" s="18">
        <v>1</v>
      </c>
      <c r="P1133" s="18">
        <v>0</v>
      </c>
      <c r="Q1133" s="18">
        <v>0</v>
      </c>
      <c r="R1133" s="18">
        <v>0</v>
      </c>
      <c r="S1133" s="12">
        <v>0</v>
      </c>
      <c r="T1133" s="27">
        <v>0</v>
      </c>
      <c r="U1133" s="16">
        <v>1</v>
      </c>
      <c r="V1133" s="18">
        <v>2</v>
      </c>
      <c r="W1133" s="18">
        <v>0</v>
      </c>
      <c r="X1133" s="18">
        <v>2.75</v>
      </c>
      <c r="Y1133" s="12">
        <v>0</v>
      </c>
      <c r="Z1133" s="18">
        <v>1800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立即对附近敌方单位造成275%攻击伤害+1800点固定伤害,并使其造成伤害降低20%,持续3秒</v>
      </c>
      <c r="BF1133" s="183" t="s">
        <v>2402</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65011204</v>
      </c>
      <c r="D1134" s="19" t="s">
        <v>1450</v>
      </c>
      <c r="E1134" s="19" t="s">
        <v>1451</v>
      </c>
      <c r="F1134" s="16">
        <v>3</v>
      </c>
      <c r="G1134" s="18">
        <v>65011201</v>
      </c>
      <c r="H1134" s="16">
        <v>0</v>
      </c>
      <c r="I1134" s="27">
        <v>0</v>
      </c>
      <c r="J1134" s="16">
        <v>3</v>
      </c>
      <c r="K1134" s="16">
        <v>0</v>
      </c>
      <c r="L1134" s="16">
        <v>0</v>
      </c>
      <c r="M1134" s="18">
        <v>0</v>
      </c>
      <c r="N1134" s="18">
        <v>0</v>
      </c>
      <c r="O1134" s="18">
        <v>1</v>
      </c>
      <c r="P1134" s="18">
        <v>0</v>
      </c>
      <c r="Q1134" s="18">
        <v>0</v>
      </c>
      <c r="R1134" s="18">
        <v>0</v>
      </c>
      <c r="S1134" s="12">
        <v>0</v>
      </c>
      <c r="T1134" s="27">
        <v>0</v>
      </c>
      <c r="U1134" s="16">
        <v>1</v>
      </c>
      <c r="V1134" s="18">
        <v>2</v>
      </c>
      <c r="W1134" s="18">
        <v>0</v>
      </c>
      <c r="X1134" s="18">
        <v>3</v>
      </c>
      <c r="Y1134" s="12">
        <v>0</v>
      </c>
      <c r="Z1134" s="18">
        <v>2800</v>
      </c>
      <c r="AA1134" s="18">
        <v>1</v>
      </c>
      <c r="AB1134" s="18">
        <v>15</v>
      </c>
      <c r="AC1134" s="18">
        <v>0</v>
      </c>
      <c r="AD1134" s="18">
        <v>0</v>
      </c>
      <c r="AE1134" s="18">
        <v>0</v>
      </c>
      <c r="AF1134" s="18">
        <v>9</v>
      </c>
      <c r="AG1134" s="18">
        <v>1</v>
      </c>
      <c r="AH1134" s="18">
        <v>3.5</v>
      </c>
      <c r="AI1134" s="12">
        <v>0</v>
      </c>
      <c r="AJ1134" s="12">
        <v>0</v>
      </c>
      <c r="AK1134" s="12">
        <v>0</v>
      </c>
      <c r="AL1134" s="12">
        <v>3</v>
      </c>
      <c r="AM1134" s="18">
        <v>0</v>
      </c>
      <c r="AN1134" s="18">
        <v>0</v>
      </c>
      <c r="AO1134" s="18">
        <v>0</v>
      </c>
      <c r="AP1134" s="18">
        <v>0.3</v>
      </c>
      <c r="AQ1134" s="18">
        <v>2000</v>
      </c>
      <c r="AR1134" s="18">
        <v>0.5</v>
      </c>
      <c r="AS1134" s="18">
        <v>0</v>
      </c>
      <c r="AT1134" s="12">
        <v>0</v>
      </c>
      <c r="AU1134" s="18">
        <v>92040020</v>
      </c>
      <c r="AV1134" s="18"/>
      <c r="AW1134" s="19" t="s">
        <v>1547</v>
      </c>
      <c r="AX1134" s="18" t="s">
        <v>534</v>
      </c>
      <c r="AY1134" s="18">
        <v>10000009</v>
      </c>
      <c r="AZ1134" s="18">
        <v>21400020</v>
      </c>
      <c r="BA1134" s="17" t="s">
        <v>200</v>
      </c>
      <c r="BB1134" s="19">
        <v>0</v>
      </c>
      <c r="BC1134" s="27">
        <v>0</v>
      </c>
      <c r="BD1134" s="27">
        <v>0</v>
      </c>
      <c r="BE1134" s="183" t="str">
        <f t="shared" si="129"/>
        <v>立即对附近敌方单位造成300%攻击伤害+2800点固定伤害,并使其造成伤害降低20%,持续3秒</v>
      </c>
      <c r="BF1134" s="183" t="s">
        <v>2403</v>
      </c>
      <c r="BG1134" s="18">
        <v>0</v>
      </c>
      <c r="BH1134" s="16">
        <v>0</v>
      </c>
      <c r="BI1134" s="18">
        <v>0</v>
      </c>
      <c r="BJ1134" s="18">
        <v>0</v>
      </c>
      <c r="BK1134" s="18">
        <v>0</v>
      </c>
      <c r="BL1134" s="18">
        <v>0</v>
      </c>
      <c r="BM1134" s="15">
        <v>0</v>
      </c>
      <c r="BN1134" s="12">
        <v>1</v>
      </c>
      <c r="BO1134" s="12">
        <v>0</v>
      </c>
      <c r="BP1134" s="12">
        <v>0</v>
      </c>
      <c r="BQ1134" s="12">
        <v>0</v>
      </c>
      <c r="BR1134" s="12">
        <v>0</v>
      </c>
      <c r="BS1134" s="12">
        <v>0</v>
      </c>
      <c r="BT1134" s="12">
        <v>0</v>
      </c>
      <c r="BU1134" s="47">
        <v>0</v>
      </c>
      <c r="BV1134" s="47"/>
      <c r="BW1134" s="47"/>
    </row>
    <row r="1135" spans="1:75" ht="20.100000000000001" customHeight="1">
      <c r="C1135" s="18">
        <v>65011205</v>
      </c>
      <c r="D1135" s="19" t="s">
        <v>1450</v>
      </c>
      <c r="E1135" s="19" t="s">
        <v>1451</v>
      </c>
      <c r="F1135" s="16">
        <v>4</v>
      </c>
      <c r="G1135" s="18">
        <v>65011201</v>
      </c>
      <c r="H1135" s="16">
        <v>0</v>
      </c>
      <c r="I1135" s="27">
        <v>0</v>
      </c>
      <c r="J1135" s="16">
        <v>3</v>
      </c>
      <c r="K1135" s="16">
        <v>0</v>
      </c>
      <c r="L1135" s="16">
        <v>0</v>
      </c>
      <c r="M1135" s="18">
        <v>0</v>
      </c>
      <c r="N1135" s="18">
        <v>0</v>
      </c>
      <c r="O1135" s="18">
        <v>1</v>
      </c>
      <c r="P1135" s="18">
        <v>0</v>
      </c>
      <c r="Q1135" s="18">
        <v>0</v>
      </c>
      <c r="R1135" s="18">
        <v>0</v>
      </c>
      <c r="S1135" s="12">
        <v>0</v>
      </c>
      <c r="T1135" s="27">
        <v>0</v>
      </c>
      <c r="U1135" s="16">
        <v>1</v>
      </c>
      <c r="V1135" s="18">
        <v>2</v>
      </c>
      <c r="W1135" s="18">
        <v>0</v>
      </c>
      <c r="X1135" s="18">
        <v>3.25</v>
      </c>
      <c r="Y1135" s="12">
        <v>0</v>
      </c>
      <c r="Z1135" s="18">
        <v>4000</v>
      </c>
      <c r="AA1135" s="18">
        <v>1</v>
      </c>
      <c r="AB1135" s="18">
        <v>15</v>
      </c>
      <c r="AC1135" s="18">
        <v>0</v>
      </c>
      <c r="AD1135" s="18">
        <v>0</v>
      </c>
      <c r="AE1135" s="18">
        <v>0</v>
      </c>
      <c r="AF1135" s="18">
        <v>9</v>
      </c>
      <c r="AG1135" s="18">
        <v>1</v>
      </c>
      <c r="AH1135" s="18">
        <v>3.5</v>
      </c>
      <c r="AI1135" s="12">
        <v>0</v>
      </c>
      <c r="AJ1135" s="12">
        <v>0</v>
      </c>
      <c r="AK1135" s="12">
        <v>0</v>
      </c>
      <c r="AL1135" s="12">
        <v>3</v>
      </c>
      <c r="AM1135" s="18">
        <v>0</v>
      </c>
      <c r="AN1135" s="18">
        <v>0</v>
      </c>
      <c r="AO1135" s="18">
        <v>0</v>
      </c>
      <c r="AP1135" s="18">
        <v>0.3</v>
      </c>
      <c r="AQ1135" s="18">
        <v>2000</v>
      </c>
      <c r="AR1135" s="18">
        <v>0.5</v>
      </c>
      <c r="AS1135" s="18">
        <v>0</v>
      </c>
      <c r="AT1135" s="12">
        <v>0</v>
      </c>
      <c r="AU1135" s="18">
        <v>92040020</v>
      </c>
      <c r="AV1135" s="18"/>
      <c r="AW1135" s="19" t="s">
        <v>1547</v>
      </c>
      <c r="AX1135" s="18" t="s">
        <v>534</v>
      </c>
      <c r="AY1135" s="18">
        <v>10000009</v>
      </c>
      <c r="AZ1135" s="18">
        <v>21400020</v>
      </c>
      <c r="BA1135" s="17" t="s">
        <v>200</v>
      </c>
      <c r="BB1135" s="19">
        <v>0</v>
      </c>
      <c r="BC1135" s="27">
        <v>0</v>
      </c>
      <c r="BD1135" s="27">
        <v>0</v>
      </c>
      <c r="BE1135" s="183" t="str">
        <f t="shared" si="129"/>
        <v>立即对附近敌方单位造成325%攻击伤害+4000点固定伤害,并使其造成伤害降低20%,持续3秒</v>
      </c>
      <c r="BF1135" s="183" t="s">
        <v>2404</v>
      </c>
      <c r="BG1135" s="18">
        <v>0</v>
      </c>
      <c r="BH1135" s="16">
        <v>0</v>
      </c>
      <c r="BI1135" s="18">
        <v>0</v>
      </c>
      <c r="BJ1135" s="18">
        <v>0</v>
      </c>
      <c r="BK1135" s="18">
        <v>0</v>
      </c>
      <c r="BL1135" s="18">
        <v>0</v>
      </c>
      <c r="BM1135" s="15">
        <v>0</v>
      </c>
      <c r="BN1135" s="12">
        <v>1</v>
      </c>
      <c r="BO1135" s="12">
        <v>0</v>
      </c>
      <c r="BP1135" s="12">
        <v>0</v>
      </c>
      <c r="BQ1135" s="12">
        <v>0</v>
      </c>
      <c r="BR1135" s="12">
        <v>0</v>
      </c>
      <c r="BS1135" s="12">
        <v>0</v>
      </c>
      <c r="BT1135" s="12">
        <v>0</v>
      </c>
      <c r="BU1135" s="47">
        <v>0</v>
      </c>
      <c r="BV1135" s="47"/>
      <c r="BW1135" s="47"/>
    </row>
    <row r="1136" spans="1:75" ht="20.100000000000001" customHeight="1">
      <c r="C1136" s="18">
        <v>65011206</v>
      </c>
      <c r="D1136" s="19" t="s">
        <v>1450</v>
      </c>
      <c r="E1136" s="19" t="s">
        <v>1451</v>
      </c>
      <c r="F1136" s="16">
        <v>5</v>
      </c>
      <c r="G1136" s="18">
        <v>65011201</v>
      </c>
      <c r="H1136" s="16">
        <v>0</v>
      </c>
      <c r="I1136" s="27">
        <v>0</v>
      </c>
      <c r="J1136" s="16">
        <v>3</v>
      </c>
      <c r="K1136" s="16">
        <v>0</v>
      </c>
      <c r="L1136" s="16">
        <v>0</v>
      </c>
      <c r="M1136" s="18">
        <v>0</v>
      </c>
      <c r="N1136" s="18">
        <v>0</v>
      </c>
      <c r="O1136" s="18">
        <v>1</v>
      </c>
      <c r="P1136" s="18">
        <v>0</v>
      </c>
      <c r="Q1136" s="18">
        <v>0</v>
      </c>
      <c r="R1136" s="18">
        <v>0</v>
      </c>
      <c r="S1136" s="12">
        <v>0</v>
      </c>
      <c r="T1136" s="27">
        <v>0</v>
      </c>
      <c r="U1136" s="16">
        <v>1</v>
      </c>
      <c r="V1136" s="18">
        <v>2</v>
      </c>
      <c r="W1136" s="18">
        <v>0</v>
      </c>
      <c r="X1136" s="18">
        <v>3.5</v>
      </c>
      <c r="Y1136" s="12">
        <v>0</v>
      </c>
      <c r="Z1136" s="18">
        <v>5200</v>
      </c>
      <c r="AA1136" s="18">
        <v>1</v>
      </c>
      <c r="AB1136" s="18">
        <v>15</v>
      </c>
      <c r="AC1136" s="18">
        <v>0</v>
      </c>
      <c r="AD1136" s="18">
        <v>0</v>
      </c>
      <c r="AE1136" s="18">
        <v>0</v>
      </c>
      <c r="AF1136" s="18">
        <v>9</v>
      </c>
      <c r="AG1136" s="18">
        <v>1</v>
      </c>
      <c r="AH1136" s="18">
        <v>3.5</v>
      </c>
      <c r="AI1136" s="12">
        <v>0</v>
      </c>
      <c r="AJ1136" s="12">
        <v>0</v>
      </c>
      <c r="AK1136" s="12">
        <v>0</v>
      </c>
      <c r="AL1136" s="12">
        <v>3</v>
      </c>
      <c r="AM1136" s="18">
        <v>0</v>
      </c>
      <c r="AN1136" s="18">
        <v>0</v>
      </c>
      <c r="AO1136" s="18">
        <v>0</v>
      </c>
      <c r="AP1136" s="18">
        <v>0.3</v>
      </c>
      <c r="AQ1136" s="18">
        <v>2000</v>
      </c>
      <c r="AR1136" s="18">
        <v>0.5</v>
      </c>
      <c r="AS1136" s="18">
        <v>0</v>
      </c>
      <c r="AT1136" s="12">
        <v>0</v>
      </c>
      <c r="AU1136" s="18">
        <v>92040020</v>
      </c>
      <c r="AV1136" s="18"/>
      <c r="AW1136" s="19" t="s">
        <v>1547</v>
      </c>
      <c r="AX1136" s="18" t="s">
        <v>534</v>
      </c>
      <c r="AY1136" s="18">
        <v>10000009</v>
      </c>
      <c r="AZ1136" s="18">
        <v>21400020</v>
      </c>
      <c r="BA1136" s="17" t="s">
        <v>200</v>
      </c>
      <c r="BB1136" s="19">
        <v>0</v>
      </c>
      <c r="BC1136" s="27">
        <v>0</v>
      </c>
      <c r="BD1136" s="27">
        <v>0</v>
      </c>
      <c r="BE1136" s="183" t="str">
        <f t="shared" si="129"/>
        <v>立即对附近敌方单位造成350%攻击伤害+5200点固定伤害,并使其造成伤害降低20%,持续3秒</v>
      </c>
      <c r="BF1136" s="183" t="s">
        <v>2405</v>
      </c>
      <c r="BG1136" s="18">
        <v>0</v>
      </c>
      <c r="BH1136" s="16">
        <v>0</v>
      </c>
      <c r="BI1136" s="18">
        <v>0</v>
      </c>
      <c r="BJ1136" s="18">
        <v>0</v>
      </c>
      <c r="BK1136" s="18">
        <v>0</v>
      </c>
      <c r="BL1136" s="18">
        <v>0</v>
      </c>
      <c r="BM1136" s="15">
        <v>0</v>
      </c>
      <c r="BN1136" s="12">
        <v>1</v>
      </c>
      <c r="BO1136" s="12">
        <v>0</v>
      </c>
      <c r="BP1136" s="12">
        <v>0</v>
      </c>
      <c r="BQ1136" s="12">
        <v>0</v>
      </c>
      <c r="BR1136" s="12">
        <v>0</v>
      </c>
      <c r="BS1136" s="12">
        <v>0</v>
      </c>
      <c r="BT1136" s="12">
        <v>0</v>
      </c>
      <c r="BU1136" s="47">
        <v>0</v>
      </c>
      <c r="BV1136" s="47"/>
      <c r="BW1136" s="47"/>
    </row>
    <row r="1137" spans="3:75" ht="20.100000000000001" customHeight="1">
      <c r="C1137" s="18">
        <v>65011301</v>
      </c>
      <c r="D1137" s="17" t="s">
        <v>1457</v>
      </c>
      <c r="E1137" s="17" t="s">
        <v>1458</v>
      </c>
      <c r="F1137" s="16">
        <v>0</v>
      </c>
      <c r="G1137" s="18">
        <v>65011301</v>
      </c>
      <c r="H1137" s="18">
        <v>65011302</v>
      </c>
      <c r="I1137" s="27">
        <v>1</v>
      </c>
      <c r="J1137" s="16">
        <v>5</v>
      </c>
      <c r="K1137" s="16">
        <v>5</v>
      </c>
      <c r="L1137" s="16">
        <v>0</v>
      </c>
      <c r="M1137" s="16">
        <v>0</v>
      </c>
      <c r="N1137" s="16">
        <v>0</v>
      </c>
      <c r="O1137" s="16">
        <v>1</v>
      </c>
      <c r="P1137" s="16">
        <v>0</v>
      </c>
      <c r="Q1137" s="16">
        <v>0</v>
      </c>
      <c r="R1137" s="16">
        <v>0</v>
      </c>
      <c r="S1137" s="12">
        <v>0</v>
      </c>
      <c r="T1137" s="16">
        <v>0</v>
      </c>
      <c r="U1137" s="16">
        <v>1</v>
      </c>
      <c r="V1137" s="16">
        <v>2</v>
      </c>
      <c r="W1137" s="16">
        <v>0</v>
      </c>
      <c r="X1137" s="16">
        <v>2</v>
      </c>
      <c r="Y1137" s="12">
        <v>0</v>
      </c>
      <c r="Z1137" s="18">
        <v>750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0" t="s">
        <v>2406</v>
      </c>
      <c r="AV1137" s="16"/>
      <c r="AW1137" s="17" t="s">
        <v>762</v>
      </c>
      <c r="AX1137" s="16" t="s">
        <v>1489</v>
      </c>
      <c r="AY1137" s="18">
        <v>10000015</v>
      </c>
      <c r="AZ1137" s="18">
        <v>21400030</v>
      </c>
      <c r="BA1137" s="17" t="s">
        <v>1371</v>
      </c>
      <c r="BB1137" s="16">
        <v>0</v>
      </c>
      <c r="BC1137" s="27">
        <v>0</v>
      </c>
      <c r="BD1137" s="27">
        <v>0</v>
      </c>
      <c r="BE1137" s="170" t="str">
        <f>"立即跳跃至目标区域并对其怪物造成"&amp;X1137*100&amp;"%攻击伤害+"&amp;Z1137&amp;"点固定伤害,并使目标击退并置空1秒"</f>
        <v>立即跳跃至目标区域并对其怪物造成200%攻击伤害+750点固定伤害,并使目标击退并置空1秒</v>
      </c>
      <c r="BF1137" s="170" t="s">
        <v>2407</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65011302</v>
      </c>
      <c r="D1138" s="17" t="s">
        <v>1457</v>
      </c>
      <c r="E1138" s="17" t="s">
        <v>1458</v>
      </c>
      <c r="F1138" s="16">
        <v>1</v>
      </c>
      <c r="G1138" s="18">
        <v>65011301</v>
      </c>
      <c r="H1138" s="18">
        <v>65011303</v>
      </c>
      <c r="I1138" s="27">
        <v>1</v>
      </c>
      <c r="J1138" s="16">
        <v>5</v>
      </c>
      <c r="K1138" s="16">
        <v>2</v>
      </c>
      <c r="L1138" s="16">
        <v>0</v>
      </c>
      <c r="M1138" s="16">
        <v>0</v>
      </c>
      <c r="N1138" s="16">
        <v>0</v>
      </c>
      <c r="O1138" s="16">
        <v>1</v>
      </c>
      <c r="P1138" s="16">
        <v>0</v>
      </c>
      <c r="Q1138" s="16">
        <v>0</v>
      </c>
      <c r="R1138" s="16">
        <v>0</v>
      </c>
      <c r="S1138" s="12">
        <v>0</v>
      </c>
      <c r="T1138" s="16">
        <v>0</v>
      </c>
      <c r="U1138" s="16">
        <v>1</v>
      </c>
      <c r="V1138" s="16">
        <v>2</v>
      </c>
      <c r="W1138" s="16">
        <v>0</v>
      </c>
      <c r="X1138" s="16">
        <v>2</v>
      </c>
      <c r="Y1138" s="12">
        <v>0</v>
      </c>
      <c r="Z1138" s="18">
        <v>750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0" t="s">
        <v>2406</v>
      </c>
      <c r="AV1138" s="16"/>
      <c r="AW1138" s="17" t="s">
        <v>762</v>
      </c>
      <c r="AX1138" s="16" t="s">
        <v>1489</v>
      </c>
      <c r="AY1138" s="18">
        <v>10000015</v>
      </c>
      <c r="AZ1138" s="18">
        <v>21400030</v>
      </c>
      <c r="BA1138" s="17" t="s">
        <v>1371</v>
      </c>
      <c r="BB1138" s="16">
        <v>0</v>
      </c>
      <c r="BC1138" s="27">
        <v>0</v>
      </c>
      <c r="BD1138" s="27">
        <v>0</v>
      </c>
      <c r="BE1138" s="170" t="str">
        <f t="shared" ref="BE1138:BE1142" si="130">"立即跳跃至目标区域并对其怪物造成"&amp;X1138*100&amp;"%攻击伤害+"&amp;Z1138&amp;"点固定伤害,并使目标击退并置空1秒"</f>
        <v>立即跳跃至目标区域并对其怪物造成200%攻击伤害+750点固定伤害,并使目标击退并置空1秒</v>
      </c>
      <c r="BF1138" s="170" t="s">
        <v>2407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65011303</v>
      </c>
      <c r="D1139" s="17" t="s">
        <v>1457</v>
      </c>
      <c r="E1139" s="17" t="s">
        <v>1458</v>
      </c>
      <c r="F1139" s="16">
        <v>2</v>
      </c>
      <c r="G1139" s="18">
        <v>65011301</v>
      </c>
      <c r="H1139" s="18">
        <v>65011304</v>
      </c>
      <c r="I1139" s="27">
        <v>1</v>
      </c>
      <c r="J1139" s="16">
        <v>5</v>
      </c>
      <c r="K1139" s="16">
        <v>2</v>
      </c>
      <c r="L1139" s="16">
        <v>0</v>
      </c>
      <c r="M1139" s="16">
        <v>0</v>
      </c>
      <c r="N1139" s="16">
        <v>0</v>
      </c>
      <c r="O1139" s="16">
        <v>1</v>
      </c>
      <c r="P1139" s="16">
        <v>0</v>
      </c>
      <c r="Q1139" s="16">
        <v>0</v>
      </c>
      <c r="R1139" s="16">
        <v>0</v>
      </c>
      <c r="S1139" s="12">
        <v>0</v>
      </c>
      <c r="T1139" s="16">
        <v>0</v>
      </c>
      <c r="U1139" s="16">
        <v>1</v>
      </c>
      <c r="V1139" s="16">
        <v>2</v>
      </c>
      <c r="W1139" s="16">
        <v>0</v>
      </c>
      <c r="X1139" s="16">
        <v>2.25</v>
      </c>
      <c r="Y1139" s="12">
        <v>0</v>
      </c>
      <c r="Z1139" s="18">
        <v>1500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0"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立即跳跃至目标区域并对其怪物造成225%攻击伤害+1500点固定伤害,并使目标击退并置空1秒</v>
      </c>
      <c r="BF1139" s="170" t="s">
        <v>2408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8">
        <v>65011304</v>
      </c>
      <c r="D1140" s="17" t="s">
        <v>1457</v>
      </c>
      <c r="E1140" s="17" t="s">
        <v>1458</v>
      </c>
      <c r="F1140" s="16">
        <v>3</v>
      </c>
      <c r="G1140" s="18">
        <v>65011301</v>
      </c>
      <c r="H1140" s="16">
        <v>0</v>
      </c>
      <c r="I1140" s="27">
        <v>1</v>
      </c>
      <c r="J1140" s="16">
        <v>5</v>
      </c>
      <c r="K1140" s="16">
        <v>0</v>
      </c>
      <c r="L1140" s="16">
        <v>0</v>
      </c>
      <c r="M1140" s="16">
        <v>0</v>
      </c>
      <c r="N1140" s="16">
        <v>0</v>
      </c>
      <c r="O1140" s="16">
        <v>1</v>
      </c>
      <c r="P1140" s="16">
        <v>0</v>
      </c>
      <c r="Q1140" s="16">
        <v>0</v>
      </c>
      <c r="R1140" s="16">
        <v>0</v>
      </c>
      <c r="S1140" s="12">
        <v>0</v>
      </c>
      <c r="T1140" s="16">
        <v>0</v>
      </c>
      <c r="U1140" s="16">
        <v>1</v>
      </c>
      <c r="V1140" s="16">
        <v>2</v>
      </c>
      <c r="W1140" s="16">
        <v>0</v>
      </c>
      <c r="X1140" s="16">
        <v>2.5</v>
      </c>
      <c r="Y1140" s="12">
        <v>0</v>
      </c>
      <c r="Z1140" s="18">
        <v>2250</v>
      </c>
      <c r="AA1140" s="16">
        <v>1</v>
      </c>
      <c r="AB1140" s="16">
        <v>20</v>
      </c>
      <c r="AC1140" s="16">
        <v>0</v>
      </c>
      <c r="AD1140" s="16">
        <v>0</v>
      </c>
      <c r="AE1140" s="16">
        <v>0</v>
      </c>
      <c r="AF1140" s="16">
        <v>12</v>
      </c>
      <c r="AG1140" s="16">
        <v>1</v>
      </c>
      <c r="AH1140" s="16" t="s">
        <v>861</v>
      </c>
      <c r="AI1140" s="12">
        <v>2</v>
      </c>
      <c r="AJ1140" s="12">
        <v>1</v>
      </c>
      <c r="AK1140" s="12">
        <v>0</v>
      </c>
      <c r="AL1140" s="12">
        <v>6</v>
      </c>
      <c r="AM1140" s="16">
        <v>0</v>
      </c>
      <c r="AN1140" s="16">
        <v>0</v>
      </c>
      <c r="AO1140" s="16">
        <v>0</v>
      </c>
      <c r="AP1140" s="16">
        <v>0.5</v>
      </c>
      <c r="AQ1140" s="16">
        <v>2000</v>
      </c>
      <c r="AR1140" s="16">
        <v>0.4</v>
      </c>
      <c r="AS1140" s="16">
        <v>0</v>
      </c>
      <c r="AT1140" s="12">
        <v>0</v>
      </c>
      <c r="AU1140" s="350" t="s">
        <v>2406</v>
      </c>
      <c r="AV1140" s="16"/>
      <c r="AW1140" s="17" t="s">
        <v>762</v>
      </c>
      <c r="AX1140" s="16" t="s">
        <v>1489</v>
      </c>
      <c r="AY1140" s="18">
        <v>10000015</v>
      </c>
      <c r="AZ1140" s="18">
        <v>21400030</v>
      </c>
      <c r="BA1140" s="17" t="s">
        <v>1371</v>
      </c>
      <c r="BB1140" s="16">
        <v>0</v>
      </c>
      <c r="BC1140" s="27">
        <v>0</v>
      </c>
      <c r="BD1140" s="27">
        <v>0</v>
      </c>
      <c r="BE1140" s="170" t="str">
        <f t="shared" si="130"/>
        <v>立即跳跃至目标区域并对其怪物造成250%攻击伤害+2250点固定伤害,并使目标击退并置空1秒</v>
      </c>
      <c r="BF1140" s="170" t="s">
        <v>2409</v>
      </c>
      <c r="BG1140" s="16">
        <v>0</v>
      </c>
      <c r="BH1140" s="16">
        <v>0</v>
      </c>
      <c r="BI1140" s="16">
        <v>0</v>
      </c>
      <c r="BJ1140" s="16">
        <v>0</v>
      </c>
      <c r="BK1140" s="16">
        <v>0</v>
      </c>
      <c r="BL1140" s="16">
        <v>0</v>
      </c>
      <c r="BM1140" s="15">
        <v>0</v>
      </c>
      <c r="BN1140" s="12">
        <v>0</v>
      </c>
      <c r="BO1140" s="12">
        <v>0</v>
      </c>
      <c r="BP1140" s="12">
        <v>0</v>
      </c>
      <c r="BQ1140" s="12">
        <v>0</v>
      </c>
      <c r="BR1140" s="12">
        <v>0</v>
      </c>
      <c r="BS1140" s="12">
        <v>0</v>
      </c>
      <c r="BT1140" s="12">
        <v>0</v>
      </c>
      <c r="BU1140" s="47">
        <v>0</v>
      </c>
      <c r="BV1140" s="47"/>
      <c r="BW1140" s="47"/>
    </row>
    <row r="1141" spans="3:75" ht="20.100000000000001" customHeight="1">
      <c r="C1141" s="18">
        <v>65011305</v>
      </c>
      <c r="D1141" s="17" t="s">
        <v>1457</v>
      </c>
      <c r="E1141" s="17" t="s">
        <v>1458</v>
      </c>
      <c r="F1141" s="16">
        <v>4</v>
      </c>
      <c r="G1141" s="18">
        <v>65011301</v>
      </c>
      <c r="H1141" s="16">
        <v>0</v>
      </c>
      <c r="I1141" s="27">
        <v>1</v>
      </c>
      <c r="J1141" s="16">
        <v>5</v>
      </c>
      <c r="K1141" s="16">
        <v>0</v>
      </c>
      <c r="L1141" s="16">
        <v>0</v>
      </c>
      <c r="M1141" s="16">
        <v>0</v>
      </c>
      <c r="N1141" s="16">
        <v>0</v>
      </c>
      <c r="O1141" s="16">
        <v>1</v>
      </c>
      <c r="P1141" s="16">
        <v>0</v>
      </c>
      <c r="Q1141" s="16">
        <v>0</v>
      </c>
      <c r="R1141" s="16">
        <v>0</v>
      </c>
      <c r="S1141" s="12">
        <v>0</v>
      </c>
      <c r="T1141" s="16">
        <v>0</v>
      </c>
      <c r="U1141" s="16">
        <v>1</v>
      </c>
      <c r="V1141" s="16">
        <v>2</v>
      </c>
      <c r="W1141" s="16">
        <v>0</v>
      </c>
      <c r="X1141" s="16">
        <v>2.75</v>
      </c>
      <c r="Y1141" s="12">
        <v>0</v>
      </c>
      <c r="Z1141" s="18">
        <v>3250</v>
      </c>
      <c r="AA1141" s="16">
        <v>1</v>
      </c>
      <c r="AB1141" s="16">
        <v>20</v>
      </c>
      <c r="AC1141" s="16">
        <v>0</v>
      </c>
      <c r="AD1141" s="16">
        <v>0</v>
      </c>
      <c r="AE1141" s="16">
        <v>0</v>
      </c>
      <c r="AF1141" s="16">
        <v>12</v>
      </c>
      <c r="AG1141" s="16">
        <v>1</v>
      </c>
      <c r="AH1141" s="16" t="s">
        <v>861</v>
      </c>
      <c r="AI1141" s="12">
        <v>2</v>
      </c>
      <c r="AJ1141" s="12">
        <v>1</v>
      </c>
      <c r="AK1141" s="12">
        <v>0</v>
      </c>
      <c r="AL1141" s="12">
        <v>6</v>
      </c>
      <c r="AM1141" s="16">
        <v>0</v>
      </c>
      <c r="AN1141" s="16">
        <v>0</v>
      </c>
      <c r="AO1141" s="16">
        <v>0</v>
      </c>
      <c r="AP1141" s="16">
        <v>0.5</v>
      </c>
      <c r="AQ1141" s="16">
        <v>2000</v>
      </c>
      <c r="AR1141" s="16">
        <v>0.4</v>
      </c>
      <c r="AS1141" s="16">
        <v>0</v>
      </c>
      <c r="AT1141" s="12">
        <v>0</v>
      </c>
      <c r="AU1141" s="350" t="s">
        <v>2406</v>
      </c>
      <c r="AV1141" s="16"/>
      <c r="AW1141" s="17" t="s">
        <v>762</v>
      </c>
      <c r="AX1141" s="16" t="s">
        <v>1489</v>
      </c>
      <c r="AY1141" s="18">
        <v>10000015</v>
      </c>
      <c r="AZ1141" s="18">
        <v>21400030</v>
      </c>
      <c r="BA1141" s="17" t="s">
        <v>1371</v>
      </c>
      <c r="BB1141" s="16">
        <v>0</v>
      </c>
      <c r="BC1141" s="27">
        <v>0</v>
      </c>
      <c r="BD1141" s="27">
        <v>0</v>
      </c>
      <c r="BE1141" s="170" t="str">
        <f t="shared" si="130"/>
        <v>立即跳跃至目标区域并对其怪物造成275%攻击伤害+3250点固定伤害,并使目标击退并置空1秒</v>
      </c>
      <c r="BF1141" s="170" t="s">
        <v>2410</v>
      </c>
      <c r="BG1141" s="16">
        <v>0</v>
      </c>
      <c r="BH1141" s="16">
        <v>0</v>
      </c>
      <c r="BI1141" s="16">
        <v>0</v>
      </c>
      <c r="BJ1141" s="16">
        <v>0</v>
      </c>
      <c r="BK1141" s="16">
        <v>0</v>
      </c>
      <c r="BL1141" s="16">
        <v>0</v>
      </c>
      <c r="BM1141" s="15">
        <v>0</v>
      </c>
      <c r="BN1141" s="12">
        <v>0</v>
      </c>
      <c r="BO1141" s="12">
        <v>0</v>
      </c>
      <c r="BP1141" s="12">
        <v>0</v>
      </c>
      <c r="BQ1141" s="12">
        <v>0</v>
      </c>
      <c r="BR1141" s="12">
        <v>0</v>
      </c>
      <c r="BS1141" s="12">
        <v>0</v>
      </c>
      <c r="BT1141" s="12">
        <v>0</v>
      </c>
      <c r="BU1141" s="47">
        <v>0</v>
      </c>
      <c r="BV1141" s="47"/>
      <c r="BW1141" s="47"/>
    </row>
    <row r="1142" spans="3:75" ht="20.100000000000001" customHeight="1">
      <c r="C1142" s="18">
        <v>65011306</v>
      </c>
      <c r="D1142" s="17" t="s">
        <v>1457</v>
      </c>
      <c r="E1142" s="17" t="s">
        <v>1458</v>
      </c>
      <c r="F1142" s="16">
        <v>5</v>
      </c>
      <c r="G1142" s="18">
        <v>65011301</v>
      </c>
      <c r="H1142" s="16">
        <v>0</v>
      </c>
      <c r="I1142" s="27">
        <v>1</v>
      </c>
      <c r="J1142" s="16">
        <v>5</v>
      </c>
      <c r="K1142" s="16">
        <v>0</v>
      </c>
      <c r="L1142" s="16">
        <v>0</v>
      </c>
      <c r="M1142" s="16">
        <v>0</v>
      </c>
      <c r="N1142" s="16">
        <v>0</v>
      </c>
      <c r="O1142" s="16">
        <v>1</v>
      </c>
      <c r="P1142" s="16">
        <v>0</v>
      </c>
      <c r="Q1142" s="16">
        <v>0</v>
      </c>
      <c r="R1142" s="16">
        <v>0</v>
      </c>
      <c r="S1142" s="12">
        <v>0</v>
      </c>
      <c r="T1142" s="16">
        <v>0</v>
      </c>
      <c r="U1142" s="16">
        <v>1</v>
      </c>
      <c r="V1142" s="16">
        <v>2</v>
      </c>
      <c r="W1142" s="16">
        <v>0</v>
      </c>
      <c r="X1142" s="16">
        <v>3</v>
      </c>
      <c r="Y1142" s="12">
        <v>0</v>
      </c>
      <c r="Z1142" s="18">
        <v>4250</v>
      </c>
      <c r="AA1142" s="16">
        <v>1</v>
      </c>
      <c r="AB1142" s="16">
        <v>20</v>
      </c>
      <c r="AC1142" s="16">
        <v>0</v>
      </c>
      <c r="AD1142" s="16">
        <v>0</v>
      </c>
      <c r="AE1142" s="16">
        <v>0</v>
      </c>
      <c r="AF1142" s="16">
        <v>12</v>
      </c>
      <c r="AG1142" s="16">
        <v>1</v>
      </c>
      <c r="AH1142" s="16" t="s">
        <v>861</v>
      </c>
      <c r="AI1142" s="12">
        <v>2</v>
      </c>
      <c r="AJ1142" s="12">
        <v>1</v>
      </c>
      <c r="AK1142" s="12">
        <v>0</v>
      </c>
      <c r="AL1142" s="12">
        <v>6</v>
      </c>
      <c r="AM1142" s="16">
        <v>0</v>
      </c>
      <c r="AN1142" s="16">
        <v>0</v>
      </c>
      <c r="AO1142" s="16">
        <v>0</v>
      </c>
      <c r="AP1142" s="16">
        <v>0.5</v>
      </c>
      <c r="AQ1142" s="16">
        <v>2000</v>
      </c>
      <c r="AR1142" s="16">
        <v>0.4</v>
      </c>
      <c r="AS1142" s="16">
        <v>0</v>
      </c>
      <c r="AT1142" s="12">
        <v>0</v>
      </c>
      <c r="AU1142" s="350" t="s">
        <v>2406</v>
      </c>
      <c r="AV1142" s="16"/>
      <c r="AW1142" s="17" t="s">
        <v>762</v>
      </c>
      <c r="AX1142" s="16" t="s">
        <v>1489</v>
      </c>
      <c r="AY1142" s="18">
        <v>10000015</v>
      </c>
      <c r="AZ1142" s="18">
        <v>21400030</v>
      </c>
      <c r="BA1142" s="17" t="s">
        <v>1371</v>
      </c>
      <c r="BB1142" s="16">
        <v>0</v>
      </c>
      <c r="BC1142" s="27">
        <v>0</v>
      </c>
      <c r="BD1142" s="27">
        <v>0</v>
      </c>
      <c r="BE1142" s="170" t="str">
        <f t="shared" si="130"/>
        <v>立即跳跃至目标区域并对其怪物造成300%攻击伤害+4250点固定伤害,并使目标击退并置空1秒</v>
      </c>
      <c r="BF1142" s="170" t="s">
        <v>2411</v>
      </c>
      <c r="BG1142" s="16">
        <v>0</v>
      </c>
      <c r="BH1142" s="16">
        <v>0</v>
      </c>
      <c r="BI1142" s="16">
        <v>0</v>
      </c>
      <c r="BJ1142" s="16">
        <v>0</v>
      </c>
      <c r="BK1142" s="16">
        <v>0</v>
      </c>
      <c r="BL1142" s="16">
        <v>0</v>
      </c>
      <c r="BM1142" s="15">
        <v>0</v>
      </c>
      <c r="BN1142" s="12">
        <v>0</v>
      </c>
      <c r="BO1142" s="12">
        <v>0</v>
      </c>
      <c r="BP1142" s="12">
        <v>0</v>
      </c>
      <c r="BQ1142" s="12">
        <v>0</v>
      </c>
      <c r="BR1142" s="12">
        <v>0</v>
      </c>
      <c r="BS1142" s="12">
        <v>0</v>
      </c>
      <c r="BT1142" s="12">
        <v>0</v>
      </c>
      <c r="BU1142" s="47">
        <v>0</v>
      </c>
      <c r="BV1142" s="47"/>
      <c r="BW1142" s="47"/>
    </row>
    <row r="1143" spans="3:75" ht="20.100000000000001" customHeight="1">
      <c r="C1143" s="12">
        <v>65012101</v>
      </c>
      <c r="D1143" s="13" t="s">
        <v>2412</v>
      </c>
      <c r="E1143" s="13" t="s">
        <v>2413</v>
      </c>
      <c r="F1143" s="12">
        <v>0</v>
      </c>
      <c r="G1143" s="12">
        <v>65012101</v>
      </c>
      <c r="H1143" s="12">
        <v>65012102</v>
      </c>
      <c r="I1143" s="12">
        <v>0</v>
      </c>
      <c r="J1143" s="12">
        <v>1</v>
      </c>
      <c r="K1143" s="12">
        <v>5</v>
      </c>
      <c r="L1143" s="12">
        <v>0</v>
      </c>
      <c r="M1143" s="12">
        <v>0</v>
      </c>
      <c r="N1143" s="12">
        <v>0</v>
      </c>
      <c r="O1143" s="12">
        <v>1</v>
      </c>
      <c r="P1143" s="12">
        <v>0</v>
      </c>
      <c r="Q1143" s="12">
        <v>0</v>
      </c>
      <c r="R1143" s="12">
        <v>0</v>
      </c>
      <c r="S1143" s="12">
        <v>0</v>
      </c>
      <c r="T1143" s="12">
        <v>0</v>
      </c>
      <c r="U1143" s="12">
        <v>1</v>
      </c>
      <c r="V1143" s="12">
        <v>2</v>
      </c>
      <c r="W1143" s="12">
        <v>0</v>
      </c>
      <c r="X1143" s="12">
        <v>3</v>
      </c>
      <c r="Y1143" s="12">
        <v>0</v>
      </c>
      <c r="Z1143" s="12">
        <v>1800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"立即对前方区域范围内的怪物造成"&amp;X1143*100&amp;"%攻击伤害+"&amp;Z1143&amp;"点固定伤害"</f>
        <v>立即对前方区域范围内的怪物造成300%攻击伤害+1800点固定伤害</v>
      </c>
      <c r="BF1143" s="184" t="s">
        <v>2414</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65012102</v>
      </c>
      <c r="D1144" s="13" t="s">
        <v>2412</v>
      </c>
      <c r="E1144" s="13" t="s">
        <v>2413</v>
      </c>
      <c r="F1144" s="12">
        <v>1</v>
      </c>
      <c r="G1144" s="12">
        <v>65012101</v>
      </c>
      <c r="H1144" s="12">
        <v>65012103</v>
      </c>
      <c r="I1144" s="12">
        <v>0</v>
      </c>
      <c r="J1144" s="12">
        <v>1</v>
      </c>
      <c r="K1144" s="12">
        <v>2</v>
      </c>
      <c r="L1144" s="12">
        <v>0</v>
      </c>
      <c r="M1144" s="12">
        <v>0</v>
      </c>
      <c r="N1144" s="12">
        <v>0</v>
      </c>
      <c r="O1144" s="12">
        <v>1</v>
      </c>
      <c r="P1144" s="12">
        <v>0</v>
      </c>
      <c r="Q1144" s="12">
        <v>0</v>
      </c>
      <c r="R1144" s="12">
        <v>0</v>
      </c>
      <c r="S1144" s="12">
        <v>0</v>
      </c>
      <c r="T1144" s="12">
        <v>0</v>
      </c>
      <c r="U1144" s="12">
        <v>1</v>
      </c>
      <c r="V1144" s="12">
        <v>2</v>
      </c>
      <c r="W1144" s="12">
        <v>0</v>
      </c>
      <c r="X1144" s="12">
        <v>3</v>
      </c>
      <c r="Y1144" s="12">
        <v>0</v>
      </c>
      <c r="Z1144" s="12">
        <v>1800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ref="BE1144:BE1148" si="131">"立即对前方区域范围内的怪物造成"&amp;X1144*100&amp;"%攻击伤害+"&amp;Z1144&amp;"点固定伤害"</f>
        <v>立即对前方区域范围内的怪物造成300%攻击伤害+1800点固定伤害</v>
      </c>
      <c r="BF1144" s="184" t="s">
        <v>2414</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65012103</v>
      </c>
      <c r="D1145" s="13" t="s">
        <v>2412</v>
      </c>
      <c r="E1145" s="13" t="s">
        <v>2413</v>
      </c>
      <c r="F1145" s="12">
        <v>2</v>
      </c>
      <c r="G1145" s="12">
        <v>65012101</v>
      </c>
      <c r="H1145" s="12">
        <v>65012104</v>
      </c>
      <c r="I1145" s="12">
        <v>0</v>
      </c>
      <c r="J1145" s="12">
        <v>1</v>
      </c>
      <c r="K1145" s="12">
        <v>2</v>
      </c>
      <c r="L1145" s="12">
        <v>0</v>
      </c>
      <c r="M1145" s="12">
        <v>0</v>
      </c>
      <c r="N1145" s="12">
        <v>0</v>
      </c>
      <c r="O1145" s="12">
        <v>1</v>
      </c>
      <c r="P1145" s="12">
        <v>0</v>
      </c>
      <c r="Q1145" s="12">
        <v>0</v>
      </c>
      <c r="R1145" s="12">
        <v>0</v>
      </c>
      <c r="S1145" s="12">
        <v>0</v>
      </c>
      <c r="T1145" s="12">
        <v>0</v>
      </c>
      <c r="U1145" s="12">
        <v>1</v>
      </c>
      <c r="V1145" s="12">
        <v>2</v>
      </c>
      <c r="W1145" s="12">
        <v>0</v>
      </c>
      <c r="X1145" s="12">
        <v>3.5</v>
      </c>
      <c r="Y1145" s="12">
        <v>0</v>
      </c>
      <c r="Z1145" s="12">
        <v>3600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立即对前方区域范围内的怪物造成350%攻击伤害+3600点固定伤害</v>
      </c>
      <c r="BF1145" s="184" t="s">
        <v>2415</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65012104</v>
      </c>
      <c r="D1146" s="13" t="s">
        <v>2412</v>
      </c>
      <c r="E1146" s="13" t="s">
        <v>2413</v>
      </c>
      <c r="F1146" s="12">
        <v>3</v>
      </c>
      <c r="G1146" s="12">
        <v>65012101</v>
      </c>
      <c r="H1146" s="12">
        <v>0</v>
      </c>
      <c r="I1146" s="12">
        <v>0</v>
      </c>
      <c r="J1146" s="12">
        <v>1</v>
      </c>
      <c r="K1146" s="12">
        <v>0</v>
      </c>
      <c r="L1146" s="12">
        <v>0</v>
      </c>
      <c r="M1146" s="12">
        <v>0</v>
      </c>
      <c r="N1146" s="12">
        <v>0</v>
      </c>
      <c r="O1146" s="12">
        <v>1</v>
      </c>
      <c r="P1146" s="12">
        <v>0</v>
      </c>
      <c r="Q1146" s="12">
        <v>0</v>
      </c>
      <c r="R1146" s="12">
        <v>0</v>
      </c>
      <c r="S1146" s="12">
        <v>0</v>
      </c>
      <c r="T1146" s="12">
        <v>0</v>
      </c>
      <c r="U1146" s="12">
        <v>1</v>
      </c>
      <c r="V1146" s="12">
        <v>2</v>
      </c>
      <c r="W1146" s="12">
        <v>0</v>
      </c>
      <c r="X1146" s="12">
        <v>4</v>
      </c>
      <c r="Y1146" s="12">
        <v>0</v>
      </c>
      <c r="Z1146" s="12">
        <v>5600</v>
      </c>
      <c r="AA1146" s="12">
        <v>0</v>
      </c>
      <c r="AB1146" s="12">
        <v>15</v>
      </c>
      <c r="AC1146" s="12">
        <v>0</v>
      </c>
      <c r="AD1146" s="12">
        <v>0</v>
      </c>
      <c r="AE1146" s="12">
        <v>0</v>
      </c>
      <c r="AF1146" s="12">
        <v>9</v>
      </c>
      <c r="AG1146" s="12">
        <v>1</v>
      </c>
      <c r="AH1146" s="68">
        <v>1.5</v>
      </c>
      <c r="AI1146" s="12">
        <v>2</v>
      </c>
      <c r="AJ1146" s="12">
        <v>2</v>
      </c>
      <c r="AK1146" s="12">
        <v>0</v>
      </c>
      <c r="AL1146" s="12">
        <v>2.5</v>
      </c>
      <c r="AM1146" s="12">
        <v>0</v>
      </c>
      <c r="AN1146" s="12">
        <v>0</v>
      </c>
      <c r="AO1146" s="12">
        <v>0</v>
      </c>
      <c r="AP1146" s="12">
        <v>0.25</v>
      </c>
      <c r="AQ1146" s="12">
        <v>1500</v>
      </c>
      <c r="AR1146" s="12">
        <v>0.25</v>
      </c>
      <c r="AS1146" s="12">
        <v>15</v>
      </c>
      <c r="AT1146" s="12">
        <v>0</v>
      </c>
      <c r="AU1146" s="12">
        <v>92002001</v>
      </c>
      <c r="AV1146" s="12"/>
      <c r="AW1146" s="13" t="s">
        <v>199</v>
      </c>
      <c r="AX1146" s="12" t="s">
        <v>1400</v>
      </c>
      <c r="AY1146" s="12">
        <v>10003002</v>
      </c>
      <c r="AZ1146" s="12">
        <v>21400040</v>
      </c>
      <c r="BA1146" s="13" t="s">
        <v>586</v>
      </c>
      <c r="BB1146" s="12">
        <v>0</v>
      </c>
      <c r="BC1146" s="12">
        <v>0</v>
      </c>
      <c r="BD1146" s="12">
        <v>0</v>
      </c>
      <c r="BE1146" s="184" t="str">
        <f t="shared" si="131"/>
        <v>立即对前方区域范围内的怪物造成400%攻击伤害+5600点固定伤害</v>
      </c>
      <c r="BF1146" s="184" t="s">
        <v>2416</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65012105</v>
      </c>
      <c r="D1147" s="13" t="s">
        <v>2412</v>
      </c>
      <c r="E1147" s="13" t="s">
        <v>2413</v>
      </c>
      <c r="F1147" s="12">
        <v>4</v>
      </c>
      <c r="G1147" s="12">
        <v>65012101</v>
      </c>
      <c r="H1147" s="12">
        <v>0</v>
      </c>
      <c r="I1147" s="12">
        <v>0</v>
      </c>
      <c r="J1147" s="12">
        <v>1</v>
      </c>
      <c r="K1147" s="12">
        <v>0</v>
      </c>
      <c r="L1147" s="12">
        <v>0</v>
      </c>
      <c r="M1147" s="12">
        <v>0</v>
      </c>
      <c r="N1147" s="12">
        <v>0</v>
      </c>
      <c r="O1147" s="12">
        <v>1</v>
      </c>
      <c r="P1147" s="12">
        <v>0</v>
      </c>
      <c r="Q1147" s="12">
        <v>0</v>
      </c>
      <c r="R1147" s="12">
        <v>0</v>
      </c>
      <c r="S1147" s="12">
        <v>0</v>
      </c>
      <c r="T1147" s="12">
        <v>0</v>
      </c>
      <c r="U1147" s="12">
        <v>1</v>
      </c>
      <c r="V1147" s="12">
        <v>2</v>
      </c>
      <c r="W1147" s="12">
        <v>0</v>
      </c>
      <c r="X1147" s="12">
        <v>4.5</v>
      </c>
      <c r="Y1147" s="12">
        <v>0</v>
      </c>
      <c r="Z1147" s="12">
        <v>8000</v>
      </c>
      <c r="AA1147" s="12">
        <v>0</v>
      </c>
      <c r="AB1147" s="12">
        <v>15</v>
      </c>
      <c r="AC1147" s="12">
        <v>0</v>
      </c>
      <c r="AD1147" s="12">
        <v>0</v>
      </c>
      <c r="AE1147" s="12">
        <v>0</v>
      </c>
      <c r="AF1147" s="12">
        <v>9</v>
      </c>
      <c r="AG1147" s="12">
        <v>1</v>
      </c>
      <c r="AH1147" s="68">
        <v>1.5</v>
      </c>
      <c r="AI1147" s="12">
        <v>2</v>
      </c>
      <c r="AJ1147" s="12">
        <v>2</v>
      </c>
      <c r="AK1147" s="12">
        <v>0</v>
      </c>
      <c r="AL1147" s="12">
        <v>2.5</v>
      </c>
      <c r="AM1147" s="12">
        <v>0</v>
      </c>
      <c r="AN1147" s="12">
        <v>0</v>
      </c>
      <c r="AO1147" s="12">
        <v>0</v>
      </c>
      <c r="AP1147" s="12">
        <v>0.25</v>
      </c>
      <c r="AQ1147" s="12">
        <v>1500</v>
      </c>
      <c r="AR1147" s="12">
        <v>0.25</v>
      </c>
      <c r="AS1147" s="12">
        <v>15</v>
      </c>
      <c r="AT1147" s="12">
        <v>0</v>
      </c>
      <c r="AU1147" s="12">
        <v>92002001</v>
      </c>
      <c r="AV1147" s="12"/>
      <c r="AW1147" s="13" t="s">
        <v>199</v>
      </c>
      <c r="AX1147" s="12" t="s">
        <v>1400</v>
      </c>
      <c r="AY1147" s="12">
        <v>10003002</v>
      </c>
      <c r="AZ1147" s="12">
        <v>21400040</v>
      </c>
      <c r="BA1147" s="13" t="s">
        <v>586</v>
      </c>
      <c r="BB1147" s="12">
        <v>0</v>
      </c>
      <c r="BC1147" s="12">
        <v>0</v>
      </c>
      <c r="BD1147" s="12">
        <v>0</v>
      </c>
      <c r="BE1147" s="184" t="str">
        <f t="shared" si="131"/>
        <v>立即对前方区域范围内的怪物造成450%攻击伤害+8000点固定伤害</v>
      </c>
      <c r="BF1147" s="184" t="s">
        <v>2417</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65012106</v>
      </c>
      <c r="D1148" s="13" t="s">
        <v>2412</v>
      </c>
      <c r="E1148" s="13" t="s">
        <v>2413</v>
      </c>
      <c r="F1148" s="12">
        <v>5</v>
      </c>
      <c r="G1148" s="12">
        <v>65012101</v>
      </c>
      <c r="H1148" s="12">
        <v>0</v>
      </c>
      <c r="I1148" s="12">
        <v>0</v>
      </c>
      <c r="J1148" s="12">
        <v>1</v>
      </c>
      <c r="K1148" s="12">
        <v>0</v>
      </c>
      <c r="L1148" s="12">
        <v>0</v>
      </c>
      <c r="M1148" s="12">
        <v>0</v>
      </c>
      <c r="N1148" s="12">
        <v>0</v>
      </c>
      <c r="O1148" s="12">
        <v>1</v>
      </c>
      <c r="P1148" s="12">
        <v>0</v>
      </c>
      <c r="Q1148" s="12">
        <v>0</v>
      </c>
      <c r="R1148" s="12">
        <v>0</v>
      </c>
      <c r="S1148" s="12">
        <v>0</v>
      </c>
      <c r="T1148" s="12">
        <v>0</v>
      </c>
      <c r="U1148" s="12">
        <v>1</v>
      </c>
      <c r="V1148" s="12">
        <v>2</v>
      </c>
      <c r="W1148" s="12">
        <v>0</v>
      </c>
      <c r="X1148" s="12">
        <v>5</v>
      </c>
      <c r="Y1148" s="12">
        <v>0</v>
      </c>
      <c r="Z1148" s="12">
        <v>10400</v>
      </c>
      <c r="AA1148" s="12">
        <v>0</v>
      </c>
      <c r="AB1148" s="12">
        <v>15</v>
      </c>
      <c r="AC1148" s="12">
        <v>0</v>
      </c>
      <c r="AD1148" s="12">
        <v>0</v>
      </c>
      <c r="AE1148" s="12">
        <v>0</v>
      </c>
      <c r="AF1148" s="12">
        <v>9</v>
      </c>
      <c r="AG1148" s="12">
        <v>1</v>
      </c>
      <c r="AH1148" s="68">
        <v>1.5</v>
      </c>
      <c r="AI1148" s="12">
        <v>2</v>
      </c>
      <c r="AJ1148" s="12">
        <v>2</v>
      </c>
      <c r="AK1148" s="12">
        <v>0</v>
      </c>
      <c r="AL1148" s="12">
        <v>2.5</v>
      </c>
      <c r="AM1148" s="12">
        <v>0</v>
      </c>
      <c r="AN1148" s="12">
        <v>0</v>
      </c>
      <c r="AO1148" s="12">
        <v>0</v>
      </c>
      <c r="AP1148" s="12">
        <v>0.25</v>
      </c>
      <c r="AQ1148" s="12">
        <v>1500</v>
      </c>
      <c r="AR1148" s="12">
        <v>0.25</v>
      </c>
      <c r="AS1148" s="12">
        <v>15</v>
      </c>
      <c r="AT1148" s="12">
        <v>0</v>
      </c>
      <c r="AU1148" s="12">
        <v>92002001</v>
      </c>
      <c r="AV1148" s="12"/>
      <c r="AW1148" s="13" t="s">
        <v>199</v>
      </c>
      <c r="AX1148" s="12" t="s">
        <v>1400</v>
      </c>
      <c r="AY1148" s="12">
        <v>10003002</v>
      </c>
      <c r="AZ1148" s="12">
        <v>21400040</v>
      </c>
      <c r="BA1148" s="13" t="s">
        <v>586</v>
      </c>
      <c r="BB1148" s="12">
        <v>0</v>
      </c>
      <c r="BC1148" s="12">
        <v>0</v>
      </c>
      <c r="BD1148" s="12">
        <v>0</v>
      </c>
      <c r="BE1148" s="184" t="str">
        <f t="shared" si="131"/>
        <v>立即对前方区域范围内的怪物造成500%攻击伤害+10400点固定伤害</v>
      </c>
      <c r="BF1148" s="184" t="s">
        <v>2418</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65012201</v>
      </c>
      <c r="D1149" s="13" t="s">
        <v>2419</v>
      </c>
      <c r="E1149" s="13" t="s">
        <v>2420</v>
      </c>
      <c r="F1149" s="12">
        <v>0</v>
      </c>
      <c r="G1149" s="12">
        <v>65012201</v>
      </c>
      <c r="H1149" s="12">
        <v>65012202</v>
      </c>
      <c r="I1149" s="12">
        <v>0</v>
      </c>
      <c r="J1149" s="16">
        <v>3</v>
      </c>
      <c r="K1149" s="16">
        <v>5</v>
      </c>
      <c r="L1149" s="12">
        <v>0</v>
      </c>
      <c r="M1149" s="12">
        <v>0</v>
      </c>
      <c r="N1149" s="12">
        <v>0</v>
      </c>
      <c r="O1149" s="12">
        <v>1</v>
      </c>
      <c r="P1149" s="12">
        <v>0</v>
      </c>
      <c r="Q1149" s="12">
        <v>0</v>
      </c>
      <c r="R1149" s="12">
        <v>0</v>
      </c>
      <c r="S1149" s="12">
        <v>0</v>
      </c>
      <c r="T1149" s="12">
        <v>0</v>
      </c>
      <c r="U1149" s="12">
        <v>1</v>
      </c>
      <c r="V1149" s="12">
        <v>2</v>
      </c>
      <c r="W1149" s="12">
        <v>0</v>
      </c>
      <c r="X1149" s="12">
        <v>2</v>
      </c>
      <c r="Y1149" s="12">
        <v>0</v>
      </c>
      <c r="Z1149" s="12">
        <v>900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"立即对目标区域的怪物造成"&amp;X1149*100&amp;"%攻击伤害+"&amp;Z1149&amp;"点固定伤害,并让其附带一个疾风标记,使其受到伤害额外提升20%,持续7秒"</f>
        <v>立即对目标区域的怪物造成200%攻击伤害+900点固定伤害,并让其附带一个疾风标记,使其受到伤害额外提升20%,持续7秒</v>
      </c>
      <c r="BF1149" s="184" t="s">
        <v>2421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65012202</v>
      </c>
      <c r="D1150" s="13" t="s">
        <v>2419</v>
      </c>
      <c r="E1150" s="13" t="s">
        <v>2420</v>
      </c>
      <c r="F1150" s="12">
        <v>1</v>
      </c>
      <c r="G1150" s="12">
        <v>65012201</v>
      </c>
      <c r="H1150" s="12">
        <v>65012203</v>
      </c>
      <c r="I1150" s="12">
        <v>0</v>
      </c>
      <c r="J1150" s="16">
        <v>3</v>
      </c>
      <c r="K1150" s="16">
        <v>2</v>
      </c>
      <c r="L1150" s="12">
        <v>0</v>
      </c>
      <c r="M1150" s="12">
        <v>0</v>
      </c>
      <c r="N1150" s="12">
        <v>0</v>
      </c>
      <c r="O1150" s="12">
        <v>1</v>
      </c>
      <c r="P1150" s="12">
        <v>0</v>
      </c>
      <c r="Q1150" s="12">
        <v>0</v>
      </c>
      <c r="R1150" s="12">
        <v>0</v>
      </c>
      <c r="S1150" s="12">
        <v>0</v>
      </c>
      <c r="T1150" s="12">
        <v>0</v>
      </c>
      <c r="U1150" s="12">
        <v>1</v>
      </c>
      <c r="V1150" s="12">
        <v>2</v>
      </c>
      <c r="W1150" s="12">
        <v>0</v>
      </c>
      <c r="X1150" s="12">
        <v>2</v>
      </c>
      <c r="Y1150" s="12">
        <v>0</v>
      </c>
      <c r="Z1150" s="12">
        <v>900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ref="BE1150:BE1154" si="132">"立即对目标区域的怪物造成"&amp;X1150*100&amp;"%攻击伤害+"&amp;Z1150&amp;"点固定伤害,并让其附带一个疾风标记,使其受到伤害额外提升20%,持续7秒"</f>
        <v>立即对目标区域的怪物造成200%攻击伤害+900点固定伤害,并让其附带一个疾风标记,使其受到伤害额外提升20%,持续7秒</v>
      </c>
      <c r="BF1150" s="184" t="s">
        <v>2421</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65012203</v>
      </c>
      <c r="D1151" s="13" t="s">
        <v>2419</v>
      </c>
      <c r="E1151" s="13" t="s">
        <v>2420</v>
      </c>
      <c r="F1151" s="12">
        <v>2</v>
      </c>
      <c r="G1151" s="12">
        <v>65012201</v>
      </c>
      <c r="H1151" s="12">
        <v>65012204</v>
      </c>
      <c r="I1151" s="12">
        <v>0</v>
      </c>
      <c r="J1151" s="16">
        <v>3</v>
      </c>
      <c r="K1151" s="16">
        <v>2</v>
      </c>
      <c r="L1151" s="12">
        <v>0</v>
      </c>
      <c r="M1151" s="12">
        <v>0</v>
      </c>
      <c r="N1151" s="12">
        <v>0</v>
      </c>
      <c r="O1151" s="12">
        <v>1</v>
      </c>
      <c r="P1151" s="12">
        <v>0</v>
      </c>
      <c r="Q1151" s="12">
        <v>0</v>
      </c>
      <c r="R1151" s="12">
        <v>0</v>
      </c>
      <c r="S1151" s="12">
        <v>0</v>
      </c>
      <c r="T1151" s="12">
        <v>0</v>
      </c>
      <c r="U1151" s="12">
        <v>1</v>
      </c>
      <c r="V1151" s="12">
        <v>2</v>
      </c>
      <c r="W1151" s="12">
        <v>0</v>
      </c>
      <c r="X1151" s="12">
        <v>2.25</v>
      </c>
      <c r="Y1151" s="12">
        <v>0</v>
      </c>
      <c r="Z1151" s="12">
        <v>1800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立即对目标区域的怪物造成225%攻击伤害+1800点固定伤害,并让其附带一个疾风标记,使其受到伤害额外提升20%,持续7秒</v>
      </c>
      <c r="BF1151" s="184" t="s">
        <v>2422</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65012204</v>
      </c>
      <c r="D1152" s="13" t="s">
        <v>2419</v>
      </c>
      <c r="E1152" s="13" t="s">
        <v>2420</v>
      </c>
      <c r="F1152" s="12">
        <v>3</v>
      </c>
      <c r="G1152" s="12">
        <v>65012201</v>
      </c>
      <c r="H1152" s="12">
        <v>0</v>
      </c>
      <c r="I1152" s="12">
        <v>0</v>
      </c>
      <c r="J1152" s="16">
        <v>3</v>
      </c>
      <c r="K1152" s="16">
        <v>0</v>
      </c>
      <c r="L1152" s="12">
        <v>0</v>
      </c>
      <c r="M1152" s="12">
        <v>0</v>
      </c>
      <c r="N1152" s="12">
        <v>0</v>
      </c>
      <c r="O1152" s="12">
        <v>1</v>
      </c>
      <c r="P1152" s="12">
        <v>0</v>
      </c>
      <c r="Q1152" s="12">
        <v>0</v>
      </c>
      <c r="R1152" s="12">
        <v>0</v>
      </c>
      <c r="S1152" s="12">
        <v>0</v>
      </c>
      <c r="T1152" s="12">
        <v>0</v>
      </c>
      <c r="U1152" s="12">
        <v>1</v>
      </c>
      <c r="V1152" s="12">
        <v>2</v>
      </c>
      <c r="W1152" s="12">
        <v>0</v>
      </c>
      <c r="X1152" s="12">
        <v>2.5</v>
      </c>
      <c r="Y1152" s="12">
        <v>0</v>
      </c>
      <c r="Z1152" s="12">
        <v>2800</v>
      </c>
      <c r="AA1152" s="12">
        <v>0</v>
      </c>
      <c r="AB1152" s="18">
        <v>15</v>
      </c>
      <c r="AC1152" s="12">
        <v>0</v>
      </c>
      <c r="AD1152" s="12">
        <v>0</v>
      </c>
      <c r="AE1152" s="12">
        <v>0</v>
      </c>
      <c r="AF1152" s="12">
        <v>15</v>
      </c>
      <c r="AG1152" s="12">
        <v>0</v>
      </c>
      <c r="AH1152" s="68">
        <v>4</v>
      </c>
      <c r="AI1152" s="12">
        <v>2</v>
      </c>
      <c r="AJ1152" s="12">
        <v>1</v>
      </c>
      <c r="AK1152" s="12">
        <v>0</v>
      </c>
      <c r="AL1152" s="12">
        <v>8</v>
      </c>
      <c r="AM1152" s="12">
        <v>0</v>
      </c>
      <c r="AN1152" s="12">
        <v>0</v>
      </c>
      <c r="AO1152" s="12">
        <v>0</v>
      </c>
      <c r="AP1152" s="12">
        <v>0.25</v>
      </c>
      <c r="AQ1152" s="12">
        <v>1000</v>
      </c>
      <c r="AR1152" s="12">
        <v>0</v>
      </c>
      <c r="AS1152" s="12">
        <v>0</v>
      </c>
      <c r="AT1152" s="12">
        <v>0</v>
      </c>
      <c r="AU1152" s="12">
        <v>92040040</v>
      </c>
      <c r="AV1152" s="12"/>
      <c r="AW1152" s="13" t="s">
        <v>1547</v>
      </c>
      <c r="AX1152" s="12" t="s">
        <v>1695</v>
      </c>
      <c r="AY1152" s="12">
        <v>21203020</v>
      </c>
      <c r="AZ1152" s="12">
        <v>21400050</v>
      </c>
      <c r="BA1152" s="13" t="s">
        <v>200</v>
      </c>
      <c r="BB1152" s="12">
        <v>0</v>
      </c>
      <c r="BC1152" s="12">
        <v>0</v>
      </c>
      <c r="BD1152" s="12">
        <v>0</v>
      </c>
      <c r="BE1152" s="184" t="str">
        <f t="shared" si="132"/>
        <v>立即对目标区域的怪物造成250%攻击伤害+2800点固定伤害,并让其附带一个疾风标记,使其受到伤害额外提升20%,持续7秒</v>
      </c>
      <c r="BF1152" s="184" t="s">
        <v>2423</v>
      </c>
      <c r="BG1152" s="12">
        <v>0</v>
      </c>
      <c r="BH1152" s="12">
        <v>0</v>
      </c>
      <c r="BI1152" s="12">
        <v>0</v>
      </c>
      <c r="BJ1152" s="12">
        <v>0</v>
      </c>
      <c r="BK1152" s="12">
        <v>0</v>
      </c>
      <c r="BL1152" s="12">
        <v>0</v>
      </c>
      <c r="BM1152" s="185">
        <v>0</v>
      </c>
      <c r="BN1152" s="12">
        <v>0</v>
      </c>
      <c r="BO1152" s="12">
        <v>0</v>
      </c>
      <c r="BP1152" s="12">
        <v>0</v>
      </c>
      <c r="BQ1152" s="12">
        <v>0</v>
      </c>
      <c r="BR1152" s="12">
        <v>0</v>
      </c>
      <c r="BS1152" s="12">
        <v>0</v>
      </c>
      <c r="BT1152" s="12">
        <v>0</v>
      </c>
      <c r="BU1152" s="47">
        <v>0</v>
      </c>
      <c r="BV1152" s="47"/>
      <c r="BW1152" s="47"/>
    </row>
    <row r="1153" spans="3:75" ht="20.100000000000001" customHeight="1">
      <c r="C1153" s="12">
        <v>65012205</v>
      </c>
      <c r="D1153" s="13" t="s">
        <v>2419</v>
      </c>
      <c r="E1153" s="13" t="s">
        <v>2420</v>
      </c>
      <c r="F1153" s="12">
        <v>4</v>
      </c>
      <c r="G1153" s="12">
        <v>65012201</v>
      </c>
      <c r="H1153" s="12">
        <v>0</v>
      </c>
      <c r="I1153" s="12">
        <v>0</v>
      </c>
      <c r="J1153" s="16">
        <v>3</v>
      </c>
      <c r="K1153" s="16">
        <v>0</v>
      </c>
      <c r="L1153" s="12">
        <v>0</v>
      </c>
      <c r="M1153" s="12">
        <v>0</v>
      </c>
      <c r="N1153" s="12">
        <v>0</v>
      </c>
      <c r="O1153" s="12">
        <v>1</v>
      </c>
      <c r="P1153" s="12">
        <v>0</v>
      </c>
      <c r="Q1153" s="12">
        <v>0</v>
      </c>
      <c r="R1153" s="12">
        <v>0</v>
      </c>
      <c r="S1153" s="12">
        <v>0</v>
      </c>
      <c r="T1153" s="12">
        <v>0</v>
      </c>
      <c r="U1153" s="12">
        <v>1</v>
      </c>
      <c r="V1153" s="12">
        <v>2</v>
      </c>
      <c r="W1153" s="12">
        <v>0</v>
      </c>
      <c r="X1153" s="12">
        <v>2.75</v>
      </c>
      <c r="Y1153" s="12">
        <v>0</v>
      </c>
      <c r="Z1153" s="12">
        <v>4000</v>
      </c>
      <c r="AA1153" s="12">
        <v>0</v>
      </c>
      <c r="AB1153" s="18">
        <v>15</v>
      </c>
      <c r="AC1153" s="12">
        <v>0</v>
      </c>
      <c r="AD1153" s="12">
        <v>0</v>
      </c>
      <c r="AE1153" s="12">
        <v>0</v>
      </c>
      <c r="AF1153" s="12">
        <v>15</v>
      </c>
      <c r="AG1153" s="12">
        <v>0</v>
      </c>
      <c r="AH1153" s="68">
        <v>4</v>
      </c>
      <c r="AI1153" s="12">
        <v>2</v>
      </c>
      <c r="AJ1153" s="12">
        <v>1</v>
      </c>
      <c r="AK1153" s="12">
        <v>0</v>
      </c>
      <c r="AL1153" s="12">
        <v>8</v>
      </c>
      <c r="AM1153" s="12">
        <v>0</v>
      </c>
      <c r="AN1153" s="12">
        <v>0</v>
      </c>
      <c r="AO1153" s="12">
        <v>0</v>
      </c>
      <c r="AP1153" s="12">
        <v>0.25</v>
      </c>
      <c r="AQ1153" s="12">
        <v>1000</v>
      </c>
      <c r="AR1153" s="12">
        <v>0</v>
      </c>
      <c r="AS1153" s="12">
        <v>0</v>
      </c>
      <c r="AT1153" s="12">
        <v>0</v>
      </c>
      <c r="AU1153" s="12">
        <v>92040040</v>
      </c>
      <c r="AV1153" s="12"/>
      <c r="AW1153" s="13" t="s">
        <v>1547</v>
      </c>
      <c r="AX1153" s="12" t="s">
        <v>1695</v>
      </c>
      <c r="AY1153" s="12">
        <v>21203020</v>
      </c>
      <c r="AZ1153" s="12">
        <v>21400050</v>
      </c>
      <c r="BA1153" s="13" t="s">
        <v>200</v>
      </c>
      <c r="BB1153" s="12">
        <v>0</v>
      </c>
      <c r="BC1153" s="12">
        <v>0</v>
      </c>
      <c r="BD1153" s="12">
        <v>0</v>
      </c>
      <c r="BE1153" s="184" t="str">
        <f t="shared" si="132"/>
        <v>立即对目标区域的怪物造成275%攻击伤害+4000点固定伤害,并让其附带一个疾风标记,使其受到伤害额外提升20%,持续7秒</v>
      </c>
      <c r="BF1153" s="184" t="s">
        <v>2424</v>
      </c>
      <c r="BG1153" s="12">
        <v>0</v>
      </c>
      <c r="BH1153" s="12">
        <v>0</v>
      </c>
      <c r="BI1153" s="12">
        <v>0</v>
      </c>
      <c r="BJ1153" s="12">
        <v>0</v>
      </c>
      <c r="BK1153" s="12">
        <v>0</v>
      </c>
      <c r="BL1153" s="12">
        <v>0</v>
      </c>
      <c r="BM1153" s="185">
        <v>0</v>
      </c>
      <c r="BN1153" s="12">
        <v>0</v>
      </c>
      <c r="BO1153" s="12">
        <v>0</v>
      </c>
      <c r="BP1153" s="12">
        <v>0</v>
      </c>
      <c r="BQ1153" s="12">
        <v>0</v>
      </c>
      <c r="BR1153" s="12">
        <v>0</v>
      </c>
      <c r="BS1153" s="12">
        <v>0</v>
      </c>
      <c r="BT1153" s="12">
        <v>0</v>
      </c>
      <c r="BU1153" s="47">
        <v>0</v>
      </c>
      <c r="BV1153" s="47"/>
      <c r="BW1153" s="47"/>
    </row>
    <row r="1154" spans="3:75" ht="20.100000000000001" customHeight="1">
      <c r="C1154" s="12">
        <v>65012206</v>
      </c>
      <c r="D1154" s="13" t="s">
        <v>2419</v>
      </c>
      <c r="E1154" s="13" t="s">
        <v>2420</v>
      </c>
      <c r="F1154" s="12">
        <v>5</v>
      </c>
      <c r="G1154" s="12">
        <v>65012201</v>
      </c>
      <c r="H1154" s="12">
        <v>0</v>
      </c>
      <c r="I1154" s="12">
        <v>0</v>
      </c>
      <c r="J1154" s="16">
        <v>3</v>
      </c>
      <c r="K1154" s="16">
        <v>0</v>
      </c>
      <c r="L1154" s="12">
        <v>0</v>
      </c>
      <c r="M1154" s="12">
        <v>0</v>
      </c>
      <c r="N1154" s="12">
        <v>0</v>
      </c>
      <c r="O1154" s="12">
        <v>1</v>
      </c>
      <c r="P1154" s="12">
        <v>0</v>
      </c>
      <c r="Q1154" s="12">
        <v>0</v>
      </c>
      <c r="R1154" s="12">
        <v>0</v>
      </c>
      <c r="S1154" s="12">
        <v>0</v>
      </c>
      <c r="T1154" s="12">
        <v>0</v>
      </c>
      <c r="U1154" s="12">
        <v>1</v>
      </c>
      <c r="V1154" s="12">
        <v>2</v>
      </c>
      <c r="W1154" s="12">
        <v>0</v>
      </c>
      <c r="X1154" s="12">
        <v>3</v>
      </c>
      <c r="Y1154" s="12">
        <v>0</v>
      </c>
      <c r="Z1154" s="12">
        <v>5200</v>
      </c>
      <c r="AA1154" s="12">
        <v>0</v>
      </c>
      <c r="AB1154" s="18">
        <v>15</v>
      </c>
      <c r="AC1154" s="12">
        <v>0</v>
      </c>
      <c r="AD1154" s="12">
        <v>0</v>
      </c>
      <c r="AE1154" s="12">
        <v>0</v>
      </c>
      <c r="AF1154" s="12">
        <v>15</v>
      </c>
      <c r="AG1154" s="12">
        <v>0</v>
      </c>
      <c r="AH1154" s="68">
        <v>4</v>
      </c>
      <c r="AI1154" s="12">
        <v>2</v>
      </c>
      <c r="AJ1154" s="12">
        <v>1</v>
      </c>
      <c r="AK1154" s="12">
        <v>0</v>
      </c>
      <c r="AL1154" s="12">
        <v>8</v>
      </c>
      <c r="AM1154" s="12">
        <v>0</v>
      </c>
      <c r="AN1154" s="12">
        <v>0</v>
      </c>
      <c r="AO1154" s="12">
        <v>0</v>
      </c>
      <c r="AP1154" s="12">
        <v>0.25</v>
      </c>
      <c r="AQ1154" s="12">
        <v>1000</v>
      </c>
      <c r="AR1154" s="12">
        <v>0</v>
      </c>
      <c r="AS1154" s="12">
        <v>0</v>
      </c>
      <c r="AT1154" s="12">
        <v>0</v>
      </c>
      <c r="AU1154" s="12">
        <v>92040040</v>
      </c>
      <c r="AV1154" s="12"/>
      <c r="AW1154" s="13" t="s">
        <v>1547</v>
      </c>
      <c r="AX1154" s="12" t="s">
        <v>1695</v>
      </c>
      <c r="AY1154" s="12">
        <v>21203020</v>
      </c>
      <c r="AZ1154" s="12">
        <v>21400050</v>
      </c>
      <c r="BA1154" s="13" t="s">
        <v>200</v>
      </c>
      <c r="BB1154" s="12">
        <v>0</v>
      </c>
      <c r="BC1154" s="12">
        <v>0</v>
      </c>
      <c r="BD1154" s="12">
        <v>0</v>
      </c>
      <c r="BE1154" s="184" t="str">
        <f t="shared" si="132"/>
        <v>立即对目标区域的怪物造成300%攻击伤害+5200点固定伤害,并让其附带一个疾风标记,使其受到伤害额外提升20%,持续7秒</v>
      </c>
      <c r="BF1154" s="184" t="s">
        <v>2425</v>
      </c>
      <c r="BG1154" s="12">
        <v>0</v>
      </c>
      <c r="BH1154" s="12">
        <v>0</v>
      </c>
      <c r="BI1154" s="12">
        <v>0</v>
      </c>
      <c r="BJ1154" s="12">
        <v>0</v>
      </c>
      <c r="BK1154" s="12">
        <v>0</v>
      </c>
      <c r="BL1154" s="12">
        <v>0</v>
      </c>
      <c r="BM1154" s="185">
        <v>0</v>
      </c>
      <c r="BN1154" s="12">
        <v>0</v>
      </c>
      <c r="BO1154" s="12">
        <v>0</v>
      </c>
      <c r="BP1154" s="12">
        <v>0</v>
      </c>
      <c r="BQ1154" s="12">
        <v>0</v>
      </c>
      <c r="BR1154" s="12">
        <v>0</v>
      </c>
      <c r="BS1154" s="12">
        <v>0</v>
      </c>
      <c r="BT1154" s="12">
        <v>0</v>
      </c>
      <c r="BU1154" s="47">
        <v>0</v>
      </c>
      <c r="BV1154" s="47"/>
      <c r="BW1154" s="47"/>
    </row>
    <row r="1155" spans="3:75" ht="20.100000000000001" customHeight="1">
      <c r="C1155" s="12">
        <v>65012301</v>
      </c>
      <c r="D1155" s="13" t="s">
        <v>2426</v>
      </c>
      <c r="E1155" s="13" t="s">
        <v>2427</v>
      </c>
      <c r="F1155" s="12">
        <v>0</v>
      </c>
      <c r="G1155" s="12">
        <v>65012301</v>
      </c>
      <c r="H1155" s="12">
        <v>65012302</v>
      </c>
      <c r="I1155" s="12">
        <v>0</v>
      </c>
      <c r="J1155" s="16">
        <v>5</v>
      </c>
      <c r="K1155" s="16">
        <v>5</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1"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65012302</v>
      </c>
      <c r="D1156" s="13" t="s">
        <v>2426</v>
      </c>
      <c r="E1156" s="13" t="s">
        <v>2427</v>
      </c>
      <c r="F1156" s="12">
        <v>1</v>
      </c>
      <c r="G1156" s="12">
        <v>65012301</v>
      </c>
      <c r="H1156" s="12">
        <v>65012303</v>
      </c>
      <c r="I1156" s="12">
        <v>0</v>
      </c>
      <c r="J1156" s="16">
        <v>5</v>
      </c>
      <c r="K1156" s="16">
        <v>2</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1"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65012303</v>
      </c>
      <c r="D1157" s="13" t="s">
        <v>2426</v>
      </c>
      <c r="E1157" s="13" t="s">
        <v>2427</v>
      </c>
      <c r="F1157" s="12">
        <v>2</v>
      </c>
      <c r="G1157" s="12">
        <v>65012301</v>
      </c>
      <c r="H1157" s="12">
        <v>65012304</v>
      </c>
      <c r="I1157" s="12">
        <v>0</v>
      </c>
      <c r="J1157" s="16">
        <v>5</v>
      </c>
      <c r="K1157" s="16">
        <v>2</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1"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20.100000000000001" customHeight="1">
      <c r="C1158" s="12">
        <v>65012304</v>
      </c>
      <c r="D1158" s="13" t="s">
        <v>2426</v>
      </c>
      <c r="E1158" s="13" t="s">
        <v>2427</v>
      </c>
      <c r="F1158" s="12">
        <v>3</v>
      </c>
      <c r="G1158" s="12">
        <v>65012301</v>
      </c>
      <c r="H1158" s="12">
        <v>0</v>
      </c>
      <c r="I1158" s="12">
        <v>0</v>
      </c>
      <c r="J1158" s="16">
        <v>5</v>
      </c>
      <c r="K1158" s="16">
        <v>0</v>
      </c>
      <c r="L1158" s="12">
        <v>0</v>
      </c>
      <c r="M1158" s="12">
        <v>0</v>
      </c>
      <c r="N1158" s="12">
        <v>0</v>
      </c>
      <c r="O1158" s="12">
        <v>2</v>
      </c>
      <c r="P1158" s="12">
        <v>15</v>
      </c>
      <c r="Q1158" s="12">
        <v>1</v>
      </c>
      <c r="R1158" s="12">
        <v>0</v>
      </c>
      <c r="S1158" s="12">
        <v>0</v>
      </c>
      <c r="T1158" s="12">
        <v>0</v>
      </c>
      <c r="U1158" s="12">
        <v>1</v>
      </c>
      <c r="V1158" s="12">
        <v>2</v>
      </c>
      <c r="W1158" s="12">
        <v>0</v>
      </c>
      <c r="X1158" s="12">
        <v>0</v>
      </c>
      <c r="Y1158" s="12">
        <v>0</v>
      </c>
      <c r="Z1158" s="12">
        <v>0</v>
      </c>
      <c r="AA1158" s="12">
        <v>0</v>
      </c>
      <c r="AB1158" s="16">
        <v>20</v>
      </c>
      <c r="AC1158" s="12">
        <v>0</v>
      </c>
      <c r="AD1158" s="12">
        <v>0</v>
      </c>
      <c r="AE1158" s="12">
        <v>0</v>
      </c>
      <c r="AF1158" s="12">
        <v>12</v>
      </c>
      <c r="AG1158" s="12">
        <v>0</v>
      </c>
      <c r="AH1158" s="68">
        <v>0</v>
      </c>
      <c r="AI1158" s="12">
        <v>2</v>
      </c>
      <c r="AJ1158" s="12">
        <v>1</v>
      </c>
      <c r="AK1158" s="12">
        <v>0</v>
      </c>
      <c r="AL1158" s="12">
        <v>0</v>
      </c>
      <c r="AM1158" s="12">
        <v>0</v>
      </c>
      <c r="AN1158" s="12">
        <v>0</v>
      </c>
      <c r="AO1158" s="12">
        <v>0</v>
      </c>
      <c r="AP1158" s="12">
        <v>0</v>
      </c>
      <c r="AQ1158" s="12">
        <v>1000</v>
      </c>
      <c r="AR1158" s="12">
        <v>0</v>
      </c>
      <c r="AS1158" s="12">
        <v>0</v>
      </c>
      <c r="AT1158" s="341" t="s">
        <v>2428</v>
      </c>
      <c r="AU1158" s="12" t="s">
        <v>198</v>
      </c>
      <c r="AV1158" s="12"/>
      <c r="AW1158" s="13" t="s">
        <v>199</v>
      </c>
      <c r="AX1158" s="12" t="s">
        <v>1837</v>
      </c>
      <c r="AY1158" s="12">
        <v>0</v>
      </c>
      <c r="AZ1158" s="12">
        <v>21400060</v>
      </c>
      <c r="BA1158" s="13" t="s">
        <v>200</v>
      </c>
      <c r="BB1158" s="12" t="s">
        <v>198</v>
      </c>
      <c r="BC1158" s="12">
        <v>0</v>
      </c>
      <c r="BD1158" s="12">
        <v>1</v>
      </c>
      <c r="BE1158" s="184" t="s">
        <v>2429</v>
      </c>
      <c r="BF1158" s="184" t="s">
        <v>2430</v>
      </c>
      <c r="BG1158" s="12">
        <v>0</v>
      </c>
      <c r="BH1158" s="12">
        <v>0</v>
      </c>
      <c r="BI1158" s="12">
        <v>0</v>
      </c>
      <c r="BJ1158" s="12">
        <v>0</v>
      </c>
      <c r="BK1158" s="12">
        <v>0</v>
      </c>
      <c r="BL1158" s="12">
        <v>0</v>
      </c>
      <c r="BM1158" s="185">
        <v>0</v>
      </c>
      <c r="BN1158" s="12">
        <v>1</v>
      </c>
      <c r="BO1158" s="12">
        <v>0</v>
      </c>
      <c r="BP1158" s="12">
        <v>0</v>
      </c>
      <c r="BQ1158" s="12">
        <v>0</v>
      </c>
      <c r="BR1158" s="12">
        <v>0</v>
      </c>
      <c r="BS1158" s="12">
        <v>0</v>
      </c>
      <c r="BT1158" s="12">
        <v>0</v>
      </c>
      <c r="BU1158" s="47">
        <v>0</v>
      </c>
      <c r="BV1158" s="47"/>
      <c r="BW1158" s="47"/>
    </row>
    <row r="1159" spans="3:75" ht="20.100000000000001" customHeight="1">
      <c r="C1159" s="12">
        <v>65012305</v>
      </c>
      <c r="D1159" s="13" t="s">
        <v>2426</v>
      </c>
      <c r="E1159" s="13" t="s">
        <v>2427</v>
      </c>
      <c r="F1159" s="12">
        <v>4</v>
      </c>
      <c r="G1159" s="12">
        <v>65012301</v>
      </c>
      <c r="H1159" s="12">
        <v>0</v>
      </c>
      <c r="I1159" s="12">
        <v>0</v>
      </c>
      <c r="J1159" s="16">
        <v>5</v>
      </c>
      <c r="K1159" s="16">
        <v>0</v>
      </c>
      <c r="L1159" s="12">
        <v>0</v>
      </c>
      <c r="M1159" s="12">
        <v>0</v>
      </c>
      <c r="N1159" s="12">
        <v>0</v>
      </c>
      <c r="O1159" s="12">
        <v>2</v>
      </c>
      <c r="P1159" s="12">
        <v>15</v>
      </c>
      <c r="Q1159" s="12">
        <v>1</v>
      </c>
      <c r="R1159" s="12">
        <v>0</v>
      </c>
      <c r="S1159" s="12">
        <v>0</v>
      </c>
      <c r="T1159" s="12">
        <v>0</v>
      </c>
      <c r="U1159" s="12">
        <v>1</v>
      </c>
      <c r="V1159" s="12">
        <v>2</v>
      </c>
      <c r="W1159" s="12">
        <v>0</v>
      </c>
      <c r="X1159" s="12">
        <v>0</v>
      </c>
      <c r="Y1159" s="12">
        <v>0</v>
      </c>
      <c r="Z1159" s="12">
        <v>0</v>
      </c>
      <c r="AA1159" s="12">
        <v>0</v>
      </c>
      <c r="AB1159" s="16">
        <v>20</v>
      </c>
      <c r="AC1159" s="12">
        <v>0</v>
      </c>
      <c r="AD1159" s="12">
        <v>0</v>
      </c>
      <c r="AE1159" s="12">
        <v>0</v>
      </c>
      <c r="AF1159" s="12">
        <v>12</v>
      </c>
      <c r="AG1159" s="12">
        <v>0</v>
      </c>
      <c r="AH1159" s="68">
        <v>0</v>
      </c>
      <c r="AI1159" s="12">
        <v>2</v>
      </c>
      <c r="AJ1159" s="12">
        <v>1</v>
      </c>
      <c r="AK1159" s="12">
        <v>0</v>
      </c>
      <c r="AL1159" s="12">
        <v>0</v>
      </c>
      <c r="AM1159" s="12">
        <v>0</v>
      </c>
      <c r="AN1159" s="12">
        <v>0</v>
      </c>
      <c r="AO1159" s="12">
        <v>0</v>
      </c>
      <c r="AP1159" s="12">
        <v>0</v>
      </c>
      <c r="AQ1159" s="12">
        <v>1000</v>
      </c>
      <c r="AR1159" s="12">
        <v>0</v>
      </c>
      <c r="AS1159" s="12">
        <v>0</v>
      </c>
      <c r="AT1159" s="341" t="s">
        <v>2428</v>
      </c>
      <c r="AU1159" s="12" t="s">
        <v>198</v>
      </c>
      <c r="AV1159" s="12"/>
      <c r="AW1159" s="13" t="s">
        <v>199</v>
      </c>
      <c r="AX1159" s="12" t="s">
        <v>1837</v>
      </c>
      <c r="AY1159" s="12">
        <v>0</v>
      </c>
      <c r="AZ1159" s="12">
        <v>21400060</v>
      </c>
      <c r="BA1159" s="13" t="s">
        <v>200</v>
      </c>
      <c r="BB1159" s="12" t="s">
        <v>198</v>
      </c>
      <c r="BC1159" s="12">
        <v>0</v>
      </c>
      <c r="BD1159" s="12">
        <v>1</v>
      </c>
      <c r="BE1159" s="184" t="s">
        <v>2429</v>
      </c>
      <c r="BF1159" s="184" t="s">
        <v>2430</v>
      </c>
      <c r="BG1159" s="12">
        <v>0</v>
      </c>
      <c r="BH1159" s="12">
        <v>0</v>
      </c>
      <c r="BI1159" s="12">
        <v>0</v>
      </c>
      <c r="BJ1159" s="12">
        <v>0</v>
      </c>
      <c r="BK1159" s="12">
        <v>0</v>
      </c>
      <c r="BL1159" s="12">
        <v>0</v>
      </c>
      <c r="BM1159" s="185">
        <v>0</v>
      </c>
      <c r="BN1159" s="12">
        <v>1</v>
      </c>
      <c r="BO1159" s="12">
        <v>0</v>
      </c>
      <c r="BP1159" s="12">
        <v>0</v>
      </c>
      <c r="BQ1159" s="12">
        <v>0</v>
      </c>
      <c r="BR1159" s="12">
        <v>0</v>
      </c>
      <c r="BS1159" s="12">
        <v>0</v>
      </c>
      <c r="BT1159" s="12">
        <v>0</v>
      </c>
      <c r="BU1159" s="47">
        <v>0</v>
      </c>
      <c r="BV1159" s="47"/>
      <c r="BW1159" s="47"/>
    </row>
    <row r="1160" spans="3:75" ht="20.100000000000001" customHeight="1">
      <c r="C1160" s="12">
        <v>65012306</v>
      </c>
      <c r="D1160" s="13" t="s">
        <v>2426</v>
      </c>
      <c r="E1160" s="13" t="s">
        <v>2427</v>
      </c>
      <c r="F1160" s="12">
        <v>5</v>
      </c>
      <c r="G1160" s="12">
        <v>65012301</v>
      </c>
      <c r="H1160" s="12">
        <v>0</v>
      </c>
      <c r="I1160" s="12">
        <v>0</v>
      </c>
      <c r="J1160" s="16">
        <v>5</v>
      </c>
      <c r="K1160" s="16">
        <v>0</v>
      </c>
      <c r="L1160" s="12">
        <v>0</v>
      </c>
      <c r="M1160" s="12">
        <v>0</v>
      </c>
      <c r="N1160" s="12">
        <v>0</v>
      </c>
      <c r="O1160" s="12">
        <v>2</v>
      </c>
      <c r="P1160" s="12">
        <v>15</v>
      </c>
      <c r="Q1160" s="12">
        <v>1</v>
      </c>
      <c r="R1160" s="12">
        <v>0</v>
      </c>
      <c r="S1160" s="12">
        <v>0</v>
      </c>
      <c r="T1160" s="12">
        <v>0</v>
      </c>
      <c r="U1160" s="12">
        <v>1</v>
      </c>
      <c r="V1160" s="12">
        <v>2</v>
      </c>
      <c r="W1160" s="12">
        <v>0</v>
      </c>
      <c r="X1160" s="12">
        <v>0</v>
      </c>
      <c r="Y1160" s="12">
        <v>0</v>
      </c>
      <c r="Z1160" s="12">
        <v>0</v>
      </c>
      <c r="AA1160" s="12">
        <v>0</v>
      </c>
      <c r="AB1160" s="16">
        <v>20</v>
      </c>
      <c r="AC1160" s="12">
        <v>0</v>
      </c>
      <c r="AD1160" s="12">
        <v>0</v>
      </c>
      <c r="AE1160" s="12">
        <v>0</v>
      </c>
      <c r="AF1160" s="12">
        <v>12</v>
      </c>
      <c r="AG1160" s="12">
        <v>0</v>
      </c>
      <c r="AH1160" s="68">
        <v>0</v>
      </c>
      <c r="AI1160" s="12">
        <v>2</v>
      </c>
      <c r="AJ1160" s="12">
        <v>1</v>
      </c>
      <c r="AK1160" s="12">
        <v>0</v>
      </c>
      <c r="AL1160" s="12">
        <v>0</v>
      </c>
      <c r="AM1160" s="12">
        <v>0</v>
      </c>
      <c r="AN1160" s="12">
        <v>0</v>
      </c>
      <c r="AO1160" s="12">
        <v>0</v>
      </c>
      <c r="AP1160" s="12">
        <v>0</v>
      </c>
      <c r="AQ1160" s="12">
        <v>1000</v>
      </c>
      <c r="AR1160" s="12">
        <v>0</v>
      </c>
      <c r="AS1160" s="12">
        <v>0</v>
      </c>
      <c r="AT1160" s="341" t="s">
        <v>2428</v>
      </c>
      <c r="AU1160" s="12" t="s">
        <v>198</v>
      </c>
      <c r="AV1160" s="12"/>
      <c r="AW1160" s="13" t="s">
        <v>199</v>
      </c>
      <c r="AX1160" s="12" t="s">
        <v>1837</v>
      </c>
      <c r="AY1160" s="12">
        <v>0</v>
      </c>
      <c r="AZ1160" s="12">
        <v>21400060</v>
      </c>
      <c r="BA1160" s="13" t="s">
        <v>200</v>
      </c>
      <c r="BB1160" s="12" t="s">
        <v>198</v>
      </c>
      <c r="BC1160" s="12">
        <v>0</v>
      </c>
      <c r="BD1160" s="12">
        <v>1</v>
      </c>
      <c r="BE1160" s="184" t="s">
        <v>2429</v>
      </c>
      <c r="BF1160" s="184" t="s">
        <v>2430</v>
      </c>
      <c r="BG1160" s="12">
        <v>0</v>
      </c>
      <c r="BH1160" s="12">
        <v>0</v>
      </c>
      <c r="BI1160" s="12">
        <v>0</v>
      </c>
      <c r="BJ1160" s="12">
        <v>0</v>
      </c>
      <c r="BK1160" s="12">
        <v>0</v>
      </c>
      <c r="BL1160" s="12">
        <v>0</v>
      </c>
      <c r="BM1160" s="185">
        <v>0</v>
      </c>
      <c r="BN1160" s="12">
        <v>1</v>
      </c>
      <c r="BO1160" s="12">
        <v>0</v>
      </c>
      <c r="BP1160" s="12">
        <v>0</v>
      </c>
      <c r="BQ1160" s="12">
        <v>0</v>
      </c>
      <c r="BR1160" s="12">
        <v>0</v>
      </c>
      <c r="BS1160" s="12">
        <v>0</v>
      </c>
      <c r="BT1160" s="12">
        <v>0</v>
      </c>
      <c r="BU1160" s="47">
        <v>0</v>
      </c>
      <c r="BV1160" s="47"/>
      <c r="BW1160" s="47"/>
    </row>
    <row r="1161" spans="3:75" ht="19.5" customHeight="1">
      <c r="C1161" s="172">
        <v>65021101</v>
      </c>
      <c r="D1161" s="19" t="s">
        <v>2431</v>
      </c>
      <c r="E1161" s="19" t="s">
        <v>2432</v>
      </c>
      <c r="F1161" s="16">
        <v>0</v>
      </c>
      <c r="G1161" s="12">
        <v>65021101</v>
      </c>
      <c r="H1161" s="172">
        <v>65021102</v>
      </c>
      <c r="I1161" s="27">
        <v>0</v>
      </c>
      <c r="J1161" s="16">
        <v>18</v>
      </c>
      <c r="K1161" s="16">
        <v>5</v>
      </c>
      <c r="L1161" s="16">
        <v>0</v>
      </c>
      <c r="M1161" s="18">
        <v>0</v>
      </c>
      <c r="N1161" s="18">
        <v>0</v>
      </c>
      <c r="O1161" s="18">
        <v>1</v>
      </c>
      <c r="P1161" s="18">
        <v>0</v>
      </c>
      <c r="Q1161" s="18">
        <v>0</v>
      </c>
      <c r="R1161" s="18">
        <v>0</v>
      </c>
      <c r="S1161" s="12">
        <v>0</v>
      </c>
      <c r="T1161" s="27">
        <v>0</v>
      </c>
      <c r="U1161" s="16">
        <v>1</v>
      </c>
      <c r="V1161" s="18">
        <v>2</v>
      </c>
      <c r="W1161" s="18">
        <v>0</v>
      </c>
      <c r="X1161" s="18">
        <v>2.75</v>
      </c>
      <c r="Y1161" s="12">
        <v>0</v>
      </c>
      <c r="Z1161" s="18">
        <v>1000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9" t="s">
        <v>2433</v>
      </c>
      <c r="AV1161" s="18"/>
      <c r="AW1161" s="19" t="s">
        <v>256</v>
      </c>
      <c r="AX1161" s="18" t="s">
        <v>545</v>
      </c>
      <c r="AY1161" s="18">
        <v>10001007</v>
      </c>
      <c r="AZ1161" s="18">
        <v>21401010</v>
      </c>
      <c r="BA1161" s="19" t="s">
        <v>200</v>
      </c>
      <c r="BB1161" s="19">
        <v>0</v>
      </c>
      <c r="BC1161" s="27">
        <v>0</v>
      </c>
      <c r="BD1161" s="27">
        <v>0</v>
      </c>
      <c r="BE1161" s="183" t="str">
        <f>"立即对前方范围内的敌人造成"&amp;X1161*100&amp;"%攻击伤害+"&amp;Z1161&amp;"点固定伤害,并将其置空1秒"</f>
        <v>立即对前方范围内的敌人造成275%攻击伤害+1000点固定伤害,并将其置空1秒</v>
      </c>
      <c r="BF1161" s="183" t="s">
        <v>2434</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65021102</v>
      </c>
      <c r="D1162" s="19" t="s">
        <v>2431</v>
      </c>
      <c r="E1162" s="19" t="s">
        <v>2432</v>
      </c>
      <c r="F1162" s="16">
        <v>1</v>
      </c>
      <c r="G1162" s="12">
        <v>65021101</v>
      </c>
      <c r="H1162" s="172">
        <v>65021103</v>
      </c>
      <c r="I1162" s="27">
        <v>0</v>
      </c>
      <c r="J1162" s="16">
        <v>27</v>
      </c>
      <c r="K1162" s="16">
        <v>2</v>
      </c>
      <c r="L1162" s="16">
        <v>0</v>
      </c>
      <c r="M1162" s="18">
        <v>0</v>
      </c>
      <c r="N1162" s="18">
        <v>0</v>
      </c>
      <c r="O1162" s="18">
        <v>1</v>
      </c>
      <c r="P1162" s="18">
        <v>0</v>
      </c>
      <c r="Q1162" s="18">
        <v>0</v>
      </c>
      <c r="R1162" s="18">
        <v>0</v>
      </c>
      <c r="S1162" s="12">
        <v>0</v>
      </c>
      <c r="T1162" s="27">
        <v>0</v>
      </c>
      <c r="U1162" s="16">
        <v>1</v>
      </c>
      <c r="V1162" s="18">
        <v>2</v>
      </c>
      <c r="W1162" s="18">
        <v>0</v>
      </c>
      <c r="X1162" s="18">
        <v>2.75</v>
      </c>
      <c r="Y1162" s="12">
        <v>0</v>
      </c>
      <c r="Z1162" s="18">
        <v>1000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9" t="s">
        <v>2433</v>
      </c>
      <c r="AV1162" s="18"/>
      <c r="AW1162" s="19" t="s">
        <v>256</v>
      </c>
      <c r="AX1162" s="18" t="s">
        <v>545</v>
      </c>
      <c r="AY1162" s="18">
        <v>10001007</v>
      </c>
      <c r="AZ1162" s="18">
        <v>21401010</v>
      </c>
      <c r="BA1162" s="19" t="s">
        <v>200</v>
      </c>
      <c r="BB1162" s="19">
        <v>0</v>
      </c>
      <c r="BC1162" s="27">
        <v>0</v>
      </c>
      <c r="BD1162" s="27">
        <v>0</v>
      </c>
      <c r="BE1162" s="183" t="str">
        <f t="shared" ref="BE1162:BE1166" si="133">"立即对前方范围内的敌人造成"&amp;X1162*100&amp;"%攻击伤害+"&amp;Z1162&amp;"点固定伤害,并将其置空1秒"</f>
        <v>立即对前方范围内的敌人造成275%攻击伤害+1000点固定伤害,并将其置空1秒</v>
      </c>
      <c r="BF1162" s="183" t="s">
        <v>2434</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65021103</v>
      </c>
      <c r="D1163" s="19" t="s">
        <v>2431</v>
      </c>
      <c r="E1163" s="19" t="s">
        <v>2432</v>
      </c>
      <c r="F1163" s="16">
        <v>2</v>
      </c>
      <c r="G1163" s="12">
        <v>65021101</v>
      </c>
      <c r="H1163" s="172">
        <v>65021104</v>
      </c>
      <c r="I1163" s="27">
        <v>0</v>
      </c>
      <c r="J1163" s="16">
        <v>32</v>
      </c>
      <c r="K1163" s="16">
        <v>2</v>
      </c>
      <c r="L1163" s="16">
        <v>0</v>
      </c>
      <c r="M1163" s="18">
        <v>0</v>
      </c>
      <c r="N1163" s="18">
        <v>0</v>
      </c>
      <c r="O1163" s="18">
        <v>1</v>
      </c>
      <c r="P1163" s="18">
        <v>0</v>
      </c>
      <c r="Q1163" s="18">
        <v>0</v>
      </c>
      <c r="R1163" s="18">
        <v>0</v>
      </c>
      <c r="S1163" s="12">
        <v>0</v>
      </c>
      <c r="T1163" s="27">
        <v>0</v>
      </c>
      <c r="U1163" s="16">
        <v>1</v>
      </c>
      <c r="V1163" s="18">
        <v>2</v>
      </c>
      <c r="W1163" s="18">
        <v>0</v>
      </c>
      <c r="X1163" s="18">
        <v>3</v>
      </c>
      <c r="Y1163" s="12">
        <v>0</v>
      </c>
      <c r="Z1163" s="18">
        <v>1500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9"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立即对前方范围内的敌人造成300%攻击伤害+1500点固定伤害,并将其置空1秒</v>
      </c>
      <c r="BF1163" s="183" t="s">
        <v>2435</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19.5" customHeight="1">
      <c r="C1164" s="172">
        <v>65021104</v>
      </c>
      <c r="D1164" s="19" t="s">
        <v>2431</v>
      </c>
      <c r="E1164" s="19" t="s">
        <v>2432</v>
      </c>
      <c r="F1164" s="16">
        <v>3</v>
      </c>
      <c r="G1164" s="12">
        <v>65021101</v>
      </c>
      <c r="H1164" s="16">
        <v>0</v>
      </c>
      <c r="I1164" s="27">
        <v>0</v>
      </c>
      <c r="J1164" s="16">
        <v>0</v>
      </c>
      <c r="K1164" s="179">
        <v>0</v>
      </c>
      <c r="L1164" s="16">
        <v>0</v>
      </c>
      <c r="M1164" s="18">
        <v>0</v>
      </c>
      <c r="N1164" s="18">
        <v>0</v>
      </c>
      <c r="O1164" s="18">
        <v>1</v>
      </c>
      <c r="P1164" s="18">
        <v>0</v>
      </c>
      <c r="Q1164" s="18">
        <v>0</v>
      </c>
      <c r="R1164" s="18">
        <v>0</v>
      </c>
      <c r="S1164" s="12">
        <v>0</v>
      </c>
      <c r="T1164" s="27">
        <v>0</v>
      </c>
      <c r="U1164" s="16">
        <v>1</v>
      </c>
      <c r="V1164" s="18">
        <v>2</v>
      </c>
      <c r="W1164" s="18">
        <v>0</v>
      </c>
      <c r="X1164" s="18">
        <v>3.3</v>
      </c>
      <c r="Y1164" s="12">
        <v>0</v>
      </c>
      <c r="Z1164" s="18">
        <v>2000</v>
      </c>
      <c r="AA1164" s="18">
        <v>0</v>
      </c>
      <c r="AB1164" s="18">
        <v>15</v>
      </c>
      <c r="AC1164" s="18">
        <v>0</v>
      </c>
      <c r="AD1164" s="18">
        <v>0</v>
      </c>
      <c r="AE1164" s="18">
        <v>0</v>
      </c>
      <c r="AF1164" s="18">
        <v>9</v>
      </c>
      <c r="AG1164" s="18">
        <v>2</v>
      </c>
      <c r="AH1164" s="18" t="s">
        <v>801</v>
      </c>
      <c r="AI1164" s="12">
        <v>2</v>
      </c>
      <c r="AJ1164" s="12">
        <v>3</v>
      </c>
      <c r="AK1164" s="12">
        <v>0</v>
      </c>
      <c r="AL1164" s="12">
        <v>2</v>
      </c>
      <c r="AM1164" s="18">
        <v>0</v>
      </c>
      <c r="AN1164" s="18">
        <v>0</v>
      </c>
      <c r="AO1164" s="18">
        <v>0</v>
      </c>
      <c r="AP1164" s="18">
        <v>0.25</v>
      </c>
      <c r="AQ1164" s="18">
        <v>3000</v>
      </c>
      <c r="AR1164" s="18">
        <v>0.1</v>
      </c>
      <c r="AS1164" s="18">
        <v>0</v>
      </c>
      <c r="AT1164" s="12">
        <v>0</v>
      </c>
      <c r="AU1164" s="349" t="s">
        <v>2433</v>
      </c>
      <c r="AV1164" s="18"/>
      <c r="AW1164" s="19" t="s">
        <v>256</v>
      </c>
      <c r="AX1164" s="18" t="s">
        <v>545</v>
      </c>
      <c r="AY1164" s="18">
        <v>10001007</v>
      </c>
      <c r="AZ1164" s="18">
        <v>21401010</v>
      </c>
      <c r="BA1164" s="19" t="s">
        <v>200</v>
      </c>
      <c r="BB1164" s="19">
        <v>0</v>
      </c>
      <c r="BC1164" s="27">
        <v>0</v>
      </c>
      <c r="BD1164" s="27">
        <v>0</v>
      </c>
      <c r="BE1164" s="183" t="str">
        <f t="shared" si="133"/>
        <v>立即对前方范围内的敌人造成330%攻击伤害+2000点固定伤害,并将其置空1秒</v>
      </c>
      <c r="BF1164" s="183" t="s">
        <v>2436</v>
      </c>
      <c r="BG1164" s="18">
        <v>0</v>
      </c>
      <c r="BH1164" s="16">
        <v>0</v>
      </c>
      <c r="BI1164" s="18">
        <v>0</v>
      </c>
      <c r="BJ1164" s="18">
        <v>0</v>
      </c>
      <c r="BK1164" s="18">
        <v>0</v>
      </c>
      <c r="BL1164" s="18">
        <v>0</v>
      </c>
      <c r="BM1164" s="15">
        <v>0</v>
      </c>
      <c r="BN1164" s="12">
        <v>0</v>
      </c>
      <c r="BO1164" s="12">
        <v>0</v>
      </c>
      <c r="BP1164" s="12">
        <v>0</v>
      </c>
      <c r="BQ1164" s="12">
        <v>0</v>
      </c>
      <c r="BR1164" s="12">
        <v>0</v>
      </c>
      <c r="BS1164" s="12">
        <v>0</v>
      </c>
      <c r="BT1164" s="12">
        <v>0</v>
      </c>
      <c r="BU1164" s="47">
        <v>0</v>
      </c>
      <c r="BV1164" s="47"/>
      <c r="BW1164" s="47"/>
    </row>
    <row r="1165" spans="3:75" ht="19.5" customHeight="1">
      <c r="C1165" s="172">
        <v>65021105</v>
      </c>
      <c r="D1165" s="19" t="s">
        <v>2431</v>
      </c>
      <c r="E1165" s="19" t="s">
        <v>2432</v>
      </c>
      <c r="F1165" s="16">
        <v>4</v>
      </c>
      <c r="G1165" s="12">
        <v>65021101</v>
      </c>
      <c r="H1165" s="16">
        <v>0</v>
      </c>
      <c r="I1165" s="27">
        <v>0</v>
      </c>
      <c r="J1165" s="16">
        <v>0</v>
      </c>
      <c r="K1165" s="16">
        <v>0</v>
      </c>
      <c r="L1165" s="16">
        <v>0</v>
      </c>
      <c r="M1165" s="18">
        <v>0</v>
      </c>
      <c r="N1165" s="18">
        <v>0</v>
      </c>
      <c r="O1165" s="18">
        <v>1</v>
      </c>
      <c r="P1165" s="18">
        <v>0</v>
      </c>
      <c r="Q1165" s="18">
        <v>0</v>
      </c>
      <c r="R1165" s="18">
        <v>0</v>
      </c>
      <c r="S1165" s="12">
        <v>0</v>
      </c>
      <c r="T1165" s="27">
        <v>0</v>
      </c>
      <c r="U1165" s="16">
        <v>1</v>
      </c>
      <c r="V1165" s="18">
        <v>2</v>
      </c>
      <c r="W1165" s="18">
        <v>0</v>
      </c>
      <c r="X1165" s="18">
        <v>3.6</v>
      </c>
      <c r="Y1165" s="12">
        <v>0</v>
      </c>
      <c r="Z1165" s="18">
        <v>2750</v>
      </c>
      <c r="AA1165" s="18">
        <v>0</v>
      </c>
      <c r="AB1165" s="18">
        <v>15</v>
      </c>
      <c r="AC1165" s="18">
        <v>0</v>
      </c>
      <c r="AD1165" s="18">
        <v>0</v>
      </c>
      <c r="AE1165" s="18">
        <v>0</v>
      </c>
      <c r="AF1165" s="18">
        <v>9</v>
      </c>
      <c r="AG1165" s="18">
        <v>2</v>
      </c>
      <c r="AH1165" s="18" t="s">
        <v>801</v>
      </c>
      <c r="AI1165" s="12">
        <v>2</v>
      </c>
      <c r="AJ1165" s="12">
        <v>3</v>
      </c>
      <c r="AK1165" s="12">
        <v>0</v>
      </c>
      <c r="AL1165" s="12">
        <v>2</v>
      </c>
      <c r="AM1165" s="18">
        <v>0</v>
      </c>
      <c r="AN1165" s="18">
        <v>0</v>
      </c>
      <c r="AO1165" s="18">
        <v>0</v>
      </c>
      <c r="AP1165" s="18">
        <v>0.25</v>
      </c>
      <c r="AQ1165" s="18">
        <v>3000</v>
      </c>
      <c r="AR1165" s="18">
        <v>0.1</v>
      </c>
      <c r="AS1165" s="18">
        <v>0</v>
      </c>
      <c r="AT1165" s="12">
        <v>0</v>
      </c>
      <c r="AU1165" s="349" t="s">
        <v>2433</v>
      </c>
      <c r="AV1165" s="18"/>
      <c r="AW1165" s="19" t="s">
        <v>256</v>
      </c>
      <c r="AX1165" s="18" t="s">
        <v>545</v>
      </c>
      <c r="AY1165" s="18">
        <v>10001007</v>
      </c>
      <c r="AZ1165" s="18">
        <v>21401010</v>
      </c>
      <c r="BA1165" s="19" t="s">
        <v>200</v>
      </c>
      <c r="BB1165" s="19">
        <v>0</v>
      </c>
      <c r="BC1165" s="27">
        <v>0</v>
      </c>
      <c r="BD1165" s="27">
        <v>0</v>
      </c>
      <c r="BE1165" s="183" t="str">
        <f t="shared" si="133"/>
        <v>立即对前方范围内的敌人造成360%攻击伤害+2750点固定伤害,并将其置空1秒</v>
      </c>
      <c r="BF1165" s="183" t="s">
        <v>2437</v>
      </c>
      <c r="BG1165" s="18">
        <v>0</v>
      </c>
      <c r="BH1165" s="16">
        <v>0</v>
      </c>
      <c r="BI1165" s="18">
        <v>0</v>
      </c>
      <c r="BJ1165" s="18">
        <v>0</v>
      </c>
      <c r="BK1165" s="18">
        <v>0</v>
      </c>
      <c r="BL1165" s="18">
        <v>0</v>
      </c>
      <c r="BM1165" s="15">
        <v>0</v>
      </c>
      <c r="BN1165" s="12">
        <v>0</v>
      </c>
      <c r="BO1165" s="12">
        <v>0</v>
      </c>
      <c r="BP1165" s="12">
        <v>0</v>
      </c>
      <c r="BQ1165" s="12">
        <v>0</v>
      </c>
      <c r="BR1165" s="12">
        <v>0</v>
      </c>
      <c r="BS1165" s="12">
        <v>0</v>
      </c>
      <c r="BT1165" s="12">
        <v>0</v>
      </c>
      <c r="BU1165" s="47">
        <v>0</v>
      </c>
      <c r="BV1165" s="47"/>
      <c r="BW1165" s="47"/>
    </row>
    <row r="1166" spans="3:75" ht="19.5" customHeight="1">
      <c r="C1166" s="172">
        <v>65021106</v>
      </c>
      <c r="D1166" s="19" t="s">
        <v>2431</v>
      </c>
      <c r="E1166" s="19" t="s">
        <v>2432</v>
      </c>
      <c r="F1166" s="16">
        <v>5</v>
      </c>
      <c r="G1166" s="12">
        <v>65021101</v>
      </c>
      <c r="H1166" s="16">
        <v>0</v>
      </c>
      <c r="I1166" s="27">
        <v>0</v>
      </c>
      <c r="J1166" s="16">
        <v>0</v>
      </c>
      <c r="K1166" s="16">
        <v>0</v>
      </c>
      <c r="L1166" s="16">
        <v>0</v>
      </c>
      <c r="M1166" s="18">
        <v>0</v>
      </c>
      <c r="N1166" s="18">
        <v>0</v>
      </c>
      <c r="O1166" s="18">
        <v>1</v>
      </c>
      <c r="P1166" s="18">
        <v>0</v>
      </c>
      <c r="Q1166" s="18">
        <v>0</v>
      </c>
      <c r="R1166" s="18">
        <v>0</v>
      </c>
      <c r="S1166" s="12">
        <v>0</v>
      </c>
      <c r="T1166" s="27">
        <v>0</v>
      </c>
      <c r="U1166" s="16">
        <v>1</v>
      </c>
      <c r="V1166" s="18">
        <v>2</v>
      </c>
      <c r="W1166" s="18">
        <v>0</v>
      </c>
      <c r="X1166" s="18">
        <v>4</v>
      </c>
      <c r="Y1166" s="12">
        <v>0</v>
      </c>
      <c r="Z1166" s="18">
        <v>3500</v>
      </c>
      <c r="AA1166" s="18">
        <v>0</v>
      </c>
      <c r="AB1166" s="18">
        <v>15</v>
      </c>
      <c r="AC1166" s="18">
        <v>0</v>
      </c>
      <c r="AD1166" s="18">
        <v>0</v>
      </c>
      <c r="AE1166" s="18">
        <v>0</v>
      </c>
      <c r="AF1166" s="18">
        <v>9</v>
      </c>
      <c r="AG1166" s="18">
        <v>2</v>
      </c>
      <c r="AH1166" s="18" t="s">
        <v>801</v>
      </c>
      <c r="AI1166" s="12">
        <v>2</v>
      </c>
      <c r="AJ1166" s="12">
        <v>3</v>
      </c>
      <c r="AK1166" s="12">
        <v>0</v>
      </c>
      <c r="AL1166" s="12">
        <v>2</v>
      </c>
      <c r="AM1166" s="18">
        <v>0</v>
      </c>
      <c r="AN1166" s="18">
        <v>0</v>
      </c>
      <c r="AO1166" s="18">
        <v>0</v>
      </c>
      <c r="AP1166" s="18">
        <v>0.25</v>
      </c>
      <c r="AQ1166" s="18">
        <v>3000</v>
      </c>
      <c r="AR1166" s="18">
        <v>0.1</v>
      </c>
      <c r="AS1166" s="18">
        <v>0</v>
      </c>
      <c r="AT1166" s="12">
        <v>0</v>
      </c>
      <c r="AU1166" s="349" t="s">
        <v>2433</v>
      </c>
      <c r="AV1166" s="18"/>
      <c r="AW1166" s="19" t="s">
        <v>256</v>
      </c>
      <c r="AX1166" s="18" t="s">
        <v>545</v>
      </c>
      <c r="AY1166" s="18">
        <v>10001007</v>
      </c>
      <c r="AZ1166" s="18">
        <v>21401010</v>
      </c>
      <c r="BA1166" s="19" t="s">
        <v>200</v>
      </c>
      <c r="BB1166" s="19">
        <v>0</v>
      </c>
      <c r="BC1166" s="27">
        <v>0</v>
      </c>
      <c r="BD1166" s="27">
        <v>0</v>
      </c>
      <c r="BE1166" s="183" t="str">
        <f t="shared" si="133"/>
        <v>立即对前方范围内的敌人造成400%攻击伤害+3500点固定伤害,并将其置空1秒</v>
      </c>
      <c r="BF1166" s="183" t="s">
        <v>2438</v>
      </c>
      <c r="BG1166" s="18">
        <v>0</v>
      </c>
      <c r="BH1166" s="16">
        <v>0</v>
      </c>
      <c r="BI1166" s="18">
        <v>0</v>
      </c>
      <c r="BJ1166" s="18">
        <v>0</v>
      </c>
      <c r="BK1166" s="18">
        <v>0</v>
      </c>
      <c r="BL1166" s="18">
        <v>0</v>
      </c>
      <c r="BM1166" s="15">
        <v>0</v>
      </c>
      <c r="BN1166" s="12">
        <v>0</v>
      </c>
      <c r="BO1166" s="12">
        <v>0</v>
      </c>
      <c r="BP1166" s="12">
        <v>0</v>
      </c>
      <c r="BQ1166" s="12">
        <v>0</v>
      </c>
      <c r="BR1166" s="12">
        <v>0</v>
      </c>
      <c r="BS1166" s="12">
        <v>0</v>
      </c>
      <c r="BT1166" s="12">
        <v>0</v>
      </c>
      <c r="BU1166" s="47">
        <v>0</v>
      </c>
      <c r="BV1166" s="47"/>
      <c r="BW1166" s="47"/>
    </row>
    <row r="1167" spans="3:75" ht="20.100000000000001" customHeight="1">
      <c r="C1167" s="172">
        <v>65021201</v>
      </c>
      <c r="D1167" s="59" t="s">
        <v>2439</v>
      </c>
      <c r="E1167" s="59" t="s">
        <v>2440</v>
      </c>
      <c r="F1167" s="16">
        <v>1</v>
      </c>
      <c r="G1167" s="12">
        <v>65021201</v>
      </c>
      <c r="H1167" s="172">
        <v>65021202</v>
      </c>
      <c r="I1167" s="27">
        <v>0</v>
      </c>
      <c r="J1167" s="16">
        <v>25</v>
      </c>
      <c r="K1167" s="16">
        <v>5</v>
      </c>
      <c r="L1167" s="18">
        <v>0</v>
      </c>
      <c r="M1167" s="60">
        <v>0</v>
      </c>
      <c r="N1167" s="60">
        <v>0</v>
      </c>
      <c r="O1167" s="60">
        <v>1</v>
      </c>
      <c r="P1167" s="60">
        <v>0</v>
      </c>
      <c r="Q1167" s="60">
        <v>0</v>
      </c>
      <c r="R1167" s="60">
        <v>0</v>
      </c>
      <c r="S1167" s="12">
        <v>0</v>
      </c>
      <c r="T1167" s="60">
        <v>0</v>
      </c>
      <c r="U1167" s="16">
        <v>1</v>
      </c>
      <c r="V1167" s="60">
        <v>1</v>
      </c>
      <c r="W1167" s="60">
        <v>0</v>
      </c>
      <c r="X1167" s="60">
        <v>1.5</v>
      </c>
      <c r="Y1167" s="12">
        <v>0</v>
      </c>
      <c r="Z1167" s="60">
        <v>500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"自身变成无敌状态且向前方发射一个能量光柱对前方敌方目标造持续造成"&amp;X1167*100&amp;"%攻击伤害+"&amp;Z1167&amp;"点固定伤害,持续3秒，可以操控转移方向。"</f>
        <v>自身变成无敌状态且向前方发射一个能量光柱对前方敌方目标造持续造成150%攻击伤害+500点固定伤害,持续3秒，可以操控转移方向。</v>
      </c>
      <c r="BF1167" s="90" t="s">
        <v>2443</v>
      </c>
      <c r="BG1167" s="60">
        <v>0</v>
      </c>
      <c r="BH1167" s="16">
        <v>0</v>
      </c>
      <c r="BI1167" s="60">
        <v>0</v>
      </c>
      <c r="BJ1167" s="60">
        <v>0</v>
      </c>
      <c r="BK1167" s="60">
        <v>0</v>
      </c>
      <c r="BL1167" s="60">
        <v>0</v>
      </c>
      <c r="BM1167" s="16">
        <v>0</v>
      </c>
      <c r="BN1167" s="12">
        <v>0</v>
      </c>
      <c r="BO1167" s="12">
        <v>0</v>
      </c>
      <c r="BP1167" s="12">
        <v>500</v>
      </c>
      <c r="BQ1167" s="12">
        <v>1.5</v>
      </c>
      <c r="BR1167" s="12">
        <v>500</v>
      </c>
      <c r="BS1167" s="12">
        <v>0</v>
      </c>
      <c r="BT1167" s="12">
        <v>0</v>
      </c>
      <c r="BU1167" s="47">
        <v>0</v>
      </c>
      <c r="BV1167" s="47"/>
      <c r="BW1167" s="47"/>
    </row>
    <row r="1168" spans="3:75" ht="20.100000000000001" customHeight="1">
      <c r="C1168" s="172">
        <v>65021202</v>
      </c>
      <c r="D1168" s="59" t="s">
        <v>2439</v>
      </c>
      <c r="E1168" s="59" t="s">
        <v>2440</v>
      </c>
      <c r="F1168" s="16">
        <v>1</v>
      </c>
      <c r="G1168" s="12">
        <v>65021201</v>
      </c>
      <c r="H1168" s="172">
        <v>65021203</v>
      </c>
      <c r="I1168" s="27">
        <v>0</v>
      </c>
      <c r="J1168" s="16">
        <v>32</v>
      </c>
      <c r="K1168" s="16">
        <v>2</v>
      </c>
      <c r="L1168" s="18">
        <v>0</v>
      </c>
      <c r="M1168" s="60">
        <v>0</v>
      </c>
      <c r="N1168" s="60">
        <v>0</v>
      </c>
      <c r="O1168" s="60">
        <v>1</v>
      </c>
      <c r="P1168" s="60">
        <v>0</v>
      </c>
      <c r="Q1168" s="60">
        <v>0</v>
      </c>
      <c r="R1168" s="60">
        <v>0</v>
      </c>
      <c r="S1168" s="12">
        <v>0</v>
      </c>
      <c r="T1168" s="60">
        <v>0</v>
      </c>
      <c r="U1168" s="16">
        <v>1</v>
      </c>
      <c r="V1168" s="60">
        <v>1</v>
      </c>
      <c r="W1168" s="60">
        <v>0</v>
      </c>
      <c r="X1168" s="60">
        <v>1.5</v>
      </c>
      <c r="Y1168" s="12">
        <v>0</v>
      </c>
      <c r="Z1168" s="60">
        <v>500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ref="BE1168:BE1172" si="134">"自身变成无敌状态且向前方发射一个能量光柱对前方敌方目标造持续造成"&amp;X1168*100&amp;"%攻击伤害+"&amp;Z1168&amp;"点固定伤害,持续3秒，可以操控转移方向。"</f>
        <v>自身变成无敌状态且向前方发射一个能量光柱对前方敌方目标造持续造成150%攻击伤害+500点固定伤害,持续3秒，可以操控转移方向。</v>
      </c>
      <c r="BF1168" s="90" t="s">
        <v>2443</v>
      </c>
      <c r="BG1168" s="60">
        <v>0</v>
      </c>
      <c r="BH1168" s="16">
        <v>0</v>
      </c>
      <c r="BI1168" s="60">
        <v>0</v>
      </c>
      <c r="BJ1168" s="60">
        <v>0</v>
      </c>
      <c r="BK1168" s="60">
        <v>0</v>
      </c>
      <c r="BL1168" s="60">
        <v>0</v>
      </c>
      <c r="BM1168" s="16">
        <v>0</v>
      </c>
      <c r="BN1168" s="12">
        <v>0</v>
      </c>
      <c r="BO1168" s="12">
        <v>0</v>
      </c>
      <c r="BP1168" s="12">
        <v>500</v>
      </c>
      <c r="BQ1168" s="12">
        <v>1.5</v>
      </c>
      <c r="BR1168" s="12">
        <v>500</v>
      </c>
      <c r="BS1168" s="12">
        <v>0</v>
      </c>
      <c r="BT1168" s="12">
        <v>0</v>
      </c>
      <c r="BU1168" s="47">
        <v>0</v>
      </c>
      <c r="BV1168" s="47"/>
      <c r="BW1168" s="47"/>
    </row>
    <row r="1169" spans="3:75" ht="20.100000000000001" customHeight="1">
      <c r="C1169" s="172">
        <v>65021203</v>
      </c>
      <c r="D1169" s="59" t="s">
        <v>2439</v>
      </c>
      <c r="E1169" s="59" t="s">
        <v>2440</v>
      </c>
      <c r="F1169" s="16">
        <v>1</v>
      </c>
      <c r="G1169" s="12">
        <v>65021201</v>
      </c>
      <c r="H1169" s="172">
        <v>65021204</v>
      </c>
      <c r="I1169" s="27">
        <v>0</v>
      </c>
      <c r="J1169" s="16">
        <v>37</v>
      </c>
      <c r="K1169" s="16">
        <v>2</v>
      </c>
      <c r="L1169" s="18">
        <v>0</v>
      </c>
      <c r="M1169" s="60">
        <v>0</v>
      </c>
      <c r="N1169" s="60">
        <v>0</v>
      </c>
      <c r="O1169" s="60">
        <v>1</v>
      </c>
      <c r="P1169" s="60">
        <v>0</v>
      </c>
      <c r="Q1169" s="60">
        <v>0</v>
      </c>
      <c r="R1169" s="60">
        <v>0</v>
      </c>
      <c r="S1169" s="12">
        <v>0</v>
      </c>
      <c r="T1169" s="60">
        <v>0</v>
      </c>
      <c r="U1169" s="16">
        <v>1</v>
      </c>
      <c r="V1169" s="60">
        <v>1</v>
      </c>
      <c r="W1169" s="60">
        <v>0</v>
      </c>
      <c r="X1169" s="60">
        <v>1.65</v>
      </c>
      <c r="Y1169" s="12">
        <v>0</v>
      </c>
      <c r="Z1169" s="60">
        <v>750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自身变成无敌状态且向前方发射一个能量光柱对前方敌方目标造持续造成165%攻击伤害+750点固定伤害,持续3秒，可以操控转移方向。</v>
      </c>
      <c r="BF1169" s="90" t="s">
        <v>2444</v>
      </c>
      <c r="BG1169" s="60">
        <v>0</v>
      </c>
      <c r="BH1169" s="16">
        <v>0</v>
      </c>
      <c r="BI1169" s="60">
        <v>0</v>
      </c>
      <c r="BJ1169" s="60">
        <v>0</v>
      </c>
      <c r="BK1169" s="60">
        <v>0</v>
      </c>
      <c r="BL1169" s="60">
        <v>0</v>
      </c>
      <c r="BM1169" s="16">
        <v>0</v>
      </c>
      <c r="BN1169" s="12">
        <v>0</v>
      </c>
      <c r="BO1169" s="12">
        <v>0</v>
      </c>
      <c r="BP1169" s="12">
        <v>500</v>
      </c>
      <c r="BQ1169" s="12">
        <v>1.65</v>
      </c>
      <c r="BR1169" s="12">
        <v>750</v>
      </c>
      <c r="BS1169" s="12">
        <v>0</v>
      </c>
      <c r="BT1169" s="12">
        <v>0</v>
      </c>
      <c r="BU1169" s="47">
        <v>0</v>
      </c>
      <c r="BV1169" s="47"/>
      <c r="BW1169" s="47"/>
    </row>
    <row r="1170" spans="3:75" ht="20.100000000000001" customHeight="1">
      <c r="C1170" s="172">
        <v>65021204</v>
      </c>
      <c r="D1170" s="59" t="s">
        <v>2439</v>
      </c>
      <c r="E1170" s="59" t="s">
        <v>2440</v>
      </c>
      <c r="F1170" s="16">
        <v>1</v>
      </c>
      <c r="G1170" s="12">
        <v>65021201</v>
      </c>
      <c r="H1170" s="60">
        <v>0</v>
      </c>
      <c r="I1170" s="27">
        <v>0</v>
      </c>
      <c r="J1170" s="16">
        <v>0</v>
      </c>
      <c r="K1170" s="16">
        <v>0</v>
      </c>
      <c r="L1170" s="18">
        <v>0</v>
      </c>
      <c r="M1170" s="60">
        <v>0</v>
      </c>
      <c r="N1170" s="60">
        <v>0</v>
      </c>
      <c r="O1170" s="60">
        <v>1</v>
      </c>
      <c r="P1170" s="60">
        <v>0</v>
      </c>
      <c r="Q1170" s="60">
        <v>0</v>
      </c>
      <c r="R1170" s="60">
        <v>0</v>
      </c>
      <c r="S1170" s="12">
        <v>0</v>
      </c>
      <c r="T1170" s="60">
        <v>0</v>
      </c>
      <c r="U1170" s="16">
        <v>1</v>
      </c>
      <c r="V1170" s="60">
        <v>1</v>
      </c>
      <c r="W1170" s="60">
        <v>0</v>
      </c>
      <c r="X1170" s="60">
        <v>1.8</v>
      </c>
      <c r="Y1170" s="12">
        <v>0</v>
      </c>
      <c r="Z1170" s="60">
        <v>1000</v>
      </c>
      <c r="AA1170" s="60">
        <v>0</v>
      </c>
      <c r="AB1170" s="60">
        <v>20</v>
      </c>
      <c r="AC1170" s="60">
        <v>0</v>
      </c>
      <c r="AD1170" s="60">
        <v>0</v>
      </c>
      <c r="AE1170" s="60">
        <v>0</v>
      </c>
      <c r="AF1170" s="60">
        <v>15</v>
      </c>
      <c r="AG1170" s="60">
        <v>2</v>
      </c>
      <c r="AH1170" s="60" t="s">
        <v>627</v>
      </c>
      <c r="AI1170" s="12">
        <v>0</v>
      </c>
      <c r="AJ1170" s="12">
        <v>2</v>
      </c>
      <c r="AK1170" s="12">
        <v>0</v>
      </c>
      <c r="AL1170" s="68">
        <v>2</v>
      </c>
      <c r="AM1170" s="60">
        <v>0</v>
      </c>
      <c r="AN1170" s="60">
        <v>0</v>
      </c>
      <c r="AO1170" s="60">
        <v>3</v>
      </c>
      <c r="AP1170" s="60">
        <v>3.1</v>
      </c>
      <c r="AQ1170" s="60">
        <v>3000</v>
      </c>
      <c r="AR1170" s="60">
        <v>0.5</v>
      </c>
      <c r="AS1170" s="60">
        <v>0</v>
      </c>
      <c r="AT1170" s="12">
        <v>92041026</v>
      </c>
      <c r="AU1170" s="60">
        <v>0</v>
      </c>
      <c r="AV1170" s="60"/>
      <c r="AW1170" s="59" t="s">
        <v>2441</v>
      </c>
      <c r="AX1170" s="18" t="s">
        <v>1408</v>
      </c>
      <c r="AY1170" s="64">
        <v>0</v>
      </c>
      <c r="AZ1170" s="18">
        <v>21401020</v>
      </c>
      <c r="BA1170" s="59" t="s">
        <v>2442</v>
      </c>
      <c r="BB1170" s="60">
        <v>60</v>
      </c>
      <c r="BC1170" s="66">
        <v>0</v>
      </c>
      <c r="BD1170" s="66">
        <v>0</v>
      </c>
      <c r="BE1170" s="183" t="str">
        <f t="shared" si="134"/>
        <v>自身变成无敌状态且向前方发射一个能量光柱对前方敌方目标造持续造成180%攻击伤害+1000点固定伤害,持续3秒，可以操控转移方向。</v>
      </c>
      <c r="BF1170" s="90" t="s">
        <v>2445</v>
      </c>
      <c r="BG1170" s="60">
        <v>0</v>
      </c>
      <c r="BH1170" s="16">
        <v>0</v>
      </c>
      <c r="BI1170" s="60">
        <v>0</v>
      </c>
      <c r="BJ1170" s="60">
        <v>0</v>
      </c>
      <c r="BK1170" s="60">
        <v>0</v>
      </c>
      <c r="BL1170" s="60">
        <v>0</v>
      </c>
      <c r="BM1170" s="16">
        <v>0</v>
      </c>
      <c r="BN1170" s="12">
        <v>0</v>
      </c>
      <c r="BO1170" s="12">
        <v>0</v>
      </c>
      <c r="BP1170" s="12">
        <v>500</v>
      </c>
      <c r="BQ1170" s="12">
        <v>1.8</v>
      </c>
      <c r="BR1170" s="12">
        <v>1000</v>
      </c>
      <c r="BS1170" s="12">
        <v>0</v>
      </c>
      <c r="BT1170" s="12">
        <v>0</v>
      </c>
      <c r="BU1170" s="47">
        <v>0</v>
      </c>
      <c r="BV1170" s="47"/>
      <c r="BW1170" s="47"/>
    </row>
    <row r="1171" spans="3:75" ht="20.100000000000001" customHeight="1">
      <c r="C1171" s="172">
        <v>65021205</v>
      </c>
      <c r="D1171" s="59" t="s">
        <v>2439</v>
      </c>
      <c r="E1171" s="59" t="s">
        <v>2440</v>
      </c>
      <c r="F1171" s="16">
        <v>1</v>
      </c>
      <c r="G1171" s="12">
        <v>65021201</v>
      </c>
      <c r="H1171" s="60">
        <v>0</v>
      </c>
      <c r="I1171" s="27">
        <v>0</v>
      </c>
      <c r="J1171" s="16">
        <v>0</v>
      </c>
      <c r="K1171" s="16">
        <v>0</v>
      </c>
      <c r="L1171" s="18">
        <v>0</v>
      </c>
      <c r="M1171" s="60">
        <v>0</v>
      </c>
      <c r="N1171" s="60">
        <v>0</v>
      </c>
      <c r="O1171" s="60">
        <v>1</v>
      </c>
      <c r="P1171" s="60">
        <v>0</v>
      </c>
      <c r="Q1171" s="60">
        <v>0</v>
      </c>
      <c r="R1171" s="60">
        <v>0</v>
      </c>
      <c r="S1171" s="12">
        <v>0</v>
      </c>
      <c r="T1171" s="60">
        <v>0</v>
      </c>
      <c r="U1171" s="16">
        <v>1</v>
      </c>
      <c r="V1171" s="60">
        <v>1</v>
      </c>
      <c r="W1171" s="60">
        <v>0</v>
      </c>
      <c r="X1171" s="60">
        <v>2</v>
      </c>
      <c r="Y1171" s="12">
        <v>0</v>
      </c>
      <c r="Z1171" s="60">
        <v>1250</v>
      </c>
      <c r="AA1171" s="60">
        <v>0</v>
      </c>
      <c r="AB1171" s="60">
        <v>20</v>
      </c>
      <c r="AC1171" s="60">
        <v>0</v>
      </c>
      <c r="AD1171" s="60">
        <v>0</v>
      </c>
      <c r="AE1171" s="60">
        <v>0</v>
      </c>
      <c r="AF1171" s="60">
        <v>15</v>
      </c>
      <c r="AG1171" s="60">
        <v>2</v>
      </c>
      <c r="AH1171" s="60" t="s">
        <v>627</v>
      </c>
      <c r="AI1171" s="12">
        <v>0</v>
      </c>
      <c r="AJ1171" s="12">
        <v>2</v>
      </c>
      <c r="AK1171" s="12">
        <v>0</v>
      </c>
      <c r="AL1171" s="68">
        <v>2</v>
      </c>
      <c r="AM1171" s="60">
        <v>0</v>
      </c>
      <c r="AN1171" s="60">
        <v>0</v>
      </c>
      <c r="AO1171" s="60">
        <v>3</v>
      </c>
      <c r="AP1171" s="60">
        <v>3.1</v>
      </c>
      <c r="AQ1171" s="60">
        <v>3000</v>
      </c>
      <c r="AR1171" s="60">
        <v>0.5</v>
      </c>
      <c r="AS1171" s="60">
        <v>0</v>
      </c>
      <c r="AT1171" s="12">
        <v>92041026</v>
      </c>
      <c r="AU1171" s="60">
        <v>0</v>
      </c>
      <c r="AV1171" s="60"/>
      <c r="AW1171" s="59" t="s">
        <v>2441</v>
      </c>
      <c r="AX1171" s="18" t="s">
        <v>1408</v>
      </c>
      <c r="AY1171" s="64">
        <v>0</v>
      </c>
      <c r="AZ1171" s="18">
        <v>21401020</v>
      </c>
      <c r="BA1171" s="59" t="s">
        <v>2442</v>
      </c>
      <c r="BB1171" s="60">
        <v>60</v>
      </c>
      <c r="BC1171" s="66">
        <v>0</v>
      </c>
      <c r="BD1171" s="66">
        <v>0</v>
      </c>
      <c r="BE1171" s="183" t="str">
        <f t="shared" si="134"/>
        <v>自身变成无敌状态且向前方发射一个能量光柱对前方敌方目标造持续造成200%攻击伤害+1250点固定伤害,持续3秒，可以操控转移方向。</v>
      </c>
      <c r="BF1171" s="90" t="s">
        <v>2446</v>
      </c>
      <c r="BG1171" s="60">
        <v>0</v>
      </c>
      <c r="BH1171" s="16">
        <v>0</v>
      </c>
      <c r="BI1171" s="60">
        <v>0</v>
      </c>
      <c r="BJ1171" s="60">
        <v>0</v>
      </c>
      <c r="BK1171" s="60">
        <v>0</v>
      </c>
      <c r="BL1171" s="60">
        <v>0</v>
      </c>
      <c r="BM1171" s="16">
        <v>0</v>
      </c>
      <c r="BN1171" s="12">
        <v>0</v>
      </c>
      <c r="BO1171" s="12">
        <v>0</v>
      </c>
      <c r="BP1171" s="12">
        <v>500</v>
      </c>
      <c r="BQ1171" s="12">
        <v>2</v>
      </c>
      <c r="BR1171" s="12">
        <v>1250</v>
      </c>
      <c r="BS1171" s="12">
        <v>0</v>
      </c>
      <c r="BT1171" s="12">
        <v>0</v>
      </c>
      <c r="BU1171" s="47">
        <v>0</v>
      </c>
      <c r="BV1171" s="47"/>
      <c r="BW1171" s="47"/>
    </row>
    <row r="1172" spans="3:75" ht="20.100000000000001" customHeight="1">
      <c r="C1172" s="172">
        <v>65021206</v>
      </c>
      <c r="D1172" s="59" t="s">
        <v>2439</v>
      </c>
      <c r="E1172" s="59" t="s">
        <v>2440</v>
      </c>
      <c r="F1172" s="16">
        <v>1</v>
      </c>
      <c r="G1172" s="12">
        <v>65021201</v>
      </c>
      <c r="H1172" s="60">
        <v>0</v>
      </c>
      <c r="I1172" s="27">
        <v>0</v>
      </c>
      <c r="J1172" s="16">
        <v>0</v>
      </c>
      <c r="K1172" s="16">
        <v>0</v>
      </c>
      <c r="L1172" s="18">
        <v>0</v>
      </c>
      <c r="M1172" s="60">
        <v>0</v>
      </c>
      <c r="N1172" s="60">
        <v>0</v>
      </c>
      <c r="O1172" s="60">
        <v>1</v>
      </c>
      <c r="P1172" s="60">
        <v>0</v>
      </c>
      <c r="Q1172" s="60">
        <v>0</v>
      </c>
      <c r="R1172" s="60">
        <v>0</v>
      </c>
      <c r="S1172" s="12">
        <v>0</v>
      </c>
      <c r="T1172" s="60">
        <v>0</v>
      </c>
      <c r="U1172" s="16">
        <v>1</v>
      </c>
      <c r="V1172" s="60">
        <v>1</v>
      </c>
      <c r="W1172" s="60">
        <v>0</v>
      </c>
      <c r="X1172" s="60">
        <v>2.25</v>
      </c>
      <c r="Y1172" s="12">
        <v>0</v>
      </c>
      <c r="Z1172" s="60">
        <v>1500</v>
      </c>
      <c r="AA1172" s="60">
        <v>0</v>
      </c>
      <c r="AB1172" s="60">
        <v>20</v>
      </c>
      <c r="AC1172" s="60">
        <v>0</v>
      </c>
      <c r="AD1172" s="60">
        <v>0</v>
      </c>
      <c r="AE1172" s="60">
        <v>0</v>
      </c>
      <c r="AF1172" s="60">
        <v>15</v>
      </c>
      <c r="AG1172" s="60">
        <v>2</v>
      </c>
      <c r="AH1172" s="60" t="s">
        <v>627</v>
      </c>
      <c r="AI1172" s="12">
        <v>0</v>
      </c>
      <c r="AJ1172" s="12">
        <v>2</v>
      </c>
      <c r="AK1172" s="12">
        <v>0</v>
      </c>
      <c r="AL1172" s="68">
        <v>2</v>
      </c>
      <c r="AM1172" s="60">
        <v>0</v>
      </c>
      <c r="AN1172" s="60">
        <v>0</v>
      </c>
      <c r="AO1172" s="60">
        <v>3</v>
      </c>
      <c r="AP1172" s="60">
        <v>3.1</v>
      </c>
      <c r="AQ1172" s="60">
        <v>3000</v>
      </c>
      <c r="AR1172" s="60">
        <v>0.5</v>
      </c>
      <c r="AS1172" s="60">
        <v>0</v>
      </c>
      <c r="AT1172" s="12">
        <v>92041026</v>
      </c>
      <c r="AU1172" s="60">
        <v>0</v>
      </c>
      <c r="AV1172" s="60"/>
      <c r="AW1172" s="59" t="s">
        <v>2441</v>
      </c>
      <c r="AX1172" s="18" t="s">
        <v>1408</v>
      </c>
      <c r="AY1172" s="64">
        <v>0</v>
      </c>
      <c r="AZ1172" s="18">
        <v>21401020</v>
      </c>
      <c r="BA1172" s="59" t="s">
        <v>2442</v>
      </c>
      <c r="BB1172" s="60">
        <v>60</v>
      </c>
      <c r="BC1172" s="66">
        <v>0</v>
      </c>
      <c r="BD1172" s="66">
        <v>0</v>
      </c>
      <c r="BE1172" s="183" t="str">
        <f t="shared" si="134"/>
        <v>自身变成无敌状态且向前方发射一个能量光柱对前方敌方目标造持续造成225%攻击伤害+1500点固定伤害,持续3秒，可以操控转移方向。</v>
      </c>
      <c r="BF1172" s="90" t="s">
        <v>2447</v>
      </c>
      <c r="BG1172" s="60">
        <v>0</v>
      </c>
      <c r="BH1172" s="16">
        <v>0</v>
      </c>
      <c r="BI1172" s="60">
        <v>0</v>
      </c>
      <c r="BJ1172" s="60">
        <v>0</v>
      </c>
      <c r="BK1172" s="60">
        <v>0</v>
      </c>
      <c r="BL1172" s="60">
        <v>0</v>
      </c>
      <c r="BM1172" s="16">
        <v>0</v>
      </c>
      <c r="BN1172" s="12">
        <v>0</v>
      </c>
      <c r="BO1172" s="12">
        <v>0</v>
      </c>
      <c r="BP1172" s="12">
        <v>500</v>
      </c>
      <c r="BQ1172" s="12">
        <v>2.25</v>
      </c>
      <c r="BR1172" s="12">
        <v>1500</v>
      </c>
      <c r="BS1172" s="12">
        <v>0</v>
      </c>
      <c r="BT1172" s="12">
        <v>0</v>
      </c>
      <c r="BU1172" s="47">
        <v>0</v>
      </c>
      <c r="BV1172" s="47"/>
      <c r="BW1172" s="47"/>
    </row>
    <row r="1173" spans="3:75" ht="20.100000000000001" customHeight="1">
      <c r="C1173" s="172">
        <v>65021301</v>
      </c>
      <c r="D1173" s="13" t="s">
        <v>2448</v>
      </c>
      <c r="E1173" s="13" t="s">
        <v>2449</v>
      </c>
      <c r="F1173" s="12">
        <v>0</v>
      </c>
      <c r="G1173" s="12">
        <v>65021301</v>
      </c>
      <c r="H1173" s="172">
        <v>65021302</v>
      </c>
      <c r="I1173" s="12">
        <v>0</v>
      </c>
      <c r="J1173" s="16">
        <v>30</v>
      </c>
      <c r="K1173" s="18">
        <v>5</v>
      </c>
      <c r="L1173" s="12">
        <v>0</v>
      </c>
      <c r="M1173" s="12">
        <v>0</v>
      </c>
      <c r="N1173" s="18">
        <v>0</v>
      </c>
      <c r="O1173" s="18">
        <v>1</v>
      </c>
      <c r="P1173" s="18">
        <v>0</v>
      </c>
      <c r="Q1173" s="18">
        <v>0</v>
      </c>
      <c r="R1173" s="18">
        <v>0</v>
      </c>
      <c r="S1173" s="12">
        <v>0</v>
      </c>
      <c r="T1173" s="27">
        <v>0</v>
      </c>
      <c r="U1173" s="16">
        <v>1</v>
      </c>
      <c r="V1173" s="18">
        <v>2</v>
      </c>
      <c r="W1173" s="18">
        <v>0</v>
      </c>
      <c r="X1173" s="18">
        <v>1</v>
      </c>
      <c r="Y1173" s="12">
        <v>0</v>
      </c>
      <c r="Z1173" s="18">
        <v>500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1" t="s">
        <v>2450</v>
      </c>
      <c r="AU1173" s="18">
        <v>0</v>
      </c>
      <c r="AV1173" s="18"/>
      <c r="AW1173" s="19" t="s">
        <v>1557</v>
      </c>
      <c r="AX1173" s="18" t="s">
        <v>1408</v>
      </c>
      <c r="AY1173" s="18">
        <v>10002001</v>
      </c>
      <c r="AZ1173" s="18">
        <v>21401030</v>
      </c>
      <c r="BA1173" s="19" t="s">
        <v>315</v>
      </c>
      <c r="BB1173" s="18">
        <v>1</v>
      </c>
      <c r="BC1173" s="27">
        <v>0</v>
      </c>
      <c r="BD1173" s="27">
        <v>0</v>
      </c>
      <c r="BE1173" s="183" t="str">
        <f>"给自己附加巨剑之力，自身变大且攻击提升20%，且附近单位每秒造成"&amp;X1173*100&amp;"%攻击伤害+"&amp;Z1173&amp;"点固定伤害,并且攻击的时候有概率附带巨力震击技能,持续5秒。"</f>
        <v>给自己附加巨剑之力，自身变大且攻击提升20%，且附近单位每秒造成100%攻击伤害+500点固定伤害,并且攻击的时候有概率附带巨力震击技能,持续5秒。</v>
      </c>
      <c r="BF1173" s="183" t="s">
        <v>2451</v>
      </c>
      <c r="BG1173" s="18">
        <v>0</v>
      </c>
      <c r="BH1173" s="16">
        <v>61023501</v>
      </c>
      <c r="BI1173" s="18">
        <v>0</v>
      </c>
      <c r="BJ1173" s="18">
        <v>0</v>
      </c>
      <c r="BK1173" s="18">
        <v>0</v>
      </c>
      <c r="BL1173" s="18">
        <v>0</v>
      </c>
      <c r="BM1173" s="15">
        <v>0</v>
      </c>
      <c r="BN1173" s="12">
        <v>0</v>
      </c>
      <c r="BO1173" s="12">
        <v>0</v>
      </c>
      <c r="BP1173" s="12">
        <v>1000</v>
      </c>
      <c r="BQ1173" s="12">
        <v>1</v>
      </c>
      <c r="BR1173" s="12">
        <v>500</v>
      </c>
      <c r="BS1173" s="12">
        <v>0</v>
      </c>
      <c r="BT1173" s="12">
        <v>0</v>
      </c>
      <c r="BU1173" s="47">
        <v>0</v>
      </c>
      <c r="BV1173" s="47"/>
      <c r="BW1173" s="47"/>
    </row>
    <row r="1174" spans="3:75" ht="20.100000000000001" customHeight="1">
      <c r="C1174" s="172">
        <v>65021302</v>
      </c>
      <c r="D1174" s="13" t="s">
        <v>2448</v>
      </c>
      <c r="E1174" s="13" t="s">
        <v>2449</v>
      </c>
      <c r="F1174" s="12">
        <v>1</v>
      </c>
      <c r="G1174" s="12">
        <v>65021301</v>
      </c>
      <c r="H1174" s="172">
        <v>65021303</v>
      </c>
      <c r="I1174" s="12">
        <v>0</v>
      </c>
      <c r="J1174" s="16">
        <v>37</v>
      </c>
      <c r="K1174" s="18">
        <v>2</v>
      </c>
      <c r="L1174" s="12">
        <v>0</v>
      </c>
      <c r="M1174" s="12">
        <v>0</v>
      </c>
      <c r="N1174" s="18">
        <v>0</v>
      </c>
      <c r="O1174" s="18">
        <v>1</v>
      </c>
      <c r="P1174" s="18">
        <v>0</v>
      </c>
      <c r="Q1174" s="18">
        <v>0</v>
      </c>
      <c r="R1174" s="18">
        <v>0</v>
      </c>
      <c r="S1174" s="12">
        <v>0</v>
      </c>
      <c r="T1174" s="27">
        <v>0</v>
      </c>
      <c r="U1174" s="16">
        <v>1</v>
      </c>
      <c r="V1174" s="18">
        <v>2</v>
      </c>
      <c r="W1174" s="18">
        <v>0</v>
      </c>
      <c r="X1174" s="18">
        <v>1</v>
      </c>
      <c r="Y1174" s="12">
        <v>0</v>
      </c>
      <c r="Z1174" s="18">
        <v>500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1" t="s">
        <v>2450</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"给自己附加巨剑之力，自身变大且攻击提升20%，且附近单位每秒造成"&amp;X1174*100&amp;"%攻击伤害+"&amp;Z1174&amp;"点固定伤害,并且攻击的时候有概率附带巨力震击技能,持续5秒。"</f>
        <v>给自己附加巨剑之力，自身变大且攻击提升20%，且附近单位每秒造成100%攻击伤害+500点固定伤害,并且攻击的时候有概率附带巨力震击技能,持续5秒。</v>
      </c>
      <c r="BF1174" s="183" t="s">
        <v>2451</v>
      </c>
      <c r="BG1174" s="18">
        <v>0</v>
      </c>
      <c r="BH1174" s="16">
        <v>61023501</v>
      </c>
      <c r="BI1174" s="18">
        <v>0</v>
      </c>
      <c r="BJ1174" s="18">
        <v>0</v>
      </c>
      <c r="BK1174" s="18">
        <v>0</v>
      </c>
      <c r="BL1174" s="18">
        <v>0</v>
      </c>
      <c r="BM1174" s="15">
        <v>0</v>
      </c>
      <c r="BN1174" s="12">
        <v>0</v>
      </c>
      <c r="BO1174" s="12">
        <v>0</v>
      </c>
      <c r="BP1174" s="12">
        <v>1000</v>
      </c>
      <c r="BQ1174" s="12">
        <v>1</v>
      </c>
      <c r="BR1174" s="12">
        <v>500</v>
      </c>
      <c r="BS1174" s="12">
        <v>0</v>
      </c>
      <c r="BT1174" s="12">
        <v>0</v>
      </c>
      <c r="BU1174" s="47">
        <v>0</v>
      </c>
      <c r="BV1174" s="47"/>
      <c r="BW1174" s="47"/>
    </row>
    <row r="1175" spans="3:75" ht="20.100000000000001" customHeight="1">
      <c r="C1175" s="172">
        <v>65021303</v>
      </c>
      <c r="D1175" s="13" t="s">
        <v>2448</v>
      </c>
      <c r="E1175" s="13" t="s">
        <v>2449</v>
      </c>
      <c r="F1175" s="12">
        <v>2</v>
      </c>
      <c r="G1175" s="12">
        <v>65021301</v>
      </c>
      <c r="H1175" s="172">
        <v>65021304</v>
      </c>
      <c r="I1175" s="12">
        <v>0</v>
      </c>
      <c r="J1175" s="16">
        <v>42</v>
      </c>
      <c r="K1175" s="18">
        <v>2</v>
      </c>
      <c r="L1175" s="12">
        <v>0</v>
      </c>
      <c r="M1175" s="12">
        <v>0</v>
      </c>
      <c r="N1175" s="18">
        <v>0</v>
      </c>
      <c r="O1175" s="18">
        <v>1</v>
      </c>
      <c r="P1175" s="18">
        <v>0</v>
      </c>
      <c r="Q1175" s="18">
        <v>0</v>
      </c>
      <c r="R1175" s="18">
        <v>0</v>
      </c>
      <c r="S1175" s="12">
        <v>0</v>
      </c>
      <c r="T1175" s="27">
        <v>0</v>
      </c>
      <c r="U1175" s="16">
        <v>1</v>
      </c>
      <c r="V1175" s="18">
        <v>2</v>
      </c>
      <c r="W1175" s="18">
        <v>0</v>
      </c>
      <c r="X1175" s="18">
        <v>1.2</v>
      </c>
      <c r="Y1175" s="12">
        <v>0</v>
      </c>
      <c r="Z1175" s="18">
        <v>800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1" t="s">
        <v>2452</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"给自己附加巨剑之力，自身变大且攻击提升25%，且附近单位每秒造成"&amp;X1175*100&amp;"%攻击伤害+"&amp;Z1175&amp;"点固定伤害,并且攻击的时候有概率附带巨力震击技能,持续5秒。"</f>
        <v>给自己附加巨剑之力，自身变大且攻击提升25%，且附近单位每秒造成120%攻击伤害+800点固定伤害,并且攻击的时候有概率附带巨力震击技能,持续5秒。</v>
      </c>
      <c r="BF1175" s="183" t="s">
        <v>2453</v>
      </c>
      <c r="BG1175" s="18">
        <v>0</v>
      </c>
      <c r="BH1175" s="16">
        <v>61023501</v>
      </c>
      <c r="BI1175" s="18">
        <v>0</v>
      </c>
      <c r="BJ1175" s="18">
        <v>0</v>
      </c>
      <c r="BK1175" s="18">
        <v>0</v>
      </c>
      <c r="BL1175" s="18">
        <v>0</v>
      </c>
      <c r="BM1175" s="15">
        <v>0</v>
      </c>
      <c r="BN1175" s="12">
        <v>0</v>
      </c>
      <c r="BO1175" s="12">
        <v>0</v>
      </c>
      <c r="BP1175" s="12">
        <v>1000</v>
      </c>
      <c r="BQ1175" s="12">
        <v>1.2</v>
      </c>
      <c r="BR1175" s="12">
        <v>800</v>
      </c>
      <c r="BS1175" s="12">
        <v>0</v>
      </c>
      <c r="BT1175" s="12">
        <v>0</v>
      </c>
      <c r="BU1175" s="47">
        <v>0</v>
      </c>
      <c r="BV1175" s="47"/>
      <c r="BW1175" s="47"/>
    </row>
    <row r="1176" spans="3:75" ht="20.100000000000001" customHeight="1">
      <c r="C1176" s="172">
        <v>65021304</v>
      </c>
      <c r="D1176" s="13" t="s">
        <v>2448</v>
      </c>
      <c r="E1176" s="13" t="s">
        <v>2449</v>
      </c>
      <c r="F1176" s="12">
        <v>3</v>
      </c>
      <c r="G1176" s="12">
        <v>65021301</v>
      </c>
      <c r="H1176" s="12">
        <v>0</v>
      </c>
      <c r="I1176" s="12">
        <v>0</v>
      </c>
      <c r="J1176" s="18">
        <v>0</v>
      </c>
      <c r="K1176" s="18">
        <v>0</v>
      </c>
      <c r="L1176" s="12">
        <v>0</v>
      </c>
      <c r="M1176" s="12">
        <v>0</v>
      </c>
      <c r="N1176" s="18">
        <v>0</v>
      </c>
      <c r="O1176" s="18">
        <v>1</v>
      </c>
      <c r="P1176" s="18">
        <v>0</v>
      </c>
      <c r="Q1176" s="18">
        <v>0</v>
      </c>
      <c r="R1176" s="18">
        <v>0</v>
      </c>
      <c r="S1176" s="12">
        <v>0</v>
      </c>
      <c r="T1176" s="27">
        <v>0</v>
      </c>
      <c r="U1176" s="16">
        <v>1</v>
      </c>
      <c r="V1176" s="18">
        <v>2</v>
      </c>
      <c r="W1176" s="18">
        <v>0</v>
      </c>
      <c r="X1176" s="18">
        <v>1.4</v>
      </c>
      <c r="Y1176" s="12">
        <v>0</v>
      </c>
      <c r="Z1176" s="18">
        <v>1150</v>
      </c>
      <c r="AA1176" s="18">
        <v>0</v>
      </c>
      <c r="AB1176" s="18">
        <v>25</v>
      </c>
      <c r="AC1176" s="18">
        <v>0</v>
      </c>
      <c r="AD1176" s="18">
        <v>0</v>
      </c>
      <c r="AE1176" s="18">
        <v>0</v>
      </c>
      <c r="AF1176" s="18">
        <v>18</v>
      </c>
      <c r="AG1176" s="18">
        <v>1</v>
      </c>
      <c r="AH1176" s="18">
        <v>2.5</v>
      </c>
      <c r="AI1176" s="12">
        <v>9</v>
      </c>
      <c r="AJ1176" s="12">
        <v>0</v>
      </c>
      <c r="AK1176" s="12">
        <v>0</v>
      </c>
      <c r="AL1176" s="12">
        <v>1.5</v>
      </c>
      <c r="AM1176" s="18">
        <v>0</v>
      </c>
      <c r="AN1176" s="18">
        <v>0</v>
      </c>
      <c r="AO1176" s="18">
        <v>0</v>
      </c>
      <c r="AP1176" s="18">
        <v>0.5</v>
      </c>
      <c r="AQ1176" s="18">
        <v>5000</v>
      </c>
      <c r="AR1176" s="18">
        <v>0.5</v>
      </c>
      <c r="AS1176" s="18">
        <v>0</v>
      </c>
      <c r="AT1176" s="341" t="s">
        <v>2454</v>
      </c>
      <c r="AU1176" s="18">
        <v>0</v>
      </c>
      <c r="AV1176" s="18"/>
      <c r="AW1176" s="19" t="s">
        <v>1557</v>
      </c>
      <c r="AX1176" s="18" t="s">
        <v>1408</v>
      </c>
      <c r="AY1176" s="18">
        <v>10002001</v>
      </c>
      <c r="AZ1176" s="18">
        <v>21401030</v>
      </c>
      <c r="BA1176" s="19" t="s">
        <v>315</v>
      </c>
      <c r="BB1176" s="18">
        <v>1</v>
      </c>
      <c r="BC1176" s="27">
        <v>0</v>
      </c>
      <c r="BD1176" s="27">
        <v>0</v>
      </c>
      <c r="BE1176" s="183" t="str">
        <f>"给自己附加巨剑之力，自身变大且攻击提升30%，且附近单位每秒造成"&amp;X1176*100&amp;"%攻击伤害+"&amp;Z1176&amp;"点固定伤害,并且攻击的时候有概率附带巨力震击技能,持续5秒。"</f>
        <v>给自己附加巨剑之力，自身变大且攻击提升30%，且附近单位每秒造成140%攻击伤害+1150点固定伤害,并且攻击的时候有概率附带巨力震击技能,持续5秒。</v>
      </c>
      <c r="BF1176" s="183" t="s">
        <v>2455</v>
      </c>
      <c r="BG1176" s="18">
        <v>0</v>
      </c>
      <c r="BH1176" s="16">
        <v>61023501</v>
      </c>
      <c r="BI1176" s="18">
        <v>0</v>
      </c>
      <c r="BJ1176" s="18">
        <v>0</v>
      </c>
      <c r="BK1176" s="18">
        <v>0</v>
      </c>
      <c r="BL1176" s="18">
        <v>0</v>
      </c>
      <c r="BM1176" s="15">
        <v>0</v>
      </c>
      <c r="BN1176" s="12">
        <v>0</v>
      </c>
      <c r="BO1176" s="12">
        <v>0</v>
      </c>
      <c r="BP1176" s="12">
        <v>1000</v>
      </c>
      <c r="BQ1176" s="12">
        <v>1.4</v>
      </c>
      <c r="BR1176" s="12">
        <v>1150</v>
      </c>
      <c r="BS1176" s="12">
        <v>0</v>
      </c>
      <c r="BT1176" s="12">
        <v>0</v>
      </c>
      <c r="BU1176" s="47">
        <v>0</v>
      </c>
      <c r="BV1176" s="47"/>
      <c r="BW1176" s="47"/>
    </row>
    <row r="1177" spans="3:75" ht="20.100000000000001" customHeight="1">
      <c r="C1177" s="172">
        <v>65021305</v>
      </c>
      <c r="D1177" s="13" t="s">
        <v>2448</v>
      </c>
      <c r="E1177" s="13" t="s">
        <v>2449</v>
      </c>
      <c r="F1177" s="12">
        <v>4</v>
      </c>
      <c r="G1177" s="12">
        <v>65021301</v>
      </c>
      <c r="H1177" s="12">
        <v>0</v>
      </c>
      <c r="I1177" s="12">
        <v>0</v>
      </c>
      <c r="J1177" s="18">
        <v>0</v>
      </c>
      <c r="K1177" s="18">
        <v>0</v>
      </c>
      <c r="L1177" s="12">
        <v>0</v>
      </c>
      <c r="M1177" s="12">
        <v>0</v>
      </c>
      <c r="N1177" s="18">
        <v>0</v>
      </c>
      <c r="O1177" s="18">
        <v>1</v>
      </c>
      <c r="P1177" s="18">
        <v>0</v>
      </c>
      <c r="Q1177" s="18">
        <v>0</v>
      </c>
      <c r="R1177" s="18">
        <v>0</v>
      </c>
      <c r="S1177" s="12">
        <v>0</v>
      </c>
      <c r="T1177" s="27">
        <v>0</v>
      </c>
      <c r="U1177" s="16">
        <v>1</v>
      </c>
      <c r="V1177" s="18">
        <v>2</v>
      </c>
      <c r="W1177" s="18">
        <v>0</v>
      </c>
      <c r="X1177" s="18">
        <v>1.6</v>
      </c>
      <c r="Y1177" s="12">
        <v>0</v>
      </c>
      <c r="Z1177" s="18">
        <v>1550</v>
      </c>
      <c r="AA1177" s="18">
        <v>0</v>
      </c>
      <c r="AB1177" s="18">
        <v>25</v>
      </c>
      <c r="AC1177" s="18">
        <v>0</v>
      </c>
      <c r="AD1177" s="18">
        <v>0</v>
      </c>
      <c r="AE1177" s="18">
        <v>0</v>
      </c>
      <c r="AF1177" s="18">
        <v>18</v>
      </c>
      <c r="AG1177" s="18">
        <v>1</v>
      </c>
      <c r="AH1177" s="18">
        <v>2.5</v>
      </c>
      <c r="AI1177" s="12">
        <v>9</v>
      </c>
      <c r="AJ1177" s="12">
        <v>0</v>
      </c>
      <c r="AK1177" s="12">
        <v>0</v>
      </c>
      <c r="AL1177" s="12">
        <v>1.5</v>
      </c>
      <c r="AM1177" s="18">
        <v>0</v>
      </c>
      <c r="AN1177" s="18">
        <v>0</v>
      </c>
      <c r="AO1177" s="18">
        <v>0</v>
      </c>
      <c r="AP1177" s="18">
        <v>0.5</v>
      </c>
      <c r="AQ1177" s="18">
        <v>5000</v>
      </c>
      <c r="AR1177" s="18">
        <v>0.5</v>
      </c>
      <c r="AS1177" s="18">
        <v>0</v>
      </c>
      <c r="AT1177" s="341" t="s">
        <v>2456</v>
      </c>
      <c r="AU1177" s="18">
        <v>0</v>
      </c>
      <c r="AV1177" s="18"/>
      <c r="AW1177" s="19" t="s">
        <v>1557</v>
      </c>
      <c r="AX1177" s="18" t="s">
        <v>1408</v>
      </c>
      <c r="AY1177" s="18">
        <v>10002001</v>
      </c>
      <c r="AZ1177" s="18">
        <v>21401030</v>
      </c>
      <c r="BA1177" s="19" t="s">
        <v>315</v>
      </c>
      <c r="BB1177" s="18">
        <v>1</v>
      </c>
      <c r="BC1177" s="27">
        <v>0</v>
      </c>
      <c r="BD1177" s="27">
        <v>0</v>
      </c>
      <c r="BE1177" s="183" t="str">
        <f>"给自己附加巨剑之力，自身变大且攻击提升35%，且附近单位每秒造成"&amp;X1177*100&amp;"%攻击伤害+"&amp;Z1177&amp;"点固定伤害,并且攻击的时候有概率附带巨力震击技能,持续5秒。"</f>
        <v>给自己附加巨剑之力，自身变大且攻击提升35%，且附近单位每秒造成160%攻击伤害+1550点固定伤害,并且攻击的时候有概率附带巨力震击技能,持续5秒。</v>
      </c>
      <c r="BF1177" s="183" t="s">
        <v>2457</v>
      </c>
      <c r="BG1177" s="18">
        <v>0</v>
      </c>
      <c r="BH1177" s="16">
        <v>61023501</v>
      </c>
      <c r="BI1177" s="18">
        <v>0</v>
      </c>
      <c r="BJ1177" s="18">
        <v>0</v>
      </c>
      <c r="BK1177" s="18">
        <v>0</v>
      </c>
      <c r="BL1177" s="18">
        <v>0</v>
      </c>
      <c r="BM1177" s="15">
        <v>0</v>
      </c>
      <c r="BN1177" s="12">
        <v>0</v>
      </c>
      <c r="BO1177" s="12">
        <v>0</v>
      </c>
      <c r="BP1177" s="12">
        <v>1000</v>
      </c>
      <c r="BQ1177" s="12">
        <v>1.6</v>
      </c>
      <c r="BR1177" s="12">
        <v>1550</v>
      </c>
      <c r="BS1177" s="12">
        <v>0</v>
      </c>
      <c r="BT1177" s="12">
        <v>0</v>
      </c>
      <c r="BU1177" s="47">
        <v>0</v>
      </c>
      <c r="BV1177" s="47"/>
      <c r="BW1177" s="47"/>
    </row>
    <row r="1178" spans="3:75" ht="20.100000000000001" customHeight="1">
      <c r="C1178" s="172">
        <v>65021306</v>
      </c>
      <c r="D1178" s="13" t="s">
        <v>2448</v>
      </c>
      <c r="E1178" s="13" t="s">
        <v>2449</v>
      </c>
      <c r="F1178" s="12">
        <v>5</v>
      </c>
      <c r="G1178" s="12">
        <v>65021301</v>
      </c>
      <c r="H1178" s="12">
        <v>0</v>
      </c>
      <c r="I1178" s="12">
        <v>0</v>
      </c>
      <c r="J1178" s="18">
        <v>0</v>
      </c>
      <c r="K1178" s="18">
        <v>0</v>
      </c>
      <c r="L1178" s="12">
        <v>0</v>
      </c>
      <c r="M1178" s="12">
        <v>0</v>
      </c>
      <c r="N1178" s="18">
        <v>0</v>
      </c>
      <c r="O1178" s="18">
        <v>1</v>
      </c>
      <c r="P1178" s="18">
        <v>0</v>
      </c>
      <c r="Q1178" s="18">
        <v>0</v>
      </c>
      <c r="R1178" s="18">
        <v>0</v>
      </c>
      <c r="S1178" s="12">
        <v>0</v>
      </c>
      <c r="T1178" s="27">
        <v>0</v>
      </c>
      <c r="U1178" s="16">
        <v>1</v>
      </c>
      <c r="V1178" s="18">
        <v>2</v>
      </c>
      <c r="W1178" s="18">
        <v>0</v>
      </c>
      <c r="X1178" s="18">
        <v>1.8</v>
      </c>
      <c r="Y1178" s="12">
        <v>0</v>
      </c>
      <c r="Z1178" s="18">
        <v>2050</v>
      </c>
      <c r="AA1178" s="18">
        <v>0</v>
      </c>
      <c r="AB1178" s="18">
        <v>25</v>
      </c>
      <c r="AC1178" s="18">
        <v>0</v>
      </c>
      <c r="AD1178" s="18">
        <v>0</v>
      </c>
      <c r="AE1178" s="18">
        <v>0</v>
      </c>
      <c r="AF1178" s="18">
        <v>18</v>
      </c>
      <c r="AG1178" s="18">
        <v>1</v>
      </c>
      <c r="AH1178" s="18">
        <v>2.5</v>
      </c>
      <c r="AI1178" s="12">
        <v>9</v>
      </c>
      <c r="AJ1178" s="12">
        <v>0</v>
      </c>
      <c r="AK1178" s="12">
        <v>0</v>
      </c>
      <c r="AL1178" s="12">
        <v>1.5</v>
      </c>
      <c r="AM1178" s="18">
        <v>0</v>
      </c>
      <c r="AN1178" s="18">
        <v>0</v>
      </c>
      <c r="AO1178" s="18">
        <v>0</v>
      </c>
      <c r="AP1178" s="18">
        <v>0.5</v>
      </c>
      <c r="AQ1178" s="18">
        <v>5000</v>
      </c>
      <c r="AR1178" s="18">
        <v>0.5</v>
      </c>
      <c r="AS1178" s="18">
        <v>0</v>
      </c>
      <c r="AT1178" s="341" t="s">
        <v>2458</v>
      </c>
      <c r="AU1178" s="18">
        <v>0</v>
      </c>
      <c r="AV1178" s="18"/>
      <c r="AW1178" s="19" t="s">
        <v>1557</v>
      </c>
      <c r="AX1178" s="18" t="s">
        <v>1408</v>
      </c>
      <c r="AY1178" s="18">
        <v>10002001</v>
      </c>
      <c r="AZ1178" s="18">
        <v>21401030</v>
      </c>
      <c r="BA1178" s="19" t="s">
        <v>315</v>
      </c>
      <c r="BB1178" s="18">
        <v>1</v>
      </c>
      <c r="BC1178" s="27">
        <v>0</v>
      </c>
      <c r="BD1178" s="27">
        <v>0</v>
      </c>
      <c r="BE1178" s="183" t="str">
        <f>"给自己附加巨剑之力，自身变大且攻击提升40%，且附近单位每秒造成"&amp;X1178*100&amp;"%攻击伤害+"&amp;Z1178&amp;"点固定伤害,并且攻击的时候有概率附带巨力震击技能,持续5秒。"</f>
        <v>给自己附加巨剑之力，自身变大且攻击提升40%，且附近单位每秒造成180%攻击伤害+2050点固定伤害,并且攻击的时候有概率附带巨力震击技能,持续5秒。</v>
      </c>
      <c r="BF1178" s="183" t="s">
        <v>2459</v>
      </c>
      <c r="BG1178" s="18">
        <v>0</v>
      </c>
      <c r="BH1178" s="16">
        <v>61023501</v>
      </c>
      <c r="BI1178" s="18">
        <v>0</v>
      </c>
      <c r="BJ1178" s="18">
        <v>0</v>
      </c>
      <c r="BK1178" s="18">
        <v>0</v>
      </c>
      <c r="BL1178" s="18">
        <v>0</v>
      </c>
      <c r="BM1178" s="15">
        <v>0</v>
      </c>
      <c r="BN1178" s="12">
        <v>0</v>
      </c>
      <c r="BO1178" s="12">
        <v>0</v>
      </c>
      <c r="BP1178" s="12">
        <v>1000</v>
      </c>
      <c r="BQ1178" s="12">
        <v>1.8</v>
      </c>
      <c r="BR1178" s="12">
        <v>2050</v>
      </c>
      <c r="BS1178" s="12">
        <v>0</v>
      </c>
      <c r="BT1178" s="12">
        <v>0</v>
      </c>
      <c r="BU1178" s="47">
        <v>0</v>
      </c>
      <c r="BV1178" s="47"/>
      <c r="BW1178" s="47"/>
    </row>
    <row r="1179" spans="3:75" ht="19.5" customHeight="1">
      <c r="C1179" s="172">
        <v>65021310</v>
      </c>
      <c r="D1179" s="19" t="s">
        <v>2460</v>
      </c>
      <c r="E1179" s="19" t="s">
        <v>2432</v>
      </c>
      <c r="F1179" s="16">
        <v>2</v>
      </c>
      <c r="G1179" s="12">
        <v>65021101</v>
      </c>
      <c r="H1179" s="172">
        <v>0</v>
      </c>
      <c r="I1179" s="27">
        <v>0</v>
      </c>
      <c r="J1179" s="16">
        <v>0</v>
      </c>
      <c r="K1179" s="16">
        <v>0</v>
      </c>
      <c r="L1179" s="16">
        <v>0</v>
      </c>
      <c r="M1179" s="18">
        <v>0</v>
      </c>
      <c r="N1179" s="18">
        <v>0</v>
      </c>
      <c r="O1179" s="18">
        <v>2</v>
      </c>
      <c r="P1179" s="18">
        <v>1</v>
      </c>
      <c r="Q1179" s="18">
        <v>0.15</v>
      </c>
      <c r="R1179" s="18">
        <v>0</v>
      </c>
      <c r="S1179" s="12">
        <v>0</v>
      </c>
      <c r="T1179" s="27">
        <v>0</v>
      </c>
      <c r="U1179" s="16">
        <v>1</v>
      </c>
      <c r="V1179" s="18">
        <v>2</v>
      </c>
      <c r="W1179" s="18">
        <v>0</v>
      </c>
      <c r="X1179" s="18">
        <v>3</v>
      </c>
      <c r="Y1179" s="12">
        <v>0</v>
      </c>
      <c r="Z1179" s="18">
        <v>1500</v>
      </c>
      <c r="AA1179" s="18">
        <v>0</v>
      </c>
      <c r="AB1179" s="18">
        <v>15</v>
      </c>
      <c r="AC1179" s="18">
        <v>0</v>
      </c>
      <c r="AD1179" s="18">
        <v>0</v>
      </c>
      <c r="AE1179" s="18">
        <v>0</v>
      </c>
      <c r="AF1179" s="18">
        <v>9</v>
      </c>
      <c r="AG1179" s="18">
        <v>2</v>
      </c>
      <c r="AH1179" s="18" t="s">
        <v>801</v>
      </c>
      <c r="AI1179" s="12">
        <v>2</v>
      </c>
      <c r="AJ1179" s="12">
        <v>3</v>
      </c>
      <c r="AK1179" s="12">
        <v>0</v>
      </c>
      <c r="AL1179" s="12">
        <v>2</v>
      </c>
      <c r="AM1179" s="18">
        <v>0</v>
      </c>
      <c r="AN1179" s="18">
        <v>0</v>
      </c>
      <c r="AO1179" s="18">
        <v>0</v>
      </c>
      <c r="AP1179" s="18">
        <v>0.25</v>
      </c>
      <c r="AQ1179" s="18">
        <v>3000</v>
      </c>
      <c r="AR1179" s="18">
        <v>0.1</v>
      </c>
      <c r="AS1179" s="18">
        <v>0</v>
      </c>
      <c r="AT1179" s="12">
        <v>0</v>
      </c>
      <c r="AU1179" s="349" t="s">
        <v>2433</v>
      </c>
      <c r="AV1179" s="18"/>
      <c r="AW1179" s="19" t="s">
        <v>256</v>
      </c>
      <c r="AX1179" s="18" t="s">
        <v>545</v>
      </c>
      <c r="AY1179" s="18">
        <v>10001007</v>
      </c>
      <c r="AZ1179" s="18">
        <v>21401010</v>
      </c>
      <c r="BA1179" s="19" t="s">
        <v>200</v>
      </c>
      <c r="BB1179" s="19">
        <v>0</v>
      </c>
      <c r="BC1179" s="27">
        <v>0</v>
      </c>
      <c r="BD1179" s="27">
        <v>0</v>
      </c>
      <c r="BE1179" s="183" t="str">
        <f t="shared" ref="BE1179" si="135">"立即对前方范围内的敌人造成"&amp;X1179*100&amp;"%攻击伤害+"&amp;Z1179&amp;"点固定伤害,并将其置空1秒"</f>
        <v>立即对前方范围内的敌人造成300%攻击伤害+1500点固定伤害,并将其置空1秒</v>
      </c>
      <c r="BF1179" s="183" t="s">
        <v>2435</v>
      </c>
      <c r="BG1179" s="18">
        <v>0</v>
      </c>
      <c r="BH1179" s="16">
        <v>0</v>
      </c>
      <c r="BI1179" s="18">
        <v>0</v>
      </c>
      <c r="BJ1179" s="18">
        <v>0</v>
      </c>
      <c r="BK1179" s="18">
        <v>0</v>
      </c>
      <c r="BL1179" s="18">
        <v>0</v>
      </c>
      <c r="BM1179" s="15">
        <v>0</v>
      </c>
      <c r="BN1179" s="12">
        <v>0</v>
      </c>
      <c r="BO1179" s="12">
        <v>0</v>
      </c>
      <c r="BP1179" s="12">
        <v>0</v>
      </c>
      <c r="BQ1179" s="12">
        <v>0</v>
      </c>
      <c r="BR1179" s="12">
        <v>0</v>
      </c>
      <c r="BS1179" s="12">
        <v>0</v>
      </c>
      <c r="BT1179" s="12">
        <v>0</v>
      </c>
      <c r="BU1179" s="47">
        <v>0</v>
      </c>
      <c r="BV1179" s="47"/>
      <c r="BW1179" s="47"/>
    </row>
    <row r="1180" spans="3:75" ht="20.100000000000001" customHeight="1">
      <c r="C1180" s="172">
        <v>65021401</v>
      </c>
      <c r="D1180" s="19" t="s">
        <v>2461</v>
      </c>
      <c r="E1180" s="19" t="s">
        <v>2462</v>
      </c>
      <c r="F1180" s="16">
        <v>0</v>
      </c>
      <c r="G1180" s="12">
        <v>65021401</v>
      </c>
      <c r="H1180" s="172">
        <v>65021402</v>
      </c>
      <c r="I1180" s="27">
        <v>0</v>
      </c>
      <c r="J1180" s="16">
        <v>35</v>
      </c>
      <c r="K1180" s="18">
        <v>5</v>
      </c>
      <c r="L1180" s="16">
        <v>0</v>
      </c>
      <c r="M1180" s="18">
        <v>0</v>
      </c>
      <c r="N1180" s="18">
        <v>0</v>
      </c>
      <c r="O1180" s="18">
        <v>1</v>
      </c>
      <c r="P1180" s="18">
        <v>0</v>
      </c>
      <c r="Q1180" s="18">
        <v>0</v>
      </c>
      <c r="R1180" s="18">
        <v>0</v>
      </c>
      <c r="S1180" s="12">
        <v>0</v>
      </c>
      <c r="T1180" s="27">
        <v>0</v>
      </c>
      <c r="U1180" s="16">
        <v>1</v>
      </c>
      <c r="V1180" s="18">
        <v>2</v>
      </c>
      <c r="W1180" s="18">
        <v>0</v>
      </c>
      <c r="X1180" s="18">
        <v>3</v>
      </c>
      <c r="Y1180" s="12">
        <v>0</v>
      </c>
      <c r="Z1180" s="18">
        <v>900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9" t="s">
        <v>2463</v>
      </c>
      <c r="AV1180" s="18"/>
      <c r="AW1180" s="19" t="s">
        <v>1547</v>
      </c>
      <c r="AX1180" s="18" t="s">
        <v>534</v>
      </c>
      <c r="AY1180" s="18">
        <v>10000009</v>
      </c>
      <c r="AZ1180" s="18">
        <v>21401040</v>
      </c>
      <c r="BA1180" s="19" t="s">
        <v>200</v>
      </c>
      <c r="BB1180" s="19">
        <v>0</v>
      </c>
      <c r="BC1180" s="27">
        <v>0</v>
      </c>
      <c r="BD1180" s="27">
        <v>0</v>
      </c>
      <c r="BE1180" s="183" t="str">
        <f>"立即对自身周围的敌方单位造成"&amp;X1180*100&amp;"%攻击伤害+"&amp;Z1180&amp;"点固定伤害，并眩晕1秒，并对目标种下一个印记，印记在2.5秒后对范围内造成250%伤害和1秒眩晕。"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0" s="183" t="s">
        <v>2464</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65021402</v>
      </c>
      <c r="D1181" s="19" t="s">
        <v>2461</v>
      </c>
      <c r="E1181" s="19" t="s">
        <v>2462</v>
      </c>
      <c r="F1181" s="16">
        <v>1</v>
      </c>
      <c r="G1181" s="12">
        <v>65021401</v>
      </c>
      <c r="H1181" s="172">
        <v>65021403</v>
      </c>
      <c r="I1181" s="27">
        <v>0</v>
      </c>
      <c r="J1181" s="16">
        <v>42</v>
      </c>
      <c r="K1181" s="18">
        <v>2</v>
      </c>
      <c r="L1181" s="16">
        <v>0</v>
      </c>
      <c r="M1181" s="18">
        <v>0</v>
      </c>
      <c r="N1181" s="18">
        <v>0</v>
      </c>
      <c r="O1181" s="18">
        <v>1</v>
      </c>
      <c r="P1181" s="18">
        <v>0</v>
      </c>
      <c r="Q1181" s="18">
        <v>0</v>
      </c>
      <c r="R1181" s="18">
        <v>0</v>
      </c>
      <c r="S1181" s="12">
        <v>0</v>
      </c>
      <c r="T1181" s="27">
        <v>0</v>
      </c>
      <c r="U1181" s="16">
        <v>1</v>
      </c>
      <c r="V1181" s="18">
        <v>2</v>
      </c>
      <c r="W1181" s="18">
        <v>0</v>
      </c>
      <c r="X1181" s="18">
        <v>3</v>
      </c>
      <c r="Y1181" s="12">
        <v>0</v>
      </c>
      <c r="Z1181" s="18">
        <v>900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9" t="s">
        <v>2463</v>
      </c>
      <c r="AV1181" s="18"/>
      <c r="AW1181" s="19" t="s">
        <v>1547</v>
      </c>
      <c r="AX1181" s="18" t="s">
        <v>534</v>
      </c>
      <c r="AY1181" s="18">
        <v>10000009</v>
      </c>
      <c r="AZ1181" s="18">
        <v>21401040</v>
      </c>
      <c r="BA1181" s="19" t="s">
        <v>200</v>
      </c>
      <c r="BB1181" s="19">
        <v>0</v>
      </c>
      <c r="BC1181" s="27">
        <v>0</v>
      </c>
      <c r="BD1181" s="27">
        <v>0</v>
      </c>
      <c r="BE1181" s="183" t="str">
        <f t="shared" ref="BE1181:BE1185" si="136">"立即对自身周围的敌方单位造成"&amp;X1181*100&amp;"%攻击伤害+"&amp;Z1181&amp;"点固定伤害，并眩晕1秒，并对目标种下一个印记，印记在2.5秒后对范围内造成250%伤害和1秒眩晕。"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1" s="183" t="s">
        <v>2464</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20.100000000000001" customHeight="1">
      <c r="C1182" s="172">
        <v>65021403</v>
      </c>
      <c r="D1182" s="19" t="s">
        <v>2461</v>
      </c>
      <c r="E1182" s="19" t="s">
        <v>2462</v>
      </c>
      <c r="F1182" s="16">
        <v>2</v>
      </c>
      <c r="G1182" s="12">
        <v>65021401</v>
      </c>
      <c r="H1182" s="172">
        <v>65021404</v>
      </c>
      <c r="I1182" s="27">
        <v>0</v>
      </c>
      <c r="J1182" s="16">
        <v>47</v>
      </c>
      <c r="K1182" s="18">
        <v>2</v>
      </c>
      <c r="L1182" s="16">
        <v>0</v>
      </c>
      <c r="M1182" s="18">
        <v>0</v>
      </c>
      <c r="N1182" s="18">
        <v>0</v>
      </c>
      <c r="O1182" s="18">
        <v>1</v>
      </c>
      <c r="P1182" s="18">
        <v>0</v>
      </c>
      <c r="Q1182" s="18">
        <v>0</v>
      </c>
      <c r="R1182" s="18">
        <v>0</v>
      </c>
      <c r="S1182" s="12">
        <v>0</v>
      </c>
      <c r="T1182" s="27">
        <v>0</v>
      </c>
      <c r="U1182" s="16">
        <v>1</v>
      </c>
      <c r="V1182" s="18">
        <v>2</v>
      </c>
      <c r="W1182" s="18">
        <v>0</v>
      </c>
      <c r="X1182" s="18">
        <v>3.25</v>
      </c>
      <c r="Y1182" s="12">
        <v>0</v>
      </c>
      <c r="Z1182" s="18">
        <v>1800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49" t="s">
        <v>2463</v>
      </c>
      <c r="AV1182" s="18"/>
      <c r="AW1182" s="19" t="s">
        <v>1547</v>
      </c>
      <c r="AX1182" s="18" t="s">
        <v>534</v>
      </c>
      <c r="AY1182" s="18">
        <v>10000009</v>
      </c>
      <c r="AZ1182" s="18">
        <v>21401040</v>
      </c>
      <c r="BA1182" s="19" t="s">
        <v>200</v>
      </c>
      <c r="BB1182" s="19">
        <v>0</v>
      </c>
      <c r="BC1182" s="27">
        <v>0</v>
      </c>
      <c r="BD1182" s="27">
        <v>0</v>
      </c>
      <c r="BE1182" s="183" t="str">
        <f t="shared" si="136"/>
        <v>立即对自身周围的敌方单位造成325%攻击伤害+1800点固定伤害，并眩晕1秒，并对目标种下一个印记，印记在2.5秒后对范围内造成250%伤害和1秒眩晕。</v>
      </c>
      <c r="BF1182" s="183" t="s">
        <v>2465</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row>
    <row r="1183" spans="3:75" ht="20.100000000000001" customHeight="1">
      <c r="C1183" s="172">
        <v>65021404</v>
      </c>
      <c r="D1183" s="19" t="s">
        <v>2461</v>
      </c>
      <c r="E1183" s="19" t="s">
        <v>2462</v>
      </c>
      <c r="F1183" s="16">
        <v>3</v>
      </c>
      <c r="G1183" s="12">
        <v>65021401</v>
      </c>
      <c r="H1183" s="16">
        <v>0</v>
      </c>
      <c r="I1183" s="27">
        <v>0</v>
      </c>
      <c r="J1183" s="18">
        <v>0</v>
      </c>
      <c r="K1183" s="18">
        <v>0</v>
      </c>
      <c r="L1183" s="16">
        <v>0</v>
      </c>
      <c r="M1183" s="18">
        <v>0</v>
      </c>
      <c r="N1183" s="18">
        <v>0</v>
      </c>
      <c r="O1183" s="18">
        <v>1</v>
      </c>
      <c r="P1183" s="18">
        <v>0</v>
      </c>
      <c r="Q1183" s="18">
        <v>0</v>
      </c>
      <c r="R1183" s="18">
        <v>0</v>
      </c>
      <c r="S1183" s="12">
        <v>0</v>
      </c>
      <c r="T1183" s="27">
        <v>0</v>
      </c>
      <c r="U1183" s="16">
        <v>1</v>
      </c>
      <c r="V1183" s="18">
        <v>2</v>
      </c>
      <c r="W1183" s="18">
        <v>0</v>
      </c>
      <c r="X1183" s="18">
        <v>3.5</v>
      </c>
      <c r="Y1183" s="12">
        <v>0</v>
      </c>
      <c r="Z1183" s="18">
        <v>2800</v>
      </c>
      <c r="AA1183" s="18">
        <v>1</v>
      </c>
      <c r="AB1183" s="18">
        <v>30</v>
      </c>
      <c r="AC1183" s="18">
        <v>0</v>
      </c>
      <c r="AD1183" s="18">
        <v>0</v>
      </c>
      <c r="AE1183" s="18">
        <v>0</v>
      </c>
      <c r="AF1183" s="18">
        <v>24</v>
      </c>
      <c r="AG1183" s="18">
        <v>1</v>
      </c>
      <c r="AH1183" s="18">
        <v>5</v>
      </c>
      <c r="AI1183" s="12">
        <v>0</v>
      </c>
      <c r="AJ1183" s="12">
        <v>0</v>
      </c>
      <c r="AK1183" s="12">
        <v>0</v>
      </c>
      <c r="AL1183" s="12">
        <v>4</v>
      </c>
      <c r="AM1183" s="18">
        <v>0</v>
      </c>
      <c r="AN1183" s="18">
        <v>0</v>
      </c>
      <c r="AO1183" s="18">
        <v>0</v>
      </c>
      <c r="AP1183" s="18">
        <v>0.3</v>
      </c>
      <c r="AQ1183" s="18">
        <v>2000</v>
      </c>
      <c r="AR1183" s="18">
        <v>0.5</v>
      </c>
      <c r="AS1183" s="18">
        <v>0</v>
      </c>
      <c r="AT1183" s="12">
        <v>0</v>
      </c>
      <c r="AU1183" s="349" t="s">
        <v>2463</v>
      </c>
      <c r="AV1183" s="18"/>
      <c r="AW1183" s="19" t="s">
        <v>1547</v>
      </c>
      <c r="AX1183" s="18" t="s">
        <v>534</v>
      </c>
      <c r="AY1183" s="18">
        <v>10000009</v>
      </c>
      <c r="AZ1183" s="18">
        <v>21401040</v>
      </c>
      <c r="BA1183" s="19" t="s">
        <v>200</v>
      </c>
      <c r="BB1183" s="19">
        <v>0</v>
      </c>
      <c r="BC1183" s="27">
        <v>0</v>
      </c>
      <c r="BD1183" s="27">
        <v>0</v>
      </c>
      <c r="BE1183" s="183" t="str">
        <f t="shared" si="136"/>
        <v>立即对自身周围的敌方单位造成350%攻击伤害+2800点固定伤害，并眩晕1秒，并对目标种下一个印记，印记在2.5秒后对范围内造成250%伤害和1秒眩晕。</v>
      </c>
      <c r="BF1183" s="183" t="s">
        <v>2466</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row>
    <row r="1184" spans="3:75" ht="20.100000000000001" customHeight="1">
      <c r="C1184" s="172">
        <v>65021405</v>
      </c>
      <c r="D1184" s="19" t="s">
        <v>2461</v>
      </c>
      <c r="E1184" s="19" t="s">
        <v>2462</v>
      </c>
      <c r="F1184" s="16">
        <v>4</v>
      </c>
      <c r="G1184" s="12">
        <v>65021401</v>
      </c>
      <c r="H1184" s="16">
        <v>0</v>
      </c>
      <c r="I1184" s="27">
        <v>0</v>
      </c>
      <c r="J1184" s="18">
        <v>0</v>
      </c>
      <c r="K1184" s="18">
        <v>0</v>
      </c>
      <c r="L1184" s="16">
        <v>0</v>
      </c>
      <c r="M1184" s="18">
        <v>0</v>
      </c>
      <c r="N1184" s="18">
        <v>0</v>
      </c>
      <c r="O1184" s="18">
        <v>1</v>
      </c>
      <c r="P1184" s="18">
        <v>0</v>
      </c>
      <c r="Q1184" s="18">
        <v>0</v>
      </c>
      <c r="R1184" s="18">
        <v>0</v>
      </c>
      <c r="S1184" s="12">
        <v>0</v>
      </c>
      <c r="T1184" s="27">
        <v>0</v>
      </c>
      <c r="U1184" s="16">
        <v>1</v>
      </c>
      <c r="V1184" s="18">
        <v>2</v>
      </c>
      <c r="W1184" s="18">
        <v>0</v>
      </c>
      <c r="X1184" s="18">
        <v>3.75</v>
      </c>
      <c r="Y1184" s="12">
        <v>0</v>
      </c>
      <c r="Z1184" s="18">
        <v>4000</v>
      </c>
      <c r="AA1184" s="18">
        <v>1</v>
      </c>
      <c r="AB1184" s="18">
        <v>30</v>
      </c>
      <c r="AC1184" s="18">
        <v>0</v>
      </c>
      <c r="AD1184" s="18">
        <v>0</v>
      </c>
      <c r="AE1184" s="18">
        <v>0</v>
      </c>
      <c r="AF1184" s="18">
        <v>24</v>
      </c>
      <c r="AG1184" s="18">
        <v>1</v>
      </c>
      <c r="AH1184" s="18">
        <v>5</v>
      </c>
      <c r="AI1184" s="12">
        <v>0</v>
      </c>
      <c r="AJ1184" s="12">
        <v>0</v>
      </c>
      <c r="AK1184" s="12">
        <v>0</v>
      </c>
      <c r="AL1184" s="12">
        <v>4</v>
      </c>
      <c r="AM1184" s="18">
        <v>0</v>
      </c>
      <c r="AN1184" s="18">
        <v>0</v>
      </c>
      <c r="AO1184" s="18">
        <v>0</v>
      </c>
      <c r="AP1184" s="18">
        <v>0.3</v>
      </c>
      <c r="AQ1184" s="18">
        <v>2000</v>
      </c>
      <c r="AR1184" s="18">
        <v>0.5</v>
      </c>
      <c r="AS1184" s="18">
        <v>0</v>
      </c>
      <c r="AT1184" s="12">
        <v>0</v>
      </c>
      <c r="AU1184" s="349" t="s">
        <v>2463</v>
      </c>
      <c r="AV1184" s="18"/>
      <c r="AW1184" s="19" t="s">
        <v>1547</v>
      </c>
      <c r="AX1184" s="18" t="s">
        <v>534</v>
      </c>
      <c r="AY1184" s="18">
        <v>10000009</v>
      </c>
      <c r="AZ1184" s="18">
        <v>21401040</v>
      </c>
      <c r="BA1184" s="19" t="s">
        <v>200</v>
      </c>
      <c r="BB1184" s="19">
        <v>0</v>
      </c>
      <c r="BC1184" s="27">
        <v>0</v>
      </c>
      <c r="BD1184" s="27">
        <v>0</v>
      </c>
      <c r="BE1184" s="183" t="str">
        <f t="shared" si="136"/>
        <v>立即对自身周围的敌方单位造成375%攻击伤害+4000点固定伤害，并眩晕1秒，并对目标种下一个印记，印记在2.5秒后对范围内造成250%伤害和1秒眩晕。</v>
      </c>
      <c r="BF1184" s="183" t="s">
        <v>2467</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row>
    <row r="1185" spans="1:75" ht="20.100000000000001" customHeight="1">
      <c r="C1185" s="172">
        <v>65021406</v>
      </c>
      <c r="D1185" s="19" t="s">
        <v>2461</v>
      </c>
      <c r="E1185" s="19" t="s">
        <v>2462</v>
      </c>
      <c r="F1185" s="16">
        <v>5</v>
      </c>
      <c r="G1185" s="12">
        <v>65021401</v>
      </c>
      <c r="H1185" s="16">
        <v>0</v>
      </c>
      <c r="I1185" s="27">
        <v>0</v>
      </c>
      <c r="J1185" s="18">
        <v>0</v>
      </c>
      <c r="K1185" s="18">
        <v>0</v>
      </c>
      <c r="L1185" s="16">
        <v>0</v>
      </c>
      <c r="M1185" s="18">
        <v>0</v>
      </c>
      <c r="N1185" s="18">
        <v>0</v>
      </c>
      <c r="O1185" s="18">
        <v>1</v>
      </c>
      <c r="P1185" s="18">
        <v>0</v>
      </c>
      <c r="Q1185" s="18">
        <v>0</v>
      </c>
      <c r="R1185" s="18">
        <v>0</v>
      </c>
      <c r="S1185" s="12">
        <v>0</v>
      </c>
      <c r="T1185" s="27">
        <v>0</v>
      </c>
      <c r="U1185" s="16">
        <v>1</v>
      </c>
      <c r="V1185" s="18">
        <v>2</v>
      </c>
      <c r="W1185" s="18">
        <v>0</v>
      </c>
      <c r="X1185" s="18">
        <v>4</v>
      </c>
      <c r="Y1185" s="12">
        <v>0</v>
      </c>
      <c r="Z1185" s="18">
        <v>5200</v>
      </c>
      <c r="AA1185" s="18">
        <v>1</v>
      </c>
      <c r="AB1185" s="18">
        <v>30</v>
      </c>
      <c r="AC1185" s="18">
        <v>0</v>
      </c>
      <c r="AD1185" s="18">
        <v>0</v>
      </c>
      <c r="AE1185" s="18">
        <v>0</v>
      </c>
      <c r="AF1185" s="18">
        <v>24</v>
      </c>
      <c r="AG1185" s="18">
        <v>1</v>
      </c>
      <c r="AH1185" s="18">
        <v>5</v>
      </c>
      <c r="AI1185" s="12">
        <v>0</v>
      </c>
      <c r="AJ1185" s="12">
        <v>0</v>
      </c>
      <c r="AK1185" s="12">
        <v>0</v>
      </c>
      <c r="AL1185" s="12">
        <v>4</v>
      </c>
      <c r="AM1185" s="18">
        <v>0</v>
      </c>
      <c r="AN1185" s="18">
        <v>0</v>
      </c>
      <c r="AO1185" s="18">
        <v>0</v>
      </c>
      <c r="AP1185" s="18">
        <v>0.3</v>
      </c>
      <c r="AQ1185" s="18">
        <v>2000</v>
      </c>
      <c r="AR1185" s="18">
        <v>0.5</v>
      </c>
      <c r="AS1185" s="18">
        <v>0</v>
      </c>
      <c r="AT1185" s="12">
        <v>0</v>
      </c>
      <c r="AU1185" s="349" t="s">
        <v>2463</v>
      </c>
      <c r="AV1185" s="18"/>
      <c r="AW1185" s="19" t="s">
        <v>1547</v>
      </c>
      <c r="AX1185" s="18" t="s">
        <v>534</v>
      </c>
      <c r="AY1185" s="18">
        <v>10000009</v>
      </c>
      <c r="AZ1185" s="18">
        <v>21401040</v>
      </c>
      <c r="BA1185" s="19" t="s">
        <v>200</v>
      </c>
      <c r="BB1185" s="19">
        <v>0</v>
      </c>
      <c r="BC1185" s="27">
        <v>0</v>
      </c>
      <c r="BD1185" s="27">
        <v>0</v>
      </c>
      <c r="BE1185" s="183" t="str">
        <f t="shared" si="136"/>
        <v>立即对自身周围的敌方单位造成400%攻击伤害+5200点固定伤害，并眩晕1秒，并对目标种下一个印记，印记在2.5秒后对范围内造成250%伤害和1秒眩晕。</v>
      </c>
      <c r="BF1185" s="183" t="s">
        <v>2468</v>
      </c>
      <c r="BG1185" s="18">
        <v>0</v>
      </c>
      <c r="BH1185" s="16">
        <v>0</v>
      </c>
      <c r="BI1185" s="18">
        <v>0</v>
      </c>
      <c r="BJ1185" s="18">
        <v>0</v>
      </c>
      <c r="BK1185" s="18">
        <v>0</v>
      </c>
      <c r="BL1185" s="18">
        <v>0</v>
      </c>
      <c r="BM1185" s="15">
        <v>0</v>
      </c>
      <c r="BN1185" s="12">
        <v>1</v>
      </c>
      <c r="BO1185" s="12">
        <v>0</v>
      </c>
      <c r="BP1185" s="12">
        <v>0</v>
      </c>
      <c r="BQ1185" s="12">
        <v>0</v>
      </c>
      <c r="BR1185" s="12">
        <v>0</v>
      </c>
      <c r="BS1185" s="12">
        <v>0</v>
      </c>
      <c r="BT1185" s="12">
        <v>0</v>
      </c>
      <c r="BU1185" s="47">
        <v>0</v>
      </c>
      <c r="BV1185" s="47"/>
      <c r="BW1185" s="47"/>
    </row>
    <row r="1186" spans="1:75" ht="19.5" customHeight="1">
      <c r="C1186" s="180">
        <v>65021411</v>
      </c>
      <c r="D1186" s="236" t="s">
        <v>2469</v>
      </c>
      <c r="E1186" s="236" t="s">
        <v>2470</v>
      </c>
      <c r="F1186" s="18">
        <v>1</v>
      </c>
      <c r="G1186" s="16">
        <v>60010100</v>
      </c>
      <c r="H1186" s="18">
        <v>0</v>
      </c>
      <c r="I1186" s="27">
        <v>0</v>
      </c>
      <c r="J1186" s="18">
        <v>1</v>
      </c>
      <c r="K1186" s="18">
        <v>0</v>
      </c>
      <c r="L1186" s="18">
        <v>0</v>
      </c>
      <c r="M1186" s="16">
        <v>0</v>
      </c>
      <c r="N1186" s="16">
        <v>0</v>
      </c>
      <c r="O1186" s="16">
        <v>2</v>
      </c>
      <c r="P1186" s="16">
        <v>1</v>
      </c>
      <c r="Q1186" s="16">
        <v>1</v>
      </c>
      <c r="R1186" s="16">
        <v>0</v>
      </c>
      <c r="S1186" s="12">
        <v>0</v>
      </c>
      <c r="T1186" s="16">
        <v>0</v>
      </c>
      <c r="U1186" s="16">
        <v>1</v>
      </c>
      <c r="V1186" s="16">
        <v>2</v>
      </c>
      <c r="W1186" s="16">
        <v>0</v>
      </c>
      <c r="X1186" s="16">
        <v>3</v>
      </c>
      <c r="Y1186" s="12">
        <v>0</v>
      </c>
      <c r="Z1186" s="16">
        <v>1000</v>
      </c>
      <c r="AA1186" s="16">
        <v>0</v>
      </c>
      <c r="AB1186" s="16">
        <v>0</v>
      </c>
      <c r="AC1186" s="16">
        <v>0</v>
      </c>
      <c r="AD1186" s="16">
        <v>0</v>
      </c>
      <c r="AE1186" s="16">
        <v>0</v>
      </c>
      <c r="AF1186" s="16">
        <v>1</v>
      </c>
      <c r="AG1186" s="16">
        <v>1</v>
      </c>
      <c r="AH1186" s="16">
        <v>3</v>
      </c>
      <c r="AI1186" s="12">
        <v>1</v>
      </c>
      <c r="AJ1186" s="12">
        <v>0</v>
      </c>
      <c r="AK1186" s="12">
        <v>0</v>
      </c>
      <c r="AL1186" s="12">
        <v>0</v>
      </c>
      <c r="AM1186" s="16">
        <v>0</v>
      </c>
      <c r="AN1186" s="16">
        <v>0</v>
      </c>
      <c r="AO1186" s="16">
        <v>0</v>
      </c>
      <c r="AP1186" s="16">
        <v>0</v>
      </c>
      <c r="AQ1186" s="16">
        <v>5000</v>
      </c>
      <c r="AR1186" s="16">
        <v>0</v>
      </c>
      <c r="AS1186" s="16">
        <v>0</v>
      </c>
      <c r="AT1186" s="12">
        <v>0</v>
      </c>
      <c r="AU1186" s="16">
        <v>92041081</v>
      </c>
      <c r="AV1186" s="16"/>
      <c r="AW1186" s="19" t="s">
        <v>256</v>
      </c>
      <c r="AX1186" s="16" t="s">
        <v>534</v>
      </c>
      <c r="AY1186" s="18">
        <v>10000007</v>
      </c>
      <c r="AZ1186" s="18">
        <v>21401041</v>
      </c>
      <c r="BA1186" s="17" t="s">
        <v>200</v>
      </c>
      <c r="BB1186" s="16">
        <v>0</v>
      </c>
      <c r="BC1186" s="27">
        <v>0</v>
      </c>
      <c r="BD1186" s="27">
        <v>0</v>
      </c>
      <c r="BE1186" s="44" t="s">
        <v>2471</v>
      </c>
      <c r="BF1186" s="44" t="s">
        <v>2472</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row>
    <row r="1187" spans="1:75" ht="20.100000000000001" customHeight="1">
      <c r="C1187" s="172">
        <v>65022101</v>
      </c>
      <c r="D1187" s="13" t="s">
        <v>2473</v>
      </c>
      <c r="E1187" s="13" t="s">
        <v>2474</v>
      </c>
      <c r="F1187" s="12">
        <v>0</v>
      </c>
      <c r="G1187" s="12">
        <v>65022101</v>
      </c>
      <c r="H1187" s="172">
        <v>65022102</v>
      </c>
      <c r="I1187" s="12">
        <v>0</v>
      </c>
      <c r="J1187" s="16">
        <v>18</v>
      </c>
      <c r="K1187" s="16">
        <v>5</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1" t="s">
        <v>2475</v>
      </c>
      <c r="AU1187" s="12" t="s">
        <v>198</v>
      </c>
      <c r="AV1187" s="12"/>
      <c r="AW1187" s="13" t="s">
        <v>199</v>
      </c>
      <c r="AX1187" s="12" t="s">
        <v>1408</v>
      </c>
      <c r="AY1187" s="12">
        <v>0</v>
      </c>
      <c r="AZ1187" s="12">
        <v>21402010</v>
      </c>
      <c r="BA1187" s="13" t="s">
        <v>200</v>
      </c>
      <c r="BB1187" s="13">
        <v>0</v>
      </c>
      <c r="BC1187" s="12">
        <v>0</v>
      </c>
      <c r="BD1187" s="12">
        <v>0</v>
      </c>
      <c r="BE1187" s="184" t="s">
        <v>5608</v>
      </c>
      <c r="BF1187" s="184" t="s">
        <v>2476</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65022102</v>
      </c>
      <c r="D1188" s="13" t="s">
        <v>2473</v>
      </c>
      <c r="E1188" s="13" t="s">
        <v>2474</v>
      </c>
      <c r="F1188" s="12">
        <v>1</v>
      </c>
      <c r="G1188" s="12">
        <v>65022101</v>
      </c>
      <c r="H1188" s="172">
        <v>65022103</v>
      </c>
      <c r="I1188" s="12">
        <v>0</v>
      </c>
      <c r="J1188" s="16">
        <v>27</v>
      </c>
      <c r="K1188" s="16">
        <v>2</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1">
        <v>92041030</v>
      </c>
      <c r="AU1188" s="12" t="s">
        <v>198</v>
      </c>
      <c r="AV1188" s="12"/>
      <c r="AW1188" s="13" t="s">
        <v>199</v>
      </c>
      <c r="AX1188" s="12" t="s">
        <v>1408</v>
      </c>
      <c r="AY1188" s="12">
        <v>0</v>
      </c>
      <c r="AZ1188" s="12">
        <v>21402010</v>
      </c>
      <c r="BA1188" s="13" t="s">
        <v>200</v>
      </c>
      <c r="BB1188" s="13">
        <v>0</v>
      </c>
      <c r="BC1188" s="12">
        <v>0</v>
      </c>
      <c r="BD1188" s="12">
        <v>0</v>
      </c>
      <c r="BE1188" s="184" t="s">
        <v>5608</v>
      </c>
      <c r="BF1188" s="184" t="s">
        <v>2476</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ht="20.100000000000001" customHeight="1">
      <c r="C1189" s="172">
        <v>65022103</v>
      </c>
      <c r="D1189" s="13" t="s">
        <v>2473</v>
      </c>
      <c r="E1189" s="13" t="s">
        <v>2474</v>
      </c>
      <c r="F1189" s="12">
        <v>2</v>
      </c>
      <c r="G1189" s="12">
        <v>65022101</v>
      </c>
      <c r="H1189" s="172">
        <v>65022104</v>
      </c>
      <c r="I1189" s="12">
        <v>0</v>
      </c>
      <c r="J1189" s="16">
        <v>32</v>
      </c>
      <c r="K1189" s="16">
        <v>2</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341">
        <v>92041031</v>
      </c>
      <c r="AU1189" s="12" t="s">
        <v>198</v>
      </c>
      <c r="AV1189" s="12"/>
      <c r="AW1189" s="13" t="s">
        <v>199</v>
      </c>
      <c r="AX1189" s="12" t="s">
        <v>1408</v>
      </c>
      <c r="AY1189" s="12">
        <v>0</v>
      </c>
      <c r="AZ1189" s="12">
        <v>21402010</v>
      </c>
      <c r="BA1189" s="13" t="s">
        <v>200</v>
      </c>
      <c r="BB1189" s="13">
        <v>0</v>
      </c>
      <c r="BC1189" s="12">
        <v>0</v>
      </c>
      <c r="BD1189" s="12">
        <v>0</v>
      </c>
      <c r="BE1189" s="184" t="s">
        <v>5612</v>
      </c>
      <c r="BF1189" s="184" t="s">
        <v>2477</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row>
    <row r="1190" spans="1:75" ht="20.100000000000001" customHeight="1">
      <c r="C1190" s="172">
        <v>65022104</v>
      </c>
      <c r="D1190" s="13" t="s">
        <v>2473</v>
      </c>
      <c r="E1190" s="13" t="s">
        <v>2474</v>
      </c>
      <c r="F1190" s="12">
        <v>3</v>
      </c>
      <c r="G1190" s="12">
        <v>65022101</v>
      </c>
      <c r="H1190" s="12">
        <v>0</v>
      </c>
      <c r="I1190" s="12">
        <v>0</v>
      </c>
      <c r="J1190" s="16">
        <v>0</v>
      </c>
      <c r="K1190" s="179">
        <v>0</v>
      </c>
      <c r="L1190" s="12">
        <v>0</v>
      </c>
      <c r="M1190" s="12">
        <v>0</v>
      </c>
      <c r="N1190" s="12">
        <v>0</v>
      </c>
      <c r="O1190" s="12">
        <v>1</v>
      </c>
      <c r="P1190" s="12">
        <v>0</v>
      </c>
      <c r="Q1190" s="12">
        <v>0</v>
      </c>
      <c r="R1190" s="12">
        <v>0</v>
      </c>
      <c r="S1190" s="12">
        <v>0</v>
      </c>
      <c r="T1190" s="12">
        <v>0</v>
      </c>
      <c r="U1190" s="12">
        <v>1</v>
      </c>
      <c r="V1190" s="12">
        <v>2</v>
      </c>
      <c r="W1190" s="12">
        <v>0</v>
      </c>
      <c r="X1190" s="12">
        <v>0</v>
      </c>
      <c r="Y1190" s="12">
        <v>0</v>
      </c>
      <c r="Z1190" s="12">
        <v>0</v>
      </c>
      <c r="AA1190" s="12">
        <v>0</v>
      </c>
      <c r="AB1190" s="18">
        <v>15</v>
      </c>
      <c r="AC1190" s="12">
        <v>0</v>
      </c>
      <c r="AD1190" s="12">
        <v>0</v>
      </c>
      <c r="AE1190" s="12">
        <v>0</v>
      </c>
      <c r="AF1190" s="12">
        <v>20</v>
      </c>
      <c r="AG1190" s="12">
        <v>0</v>
      </c>
      <c r="AH1190" s="12">
        <v>0</v>
      </c>
      <c r="AI1190" s="12">
        <v>0</v>
      </c>
      <c r="AJ1190" s="12">
        <v>0</v>
      </c>
      <c r="AK1190" s="12">
        <v>0</v>
      </c>
      <c r="AL1190" s="12">
        <v>0</v>
      </c>
      <c r="AM1190" s="12">
        <v>0</v>
      </c>
      <c r="AN1190" s="12">
        <v>0</v>
      </c>
      <c r="AO1190" s="12">
        <v>0</v>
      </c>
      <c r="AP1190" s="12">
        <v>0.2</v>
      </c>
      <c r="AQ1190" s="12">
        <v>3000</v>
      </c>
      <c r="AR1190" s="12">
        <v>0.5</v>
      </c>
      <c r="AS1190" s="12">
        <v>0</v>
      </c>
      <c r="AT1190" s="341">
        <v>92041032</v>
      </c>
      <c r="AU1190" s="12" t="s">
        <v>198</v>
      </c>
      <c r="AV1190" s="12"/>
      <c r="AW1190" s="13" t="s">
        <v>199</v>
      </c>
      <c r="AX1190" s="12" t="s">
        <v>1408</v>
      </c>
      <c r="AY1190" s="12">
        <v>0</v>
      </c>
      <c r="AZ1190" s="12">
        <v>21402010</v>
      </c>
      <c r="BA1190" s="13" t="s">
        <v>200</v>
      </c>
      <c r="BB1190" s="13">
        <v>0</v>
      </c>
      <c r="BC1190" s="12">
        <v>0</v>
      </c>
      <c r="BD1190" s="12">
        <v>0</v>
      </c>
      <c r="BE1190" s="184" t="s">
        <v>5609</v>
      </c>
      <c r="BF1190" s="184" t="s">
        <v>2478</v>
      </c>
      <c r="BG1190" s="12">
        <v>0</v>
      </c>
      <c r="BH1190" s="12">
        <v>0</v>
      </c>
      <c r="BI1190" s="12">
        <v>0</v>
      </c>
      <c r="BJ1190" s="12">
        <v>0</v>
      </c>
      <c r="BK1190" s="12">
        <v>0</v>
      </c>
      <c r="BL1190" s="12">
        <v>0</v>
      </c>
      <c r="BM1190" s="185">
        <v>0</v>
      </c>
      <c r="BN1190" s="12">
        <v>1</v>
      </c>
      <c r="BO1190" s="12">
        <v>0</v>
      </c>
      <c r="BP1190" s="12">
        <v>0</v>
      </c>
      <c r="BQ1190" s="12">
        <v>0</v>
      </c>
      <c r="BR1190" s="12">
        <v>0</v>
      </c>
      <c r="BS1190" s="12">
        <v>0</v>
      </c>
      <c r="BT1190" s="12">
        <v>0</v>
      </c>
      <c r="BU1190" s="47">
        <v>0</v>
      </c>
      <c r="BV1190" s="47"/>
      <c r="BW1190" s="47"/>
    </row>
    <row r="1191" spans="1:75" ht="20.100000000000001" customHeight="1">
      <c r="C1191" s="172">
        <v>65022105</v>
      </c>
      <c r="D1191" s="13" t="s">
        <v>2473</v>
      </c>
      <c r="E1191" s="13" t="s">
        <v>2474</v>
      </c>
      <c r="F1191" s="12">
        <v>4</v>
      </c>
      <c r="G1191" s="12">
        <v>65022101</v>
      </c>
      <c r="H1191" s="12">
        <v>0</v>
      </c>
      <c r="I1191" s="12">
        <v>0</v>
      </c>
      <c r="J1191" s="16">
        <v>0</v>
      </c>
      <c r="K1191" s="16">
        <v>0</v>
      </c>
      <c r="L1191" s="12">
        <v>0</v>
      </c>
      <c r="M1191" s="12">
        <v>0</v>
      </c>
      <c r="N1191" s="12">
        <v>0</v>
      </c>
      <c r="O1191" s="12">
        <v>1</v>
      </c>
      <c r="P1191" s="12">
        <v>0</v>
      </c>
      <c r="Q1191" s="12">
        <v>0</v>
      </c>
      <c r="R1191" s="12">
        <v>0</v>
      </c>
      <c r="S1191" s="12">
        <v>0</v>
      </c>
      <c r="T1191" s="12">
        <v>0</v>
      </c>
      <c r="U1191" s="12">
        <v>1</v>
      </c>
      <c r="V1191" s="12">
        <v>2</v>
      </c>
      <c r="W1191" s="12">
        <v>0</v>
      </c>
      <c r="X1191" s="12">
        <v>0</v>
      </c>
      <c r="Y1191" s="12">
        <v>0</v>
      </c>
      <c r="Z1191" s="12">
        <v>0</v>
      </c>
      <c r="AA1191" s="12">
        <v>0</v>
      </c>
      <c r="AB1191" s="18">
        <v>15</v>
      </c>
      <c r="AC1191" s="12">
        <v>0</v>
      </c>
      <c r="AD1191" s="12">
        <v>0</v>
      </c>
      <c r="AE1191" s="12">
        <v>0</v>
      </c>
      <c r="AF1191" s="12">
        <v>20</v>
      </c>
      <c r="AG1191" s="12">
        <v>0</v>
      </c>
      <c r="AH1191" s="12">
        <v>0</v>
      </c>
      <c r="AI1191" s="12">
        <v>0</v>
      </c>
      <c r="AJ1191" s="12">
        <v>0</v>
      </c>
      <c r="AK1191" s="12">
        <v>0</v>
      </c>
      <c r="AL1191" s="12">
        <v>0</v>
      </c>
      <c r="AM1191" s="12">
        <v>0</v>
      </c>
      <c r="AN1191" s="12">
        <v>0</v>
      </c>
      <c r="AO1191" s="12">
        <v>0</v>
      </c>
      <c r="AP1191" s="12">
        <v>0.2</v>
      </c>
      <c r="AQ1191" s="12">
        <v>3000</v>
      </c>
      <c r="AR1191" s="12">
        <v>0.5</v>
      </c>
      <c r="AS1191" s="12">
        <v>0</v>
      </c>
      <c r="AT1191" s="341">
        <v>92041033</v>
      </c>
      <c r="AU1191" s="12" t="s">
        <v>198</v>
      </c>
      <c r="AV1191" s="12"/>
      <c r="AW1191" s="13" t="s">
        <v>199</v>
      </c>
      <c r="AX1191" s="12" t="s">
        <v>1408</v>
      </c>
      <c r="AY1191" s="12">
        <v>0</v>
      </c>
      <c r="AZ1191" s="12">
        <v>21402010</v>
      </c>
      <c r="BA1191" s="13" t="s">
        <v>200</v>
      </c>
      <c r="BB1191" s="13">
        <v>0</v>
      </c>
      <c r="BC1191" s="12">
        <v>0</v>
      </c>
      <c r="BD1191" s="12">
        <v>0</v>
      </c>
      <c r="BE1191" s="184" t="s">
        <v>5610</v>
      </c>
      <c r="BF1191" s="184" t="s">
        <v>2479</v>
      </c>
      <c r="BG1191" s="12">
        <v>0</v>
      </c>
      <c r="BH1191" s="12">
        <v>0</v>
      </c>
      <c r="BI1191" s="12">
        <v>0</v>
      </c>
      <c r="BJ1191" s="12">
        <v>0</v>
      </c>
      <c r="BK1191" s="12">
        <v>0</v>
      </c>
      <c r="BL1191" s="12">
        <v>0</v>
      </c>
      <c r="BM1191" s="185">
        <v>0</v>
      </c>
      <c r="BN1191" s="12">
        <v>1</v>
      </c>
      <c r="BO1191" s="12">
        <v>0</v>
      </c>
      <c r="BP1191" s="12">
        <v>0</v>
      </c>
      <c r="BQ1191" s="12">
        <v>0</v>
      </c>
      <c r="BR1191" s="12">
        <v>0</v>
      </c>
      <c r="BS1191" s="12">
        <v>0</v>
      </c>
      <c r="BT1191" s="12">
        <v>0</v>
      </c>
      <c r="BU1191" s="47">
        <v>0</v>
      </c>
      <c r="BV1191" s="47"/>
      <c r="BW1191" s="47"/>
    </row>
    <row r="1192" spans="1:75" ht="20.100000000000001" customHeight="1">
      <c r="C1192" s="172">
        <v>65022106</v>
      </c>
      <c r="D1192" s="13" t="s">
        <v>2473</v>
      </c>
      <c r="E1192" s="13" t="s">
        <v>2474</v>
      </c>
      <c r="F1192" s="12">
        <v>5</v>
      </c>
      <c r="G1192" s="12">
        <v>65022101</v>
      </c>
      <c r="H1192" s="12">
        <v>0</v>
      </c>
      <c r="I1192" s="12">
        <v>0</v>
      </c>
      <c r="J1192" s="16">
        <v>0</v>
      </c>
      <c r="K1192" s="16">
        <v>0</v>
      </c>
      <c r="L1192" s="12">
        <v>0</v>
      </c>
      <c r="M1192" s="12">
        <v>0</v>
      </c>
      <c r="N1192" s="12">
        <v>0</v>
      </c>
      <c r="O1192" s="12">
        <v>1</v>
      </c>
      <c r="P1192" s="12">
        <v>0</v>
      </c>
      <c r="Q1192" s="12">
        <v>0</v>
      </c>
      <c r="R1192" s="12">
        <v>0</v>
      </c>
      <c r="S1192" s="12">
        <v>0</v>
      </c>
      <c r="T1192" s="12">
        <v>0</v>
      </c>
      <c r="U1192" s="12">
        <v>1</v>
      </c>
      <c r="V1192" s="12">
        <v>2</v>
      </c>
      <c r="W1192" s="12">
        <v>0</v>
      </c>
      <c r="X1192" s="12">
        <v>0</v>
      </c>
      <c r="Y1192" s="12">
        <v>0</v>
      </c>
      <c r="Z1192" s="12">
        <v>0</v>
      </c>
      <c r="AA1192" s="12">
        <v>0</v>
      </c>
      <c r="AB1192" s="18">
        <v>15</v>
      </c>
      <c r="AC1192" s="12">
        <v>0</v>
      </c>
      <c r="AD1192" s="12">
        <v>0</v>
      </c>
      <c r="AE1192" s="12">
        <v>0</v>
      </c>
      <c r="AF1192" s="12">
        <v>20</v>
      </c>
      <c r="AG1192" s="12">
        <v>0</v>
      </c>
      <c r="AH1192" s="12">
        <v>0</v>
      </c>
      <c r="AI1192" s="12">
        <v>0</v>
      </c>
      <c r="AJ1192" s="12">
        <v>0</v>
      </c>
      <c r="AK1192" s="12">
        <v>0</v>
      </c>
      <c r="AL1192" s="12">
        <v>0</v>
      </c>
      <c r="AM1192" s="12">
        <v>0</v>
      </c>
      <c r="AN1192" s="12">
        <v>0</v>
      </c>
      <c r="AO1192" s="12">
        <v>0</v>
      </c>
      <c r="AP1192" s="12">
        <v>0.2</v>
      </c>
      <c r="AQ1192" s="12">
        <v>3000</v>
      </c>
      <c r="AR1192" s="12">
        <v>0.5</v>
      </c>
      <c r="AS1192" s="12">
        <v>0</v>
      </c>
      <c r="AT1192" s="341">
        <v>92041034</v>
      </c>
      <c r="AU1192" s="12" t="s">
        <v>198</v>
      </c>
      <c r="AV1192" s="12"/>
      <c r="AW1192" s="13" t="s">
        <v>199</v>
      </c>
      <c r="AX1192" s="12" t="s">
        <v>1408</v>
      </c>
      <c r="AY1192" s="12">
        <v>0</v>
      </c>
      <c r="AZ1192" s="12">
        <v>21402010</v>
      </c>
      <c r="BA1192" s="13" t="s">
        <v>200</v>
      </c>
      <c r="BB1192" s="13">
        <v>0</v>
      </c>
      <c r="BC1192" s="12">
        <v>0</v>
      </c>
      <c r="BD1192" s="12">
        <v>0</v>
      </c>
      <c r="BE1192" s="184" t="s">
        <v>5611</v>
      </c>
      <c r="BF1192" s="184" t="s">
        <v>2480</v>
      </c>
      <c r="BG1192" s="12">
        <v>0</v>
      </c>
      <c r="BH1192" s="12">
        <v>0</v>
      </c>
      <c r="BI1192" s="12">
        <v>0</v>
      </c>
      <c r="BJ1192" s="12">
        <v>0</v>
      </c>
      <c r="BK1192" s="12">
        <v>0</v>
      </c>
      <c r="BL1192" s="12">
        <v>0</v>
      </c>
      <c r="BM1192" s="185">
        <v>0</v>
      </c>
      <c r="BN1192" s="12">
        <v>1</v>
      </c>
      <c r="BO1192" s="12">
        <v>0</v>
      </c>
      <c r="BP1192" s="12">
        <v>0</v>
      </c>
      <c r="BQ1192" s="12">
        <v>0</v>
      </c>
      <c r="BR1192" s="12">
        <v>0</v>
      </c>
      <c r="BS1192" s="12">
        <v>0</v>
      </c>
      <c r="BT1192" s="12">
        <v>0</v>
      </c>
      <c r="BU1192" s="47">
        <v>0</v>
      </c>
      <c r="BV1192" s="47"/>
      <c r="BW1192" s="47"/>
    </row>
    <row r="1193" spans="1:75" s="1" customFormat="1" ht="20.100000000000001" customHeight="1">
      <c r="C1193" s="172">
        <v>65022201</v>
      </c>
      <c r="D1193" s="19" t="s">
        <v>2481</v>
      </c>
      <c r="E1193" s="59" t="s">
        <v>2482</v>
      </c>
      <c r="F1193" s="12">
        <v>0</v>
      </c>
      <c r="G1193" s="12">
        <v>65022201</v>
      </c>
      <c r="H1193" s="172">
        <v>65022202</v>
      </c>
      <c r="I1193" s="66">
        <v>0</v>
      </c>
      <c r="J1193" s="16">
        <v>25</v>
      </c>
      <c r="K1193" s="16">
        <v>5</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2483</v>
      </c>
      <c r="BB1193" s="355" t="s">
        <v>2484</v>
      </c>
      <c r="BC1193" s="66">
        <v>0</v>
      </c>
      <c r="BD1193" s="66">
        <v>0</v>
      </c>
      <c r="BE1193" s="184" t="s">
        <v>2485</v>
      </c>
      <c r="BF1193" s="121" t="s">
        <v>2486</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65022202</v>
      </c>
      <c r="D1194" s="19" t="s">
        <v>2481</v>
      </c>
      <c r="E1194" s="59" t="s">
        <v>2482</v>
      </c>
      <c r="F1194" s="12">
        <v>1</v>
      </c>
      <c r="G1194" s="12">
        <v>65022201</v>
      </c>
      <c r="H1194" s="172">
        <v>65022203</v>
      </c>
      <c r="I1194" s="66">
        <v>0</v>
      </c>
      <c r="J1194" s="16">
        <v>32</v>
      </c>
      <c r="K1194" s="16">
        <v>2</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2483</v>
      </c>
      <c r="BB1194" s="355" t="s">
        <v>2484</v>
      </c>
      <c r="BC1194" s="66">
        <v>0</v>
      </c>
      <c r="BD1194" s="66">
        <v>0</v>
      </c>
      <c r="BE1194" s="184" t="s">
        <v>2485</v>
      </c>
      <c r="BF1194" s="121" t="s">
        <v>2486</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1" customFormat="1" ht="20.100000000000001" customHeight="1">
      <c r="C1195" s="172">
        <v>65022203</v>
      </c>
      <c r="D1195" s="19" t="s">
        <v>2481</v>
      </c>
      <c r="E1195" s="59" t="s">
        <v>2482</v>
      </c>
      <c r="F1195" s="12">
        <v>2</v>
      </c>
      <c r="G1195" s="12">
        <v>65022201</v>
      </c>
      <c r="H1195" s="172">
        <v>65022204</v>
      </c>
      <c r="I1195" s="66">
        <v>0</v>
      </c>
      <c r="J1195" s="16">
        <v>37</v>
      </c>
      <c r="K1195" s="16">
        <v>2</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198</v>
      </c>
      <c r="AV1195" s="60"/>
      <c r="AW1195" s="59" t="s">
        <v>762</v>
      </c>
      <c r="AX1195" s="60" t="s">
        <v>215</v>
      </c>
      <c r="AY1195" s="64">
        <v>0</v>
      </c>
      <c r="AZ1195" s="64">
        <v>21402020</v>
      </c>
      <c r="BA1195" s="59" t="s">
        <v>2483</v>
      </c>
      <c r="BB1195" s="355" t="s">
        <v>2487</v>
      </c>
      <c r="BC1195" s="66">
        <v>0</v>
      </c>
      <c r="BD1195" s="66">
        <v>0</v>
      </c>
      <c r="BE1195" s="184" t="s">
        <v>2488</v>
      </c>
      <c r="BF1195" s="121" t="s">
        <v>2489</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row>
    <row r="1196" spans="1:75" s="1" customFormat="1" ht="20.100000000000001" customHeight="1">
      <c r="C1196" s="172">
        <v>65022204</v>
      </c>
      <c r="D1196" s="19" t="s">
        <v>2481</v>
      </c>
      <c r="E1196" s="59" t="s">
        <v>2482</v>
      </c>
      <c r="F1196" s="12">
        <v>3</v>
      </c>
      <c r="G1196" s="12">
        <v>65022201</v>
      </c>
      <c r="H1196" s="60">
        <v>0</v>
      </c>
      <c r="I1196" s="66">
        <v>0</v>
      </c>
      <c r="J1196" s="16">
        <v>0</v>
      </c>
      <c r="K1196" s="16">
        <v>0</v>
      </c>
      <c r="L1196" s="60">
        <v>0</v>
      </c>
      <c r="M1196" s="60">
        <v>0</v>
      </c>
      <c r="N1196" s="60">
        <v>0</v>
      </c>
      <c r="O1196" s="60">
        <v>1</v>
      </c>
      <c r="P1196" s="60">
        <v>0</v>
      </c>
      <c r="Q1196" s="60">
        <v>0</v>
      </c>
      <c r="R1196" s="60">
        <v>0</v>
      </c>
      <c r="S1196" s="68">
        <v>0</v>
      </c>
      <c r="T1196" s="60">
        <v>0</v>
      </c>
      <c r="U1196" s="60">
        <v>1</v>
      </c>
      <c r="V1196" s="60">
        <v>2</v>
      </c>
      <c r="W1196" s="60">
        <v>0</v>
      </c>
      <c r="X1196" s="60">
        <v>3</v>
      </c>
      <c r="Y1196" s="12">
        <v>0</v>
      </c>
      <c r="Z1196" s="60">
        <v>0</v>
      </c>
      <c r="AA1196" s="60">
        <v>1</v>
      </c>
      <c r="AB1196" s="60">
        <v>20</v>
      </c>
      <c r="AC1196" s="60">
        <v>0</v>
      </c>
      <c r="AD1196" s="60">
        <v>0</v>
      </c>
      <c r="AE1196" s="60">
        <v>0</v>
      </c>
      <c r="AF1196" s="60">
        <v>25</v>
      </c>
      <c r="AG1196" s="60">
        <v>1</v>
      </c>
      <c r="AH1196" s="60">
        <v>0</v>
      </c>
      <c r="AI1196" s="68">
        <v>0</v>
      </c>
      <c r="AJ1196" s="68">
        <v>101</v>
      </c>
      <c r="AK1196" s="68">
        <v>0</v>
      </c>
      <c r="AL1196" s="68">
        <v>10</v>
      </c>
      <c r="AM1196" s="60">
        <v>0</v>
      </c>
      <c r="AN1196" s="60">
        <v>0</v>
      </c>
      <c r="AO1196" s="60">
        <v>0</v>
      </c>
      <c r="AP1196" s="60">
        <v>1</v>
      </c>
      <c r="AQ1196" s="60">
        <v>1000</v>
      </c>
      <c r="AR1196" s="60">
        <v>0.4</v>
      </c>
      <c r="AS1196" s="60">
        <v>0</v>
      </c>
      <c r="AT1196" s="68">
        <v>0</v>
      </c>
      <c r="AU1196" s="60" t="s">
        <v>198</v>
      </c>
      <c r="AV1196" s="60"/>
      <c r="AW1196" s="59" t="s">
        <v>762</v>
      </c>
      <c r="AX1196" s="60" t="s">
        <v>215</v>
      </c>
      <c r="AY1196" s="64">
        <v>0</v>
      </c>
      <c r="AZ1196" s="64">
        <v>21402020</v>
      </c>
      <c r="BA1196" s="59" t="s">
        <v>2483</v>
      </c>
      <c r="BB1196" s="355" t="s">
        <v>2490</v>
      </c>
      <c r="BC1196" s="66">
        <v>0</v>
      </c>
      <c r="BD1196" s="66">
        <v>0</v>
      </c>
      <c r="BE1196" s="184" t="s">
        <v>2491</v>
      </c>
      <c r="BF1196" s="121" t="s">
        <v>2492</v>
      </c>
      <c r="BG1196" s="60">
        <v>0</v>
      </c>
      <c r="BH1196" s="60">
        <v>0</v>
      </c>
      <c r="BI1196" s="60">
        <v>0</v>
      </c>
      <c r="BJ1196" s="60">
        <v>0</v>
      </c>
      <c r="BK1196" s="60">
        <v>0</v>
      </c>
      <c r="BL1196" s="60">
        <v>0</v>
      </c>
      <c r="BM1196" s="93">
        <v>0</v>
      </c>
      <c r="BN1196" s="68">
        <v>0</v>
      </c>
      <c r="BO1196" s="68">
        <v>0</v>
      </c>
      <c r="BP1196" s="68">
        <v>0</v>
      </c>
      <c r="BQ1196" s="68">
        <v>0</v>
      </c>
      <c r="BR1196" s="68">
        <v>0</v>
      </c>
      <c r="BS1196" s="68">
        <v>0</v>
      </c>
      <c r="BT1196" s="68">
        <v>0</v>
      </c>
      <c r="BU1196" s="68">
        <v>0</v>
      </c>
      <c r="BV1196" s="47"/>
      <c r="BW1196" s="47"/>
    </row>
    <row r="1197" spans="1:75" s="1" customFormat="1" ht="20.100000000000001" customHeight="1">
      <c r="C1197" s="172">
        <v>65022205</v>
      </c>
      <c r="D1197" s="19" t="s">
        <v>2481</v>
      </c>
      <c r="E1197" s="59" t="s">
        <v>2482</v>
      </c>
      <c r="F1197" s="12">
        <v>4</v>
      </c>
      <c r="G1197" s="12">
        <v>65022201</v>
      </c>
      <c r="H1197" s="60">
        <v>0</v>
      </c>
      <c r="I1197" s="66">
        <v>0</v>
      </c>
      <c r="J1197" s="16">
        <v>0</v>
      </c>
      <c r="K1197" s="16">
        <v>0</v>
      </c>
      <c r="L1197" s="60">
        <v>0</v>
      </c>
      <c r="M1197" s="60">
        <v>0</v>
      </c>
      <c r="N1197" s="60">
        <v>0</v>
      </c>
      <c r="O1197" s="60">
        <v>1</v>
      </c>
      <c r="P1197" s="60">
        <v>0</v>
      </c>
      <c r="Q1197" s="60">
        <v>0</v>
      </c>
      <c r="R1197" s="60">
        <v>0</v>
      </c>
      <c r="S1197" s="68">
        <v>0</v>
      </c>
      <c r="T1197" s="60">
        <v>0</v>
      </c>
      <c r="U1197" s="60">
        <v>1</v>
      </c>
      <c r="V1197" s="60">
        <v>2</v>
      </c>
      <c r="W1197" s="60">
        <v>0</v>
      </c>
      <c r="X1197" s="60">
        <v>3</v>
      </c>
      <c r="Y1197" s="12">
        <v>0</v>
      </c>
      <c r="Z1197" s="60">
        <v>0</v>
      </c>
      <c r="AA1197" s="60">
        <v>1</v>
      </c>
      <c r="AB1197" s="60">
        <v>20</v>
      </c>
      <c r="AC1197" s="60">
        <v>0</v>
      </c>
      <c r="AD1197" s="60">
        <v>0</v>
      </c>
      <c r="AE1197" s="60">
        <v>0</v>
      </c>
      <c r="AF1197" s="60">
        <v>25</v>
      </c>
      <c r="AG1197" s="60">
        <v>1</v>
      </c>
      <c r="AH1197" s="60">
        <v>0</v>
      </c>
      <c r="AI1197" s="68">
        <v>0</v>
      </c>
      <c r="AJ1197" s="68">
        <v>101</v>
      </c>
      <c r="AK1197" s="68">
        <v>0</v>
      </c>
      <c r="AL1197" s="68">
        <v>10</v>
      </c>
      <c r="AM1197" s="60">
        <v>0</v>
      </c>
      <c r="AN1197" s="60">
        <v>0</v>
      </c>
      <c r="AO1197" s="60">
        <v>0</v>
      </c>
      <c r="AP1197" s="60">
        <v>1</v>
      </c>
      <c r="AQ1197" s="60">
        <v>1000</v>
      </c>
      <c r="AR1197" s="60">
        <v>0.4</v>
      </c>
      <c r="AS1197" s="60">
        <v>0</v>
      </c>
      <c r="AT1197" s="68">
        <v>0</v>
      </c>
      <c r="AU1197" s="60" t="s">
        <v>198</v>
      </c>
      <c r="AV1197" s="60"/>
      <c r="AW1197" s="59" t="s">
        <v>762</v>
      </c>
      <c r="AX1197" s="60" t="s">
        <v>215</v>
      </c>
      <c r="AY1197" s="64">
        <v>0</v>
      </c>
      <c r="AZ1197" s="64">
        <v>21402020</v>
      </c>
      <c r="BA1197" s="59" t="s">
        <v>2483</v>
      </c>
      <c r="BB1197" s="355" t="s">
        <v>2493</v>
      </c>
      <c r="BC1197" s="66">
        <v>0</v>
      </c>
      <c r="BD1197" s="66">
        <v>0</v>
      </c>
      <c r="BE1197" s="184" t="s">
        <v>2494</v>
      </c>
      <c r="BF1197" s="121" t="s">
        <v>2495</v>
      </c>
      <c r="BG1197" s="60">
        <v>0</v>
      </c>
      <c r="BH1197" s="60">
        <v>0</v>
      </c>
      <c r="BI1197" s="60">
        <v>0</v>
      </c>
      <c r="BJ1197" s="60">
        <v>0</v>
      </c>
      <c r="BK1197" s="60">
        <v>0</v>
      </c>
      <c r="BL1197" s="60">
        <v>0</v>
      </c>
      <c r="BM1197" s="93">
        <v>0</v>
      </c>
      <c r="BN1197" s="68">
        <v>0</v>
      </c>
      <c r="BO1197" s="68">
        <v>0</v>
      </c>
      <c r="BP1197" s="68">
        <v>0</v>
      </c>
      <c r="BQ1197" s="68">
        <v>0</v>
      </c>
      <c r="BR1197" s="68">
        <v>0</v>
      </c>
      <c r="BS1197" s="68">
        <v>0</v>
      </c>
      <c r="BT1197" s="68">
        <v>0</v>
      </c>
      <c r="BU1197" s="68">
        <v>0</v>
      </c>
      <c r="BV1197" s="47"/>
      <c r="BW1197" s="47"/>
    </row>
    <row r="1198" spans="1:75" s="1" customFormat="1" ht="20.100000000000001" customHeight="1">
      <c r="C1198" s="172">
        <v>65022206</v>
      </c>
      <c r="D1198" s="19" t="s">
        <v>2481</v>
      </c>
      <c r="E1198" s="59" t="s">
        <v>2482</v>
      </c>
      <c r="F1198" s="12">
        <v>5</v>
      </c>
      <c r="G1198" s="12">
        <v>65022201</v>
      </c>
      <c r="H1198" s="60">
        <v>0</v>
      </c>
      <c r="I1198" s="66">
        <v>0</v>
      </c>
      <c r="J1198" s="16">
        <v>0</v>
      </c>
      <c r="K1198" s="16">
        <v>0</v>
      </c>
      <c r="L1198" s="60">
        <v>0</v>
      </c>
      <c r="M1198" s="60">
        <v>0</v>
      </c>
      <c r="N1198" s="60">
        <v>0</v>
      </c>
      <c r="O1198" s="60">
        <v>1</v>
      </c>
      <c r="P1198" s="60">
        <v>0</v>
      </c>
      <c r="Q1198" s="60">
        <v>0</v>
      </c>
      <c r="R1198" s="60">
        <v>0</v>
      </c>
      <c r="S1198" s="68">
        <v>0</v>
      </c>
      <c r="T1198" s="60">
        <v>0</v>
      </c>
      <c r="U1198" s="60">
        <v>1</v>
      </c>
      <c r="V1198" s="60">
        <v>2</v>
      </c>
      <c r="W1198" s="60">
        <v>0</v>
      </c>
      <c r="X1198" s="60">
        <v>3</v>
      </c>
      <c r="Y1198" s="12">
        <v>0</v>
      </c>
      <c r="Z1198" s="60">
        <v>0</v>
      </c>
      <c r="AA1198" s="60">
        <v>1</v>
      </c>
      <c r="AB1198" s="60">
        <v>20</v>
      </c>
      <c r="AC1198" s="60">
        <v>0</v>
      </c>
      <c r="AD1198" s="60">
        <v>0</v>
      </c>
      <c r="AE1198" s="60">
        <v>0</v>
      </c>
      <c r="AF1198" s="60">
        <v>25</v>
      </c>
      <c r="AG1198" s="60">
        <v>1</v>
      </c>
      <c r="AH1198" s="60">
        <v>0</v>
      </c>
      <c r="AI1198" s="68">
        <v>0</v>
      </c>
      <c r="AJ1198" s="68">
        <v>101</v>
      </c>
      <c r="AK1198" s="68">
        <v>0</v>
      </c>
      <c r="AL1198" s="68">
        <v>10</v>
      </c>
      <c r="AM1198" s="60">
        <v>0</v>
      </c>
      <c r="AN1198" s="60">
        <v>0</v>
      </c>
      <c r="AO1198" s="60">
        <v>0</v>
      </c>
      <c r="AP1198" s="60">
        <v>1</v>
      </c>
      <c r="AQ1198" s="60">
        <v>1000</v>
      </c>
      <c r="AR1198" s="60">
        <v>0.4</v>
      </c>
      <c r="AS1198" s="60">
        <v>0</v>
      </c>
      <c r="AT1198" s="68">
        <v>0</v>
      </c>
      <c r="AU1198" s="60" t="s">
        <v>198</v>
      </c>
      <c r="AV1198" s="60"/>
      <c r="AW1198" s="59" t="s">
        <v>762</v>
      </c>
      <c r="AX1198" s="60" t="s">
        <v>215</v>
      </c>
      <c r="AY1198" s="64">
        <v>0</v>
      </c>
      <c r="AZ1198" s="64">
        <v>21402020</v>
      </c>
      <c r="BA1198" s="59" t="s">
        <v>2483</v>
      </c>
      <c r="BB1198" s="355" t="s">
        <v>2496</v>
      </c>
      <c r="BC1198" s="66">
        <v>0</v>
      </c>
      <c r="BD1198" s="66">
        <v>0</v>
      </c>
      <c r="BE1198" s="184" t="s">
        <v>2497</v>
      </c>
      <c r="BF1198" s="121" t="s">
        <v>2498</v>
      </c>
      <c r="BG1198" s="60">
        <v>0</v>
      </c>
      <c r="BH1198" s="60">
        <v>0</v>
      </c>
      <c r="BI1198" s="60">
        <v>0</v>
      </c>
      <c r="BJ1198" s="60">
        <v>0</v>
      </c>
      <c r="BK1198" s="60">
        <v>0</v>
      </c>
      <c r="BL1198" s="60">
        <v>0</v>
      </c>
      <c r="BM1198" s="93">
        <v>0</v>
      </c>
      <c r="BN1198" s="68">
        <v>0</v>
      </c>
      <c r="BO1198" s="68">
        <v>0</v>
      </c>
      <c r="BP1198" s="68">
        <v>0</v>
      </c>
      <c r="BQ1198" s="68">
        <v>0</v>
      </c>
      <c r="BR1198" s="68">
        <v>0</v>
      </c>
      <c r="BS1198" s="68">
        <v>0</v>
      </c>
      <c r="BT1198" s="68">
        <v>0</v>
      </c>
      <c r="BU1198" s="68">
        <v>0</v>
      </c>
      <c r="BV1198" s="47"/>
      <c r="BW1198" s="47"/>
    </row>
    <row r="1199" spans="1:75" s="2" customFormat="1" ht="20.100000000000001" customHeight="1">
      <c r="A1199" s="216"/>
      <c r="B1199" s="216"/>
      <c r="C1199" s="172">
        <v>65022301</v>
      </c>
      <c r="D1199" s="19" t="s">
        <v>2499</v>
      </c>
      <c r="E1199" s="99" t="s">
        <v>2500</v>
      </c>
      <c r="F1199" s="172">
        <v>0</v>
      </c>
      <c r="G1199" s="12">
        <v>65022301</v>
      </c>
      <c r="H1199" s="172">
        <v>65022302</v>
      </c>
      <c r="I1199" s="105">
        <v>0</v>
      </c>
      <c r="J1199" s="16">
        <v>30</v>
      </c>
      <c r="K1199" s="18">
        <v>5</v>
      </c>
      <c r="L1199" s="100">
        <v>0</v>
      </c>
      <c r="M1199" s="101">
        <v>0</v>
      </c>
      <c r="N1199" s="101">
        <v>0</v>
      </c>
      <c r="O1199" s="101">
        <v>1</v>
      </c>
      <c r="P1199" s="101">
        <v>0</v>
      </c>
      <c r="Q1199" s="101">
        <v>0</v>
      </c>
      <c r="R1199" s="101">
        <v>0</v>
      </c>
      <c r="S1199" s="106">
        <v>0</v>
      </c>
      <c r="T1199" s="101">
        <v>0</v>
      </c>
      <c r="U1199" s="101">
        <v>1</v>
      </c>
      <c r="V1199" s="101">
        <v>1</v>
      </c>
      <c r="W1199" s="101">
        <v>0</v>
      </c>
      <c r="X1199" s="101">
        <v>2.4</v>
      </c>
      <c r="Y1199" s="12">
        <v>0</v>
      </c>
      <c r="Z1199" s="101">
        <v>900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5" t="s">
        <v>2501</v>
      </c>
      <c r="AU1199" s="101" t="s">
        <v>198</v>
      </c>
      <c r="AV1199" s="60"/>
      <c r="AW1199" s="60" t="s">
        <v>198</v>
      </c>
      <c r="AX1199" s="60" t="s">
        <v>545</v>
      </c>
      <c r="AY1199" s="60">
        <v>0</v>
      </c>
      <c r="AZ1199" s="60">
        <v>21402030</v>
      </c>
      <c r="BA1199" s="60" t="s">
        <v>1165</v>
      </c>
      <c r="BB1199" s="101">
        <v>0</v>
      </c>
      <c r="BC1199" s="105">
        <v>0</v>
      </c>
      <c r="BD1199" s="105">
        <v>0</v>
      </c>
      <c r="BE1199" s="183" t="str">
        <f>"自身变成一个风暴进行快速移动且自身为无敌状态，对途径的敌方单位造成"&amp;X1199*100&amp;"%攻击伤害+"&amp;Z1199&amp;"点固定伤害"</f>
        <v>自身变成一个风暴进行快速移动且自身为无敌状态，对途径的敌方单位造成240%攻击伤害+900点固定伤害</v>
      </c>
      <c r="BF1199" s="183" t="s">
        <v>2502</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6"/>
      <c r="B1200" s="216"/>
      <c r="C1200" s="172">
        <v>65022302</v>
      </c>
      <c r="D1200" s="19" t="s">
        <v>2499</v>
      </c>
      <c r="E1200" s="99" t="s">
        <v>2500</v>
      </c>
      <c r="F1200" s="172">
        <v>1</v>
      </c>
      <c r="G1200" s="12">
        <v>65022301</v>
      </c>
      <c r="H1200" s="172">
        <v>65022303</v>
      </c>
      <c r="I1200" s="105">
        <v>0</v>
      </c>
      <c r="J1200" s="16">
        <v>37</v>
      </c>
      <c r="K1200" s="18">
        <v>2</v>
      </c>
      <c r="L1200" s="100">
        <v>0</v>
      </c>
      <c r="M1200" s="101">
        <v>0</v>
      </c>
      <c r="N1200" s="101">
        <v>0</v>
      </c>
      <c r="O1200" s="101">
        <v>1</v>
      </c>
      <c r="P1200" s="101">
        <v>0</v>
      </c>
      <c r="Q1200" s="101">
        <v>0</v>
      </c>
      <c r="R1200" s="101">
        <v>0</v>
      </c>
      <c r="S1200" s="106">
        <v>0</v>
      </c>
      <c r="T1200" s="101">
        <v>0</v>
      </c>
      <c r="U1200" s="101">
        <v>1</v>
      </c>
      <c r="V1200" s="101">
        <v>1</v>
      </c>
      <c r="W1200" s="101">
        <v>0</v>
      </c>
      <c r="X1200" s="101">
        <v>2.4</v>
      </c>
      <c r="Y1200" s="12">
        <v>0</v>
      </c>
      <c r="Z1200" s="101">
        <v>900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5" t="s">
        <v>2501</v>
      </c>
      <c r="AU1200" s="101" t="s">
        <v>198</v>
      </c>
      <c r="AV1200" s="60"/>
      <c r="AW1200" s="60" t="s">
        <v>198</v>
      </c>
      <c r="AX1200" s="60" t="s">
        <v>545</v>
      </c>
      <c r="AY1200" s="60">
        <v>0</v>
      </c>
      <c r="AZ1200" s="60">
        <v>21402030</v>
      </c>
      <c r="BA1200" s="60" t="s">
        <v>1165</v>
      </c>
      <c r="BB1200" s="101">
        <v>0</v>
      </c>
      <c r="BC1200" s="105">
        <v>0</v>
      </c>
      <c r="BD1200" s="105">
        <v>0</v>
      </c>
      <c r="BE1200" s="183" t="str">
        <f t="shared" ref="BE1200:BE1204" si="137">"自身变成一个风暴进行快速移动且自身为无敌状态，对途径的敌方单位造成"&amp;X1200*100&amp;"%攻击伤害+"&amp;Z1200&amp;"点固定伤害"</f>
        <v>自身变成一个风暴进行快速移动且自身为无敌状态，对途径的敌方单位造成240%攻击伤害+900点固定伤害</v>
      </c>
      <c r="BF1200" s="183" t="s">
        <v>2502</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1:75" s="2" customFormat="1" ht="20.100000000000001" customHeight="1">
      <c r="A1201" s="216"/>
      <c r="B1201" s="216"/>
      <c r="C1201" s="172">
        <v>65022303</v>
      </c>
      <c r="D1201" s="19" t="s">
        <v>2499</v>
      </c>
      <c r="E1201" s="99" t="s">
        <v>2500</v>
      </c>
      <c r="F1201" s="172">
        <v>2</v>
      </c>
      <c r="G1201" s="12">
        <v>65022301</v>
      </c>
      <c r="H1201" s="172">
        <v>65022304</v>
      </c>
      <c r="I1201" s="105">
        <v>0</v>
      </c>
      <c r="J1201" s="16">
        <v>42</v>
      </c>
      <c r="K1201" s="18">
        <v>2</v>
      </c>
      <c r="L1201" s="100">
        <v>0</v>
      </c>
      <c r="M1201" s="101">
        <v>0</v>
      </c>
      <c r="N1201" s="101">
        <v>0</v>
      </c>
      <c r="O1201" s="101">
        <v>1</v>
      </c>
      <c r="P1201" s="101">
        <v>0</v>
      </c>
      <c r="Q1201" s="101">
        <v>0</v>
      </c>
      <c r="R1201" s="101">
        <v>0</v>
      </c>
      <c r="S1201" s="106">
        <v>0</v>
      </c>
      <c r="T1201" s="101">
        <v>0</v>
      </c>
      <c r="U1201" s="101">
        <v>1</v>
      </c>
      <c r="V1201" s="101">
        <v>1</v>
      </c>
      <c r="W1201" s="101">
        <v>0</v>
      </c>
      <c r="X1201" s="101">
        <v>2.7</v>
      </c>
      <c r="Y1201" s="12">
        <v>0</v>
      </c>
      <c r="Z1201" s="101">
        <v>1800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5" t="s">
        <v>2501</v>
      </c>
      <c r="AU1201" s="101" t="s">
        <v>198</v>
      </c>
      <c r="AV1201" s="60"/>
      <c r="AW1201" s="60" t="s">
        <v>198</v>
      </c>
      <c r="AX1201" s="60" t="s">
        <v>545</v>
      </c>
      <c r="AY1201" s="60">
        <v>0</v>
      </c>
      <c r="AZ1201" s="60">
        <v>21402030</v>
      </c>
      <c r="BA1201" s="60" t="s">
        <v>1165</v>
      </c>
      <c r="BB1201" s="101">
        <v>0</v>
      </c>
      <c r="BC1201" s="105">
        <v>0</v>
      </c>
      <c r="BD1201" s="105">
        <v>0</v>
      </c>
      <c r="BE1201" s="183" t="str">
        <f t="shared" si="137"/>
        <v>自身变成一个风暴进行快速移动且自身为无敌状态，对途径的敌方单位造成270%攻击伤害+1800点固定伤害</v>
      </c>
      <c r="BF1201" s="183" t="s">
        <v>2503</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row>
    <row r="1202" spans="1:75" s="2" customFormat="1" ht="20.100000000000001" customHeight="1">
      <c r="A1202" s="216"/>
      <c r="B1202" s="216"/>
      <c r="C1202" s="172">
        <v>65022304</v>
      </c>
      <c r="D1202" s="19" t="s">
        <v>2499</v>
      </c>
      <c r="E1202" s="99" t="s">
        <v>2500</v>
      </c>
      <c r="F1202" s="172">
        <v>3</v>
      </c>
      <c r="G1202" s="12">
        <v>65022301</v>
      </c>
      <c r="H1202" s="60">
        <v>0</v>
      </c>
      <c r="I1202" s="105">
        <v>0</v>
      </c>
      <c r="J1202" s="18">
        <v>0</v>
      </c>
      <c r="K1202" s="18">
        <v>0</v>
      </c>
      <c r="L1202" s="100">
        <v>0</v>
      </c>
      <c r="M1202" s="101">
        <v>0</v>
      </c>
      <c r="N1202" s="101">
        <v>0</v>
      </c>
      <c r="O1202" s="101">
        <v>1</v>
      </c>
      <c r="P1202" s="101">
        <v>0</v>
      </c>
      <c r="Q1202" s="101">
        <v>0</v>
      </c>
      <c r="R1202" s="101">
        <v>0</v>
      </c>
      <c r="S1202" s="106">
        <v>0</v>
      </c>
      <c r="T1202" s="101">
        <v>0</v>
      </c>
      <c r="U1202" s="101">
        <v>1</v>
      </c>
      <c r="V1202" s="101">
        <v>1</v>
      </c>
      <c r="W1202" s="101">
        <v>0</v>
      </c>
      <c r="X1202" s="101">
        <v>3</v>
      </c>
      <c r="Y1202" s="12">
        <v>0</v>
      </c>
      <c r="Z1202" s="101">
        <v>2800</v>
      </c>
      <c r="AA1202" s="101">
        <v>0</v>
      </c>
      <c r="AB1202" s="18">
        <v>25</v>
      </c>
      <c r="AC1202" s="101">
        <v>0</v>
      </c>
      <c r="AD1202" s="101">
        <v>0</v>
      </c>
      <c r="AE1202" s="101">
        <v>0</v>
      </c>
      <c r="AF1202" s="12">
        <v>18</v>
      </c>
      <c r="AG1202" s="101">
        <v>1</v>
      </c>
      <c r="AH1202" s="101">
        <v>2</v>
      </c>
      <c r="AI1202" s="106">
        <v>2</v>
      </c>
      <c r="AJ1202" s="106">
        <v>0</v>
      </c>
      <c r="AK1202" s="106">
        <v>0</v>
      </c>
      <c r="AL1202" s="106">
        <v>0</v>
      </c>
      <c r="AM1202" s="101">
        <v>0</v>
      </c>
      <c r="AN1202" s="101">
        <v>0</v>
      </c>
      <c r="AO1202" s="101">
        <v>0</v>
      </c>
      <c r="AP1202" s="100">
        <v>0</v>
      </c>
      <c r="AQ1202" s="101">
        <v>4000</v>
      </c>
      <c r="AR1202" s="101">
        <v>0</v>
      </c>
      <c r="AS1202" s="101">
        <v>0</v>
      </c>
      <c r="AT1202" s="335" t="s">
        <v>2501</v>
      </c>
      <c r="AU1202" s="101" t="s">
        <v>198</v>
      </c>
      <c r="AV1202" s="60"/>
      <c r="AW1202" s="60" t="s">
        <v>198</v>
      </c>
      <c r="AX1202" s="60" t="s">
        <v>545</v>
      </c>
      <c r="AY1202" s="60">
        <v>0</v>
      </c>
      <c r="AZ1202" s="60">
        <v>21402030</v>
      </c>
      <c r="BA1202" s="60" t="s">
        <v>1165</v>
      </c>
      <c r="BB1202" s="101">
        <v>0</v>
      </c>
      <c r="BC1202" s="105">
        <v>0</v>
      </c>
      <c r="BD1202" s="105">
        <v>0</v>
      </c>
      <c r="BE1202" s="183" t="str">
        <f t="shared" si="137"/>
        <v>自身变成一个风暴进行快速移动且自身为无敌状态，对途径的敌方单位造成300%攻击伤害+2800点固定伤害</v>
      </c>
      <c r="BF1202" s="183" t="s">
        <v>2504</v>
      </c>
      <c r="BG1202" s="101">
        <v>0</v>
      </c>
      <c r="BH1202" s="101">
        <v>0</v>
      </c>
      <c r="BI1202" s="101">
        <v>0</v>
      </c>
      <c r="BJ1202" s="101">
        <v>0</v>
      </c>
      <c r="BK1202" s="101">
        <v>0</v>
      </c>
      <c r="BL1202" s="101">
        <v>0</v>
      </c>
      <c r="BM1202" s="97">
        <v>0</v>
      </c>
      <c r="BN1202" s="106">
        <v>0</v>
      </c>
      <c r="BO1202" s="106">
        <v>0</v>
      </c>
      <c r="BP1202" s="106">
        <v>0</v>
      </c>
      <c r="BQ1202" s="106">
        <v>0</v>
      </c>
      <c r="BR1202" s="106">
        <v>0</v>
      </c>
      <c r="BS1202" s="106">
        <v>0</v>
      </c>
      <c r="BT1202" s="106">
        <v>0</v>
      </c>
      <c r="BU1202" s="106">
        <v>0</v>
      </c>
      <c r="BV1202" s="47"/>
      <c r="BW1202" s="47"/>
    </row>
    <row r="1203" spans="1:75" s="2" customFormat="1" ht="20.100000000000001" customHeight="1">
      <c r="A1203" s="216"/>
      <c r="B1203" s="216"/>
      <c r="C1203" s="172">
        <v>65022305</v>
      </c>
      <c r="D1203" s="19" t="s">
        <v>2499</v>
      </c>
      <c r="E1203" s="99" t="s">
        <v>2500</v>
      </c>
      <c r="F1203" s="172">
        <v>4</v>
      </c>
      <c r="G1203" s="12">
        <v>65022301</v>
      </c>
      <c r="H1203" s="60">
        <v>0</v>
      </c>
      <c r="I1203" s="105">
        <v>0</v>
      </c>
      <c r="J1203" s="18">
        <v>0</v>
      </c>
      <c r="K1203" s="18">
        <v>0</v>
      </c>
      <c r="L1203" s="100">
        <v>0</v>
      </c>
      <c r="M1203" s="101">
        <v>0</v>
      </c>
      <c r="N1203" s="101">
        <v>0</v>
      </c>
      <c r="O1203" s="101">
        <v>1</v>
      </c>
      <c r="P1203" s="101">
        <v>0</v>
      </c>
      <c r="Q1203" s="101">
        <v>0</v>
      </c>
      <c r="R1203" s="101">
        <v>0</v>
      </c>
      <c r="S1203" s="106">
        <v>0</v>
      </c>
      <c r="T1203" s="101">
        <v>0</v>
      </c>
      <c r="U1203" s="101">
        <v>1</v>
      </c>
      <c r="V1203" s="101">
        <v>1</v>
      </c>
      <c r="W1203" s="101">
        <v>0</v>
      </c>
      <c r="X1203" s="101">
        <v>3.3</v>
      </c>
      <c r="Y1203" s="12">
        <v>0</v>
      </c>
      <c r="Z1203" s="101">
        <v>4000</v>
      </c>
      <c r="AA1203" s="101">
        <v>0</v>
      </c>
      <c r="AB1203" s="18">
        <v>25</v>
      </c>
      <c r="AC1203" s="101">
        <v>0</v>
      </c>
      <c r="AD1203" s="101">
        <v>0</v>
      </c>
      <c r="AE1203" s="101">
        <v>0</v>
      </c>
      <c r="AF1203" s="12">
        <v>18</v>
      </c>
      <c r="AG1203" s="101">
        <v>1</v>
      </c>
      <c r="AH1203" s="101">
        <v>2</v>
      </c>
      <c r="AI1203" s="106">
        <v>2</v>
      </c>
      <c r="AJ1203" s="106">
        <v>0</v>
      </c>
      <c r="AK1203" s="106">
        <v>0</v>
      </c>
      <c r="AL1203" s="106">
        <v>0</v>
      </c>
      <c r="AM1203" s="101">
        <v>0</v>
      </c>
      <c r="AN1203" s="101">
        <v>0</v>
      </c>
      <c r="AO1203" s="101">
        <v>0</v>
      </c>
      <c r="AP1203" s="100">
        <v>0</v>
      </c>
      <c r="AQ1203" s="101">
        <v>4000</v>
      </c>
      <c r="AR1203" s="101">
        <v>0</v>
      </c>
      <c r="AS1203" s="101">
        <v>0</v>
      </c>
      <c r="AT1203" s="335" t="s">
        <v>2501</v>
      </c>
      <c r="AU1203" s="101" t="s">
        <v>198</v>
      </c>
      <c r="AV1203" s="60"/>
      <c r="AW1203" s="60" t="s">
        <v>198</v>
      </c>
      <c r="AX1203" s="60" t="s">
        <v>545</v>
      </c>
      <c r="AY1203" s="60">
        <v>0</v>
      </c>
      <c r="AZ1203" s="60">
        <v>21402030</v>
      </c>
      <c r="BA1203" s="60" t="s">
        <v>1165</v>
      </c>
      <c r="BB1203" s="101">
        <v>0</v>
      </c>
      <c r="BC1203" s="105">
        <v>0</v>
      </c>
      <c r="BD1203" s="105">
        <v>0</v>
      </c>
      <c r="BE1203" s="183" t="str">
        <f t="shared" si="137"/>
        <v>自身变成一个风暴进行快速移动且自身为无敌状态，对途径的敌方单位造成330%攻击伤害+4000点固定伤害</v>
      </c>
      <c r="BF1203" s="183" t="s">
        <v>2505</v>
      </c>
      <c r="BG1203" s="101">
        <v>0</v>
      </c>
      <c r="BH1203" s="101">
        <v>0</v>
      </c>
      <c r="BI1203" s="101">
        <v>0</v>
      </c>
      <c r="BJ1203" s="101">
        <v>0</v>
      </c>
      <c r="BK1203" s="101">
        <v>0</v>
      </c>
      <c r="BL1203" s="101">
        <v>0</v>
      </c>
      <c r="BM1203" s="97">
        <v>0</v>
      </c>
      <c r="BN1203" s="106">
        <v>0</v>
      </c>
      <c r="BO1203" s="106">
        <v>0</v>
      </c>
      <c r="BP1203" s="106">
        <v>0</v>
      </c>
      <c r="BQ1203" s="106">
        <v>0</v>
      </c>
      <c r="BR1203" s="106">
        <v>0</v>
      </c>
      <c r="BS1203" s="106">
        <v>0</v>
      </c>
      <c r="BT1203" s="106">
        <v>0</v>
      </c>
      <c r="BU1203" s="106">
        <v>0</v>
      </c>
      <c r="BV1203" s="47"/>
      <c r="BW1203" s="47"/>
    </row>
    <row r="1204" spans="1:75" s="2" customFormat="1" ht="20.100000000000001" customHeight="1">
      <c r="A1204" s="216"/>
      <c r="B1204" s="216"/>
      <c r="C1204" s="172">
        <v>65022306</v>
      </c>
      <c r="D1204" s="19" t="s">
        <v>2499</v>
      </c>
      <c r="E1204" s="99" t="s">
        <v>2500</v>
      </c>
      <c r="F1204" s="172">
        <v>5</v>
      </c>
      <c r="G1204" s="12">
        <v>65022301</v>
      </c>
      <c r="H1204" s="60">
        <v>0</v>
      </c>
      <c r="I1204" s="105">
        <v>0</v>
      </c>
      <c r="J1204" s="18">
        <v>0</v>
      </c>
      <c r="K1204" s="18">
        <v>0</v>
      </c>
      <c r="L1204" s="100">
        <v>0</v>
      </c>
      <c r="M1204" s="101">
        <v>0</v>
      </c>
      <c r="N1204" s="101">
        <v>0</v>
      </c>
      <c r="O1204" s="101">
        <v>1</v>
      </c>
      <c r="P1204" s="101">
        <v>0</v>
      </c>
      <c r="Q1204" s="101">
        <v>0</v>
      </c>
      <c r="R1204" s="101">
        <v>0</v>
      </c>
      <c r="S1204" s="106">
        <v>0</v>
      </c>
      <c r="T1204" s="101">
        <v>0</v>
      </c>
      <c r="U1204" s="101">
        <v>1</v>
      </c>
      <c r="V1204" s="101">
        <v>1</v>
      </c>
      <c r="W1204" s="101">
        <v>0</v>
      </c>
      <c r="X1204" s="101">
        <v>3.6</v>
      </c>
      <c r="Y1204" s="12">
        <v>0</v>
      </c>
      <c r="Z1204" s="101">
        <v>5200</v>
      </c>
      <c r="AA1204" s="101">
        <v>0</v>
      </c>
      <c r="AB1204" s="18">
        <v>25</v>
      </c>
      <c r="AC1204" s="101">
        <v>0</v>
      </c>
      <c r="AD1204" s="101">
        <v>0</v>
      </c>
      <c r="AE1204" s="101">
        <v>0</v>
      </c>
      <c r="AF1204" s="12">
        <v>18</v>
      </c>
      <c r="AG1204" s="101">
        <v>1</v>
      </c>
      <c r="AH1204" s="101">
        <v>2</v>
      </c>
      <c r="AI1204" s="106">
        <v>2</v>
      </c>
      <c r="AJ1204" s="106">
        <v>0</v>
      </c>
      <c r="AK1204" s="106">
        <v>0</v>
      </c>
      <c r="AL1204" s="106">
        <v>0</v>
      </c>
      <c r="AM1204" s="101">
        <v>0</v>
      </c>
      <c r="AN1204" s="101">
        <v>0</v>
      </c>
      <c r="AO1204" s="101">
        <v>0</v>
      </c>
      <c r="AP1204" s="100">
        <v>0</v>
      </c>
      <c r="AQ1204" s="101">
        <v>4000</v>
      </c>
      <c r="AR1204" s="101">
        <v>0</v>
      </c>
      <c r="AS1204" s="101">
        <v>0</v>
      </c>
      <c r="AT1204" s="335" t="s">
        <v>2501</v>
      </c>
      <c r="AU1204" s="101" t="s">
        <v>198</v>
      </c>
      <c r="AV1204" s="60"/>
      <c r="AW1204" s="60" t="s">
        <v>198</v>
      </c>
      <c r="AX1204" s="60" t="s">
        <v>545</v>
      </c>
      <c r="AY1204" s="60">
        <v>0</v>
      </c>
      <c r="AZ1204" s="60">
        <v>21402030</v>
      </c>
      <c r="BA1204" s="60" t="s">
        <v>1165</v>
      </c>
      <c r="BB1204" s="101">
        <v>0</v>
      </c>
      <c r="BC1204" s="105">
        <v>0</v>
      </c>
      <c r="BD1204" s="105">
        <v>0</v>
      </c>
      <c r="BE1204" s="183" t="str">
        <f t="shared" si="137"/>
        <v>自身变成一个风暴进行快速移动且自身为无敌状态，对途径的敌方单位造成360%攻击伤害+5200点固定伤害</v>
      </c>
      <c r="BF1204" s="183" t="s">
        <v>2506</v>
      </c>
      <c r="BG1204" s="101">
        <v>0</v>
      </c>
      <c r="BH1204" s="101">
        <v>0</v>
      </c>
      <c r="BI1204" s="101">
        <v>0</v>
      </c>
      <c r="BJ1204" s="101">
        <v>0</v>
      </c>
      <c r="BK1204" s="101">
        <v>0</v>
      </c>
      <c r="BL1204" s="101">
        <v>0</v>
      </c>
      <c r="BM1204" s="97">
        <v>0</v>
      </c>
      <c r="BN1204" s="106">
        <v>0</v>
      </c>
      <c r="BO1204" s="106">
        <v>0</v>
      </c>
      <c r="BP1204" s="106">
        <v>0</v>
      </c>
      <c r="BQ1204" s="106">
        <v>0</v>
      </c>
      <c r="BR1204" s="106">
        <v>0</v>
      </c>
      <c r="BS1204" s="106">
        <v>0</v>
      </c>
      <c r="BT1204" s="106">
        <v>0</v>
      </c>
      <c r="BU1204" s="106">
        <v>0</v>
      </c>
      <c r="BV1204" s="47"/>
      <c r="BW1204" s="47"/>
    </row>
    <row r="1205" spans="1:75" ht="19.5" customHeight="1">
      <c r="C1205" s="172">
        <v>65022401</v>
      </c>
      <c r="D1205" s="203" t="s">
        <v>2507</v>
      </c>
      <c r="E1205" s="203" t="s">
        <v>2508</v>
      </c>
      <c r="F1205" s="176">
        <v>0</v>
      </c>
      <c r="G1205" s="12">
        <v>65022401</v>
      </c>
      <c r="H1205" s="172">
        <v>65022402</v>
      </c>
      <c r="I1205" s="174">
        <v>0</v>
      </c>
      <c r="J1205" s="16">
        <v>35</v>
      </c>
      <c r="K1205" s="18">
        <v>5</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ref="AZ1205:AZ1210" si="138">AZ1199+10</f>
        <v>21402040</v>
      </c>
      <c r="BA1205" s="203" t="s">
        <v>2039</v>
      </c>
      <c r="BB1205" s="354" t="s">
        <v>2509</v>
      </c>
      <c r="BC1205" s="174">
        <v>0</v>
      </c>
      <c r="BD1205" s="174">
        <v>0</v>
      </c>
      <c r="BE1205" s="209" t="s">
        <v>2510</v>
      </c>
      <c r="BF1205" s="209" t="s">
        <v>2511</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1:75" ht="19.5" customHeight="1">
      <c r="C1206" s="172">
        <v>65022402</v>
      </c>
      <c r="D1206" s="203" t="s">
        <v>2507</v>
      </c>
      <c r="E1206" s="203" t="s">
        <v>2508</v>
      </c>
      <c r="F1206" s="176">
        <v>1</v>
      </c>
      <c r="G1206" s="12">
        <v>65022401</v>
      </c>
      <c r="H1206" s="172">
        <v>65022403</v>
      </c>
      <c r="I1206" s="174">
        <v>0</v>
      </c>
      <c r="J1206" s="16">
        <v>42</v>
      </c>
      <c r="K1206" s="18">
        <v>2</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3" t="s">
        <v>2039</v>
      </c>
      <c r="BB1206" s="354" t="s">
        <v>2509</v>
      </c>
      <c r="BC1206" s="174">
        <v>0</v>
      </c>
      <c r="BD1206" s="174">
        <v>0</v>
      </c>
      <c r="BE1206" s="209" t="s">
        <v>2510</v>
      </c>
      <c r="BF1206" s="209" t="s">
        <v>2511</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1:75" ht="19.5" customHeight="1">
      <c r="C1207" s="172">
        <v>65022403</v>
      </c>
      <c r="D1207" s="203" t="s">
        <v>2507</v>
      </c>
      <c r="E1207" s="203" t="s">
        <v>2508</v>
      </c>
      <c r="F1207" s="176">
        <v>2</v>
      </c>
      <c r="G1207" s="12">
        <v>65022401</v>
      </c>
      <c r="H1207" s="172">
        <v>65022404</v>
      </c>
      <c r="I1207" s="174">
        <v>0</v>
      </c>
      <c r="J1207" s="16">
        <v>47</v>
      </c>
      <c r="K1207" s="18">
        <v>2</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198</v>
      </c>
      <c r="AV1207" s="176"/>
      <c r="AW1207" s="173" t="s">
        <v>1648</v>
      </c>
      <c r="AX1207" s="176" t="s">
        <v>1041</v>
      </c>
      <c r="AY1207" s="176">
        <v>0</v>
      </c>
      <c r="AZ1207" s="64">
        <f t="shared" si="138"/>
        <v>21402040</v>
      </c>
      <c r="BA1207" s="203" t="s">
        <v>2039</v>
      </c>
      <c r="BB1207" s="354" t="s">
        <v>2512</v>
      </c>
      <c r="BC1207" s="174">
        <v>0</v>
      </c>
      <c r="BD1207" s="174">
        <v>0</v>
      </c>
      <c r="BE1207" s="209" t="s">
        <v>2513</v>
      </c>
      <c r="BF1207" s="209" t="s">
        <v>2514</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row>
    <row r="1208" spans="1:75" ht="19.5" customHeight="1">
      <c r="C1208" s="172">
        <v>65022404</v>
      </c>
      <c r="D1208" s="203" t="s">
        <v>2507</v>
      </c>
      <c r="E1208" s="203" t="s">
        <v>2508</v>
      </c>
      <c r="F1208" s="176">
        <v>3</v>
      </c>
      <c r="G1208" s="12">
        <v>65022401</v>
      </c>
      <c r="H1208" s="172">
        <v>0</v>
      </c>
      <c r="I1208" s="174">
        <v>0</v>
      </c>
      <c r="J1208" s="18">
        <v>0</v>
      </c>
      <c r="K1208" s="18">
        <v>0</v>
      </c>
      <c r="L1208" s="176">
        <v>0</v>
      </c>
      <c r="M1208" s="176">
        <v>0</v>
      </c>
      <c r="N1208" s="176">
        <v>0</v>
      </c>
      <c r="O1208" s="172">
        <v>1</v>
      </c>
      <c r="P1208" s="176">
        <v>0</v>
      </c>
      <c r="Q1208" s="176">
        <v>0</v>
      </c>
      <c r="R1208" s="176">
        <v>0</v>
      </c>
      <c r="S1208" s="175">
        <v>0</v>
      </c>
      <c r="T1208" s="174">
        <v>0</v>
      </c>
      <c r="U1208" s="172">
        <v>1</v>
      </c>
      <c r="V1208" s="176">
        <v>2</v>
      </c>
      <c r="W1208" s="176">
        <v>0</v>
      </c>
      <c r="X1208" s="176">
        <v>0</v>
      </c>
      <c r="Y1208" s="12">
        <v>0</v>
      </c>
      <c r="Z1208" s="176">
        <v>0</v>
      </c>
      <c r="AA1208" s="176">
        <v>0</v>
      </c>
      <c r="AB1208" s="18">
        <v>30</v>
      </c>
      <c r="AC1208" s="176">
        <v>0</v>
      </c>
      <c r="AD1208" s="176">
        <v>0</v>
      </c>
      <c r="AE1208" s="176">
        <v>0</v>
      </c>
      <c r="AF1208" s="176">
        <v>24</v>
      </c>
      <c r="AG1208" s="176">
        <v>1</v>
      </c>
      <c r="AH1208" s="176">
        <v>2</v>
      </c>
      <c r="AI1208" s="175">
        <v>2</v>
      </c>
      <c r="AJ1208" s="175">
        <v>1</v>
      </c>
      <c r="AK1208" s="175">
        <v>0</v>
      </c>
      <c r="AL1208" s="175">
        <v>5</v>
      </c>
      <c r="AM1208" s="176">
        <v>0</v>
      </c>
      <c r="AN1208" s="176">
        <v>0</v>
      </c>
      <c r="AO1208" s="176">
        <v>0</v>
      </c>
      <c r="AP1208" s="176">
        <v>0.5</v>
      </c>
      <c r="AQ1208" s="176">
        <v>2000</v>
      </c>
      <c r="AR1208" s="176">
        <v>0</v>
      </c>
      <c r="AS1208" s="176">
        <v>0</v>
      </c>
      <c r="AT1208" s="175">
        <v>0</v>
      </c>
      <c r="AU1208" s="176" t="s">
        <v>198</v>
      </c>
      <c r="AV1208" s="176"/>
      <c r="AW1208" s="173" t="s">
        <v>1648</v>
      </c>
      <c r="AX1208" s="176" t="s">
        <v>1041</v>
      </c>
      <c r="AY1208" s="176">
        <v>0</v>
      </c>
      <c r="AZ1208" s="64">
        <f t="shared" si="138"/>
        <v>21402040</v>
      </c>
      <c r="BA1208" s="203" t="s">
        <v>2039</v>
      </c>
      <c r="BB1208" s="354" t="s">
        <v>2515</v>
      </c>
      <c r="BC1208" s="174">
        <v>0</v>
      </c>
      <c r="BD1208" s="174">
        <v>0</v>
      </c>
      <c r="BE1208" s="209" t="s">
        <v>2516</v>
      </c>
      <c r="BF1208" s="209" t="s">
        <v>2517</v>
      </c>
      <c r="BG1208" s="176">
        <v>0</v>
      </c>
      <c r="BH1208" s="172">
        <v>0</v>
      </c>
      <c r="BI1208" s="176">
        <v>0</v>
      </c>
      <c r="BJ1208" s="176">
        <v>0</v>
      </c>
      <c r="BK1208" s="176">
        <v>0</v>
      </c>
      <c r="BL1208" s="176">
        <v>0</v>
      </c>
      <c r="BM1208" s="178">
        <v>0</v>
      </c>
      <c r="BN1208" s="175">
        <v>0</v>
      </c>
      <c r="BO1208" s="175">
        <v>0</v>
      </c>
      <c r="BP1208" s="175">
        <v>0</v>
      </c>
      <c r="BQ1208" s="175">
        <v>0</v>
      </c>
      <c r="BR1208" s="175">
        <v>0</v>
      </c>
      <c r="BS1208" s="175">
        <v>0</v>
      </c>
      <c r="BT1208" s="12">
        <v>0</v>
      </c>
      <c r="BU1208" s="47">
        <v>0</v>
      </c>
      <c r="BV1208" s="47"/>
      <c r="BW1208" s="47"/>
    </row>
    <row r="1209" spans="1:75" ht="19.5" customHeight="1">
      <c r="C1209" s="172">
        <v>65022405</v>
      </c>
      <c r="D1209" s="203" t="s">
        <v>2507</v>
      </c>
      <c r="E1209" s="203" t="s">
        <v>2508</v>
      </c>
      <c r="F1209" s="176">
        <v>4</v>
      </c>
      <c r="G1209" s="12">
        <v>65022401</v>
      </c>
      <c r="H1209" s="172">
        <v>0</v>
      </c>
      <c r="I1209" s="174">
        <v>0</v>
      </c>
      <c r="J1209" s="18">
        <v>0</v>
      </c>
      <c r="K1209" s="18">
        <v>0</v>
      </c>
      <c r="L1209" s="176">
        <v>0</v>
      </c>
      <c r="M1209" s="176">
        <v>0</v>
      </c>
      <c r="N1209" s="176">
        <v>0</v>
      </c>
      <c r="O1209" s="172">
        <v>1</v>
      </c>
      <c r="P1209" s="176">
        <v>0</v>
      </c>
      <c r="Q1209" s="176">
        <v>0</v>
      </c>
      <c r="R1209" s="176">
        <v>0</v>
      </c>
      <c r="S1209" s="175">
        <v>0</v>
      </c>
      <c r="T1209" s="174">
        <v>0</v>
      </c>
      <c r="U1209" s="172">
        <v>1</v>
      </c>
      <c r="V1209" s="176">
        <v>2</v>
      </c>
      <c r="W1209" s="176">
        <v>0</v>
      </c>
      <c r="X1209" s="176">
        <v>0</v>
      </c>
      <c r="Y1209" s="12">
        <v>0</v>
      </c>
      <c r="Z1209" s="176">
        <v>0</v>
      </c>
      <c r="AA1209" s="176">
        <v>0</v>
      </c>
      <c r="AB1209" s="18">
        <v>30</v>
      </c>
      <c r="AC1209" s="176">
        <v>0</v>
      </c>
      <c r="AD1209" s="176">
        <v>0</v>
      </c>
      <c r="AE1209" s="176">
        <v>0</v>
      </c>
      <c r="AF1209" s="176">
        <v>24</v>
      </c>
      <c r="AG1209" s="176">
        <v>1</v>
      </c>
      <c r="AH1209" s="176">
        <v>2</v>
      </c>
      <c r="AI1209" s="175">
        <v>2</v>
      </c>
      <c r="AJ1209" s="175">
        <v>1</v>
      </c>
      <c r="AK1209" s="175">
        <v>0</v>
      </c>
      <c r="AL1209" s="175">
        <v>5</v>
      </c>
      <c r="AM1209" s="176">
        <v>0</v>
      </c>
      <c r="AN1209" s="176">
        <v>0</v>
      </c>
      <c r="AO1209" s="176">
        <v>0</v>
      </c>
      <c r="AP1209" s="176">
        <v>0.5</v>
      </c>
      <c r="AQ1209" s="176">
        <v>2000</v>
      </c>
      <c r="AR1209" s="176">
        <v>0</v>
      </c>
      <c r="AS1209" s="176">
        <v>0</v>
      </c>
      <c r="AT1209" s="175">
        <v>0</v>
      </c>
      <c r="AU1209" s="176" t="s">
        <v>198</v>
      </c>
      <c r="AV1209" s="176"/>
      <c r="AW1209" s="173" t="s">
        <v>1648</v>
      </c>
      <c r="AX1209" s="176" t="s">
        <v>1041</v>
      </c>
      <c r="AY1209" s="176">
        <v>0</v>
      </c>
      <c r="AZ1209" s="64">
        <f t="shared" si="138"/>
        <v>21402040</v>
      </c>
      <c r="BA1209" s="203" t="s">
        <v>2039</v>
      </c>
      <c r="BB1209" s="354" t="s">
        <v>2518</v>
      </c>
      <c r="BC1209" s="174">
        <v>0</v>
      </c>
      <c r="BD1209" s="174">
        <v>0</v>
      </c>
      <c r="BE1209" s="209" t="s">
        <v>2519</v>
      </c>
      <c r="BF1209" s="209" t="s">
        <v>2520</v>
      </c>
      <c r="BG1209" s="176">
        <v>0</v>
      </c>
      <c r="BH1209" s="172">
        <v>0</v>
      </c>
      <c r="BI1209" s="176">
        <v>0</v>
      </c>
      <c r="BJ1209" s="176">
        <v>0</v>
      </c>
      <c r="BK1209" s="176">
        <v>0</v>
      </c>
      <c r="BL1209" s="176">
        <v>0</v>
      </c>
      <c r="BM1209" s="178">
        <v>0</v>
      </c>
      <c r="BN1209" s="175">
        <v>0</v>
      </c>
      <c r="BO1209" s="175">
        <v>0</v>
      </c>
      <c r="BP1209" s="175">
        <v>0</v>
      </c>
      <c r="BQ1209" s="175">
        <v>0</v>
      </c>
      <c r="BR1209" s="175">
        <v>0</v>
      </c>
      <c r="BS1209" s="175">
        <v>0</v>
      </c>
      <c r="BT1209" s="12">
        <v>0</v>
      </c>
      <c r="BU1209" s="47">
        <v>0</v>
      </c>
      <c r="BV1209" s="47"/>
      <c r="BW1209" s="47"/>
    </row>
    <row r="1210" spans="1:75" ht="19.5" customHeight="1">
      <c r="C1210" s="172">
        <v>65022406</v>
      </c>
      <c r="D1210" s="203" t="s">
        <v>2507</v>
      </c>
      <c r="E1210" s="203" t="s">
        <v>2508</v>
      </c>
      <c r="F1210" s="176">
        <v>5</v>
      </c>
      <c r="G1210" s="12">
        <v>65022401</v>
      </c>
      <c r="H1210" s="176">
        <v>0</v>
      </c>
      <c r="I1210" s="174">
        <v>0</v>
      </c>
      <c r="J1210" s="18">
        <v>0</v>
      </c>
      <c r="K1210" s="18">
        <v>0</v>
      </c>
      <c r="L1210" s="176">
        <v>0</v>
      </c>
      <c r="M1210" s="176">
        <v>0</v>
      </c>
      <c r="N1210" s="176">
        <v>0</v>
      </c>
      <c r="O1210" s="172">
        <v>1</v>
      </c>
      <c r="P1210" s="176">
        <v>0</v>
      </c>
      <c r="Q1210" s="176">
        <v>0</v>
      </c>
      <c r="R1210" s="176">
        <v>0</v>
      </c>
      <c r="S1210" s="175">
        <v>0</v>
      </c>
      <c r="T1210" s="174">
        <v>0</v>
      </c>
      <c r="U1210" s="172">
        <v>1</v>
      </c>
      <c r="V1210" s="176">
        <v>2</v>
      </c>
      <c r="W1210" s="176">
        <v>0</v>
      </c>
      <c r="X1210" s="176">
        <v>0</v>
      </c>
      <c r="Y1210" s="12">
        <v>0</v>
      </c>
      <c r="Z1210" s="176">
        <v>0</v>
      </c>
      <c r="AA1210" s="176">
        <v>0</v>
      </c>
      <c r="AB1210" s="18">
        <v>30</v>
      </c>
      <c r="AC1210" s="176">
        <v>0</v>
      </c>
      <c r="AD1210" s="176">
        <v>0</v>
      </c>
      <c r="AE1210" s="176">
        <v>0</v>
      </c>
      <c r="AF1210" s="176">
        <v>24</v>
      </c>
      <c r="AG1210" s="176">
        <v>1</v>
      </c>
      <c r="AH1210" s="176">
        <v>2</v>
      </c>
      <c r="AI1210" s="175">
        <v>2</v>
      </c>
      <c r="AJ1210" s="175">
        <v>1</v>
      </c>
      <c r="AK1210" s="175">
        <v>0</v>
      </c>
      <c r="AL1210" s="175">
        <v>5</v>
      </c>
      <c r="AM1210" s="176">
        <v>0</v>
      </c>
      <c r="AN1210" s="176">
        <v>0</v>
      </c>
      <c r="AO1210" s="176">
        <v>0</v>
      </c>
      <c r="AP1210" s="176">
        <v>0.5</v>
      </c>
      <c r="AQ1210" s="176">
        <v>2000</v>
      </c>
      <c r="AR1210" s="176">
        <v>0</v>
      </c>
      <c r="AS1210" s="176">
        <v>0</v>
      </c>
      <c r="AT1210" s="175">
        <v>0</v>
      </c>
      <c r="AU1210" s="176" t="s">
        <v>198</v>
      </c>
      <c r="AV1210" s="176"/>
      <c r="AW1210" s="173" t="s">
        <v>1648</v>
      </c>
      <c r="AX1210" s="176" t="s">
        <v>1041</v>
      </c>
      <c r="AY1210" s="176">
        <v>0</v>
      </c>
      <c r="AZ1210" s="64">
        <f t="shared" si="138"/>
        <v>21402040</v>
      </c>
      <c r="BA1210" s="203" t="s">
        <v>2039</v>
      </c>
      <c r="BB1210" s="354" t="s">
        <v>2521</v>
      </c>
      <c r="BC1210" s="174">
        <v>0</v>
      </c>
      <c r="BD1210" s="174">
        <v>0</v>
      </c>
      <c r="BE1210" s="209" t="s">
        <v>2522</v>
      </c>
      <c r="BF1210" s="209" t="s">
        <v>2523</v>
      </c>
      <c r="BG1210" s="176">
        <v>0</v>
      </c>
      <c r="BH1210" s="172">
        <v>0</v>
      </c>
      <c r="BI1210" s="176">
        <v>0</v>
      </c>
      <c r="BJ1210" s="176">
        <v>0</v>
      </c>
      <c r="BK1210" s="176">
        <v>0</v>
      </c>
      <c r="BL1210" s="176">
        <v>0</v>
      </c>
      <c r="BM1210" s="178">
        <v>0</v>
      </c>
      <c r="BN1210" s="175">
        <v>0</v>
      </c>
      <c r="BO1210" s="175">
        <v>0</v>
      </c>
      <c r="BP1210" s="175">
        <v>0</v>
      </c>
      <c r="BQ1210" s="175">
        <v>0</v>
      </c>
      <c r="BR1210" s="175">
        <v>0</v>
      </c>
      <c r="BS1210" s="175">
        <v>0</v>
      </c>
      <c r="BT1210" s="12">
        <v>0</v>
      </c>
      <c r="BU1210" s="47">
        <v>0</v>
      </c>
      <c r="BV1210" s="47"/>
      <c r="BW1210" s="47"/>
    </row>
    <row r="1211" spans="1:75" ht="20.100000000000001" customHeight="1">
      <c r="C1211" s="16">
        <v>65023101</v>
      </c>
      <c r="D1211" s="17" t="s">
        <v>2524</v>
      </c>
      <c r="E1211" s="17" t="s">
        <v>2525</v>
      </c>
      <c r="F1211" s="18">
        <v>0</v>
      </c>
      <c r="G1211" s="12">
        <v>65023101</v>
      </c>
      <c r="H1211" s="16">
        <v>65023102</v>
      </c>
      <c r="I1211" s="27">
        <v>0</v>
      </c>
      <c r="J1211" s="16">
        <v>18</v>
      </c>
      <c r="K1211" s="16">
        <v>5</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0" t="s">
        <v>2526</v>
      </c>
      <c r="BC1211" s="27">
        <v>0</v>
      </c>
      <c r="BD1211" s="27">
        <v>0</v>
      </c>
      <c r="BE1211" s="44" t="s">
        <v>2527</v>
      </c>
      <c r="BF1211" s="44" t="s">
        <v>2528</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1:75" ht="20.100000000000001" customHeight="1">
      <c r="C1212" s="16">
        <v>65023102</v>
      </c>
      <c r="D1212" s="17" t="s">
        <v>2524</v>
      </c>
      <c r="E1212" s="17" t="s">
        <v>2525</v>
      </c>
      <c r="F1212" s="18">
        <v>1</v>
      </c>
      <c r="G1212" s="12">
        <v>65023101</v>
      </c>
      <c r="H1212" s="16">
        <v>65023103</v>
      </c>
      <c r="I1212" s="27">
        <v>0</v>
      </c>
      <c r="J1212" s="16">
        <v>27</v>
      </c>
      <c r="K1212" s="16">
        <v>2</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0" t="s">
        <v>2526</v>
      </c>
      <c r="BC1212" s="27">
        <v>0</v>
      </c>
      <c r="BD1212" s="27">
        <v>0</v>
      </c>
      <c r="BE1212" s="44" t="s">
        <v>2527</v>
      </c>
      <c r="BF1212" s="44" t="s">
        <v>2528</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1:75" ht="20.100000000000001" customHeight="1">
      <c r="C1213" s="16">
        <v>65023103</v>
      </c>
      <c r="D1213" s="17" t="s">
        <v>2524</v>
      </c>
      <c r="E1213" s="17" t="s">
        <v>2525</v>
      </c>
      <c r="F1213" s="18">
        <v>2</v>
      </c>
      <c r="G1213" s="12">
        <v>65023101</v>
      </c>
      <c r="H1213" s="16">
        <v>65023104</v>
      </c>
      <c r="I1213" s="27">
        <v>0</v>
      </c>
      <c r="J1213" s="16">
        <v>32</v>
      </c>
      <c r="K1213" s="16">
        <v>2</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198</v>
      </c>
      <c r="AV1213" s="16"/>
      <c r="AW1213" s="17" t="s">
        <v>199</v>
      </c>
      <c r="AX1213" s="16" t="s">
        <v>545</v>
      </c>
      <c r="AY1213" s="18">
        <v>0</v>
      </c>
      <c r="AZ1213" s="18">
        <v>21403010</v>
      </c>
      <c r="BA1213" s="17" t="s">
        <v>1174</v>
      </c>
      <c r="BB1213" s="350" t="s">
        <v>2529</v>
      </c>
      <c r="BC1213" s="27">
        <v>0</v>
      </c>
      <c r="BD1213" s="27">
        <v>0</v>
      </c>
      <c r="BE1213" s="44" t="s">
        <v>2530</v>
      </c>
      <c r="BF1213" s="44" t="s">
        <v>2531</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row>
    <row r="1214" spans="1:75" ht="19.5" customHeight="1">
      <c r="C1214" s="16">
        <v>65023104</v>
      </c>
      <c r="D1214" s="17" t="s">
        <v>2524</v>
      </c>
      <c r="E1214" s="17" t="s">
        <v>2525</v>
      </c>
      <c r="F1214" s="18">
        <v>3</v>
      </c>
      <c r="G1214" s="12">
        <v>65023101</v>
      </c>
      <c r="H1214" s="16">
        <v>0</v>
      </c>
      <c r="I1214" s="27">
        <v>0</v>
      </c>
      <c r="J1214" s="16">
        <v>0</v>
      </c>
      <c r="K1214" s="179">
        <v>0</v>
      </c>
      <c r="L1214" s="18">
        <v>0</v>
      </c>
      <c r="M1214" s="16">
        <v>0</v>
      </c>
      <c r="N1214" s="16">
        <v>0</v>
      </c>
      <c r="O1214" s="16">
        <v>1</v>
      </c>
      <c r="P1214" s="16">
        <v>0</v>
      </c>
      <c r="Q1214" s="16">
        <v>0</v>
      </c>
      <c r="R1214" s="16">
        <v>0</v>
      </c>
      <c r="S1214" s="12">
        <v>0</v>
      </c>
      <c r="T1214" s="16">
        <v>0</v>
      </c>
      <c r="U1214" s="16">
        <v>1</v>
      </c>
      <c r="V1214" s="16">
        <v>2</v>
      </c>
      <c r="W1214" s="16">
        <v>0</v>
      </c>
      <c r="X1214" s="16">
        <v>0</v>
      </c>
      <c r="Y1214" s="12">
        <v>0</v>
      </c>
      <c r="Z1214" s="16">
        <v>0</v>
      </c>
      <c r="AA1214" s="16">
        <v>0</v>
      </c>
      <c r="AB1214" s="16">
        <v>15</v>
      </c>
      <c r="AC1214" s="16">
        <v>0</v>
      </c>
      <c r="AD1214" s="16">
        <v>0</v>
      </c>
      <c r="AE1214" s="16">
        <v>0</v>
      </c>
      <c r="AF1214" s="16">
        <v>30</v>
      </c>
      <c r="AG1214" s="16">
        <v>0</v>
      </c>
      <c r="AH1214" s="16">
        <v>0</v>
      </c>
      <c r="AI1214" s="12">
        <v>0</v>
      </c>
      <c r="AJ1214" s="12">
        <v>0</v>
      </c>
      <c r="AK1214" s="12">
        <v>0</v>
      </c>
      <c r="AL1214" s="12">
        <v>1.5</v>
      </c>
      <c r="AM1214" s="16">
        <v>0</v>
      </c>
      <c r="AN1214" s="16">
        <v>0</v>
      </c>
      <c r="AO1214" s="16">
        <v>0</v>
      </c>
      <c r="AP1214" s="18">
        <v>0.25</v>
      </c>
      <c r="AQ1214" s="16">
        <v>3000</v>
      </c>
      <c r="AR1214" s="16">
        <v>0</v>
      </c>
      <c r="AS1214" s="16">
        <v>0</v>
      </c>
      <c r="AT1214" s="12">
        <v>0</v>
      </c>
      <c r="AU1214" s="16" t="s">
        <v>198</v>
      </c>
      <c r="AV1214" s="16"/>
      <c r="AW1214" s="17" t="s">
        <v>199</v>
      </c>
      <c r="AX1214" s="16" t="s">
        <v>545</v>
      </c>
      <c r="AY1214" s="18">
        <v>0</v>
      </c>
      <c r="AZ1214" s="18">
        <v>21403010</v>
      </c>
      <c r="BA1214" s="17" t="s">
        <v>1174</v>
      </c>
      <c r="BB1214" s="350" t="s">
        <v>2532</v>
      </c>
      <c r="BC1214" s="27">
        <v>0</v>
      </c>
      <c r="BD1214" s="27">
        <v>0</v>
      </c>
      <c r="BE1214" s="44" t="s">
        <v>2533</v>
      </c>
      <c r="BF1214" s="44" t="s">
        <v>2534</v>
      </c>
      <c r="BG1214" s="16">
        <v>0</v>
      </c>
      <c r="BH1214" s="16">
        <v>0</v>
      </c>
      <c r="BI1214" s="16">
        <v>0</v>
      </c>
      <c r="BJ1214" s="16">
        <v>0</v>
      </c>
      <c r="BK1214" s="16">
        <v>0</v>
      </c>
      <c r="BL1214" s="16">
        <v>0</v>
      </c>
      <c r="BM1214" s="15">
        <v>0</v>
      </c>
      <c r="BN1214" s="12">
        <v>0</v>
      </c>
      <c r="BO1214" s="12">
        <v>0</v>
      </c>
      <c r="BP1214" s="12">
        <v>0</v>
      </c>
      <c r="BQ1214" s="12">
        <v>0</v>
      </c>
      <c r="BR1214" s="12">
        <v>0</v>
      </c>
      <c r="BS1214" s="12">
        <v>0</v>
      </c>
      <c r="BT1214" s="12">
        <v>0</v>
      </c>
      <c r="BU1214" s="47">
        <v>0</v>
      </c>
      <c r="BV1214" s="47"/>
      <c r="BW1214" s="47"/>
    </row>
    <row r="1215" spans="1:75" ht="19.5" customHeight="1">
      <c r="C1215" s="16">
        <v>65023105</v>
      </c>
      <c r="D1215" s="17" t="s">
        <v>2524</v>
      </c>
      <c r="E1215" s="17" t="s">
        <v>2525</v>
      </c>
      <c r="F1215" s="18">
        <v>4</v>
      </c>
      <c r="G1215" s="12">
        <v>65023101</v>
      </c>
      <c r="H1215" s="16">
        <v>0</v>
      </c>
      <c r="I1215" s="27">
        <v>0</v>
      </c>
      <c r="J1215" s="16">
        <v>0</v>
      </c>
      <c r="K1215" s="16">
        <v>0</v>
      </c>
      <c r="L1215" s="18">
        <v>0</v>
      </c>
      <c r="M1215" s="16">
        <v>0</v>
      </c>
      <c r="N1215" s="16">
        <v>0</v>
      </c>
      <c r="O1215" s="16">
        <v>1</v>
      </c>
      <c r="P1215" s="16">
        <v>0</v>
      </c>
      <c r="Q1215" s="16">
        <v>0</v>
      </c>
      <c r="R1215" s="16">
        <v>0</v>
      </c>
      <c r="S1215" s="12">
        <v>0</v>
      </c>
      <c r="T1215" s="16">
        <v>0</v>
      </c>
      <c r="U1215" s="16">
        <v>1</v>
      </c>
      <c r="V1215" s="16">
        <v>2</v>
      </c>
      <c r="W1215" s="16">
        <v>0</v>
      </c>
      <c r="X1215" s="16">
        <v>0</v>
      </c>
      <c r="Y1215" s="12">
        <v>0</v>
      </c>
      <c r="Z1215" s="16">
        <v>0</v>
      </c>
      <c r="AA1215" s="16">
        <v>0</v>
      </c>
      <c r="AB1215" s="16">
        <v>15</v>
      </c>
      <c r="AC1215" s="16">
        <v>0</v>
      </c>
      <c r="AD1215" s="16">
        <v>0</v>
      </c>
      <c r="AE1215" s="16">
        <v>0</v>
      </c>
      <c r="AF1215" s="16">
        <v>30</v>
      </c>
      <c r="AG1215" s="16">
        <v>0</v>
      </c>
      <c r="AH1215" s="16">
        <v>0</v>
      </c>
      <c r="AI1215" s="12">
        <v>0</v>
      </c>
      <c r="AJ1215" s="12">
        <v>0</v>
      </c>
      <c r="AK1215" s="12">
        <v>0</v>
      </c>
      <c r="AL1215" s="12">
        <v>1.5</v>
      </c>
      <c r="AM1215" s="16">
        <v>0</v>
      </c>
      <c r="AN1215" s="16">
        <v>0</v>
      </c>
      <c r="AO1215" s="16">
        <v>0</v>
      </c>
      <c r="AP1215" s="18">
        <v>0.25</v>
      </c>
      <c r="AQ1215" s="16">
        <v>3000</v>
      </c>
      <c r="AR1215" s="16">
        <v>0</v>
      </c>
      <c r="AS1215" s="16">
        <v>0</v>
      </c>
      <c r="AT1215" s="12">
        <v>0</v>
      </c>
      <c r="AU1215" s="16" t="s">
        <v>198</v>
      </c>
      <c r="AV1215" s="16"/>
      <c r="AW1215" s="17" t="s">
        <v>199</v>
      </c>
      <c r="AX1215" s="16" t="s">
        <v>545</v>
      </c>
      <c r="AY1215" s="18">
        <v>0</v>
      </c>
      <c r="AZ1215" s="18">
        <v>21403010</v>
      </c>
      <c r="BA1215" s="17" t="s">
        <v>1174</v>
      </c>
      <c r="BB1215" s="350" t="s">
        <v>2535</v>
      </c>
      <c r="BC1215" s="27">
        <v>0</v>
      </c>
      <c r="BD1215" s="27">
        <v>0</v>
      </c>
      <c r="BE1215" s="44" t="s">
        <v>2536</v>
      </c>
      <c r="BF1215" s="44" t="s">
        <v>2537</v>
      </c>
      <c r="BG1215" s="16">
        <v>0</v>
      </c>
      <c r="BH1215" s="16">
        <v>0</v>
      </c>
      <c r="BI1215" s="16">
        <v>0</v>
      </c>
      <c r="BJ1215" s="16">
        <v>0</v>
      </c>
      <c r="BK1215" s="16">
        <v>0</v>
      </c>
      <c r="BL1215" s="16">
        <v>0</v>
      </c>
      <c r="BM1215" s="15">
        <v>0</v>
      </c>
      <c r="BN1215" s="12">
        <v>0</v>
      </c>
      <c r="BO1215" s="12">
        <v>0</v>
      </c>
      <c r="BP1215" s="12">
        <v>0</v>
      </c>
      <c r="BQ1215" s="12">
        <v>0</v>
      </c>
      <c r="BR1215" s="12">
        <v>0</v>
      </c>
      <c r="BS1215" s="12">
        <v>0</v>
      </c>
      <c r="BT1215" s="12">
        <v>0</v>
      </c>
      <c r="BU1215" s="47">
        <v>0</v>
      </c>
      <c r="BV1215" s="47"/>
      <c r="BW1215" s="47"/>
    </row>
    <row r="1216" spans="1:75" ht="19.5" customHeight="1">
      <c r="C1216" s="16">
        <v>65023106</v>
      </c>
      <c r="D1216" s="17" t="s">
        <v>2524</v>
      </c>
      <c r="E1216" s="17" t="s">
        <v>2525</v>
      </c>
      <c r="F1216" s="18">
        <v>5</v>
      </c>
      <c r="G1216" s="12">
        <v>65023101</v>
      </c>
      <c r="H1216" s="18">
        <v>0</v>
      </c>
      <c r="I1216" s="27">
        <v>0</v>
      </c>
      <c r="J1216" s="16">
        <v>0</v>
      </c>
      <c r="K1216" s="16">
        <v>0</v>
      </c>
      <c r="L1216" s="18">
        <v>0</v>
      </c>
      <c r="M1216" s="16">
        <v>0</v>
      </c>
      <c r="N1216" s="16">
        <v>0</v>
      </c>
      <c r="O1216" s="16">
        <v>1</v>
      </c>
      <c r="P1216" s="16">
        <v>0</v>
      </c>
      <c r="Q1216" s="16">
        <v>0</v>
      </c>
      <c r="R1216" s="16">
        <v>0</v>
      </c>
      <c r="S1216" s="12">
        <v>0</v>
      </c>
      <c r="T1216" s="16">
        <v>0</v>
      </c>
      <c r="U1216" s="16">
        <v>1</v>
      </c>
      <c r="V1216" s="16">
        <v>2</v>
      </c>
      <c r="W1216" s="16">
        <v>0</v>
      </c>
      <c r="X1216" s="16">
        <v>0</v>
      </c>
      <c r="Y1216" s="12">
        <v>0</v>
      </c>
      <c r="Z1216" s="16">
        <v>0</v>
      </c>
      <c r="AA1216" s="16">
        <v>0</v>
      </c>
      <c r="AB1216" s="16">
        <v>15</v>
      </c>
      <c r="AC1216" s="16">
        <v>0</v>
      </c>
      <c r="AD1216" s="16">
        <v>0</v>
      </c>
      <c r="AE1216" s="16">
        <v>0</v>
      </c>
      <c r="AF1216" s="16">
        <v>30</v>
      </c>
      <c r="AG1216" s="16">
        <v>0</v>
      </c>
      <c r="AH1216" s="16">
        <v>0</v>
      </c>
      <c r="AI1216" s="12">
        <v>0</v>
      </c>
      <c r="AJ1216" s="12">
        <v>0</v>
      </c>
      <c r="AK1216" s="12">
        <v>0</v>
      </c>
      <c r="AL1216" s="12">
        <v>1.5</v>
      </c>
      <c r="AM1216" s="16">
        <v>0</v>
      </c>
      <c r="AN1216" s="16">
        <v>0</v>
      </c>
      <c r="AO1216" s="16">
        <v>0</v>
      </c>
      <c r="AP1216" s="18">
        <v>0.25</v>
      </c>
      <c r="AQ1216" s="16">
        <v>3000</v>
      </c>
      <c r="AR1216" s="16">
        <v>0</v>
      </c>
      <c r="AS1216" s="16">
        <v>0</v>
      </c>
      <c r="AT1216" s="12">
        <v>0</v>
      </c>
      <c r="AU1216" s="16" t="s">
        <v>198</v>
      </c>
      <c r="AV1216" s="16"/>
      <c r="AW1216" s="17" t="s">
        <v>199</v>
      </c>
      <c r="AX1216" s="16" t="s">
        <v>545</v>
      </c>
      <c r="AY1216" s="18">
        <v>0</v>
      </c>
      <c r="AZ1216" s="18">
        <v>21403010</v>
      </c>
      <c r="BA1216" s="17" t="s">
        <v>1174</v>
      </c>
      <c r="BB1216" s="350" t="s">
        <v>2538</v>
      </c>
      <c r="BC1216" s="27">
        <v>0</v>
      </c>
      <c r="BD1216" s="27">
        <v>0</v>
      </c>
      <c r="BE1216" s="44" t="s">
        <v>2539</v>
      </c>
      <c r="BF1216" s="44" t="s">
        <v>2540</v>
      </c>
      <c r="BG1216" s="16">
        <v>0</v>
      </c>
      <c r="BH1216" s="16">
        <v>0</v>
      </c>
      <c r="BI1216" s="16">
        <v>0</v>
      </c>
      <c r="BJ1216" s="16">
        <v>0</v>
      </c>
      <c r="BK1216" s="16">
        <v>0</v>
      </c>
      <c r="BL1216" s="16">
        <v>0</v>
      </c>
      <c r="BM1216" s="15">
        <v>0</v>
      </c>
      <c r="BN1216" s="12">
        <v>0</v>
      </c>
      <c r="BO1216" s="12">
        <v>0</v>
      </c>
      <c r="BP1216" s="12">
        <v>0</v>
      </c>
      <c r="BQ1216" s="12">
        <v>0</v>
      </c>
      <c r="BR1216" s="12">
        <v>0</v>
      </c>
      <c r="BS1216" s="12">
        <v>0</v>
      </c>
      <c r="BT1216" s="12">
        <v>0</v>
      </c>
      <c r="BU1216" s="47">
        <v>0</v>
      </c>
      <c r="BV1216" s="47"/>
      <c r="BW1216" s="47"/>
    </row>
    <row r="1217" spans="3:75" s="1" customFormat="1" ht="20.100000000000001" customHeight="1">
      <c r="C1217" s="68">
        <v>65023111</v>
      </c>
      <c r="D1217" s="124" t="s">
        <v>1443</v>
      </c>
      <c r="E1217" s="124" t="s">
        <v>1444</v>
      </c>
      <c r="F1217" s="68">
        <v>1</v>
      </c>
      <c r="G1217" s="68">
        <v>65011101</v>
      </c>
      <c r="H1217" s="68">
        <v>0</v>
      </c>
      <c r="I1217" s="68">
        <v>0</v>
      </c>
      <c r="J1217" s="68">
        <v>1</v>
      </c>
      <c r="K1217" s="68">
        <v>0</v>
      </c>
      <c r="L1217" s="68">
        <v>0</v>
      </c>
      <c r="M1217" s="68">
        <v>0</v>
      </c>
      <c r="N1217" s="68">
        <v>0</v>
      </c>
      <c r="O1217" s="68">
        <v>2</v>
      </c>
      <c r="P1217" s="68">
        <v>1</v>
      </c>
      <c r="Q1217" s="68">
        <v>0.1</v>
      </c>
      <c r="R1217" s="68">
        <v>0</v>
      </c>
      <c r="S1217" s="68">
        <v>0</v>
      </c>
      <c r="T1217" s="68">
        <v>0</v>
      </c>
      <c r="U1217" s="68">
        <v>1</v>
      </c>
      <c r="V1217" s="68">
        <v>2</v>
      </c>
      <c r="W1217" s="68">
        <v>0</v>
      </c>
      <c r="X1217" s="68">
        <v>2.5</v>
      </c>
      <c r="Y1217" s="68">
        <v>0</v>
      </c>
      <c r="Z1217" s="68">
        <v>1000</v>
      </c>
      <c r="AA1217" s="68">
        <v>1</v>
      </c>
      <c r="AB1217" s="68">
        <v>15</v>
      </c>
      <c r="AC1217" s="68">
        <v>0</v>
      </c>
      <c r="AD1217" s="68">
        <v>0</v>
      </c>
      <c r="AE1217" s="68">
        <v>0</v>
      </c>
      <c r="AF1217" s="68">
        <v>9</v>
      </c>
      <c r="AG1217" s="68">
        <v>1</v>
      </c>
      <c r="AH1217" s="68">
        <v>4</v>
      </c>
      <c r="AI1217" s="68">
        <v>2</v>
      </c>
      <c r="AJ1217" s="68">
        <v>1</v>
      </c>
      <c r="AK1217" s="68">
        <v>0</v>
      </c>
      <c r="AL1217" s="68">
        <v>7</v>
      </c>
      <c r="AM1217" s="68">
        <v>0</v>
      </c>
      <c r="AN1217" s="68">
        <v>0</v>
      </c>
      <c r="AO1217" s="68">
        <v>0</v>
      </c>
      <c r="AP1217" s="68">
        <v>0.5</v>
      </c>
      <c r="AQ1217" s="68">
        <v>6000</v>
      </c>
      <c r="AR1217" s="68">
        <v>0.5</v>
      </c>
      <c r="AS1217" s="68">
        <v>0</v>
      </c>
      <c r="AT1217" s="68">
        <v>0</v>
      </c>
      <c r="AU1217" s="68">
        <v>92040010</v>
      </c>
      <c r="AV1217" s="68"/>
      <c r="AW1217" s="124" t="s">
        <v>617</v>
      </c>
      <c r="AX1217" s="68" t="s">
        <v>1041</v>
      </c>
      <c r="AY1217" s="68">
        <v>10000007</v>
      </c>
      <c r="AZ1217" s="68">
        <v>21400010</v>
      </c>
      <c r="BA1217" s="124" t="s">
        <v>1574</v>
      </c>
      <c r="BB1217" s="68">
        <v>0</v>
      </c>
      <c r="BC1217" s="68">
        <v>0</v>
      </c>
      <c r="BD1217" s="68">
        <v>0</v>
      </c>
      <c r="BE1217" s="133" t="str">
        <f t="shared" ref="BE1217" si="139">"在目标区域召唤巨刃造成"&amp;X1217*100&amp;"%攻击伤害+"&amp;Z1217&amp;"点固定伤害,随后在技能范围中的敌人每秒受到120%攻击伤害+"&amp;BR1217&amp;"点伤害,并使目标置空1秒"</f>
        <v>在目标区域召唤巨刃造成250%攻击伤害+1000点固定伤害,随后在技能范围中的敌人每秒受到120%攻击伤害+500点伤害,并使目标置空1秒</v>
      </c>
      <c r="BF1217" s="133" t="s">
        <v>2396</v>
      </c>
      <c r="BG1217" s="68">
        <v>0</v>
      </c>
      <c r="BH1217" s="68">
        <v>0</v>
      </c>
      <c r="BI1217" s="68">
        <v>0</v>
      </c>
      <c r="BJ1217" s="68">
        <v>0</v>
      </c>
      <c r="BK1217" s="68">
        <v>0</v>
      </c>
      <c r="BL1217" s="68">
        <v>0</v>
      </c>
      <c r="BM1217" s="134">
        <v>0</v>
      </c>
      <c r="BN1217" s="68">
        <v>0</v>
      </c>
      <c r="BO1217" s="68">
        <v>0</v>
      </c>
      <c r="BP1217" s="68">
        <v>1000</v>
      </c>
      <c r="BQ1217" s="68">
        <v>1.2</v>
      </c>
      <c r="BR1217" s="68">
        <v>500</v>
      </c>
      <c r="BS1217" s="68">
        <v>0</v>
      </c>
      <c r="BT1217" s="68">
        <v>0</v>
      </c>
      <c r="BU1217" s="68">
        <v>0</v>
      </c>
      <c r="BV1217" s="68"/>
      <c r="BW1217" s="68"/>
    </row>
    <row r="1218" spans="3:75" s="1" customFormat="1" ht="20.100000000000001" customHeight="1">
      <c r="C1218" s="68">
        <v>65023112</v>
      </c>
      <c r="D1218" s="63" t="s">
        <v>1450</v>
      </c>
      <c r="E1218" s="63" t="s">
        <v>1451</v>
      </c>
      <c r="F1218" s="60">
        <v>1</v>
      </c>
      <c r="G1218" s="64">
        <v>65011201</v>
      </c>
      <c r="H1218" s="64">
        <v>0</v>
      </c>
      <c r="I1218" s="66">
        <v>0</v>
      </c>
      <c r="J1218" s="68">
        <v>1</v>
      </c>
      <c r="K1218" s="60">
        <v>0</v>
      </c>
      <c r="L1218" s="60">
        <v>0</v>
      </c>
      <c r="M1218" s="64">
        <v>0</v>
      </c>
      <c r="N1218" s="64">
        <v>0</v>
      </c>
      <c r="O1218" s="64">
        <v>2</v>
      </c>
      <c r="P1218" s="64">
        <v>1</v>
      </c>
      <c r="Q1218" s="64">
        <v>0.1</v>
      </c>
      <c r="R1218" s="64">
        <v>0</v>
      </c>
      <c r="S1218" s="68">
        <v>0</v>
      </c>
      <c r="T1218" s="66">
        <v>0</v>
      </c>
      <c r="U1218" s="60">
        <v>1</v>
      </c>
      <c r="V1218" s="64">
        <v>2</v>
      </c>
      <c r="W1218" s="64">
        <v>0</v>
      </c>
      <c r="X1218" s="64">
        <v>2.5</v>
      </c>
      <c r="Y1218" s="68">
        <v>0</v>
      </c>
      <c r="Z1218" s="64">
        <v>900</v>
      </c>
      <c r="AA1218" s="64">
        <v>1</v>
      </c>
      <c r="AB1218" s="64">
        <v>15</v>
      </c>
      <c r="AC1218" s="64">
        <v>0</v>
      </c>
      <c r="AD1218" s="64">
        <v>0</v>
      </c>
      <c r="AE1218" s="64">
        <v>0</v>
      </c>
      <c r="AF1218" s="64">
        <v>9</v>
      </c>
      <c r="AG1218" s="64">
        <v>1</v>
      </c>
      <c r="AH1218" s="64">
        <v>3.5</v>
      </c>
      <c r="AI1218" s="68">
        <v>0</v>
      </c>
      <c r="AJ1218" s="68">
        <v>0</v>
      </c>
      <c r="AK1218" s="68">
        <v>0</v>
      </c>
      <c r="AL1218" s="68">
        <v>3</v>
      </c>
      <c r="AM1218" s="64">
        <v>0</v>
      </c>
      <c r="AN1218" s="64">
        <v>0</v>
      </c>
      <c r="AO1218" s="64">
        <v>0</v>
      </c>
      <c r="AP1218" s="64">
        <v>0.3</v>
      </c>
      <c r="AQ1218" s="64">
        <v>2000</v>
      </c>
      <c r="AR1218" s="64">
        <v>0.5</v>
      </c>
      <c r="AS1218" s="64">
        <v>0</v>
      </c>
      <c r="AT1218" s="68">
        <v>0</v>
      </c>
      <c r="AU1218" s="64">
        <v>92040020</v>
      </c>
      <c r="AV1218" s="64"/>
      <c r="AW1218" s="63" t="s">
        <v>1547</v>
      </c>
      <c r="AX1218" s="64" t="s">
        <v>534</v>
      </c>
      <c r="AY1218" s="64">
        <v>10000009</v>
      </c>
      <c r="AZ1218" s="64">
        <v>21400020</v>
      </c>
      <c r="BA1218" s="59" t="s">
        <v>200</v>
      </c>
      <c r="BB1218" s="63">
        <v>0</v>
      </c>
      <c r="BC1218" s="66">
        <v>0</v>
      </c>
      <c r="BD1218" s="66">
        <v>0</v>
      </c>
      <c r="BE1218" s="207" t="str">
        <f t="shared" ref="BE1218" si="140">"立即对附近敌方单位造成"&amp;X1218*100&amp;"%攻击伤害+"&amp;Z1218&amp;"点固定伤害,并使其造成伤害降低20%,持续3秒"</f>
        <v>立即对附近敌方单位造成250%攻击伤害+900点固定伤害,并使其造成伤害降低20%,持续3秒</v>
      </c>
      <c r="BF1218" s="207" t="s">
        <v>2401</v>
      </c>
      <c r="BG1218" s="64">
        <v>0</v>
      </c>
      <c r="BH1218" s="60">
        <v>0</v>
      </c>
      <c r="BI1218" s="64">
        <v>0</v>
      </c>
      <c r="BJ1218" s="64">
        <v>0</v>
      </c>
      <c r="BK1218" s="64">
        <v>0</v>
      </c>
      <c r="BL1218" s="64">
        <v>0</v>
      </c>
      <c r="BM1218" s="93">
        <v>0</v>
      </c>
      <c r="BN1218" s="68">
        <v>1</v>
      </c>
      <c r="BO1218" s="68">
        <v>0</v>
      </c>
      <c r="BP1218" s="68">
        <v>0</v>
      </c>
      <c r="BQ1218" s="68">
        <v>0</v>
      </c>
      <c r="BR1218" s="68">
        <v>0</v>
      </c>
      <c r="BS1218" s="68">
        <v>0</v>
      </c>
      <c r="BT1218" s="68">
        <v>0</v>
      </c>
      <c r="BU1218" s="68">
        <v>0</v>
      </c>
      <c r="BV1218" s="68"/>
      <c r="BW1218" s="68"/>
    </row>
    <row r="1219" spans="3:75" s="1" customFormat="1" ht="20.100000000000001" customHeight="1">
      <c r="C1219" s="68">
        <v>65023113</v>
      </c>
      <c r="D1219" s="59" t="s">
        <v>1457</v>
      </c>
      <c r="E1219" s="59" t="s">
        <v>1458</v>
      </c>
      <c r="F1219" s="60">
        <v>1</v>
      </c>
      <c r="G1219" s="64">
        <v>65011301</v>
      </c>
      <c r="H1219" s="64">
        <v>0</v>
      </c>
      <c r="I1219" s="66">
        <v>0</v>
      </c>
      <c r="J1219" s="68">
        <v>1</v>
      </c>
      <c r="K1219" s="60">
        <v>0</v>
      </c>
      <c r="L1219" s="60">
        <v>0</v>
      </c>
      <c r="M1219" s="60">
        <v>0</v>
      </c>
      <c r="N1219" s="60">
        <v>0</v>
      </c>
      <c r="O1219" s="60">
        <v>2</v>
      </c>
      <c r="P1219" s="60">
        <v>1</v>
      </c>
      <c r="Q1219" s="60">
        <v>0.1</v>
      </c>
      <c r="R1219" s="60">
        <v>0</v>
      </c>
      <c r="S1219" s="68">
        <v>0</v>
      </c>
      <c r="T1219" s="60">
        <v>0</v>
      </c>
      <c r="U1219" s="60">
        <v>1</v>
      </c>
      <c r="V1219" s="60">
        <v>2</v>
      </c>
      <c r="W1219" s="60">
        <v>0</v>
      </c>
      <c r="X1219" s="60">
        <v>2</v>
      </c>
      <c r="Y1219" s="68">
        <v>0</v>
      </c>
      <c r="Z1219" s="64">
        <v>750</v>
      </c>
      <c r="AA1219" s="60">
        <v>1</v>
      </c>
      <c r="AB1219" s="60">
        <v>20</v>
      </c>
      <c r="AC1219" s="60">
        <v>0</v>
      </c>
      <c r="AD1219" s="60">
        <v>0</v>
      </c>
      <c r="AE1219" s="60">
        <v>0</v>
      </c>
      <c r="AF1219" s="60">
        <v>12</v>
      </c>
      <c r="AG1219" s="60">
        <v>1</v>
      </c>
      <c r="AH1219" s="60" t="s">
        <v>861</v>
      </c>
      <c r="AI1219" s="68">
        <v>2</v>
      </c>
      <c r="AJ1219" s="68">
        <v>1</v>
      </c>
      <c r="AK1219" s="68">
        <v>0</v>
      </c>
      <c r="AL1219" s="68">
        <v>6</v>
      </c>
      <c r="AM1219" s="60">
        <v>0</v>
      </c>
      <c r="AN1219" s="60">
        <v>0</v>
      </c>
      <c r="AO1219" s="60">
        <v>0</v>
      </c>
      <c r="AP1219" s="60">
        <v>0.5</v>
      </c>
      <c r="AQ1219" s="60">
        <v>2000</v>
      </c>
      <c r="AR1219" s="60">
        <v>0.4</v>
      </c>
      <c r="AS1219" s="60">
        <v>0</v>
      </c>
      <c r="AT1219" s="68">
        <v>0</v>
      </c>
      <c r="AU1219" s="60">
        <v>92040030</v>
      </c>
      <c r="AV1219" s="60"/>
      <c r="AW1219" s="59" t="s">
        <v>762</v>
      </c>
      <c r="AX1219" s="60" t="s">
        <v>1489</v>
      </c>
      <c r="AY1219" s="64">
        <v>10000015</v>
      </c>
      <c r="AZ1219" s="64">
        <v>21400030</v>
      </c>
      <c r="BA1219" s="59" t="s">
        <v>1371</v>
      </c>
      <c r="BB1219" s="60">
        <v>0</v>
      </c>
      <c r="BC1219" s="66">
        <v>0</v>
      </c>
      <c r="BD1219" s="66">
        <v>0</v>
      </c>
      <c r="BE1219" s="121" t="str">
        <f t="shared" ref="BE1219" si="141">"立即跳跃至目标区域并对其怪物造成"&amp;X1219*100&amp;"%攻击伤害+"&amp;Z1219&amp;"点固定伤害,并使目标置空1秒"</f>
        <v>立即跳跃至目标区域并对其怪物造成200%攻击伤害+750点固定伤害,并使目标置空1秒</v>
      </c>
      <c r="BF1219" s="121" t="s">
        <v>2407</v>
      </c>
      <c r="BG1219" s="60">
        <v>0</v>
      </c>
      <c r="BH1219" s="60">
        <v>0</v>
      </c>
      <c r="BI1219" s="60">
        <v>0</v>
      </c>
      <c r="BJ1219" s="60">
        <v>0</v>
      </c>
      <c r="BK1219" s="60">
        <v>0</v>
      </c>
      <c r="BL1219" s="60">
        <v>0</v>
      </c>
      <c r="BM1219" s="93">
        <v>0</v>
      </c>
      <c r="BN1219" s="68">
        <v>0</v>
      </c>
      <c r="BO1219" s="68">
        <v>0</v>
      </c>
      <c r="BP1219" s="68">
        <v>0</v>
      </c>
      <c r="BQ1219" s="68">
        <v>0</v>
      </c>
      <c r="BR1219" s="68">
        <v>0</v>
      </c>
      <c r="BS1219" s="68">
        <v>0</v>
      </c>
      <c r="BT1219" s="68">
        <v>0</v>
      </c>
      <c r="BU1219" s="68">
        <v>0</v>
      </c>
      <c r="BV1219" s="68"/>
      <c r="BW1219" s="68"/>
    </row>
    <row r="1220" spans="3:75" ht="20.100000000000001" customHeight="1">
      <c r="C1220" s="12">
        <v>65023201</v>
      </c>
      <c r="D1220" s="13" t="s">
        <v>2541</v>
      </c>
      <c r="E1220" s="13" t="s">
        <v>2542</v>
      </c>
      <c r="F1220" s="12">
        <v>0</v>
      </c>
      <c r="G1220" s="12">
        <v>65023201</v>
      </c>
      <c r="H1220" s="12">
        <v>65023202</v>
      </c>
      <c r="I1220" s="12">
        <v>0</v>
      </c>
      <c r="J1220" s="16">
        <v>25</v>
      </c>
      <c r="K1220" s="16">
        <v>5</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1" t="s">
        <v>2543</v>
      </c>
      <c r="AU1220" s="12" t="s">
        <v>198</v>
      </c>
      <c r="AV1220" s="12"/>
      <c r="AW1220" s="13" t="s">
        <v>199</v>
      </c>
      <c r="AX1220" s="12" t="s">
        <v>1408</v>
      </c>
      <c r="AY1220" s="12">
        <v>0</v>
      </c>
      <c r="AZ1220" s="18">
        <v>21403020</v>
      </c>
      <c r="BA1220" s="13" t="s">
        <v>200</v>
      </c>
      <c r="BB1220" s="13">
        <v>0</v>
      </c>
      <c r="BC1220" s="12">
        <v>0</v>
      </c>
      <c r="BD1220" s="12">
        <v>0</v>
      </c>
      <c r="BE1220" s="184" t="s">
        <v>2544</v>
      </c>
      <c r="BF1220" s="184" t="s">
        <v>2545</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65023202</v>
      </c>
      <c r="D1221" s="13" t="s">
        <v>2541</v>
      </c>
      <c r="E1221" s="13" t="s">
        <v>2542</v>
      </c>
      <c r="F1221" s="12">
        <v>1</v>
      </c>
      <c r="G1221" s="12">
        <v>65023201</v>
      </c>
      <c r="H1221" s="12">
        <v>65023203</v>
      </c>
      <c r="I1221" s="12">
        <v>0</v>
      </c>
      <c r="J1221" s="16">
        <v>32</v>
      </c>
      <c r="K1221" s="16">
        <v>2</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1" t="s">
        <v>2543</v>
      </c>
      <c r="AU1221" s="12" t="s">
        <v>198</v>
      </c>
      <c r="AV1221" s="12"/>
      <c r="AW1221" s="13" t="s">
        <v>199</v>
      </c>
      <c r="AX1221" s="12" t="s">
        <v>1408</v>
      </c>
      <c r="AY1221" s="12">
        <v>0</v>
      </c>
      <c r="AZ1221" s="18">
        <v>21403020</v>
      </c>
      <c r="BA1221" s="13" t="s">
        <v>200</v>
      </c>
      <c r="BB1221" s="13">
        <v>0</v>
      </c>
      <c r="BC1221" s="12">
        <v>0</v>
      </c>
      <c r="BD1221" s="12">
        <v>0</v>
      </c>
      <c r="BE1221" s="184" t="s">
        <v>2544</v>
      </c>
      <c r="BF1221" s="184" t="s">
        <v>2545</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20.100000000000001" customHeight="1">
      <c r="C1222" s="12">
        <v>65023203</v>
      </c>
      <c r="D1222" s="13" t="s">
        <v>2541</v>
      </c>
      <c r="E1222" s="13" t="s">
        <v>2542</v>
      </c>
      <c r="F1222" s="12">
        <v>2</v>
      </c>
      <c r="G1222" s="12">
        <v>65023201</v>
      </c>
      <c r="H1222" s="12">
        <v>65023204</v>
      </c>
      <c r="I1222" s="12">
        <v>0</v>
      </c>
      <c r="J1222" s="16">
        <v>37</v>
      </c>
      <c r="K1222" s="16">
        <v>2</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1" t="s">
        <v>2546</v>
      </c>
      <c r="AU1222" s="12" t="s">
        <v>198</v>
      </c>
      <c r="AV1222" s="12"/>
      <c r="AW1222" s="13" t="s">
        <v>199</v>
      </c>
      <c r="AX1222" s="12" t="s">
        <v>1408</v>
      </c>
      <c r="AY1222" s="12">
        <v>0</v>
      </c>
      <c r="AZ1222" s="18">
        <v>21403020</v>
      </c>
      <c r="BA1222" s="13" t="s">
        <v>200</v>
      </c>
      <c r="BB1222" s="13">
        <v>0</v>
      </c>
      <c r="BC1222" s="12">
        <v>0</v>
      </c>
      <c r="BD1222" s="12">
        <v>0</v>
      </c>
      <c r="BE1222" s="184" t="s">
        <v>2547</v>
      </c>
      <c r="BF1222" s="184" t="s">
        <v>2548</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row>
    <row r="1223" spans="3:75" ht="20.100000000000001" customHeight="1">
      <c r="C1223" s="12">
        <v>65023204</v>
      </c>
      <c r="D1223" s="13" t="s">
        <v>2541</v>
      </c>
      <c r="E1223" s="13" t="s">
        <v>2542</v>
      </c>
      <c r="F1223" s="12">
        <v>3</v>
      </c>
      <c r="G1223" s="12">
        <v>65023201</v>
      </c>
      <c r="H1223" s="12">
        <v>0</v>
      </c>
      <c r="I1223" s="12">
        <v>0</v>
      </c>
      <c r="J1223" s="16">
        <v>0</v>
      </c>
      <c r="K1223" s="16">
        <v>0</v>
      </c>
      <c r="L1223" s="12">
        <v>0</v>
      </c>
      <c r="M1223" s="12">
        <v>0</v>
      </c>
      <c r="N1223" s="12">
        <v>0</v>
      </c>
      <c r="O1223" s="12">
        <v>1</v>
      </c>
      <c r="P1223" s="12">
        <v>0</v>
      </c>
      <c r="Q1223" s="12">
        <v>0</v>
      </c>
      <c r="R1223" s="12">
        <v>0</v>
      </c>
      <c r="S1223" s="12">
        <v>0</v>
      </c>
      <c r="T1223" s="12">
        <v>0</v>
      </c>
      <c r="U1223" s="12">
        <v>1</v>
      </c>
      <c r="V1223" s="12">
        <v>2</v>
      </c>
      <c r="W1223" s="12">
        <v>0</v>
      </c>
      <c r="X1223" s="12">
        <v>0</v>
      </c>
      <c r="Y1223" s="12">
        <v>0</v>
      </c>
      <c r="Z1223" s="12">
        <v>0</v>
      </c>
      <c r="AA1223" s="12">
        <v>0</v>
      </c>
      <c r="AB1223" s="12">
        <v>20</v>
      </c>
      <c r="AC1223" s="12">
        <v>0</v>
      </c>
      <c r="AD1223" s="12">
        <v>0</v>
      </c>
      <c r="AE1223" s="12">
        <v>0</v>
      </c>
      <c r="AF1223" s="12">
        <v>18</v>
      </c>
      <c r="AG1223" s="12">
        <v>1</v>
      </c>
      <c r="AH1223" s="12">
        <v>4</v>
      </c>
      <c r="AI1223" s="12">
        <v>0</v>
      </c>
      <c r="AJ1223" s="12">
        <v>0</v>
      </c>
      <c r="AK1223" s="12">
        <v>0</v>
      </c>
      <c r="AL1223" s="12">
        <v>0</v>
      </c>
      <c r="AM1223" s="12">
        <v>0</v>
      </c>
      <c r="AN1223" s="12">
        <v>0</v>
      </c>
      <c r="AO1223" s="12">
        <v>0</v>
      </c>
      <c r="AP1223" s="12">
        <v>0.2</v>
      </c>
      <c r="AQ1223" s="12">
        <v>3000</v>
      </c>
      <c r="AR1223" s="12">
        <v>0.5</v>
      </c>
      <c r="AS1223" s="12">
        <v>0</v>
      </c>
      <c r="AT1223" s="341" t="s">
        <v>2549</v>
      </c>
      <c r="AU1223" s="12" t="s">
        <v>198</v>
      </c>
      <c r="AV1223" s="12"/>
      <c r="AW1223" s="13" t="s">
        <v>199</v>
      </c>
      <c r="AX1223" s="12" t="s">
        <v>1408</v>
      </c>
      <c r="AY1223" s="12">
        <v>0</v>
      </c>
      <c r="AZ1223" s="18">
        <v>21403020</v>
      </c>
      <c r="BA1223" s="13" t="s">
        <v>200</v>
      </c>
      <c r="BB1223" s="13">
        <v>0</v>
      </c>
      <c r="BC1223" s="12">
        <v>0</v>
      </c>
      <c r="BD1223" s="12">
        <v>0</v>
      </c>
      <c r="BE1223" s="184" t="s">
        <v>2550</v>
      </c>
      <c r="BF1223" s="184" t="s">
        <v>2551</v>
      </c>
      <c r="BG1223" s="12">
        <v>0</v>
      </c>
      <c r="BH1223" s="12">
        <v>0</v>
      </c>
      <c r="BI1223" s="12">
        <v>0</v>
      </c>
      <c r="BJ1223" s="12">
        <v>0</v>
      </c>
      <c r="BK1223" s="12">
        <v>0</v>
      </c>
      <c r="BL1223" s="12">
        <v>0</v>
      </c>
      <c r="BM1223" s="185">
        <v>0</v>
      </c>
      <c r="BN1223" s="12">
        <v>1</v>
      </c>
      <c r="BO1223" s="12">
        <v>0</v>
      </c>
      <c r="BP1223" s="12">
        <v>0</v>
      </c>
      <c r="BQ1223" s="12">
        <v>0</v>
      </c>
      <c r="BR1223" s="12">
        <v>0</v>
      </c>
      <c r="BS1223" s="12">
        <v>0</v>
      </c>
      <c r="BT1223" s="12">
        <v>0</v>
      </c>
      <c r="BU1223" s="47">
        <v>0</v>
      </c>
      <c r="BV1223" s="47"/>
      <c r="BW1223" s="47"/>
    </row>
    <row r="1224" spans="3:75" ht="20.100000000000001" customHeight="1">
      <c r="C1224" s="12">
        <v>65023205</v>
      </c>
      <c r="D1224" s="13" t="s">
        <v>2541</v>
      </c>
      <c r="E1224" s="13" t="s">
        <v>2542</v>
      </c>
      <c r="F1224" s="12">
        <v>4</v>
      </c>
      <c r="G1224" s="12">
        <v>65023201</v>
      </c>
      <c r="H1224" s="12">
        <v>0</v>
      </c>
      <c r="I1224" s="12">
        <v>0</v>
      </c>
      <c r="J1224" s="16">
        <v>0</v>
      </c>
      <c r="K1224" s="16">
        <v>0</v>
      </c>
      <c r="L1224" s="12">
        <v>0</v>
      </c>
      <c r="M1224" s="12">
        <v>0</v>
      </c>
      <c r="N1224" s="12">
        <v>0</v>
      </c>
      <c r="O1224" s="12">
        <v>1</v>
      </c>
      <c r="P1224" s="12">
        <v>0</v>
      </c>
      <c r="Q1224" s="12">
        <v>0</v>
      </c>
      <c r="R1224" s="12">
        <v>0</v>
      </c>
      <c r="S1224" s="12">
        <v>0</v>
      </c>
      <c r="T1224" s="12">
        <v>0</v>
      </c>
      <c r="U1224" s="12">
        <v>1</v>
      </c>
      <c r="V1224" s="12">
        <v>2</v>
      </c>
      <c r="W1224" s="12">
        <v>0</v>
      </c>
      <c r="X1224" s="12">
        <v>0</v>
      </c>
      <c r="Y1224" s="12">
        <v>0</v>
      </c>
      <c r="Z1224" s="12">
        <v>0</v>
      </c>
      <c r="AA1224" s="12">
        <v>0</v>
      </c>
      <c r="AB1224" s="12">
        <v>20</v>
      </c>
      <c r="AC1224" s="12">
        <v>0</v>
      </c>
      <c r="AD1224" s="12">
        <v>0</v>
      </c>
      <c r="AE1224" s="12">
        <v>0</v>
      </c>
      <c r="AF1224" s="12">
        <v>18</v>
      </c>
      <c r="AG1224" s="12">
        <v>1</v>
      </c>
      <c r="AH1224" s="12">
        <v>4</v>
      </c>
      <c r="AI1224" s="12">
        <v>0</v>
      </c>
      <c r="AJ1224" s="12">
        <v>0</v>
      </c>
      <c r="AK1224" s="12">
        <v>0</v>
      </c>
      <c r="AL1224" s="12">
        <v>0</v>
      </c>
      <c r="AM1224" s="12">
        <v>0</v>
      </c>
      <c r="AN1224" s="12">
        <v>0</v>
      </c>
      <c r="AO1224" s="12">
        <v>0</v>
      </c>
      <c r="AP1224" s="12">
        <v>0.2</v>
      </c>
      <c r="AQ1224" s="12">
        <v>3000</v>
      </c>
      <c r="AR1224" s="12">
        <v>0.5</v>
      </c>
      <c r="AS1224" s="12">
        <v>0</v>
      </c>
      <c r="AT1224" s="341" t="s">
        <v>2552</v>
      </c>
      <c r="AU1224" s="12" t="s">
        <v>198</v>
      </c>
      <c r="AV1224" s="12"/>
      <c r="AW1224" s="13" t="s">
        <v>199</v>
      </c>
      <c r="AX1224" s="12" t="s">
        <v>1408</v>
      </c>
      <c r="AY1224" s="12">
        <v>0</v>
      </c>
      <c r="AZ1224" s="18">
        <v>21403020</v>
      </c>
      <c r="BA1224" s="13" t="s">
        <v>200</v>
      </c>
      <c r="BB1224" s="13">
        <v>0</v>
      </c>
      <c r="BC1224" s="12">
        <v>0</v>
      </c>
      <c r="BD1224" s="12">
        <v>0</v>
      </c>
      <c r="BE1224" s="184" t="s">
        <v>2553</v>
      </c>
      <c r="BF1224" s="184" t="s">
        <v>2554</v>
      </c>
      <c r="BG1224" s="12">
        <v>0</v>
      </c>
      <c r="BH1224" s="12">
        <v>0</v>
      </c>
      <c r="BI1224" s="12">
        <v>0</v>
      </c>
      <c r="BJ1224" s="12">
        <v>0</v>
      </c>
      <c r="BK1224" s="12">
        <v>0</v>
      </c>
      <c r="BL1224" s="12">
        <v>0</v>
      </c>
      <c r="BM1224" s="185">
        <v>0</v>
      </c>
      <c r="BN1224" s="12">
        <v>1</v>
      </c>
      <c r="BO1224" s="12">
        <v>0</v>
      </c>
      <c r="BP1224" s="12">
        <v>0</v>
      </c>
      <c r="BQ1224" s="12">
        <v>0</v>
      </c>
      <c r="BR1224" s="12">
        <v>0</v>
      </c>
      <c r="BS1224" s="12">
        <v>0</v>
      </c>
      <c r="BT1224" s="12">
        <v>0</v>
      </c>
      <c r="BU1224" s="47">
        <v>0</v>
      </c>
      <c r="BV1224" s="47"/>
      <c r="BW1224" s="47"/>
    </row>
    <row r="1225" spans="3:75" ht="20.100000000000001" customHeight="1">
      <c r="C1225" s="12">
        <v>65023206</v>
      </c>
      <c r="D1225" s="13" t="s">
        <v>2541</v>
      </c>
      <c r="E1225" s="13" t="s">
        <v>2542</v>
      </c>
      <c r="F1225" s="12">
        <v>5</v>
      </c>
      <c r="G1225" s="12">
        <v>65023201</v>
      </c>
      <c r="H1225" s="12">
        <v>0</v>
      </c>
      <c r="I1225" s="12">
        <v>0</v>
      </c>
      <c r="J1225" s="16">
        <v>0</v>
      </c>
      <c r="K1225" s="16">
        <v>0</v>
      </c>
      <c r="L1225" s="12">
        <v>0</v>
      </c>
      <c r="M1225" s="12">
        <v>0</v>
      </c>
      <c r="N1225" s="12">
        <v>0</v>
      </c>
      <c r="O1225" s="12">
        <v>1</v>
      </c>
      <c r="P1225" s="12">
        <v>0</v>
      </c>
      <c r="Q1225" s="12">
        <v>0</v>
      </c>
      <c r="R1225" s="12">
        <v>0</v>
      </c>
      <c r="S1225" s="12">
        <v>0</v>
      </c>
      <c r="T1225" s="12">
        <v>0</v>
      </c>
      <c r="U1225" s="12">
        <v>1</v>
      </c>
      <c r="V1225" s="12">
        <v>2</v>
      </c>
      <c r="W1225" s="12">
        <v>0</v>
      </c>
      <c r="X1225" s="12">
        <v>0</v>
      </c>
      <c r="Y1225" s="12">
        <v>0</v>
      </c>
      <c r="Z1225" s="12">
        <v>0</v>
      </c>
      <c r="AA1225" s="12">
        <v>0</v>
      </c>
      <c r="AB1225" s="12">
        <v>20</v>
      </c>
      <c r="AC1225" s="12">
        <v>0</v>
      </c>
      <c r="AD1225" s="12">
        <v>0</v>
      </c>
      <c r="AE1225" s="12">
        <v>0</v>
      </c>
      <c r="AF1225" s="12">
        <v>18</v>
      </c>
      <c r="AG1225" s="12">
        <v>1</v>
      </c>
      <c r="AH1225" s="12">
        <v>4</v>
      </c>
      <c r="AI1225" s="12">
        <v>0</v>
      </c>
      <c r="AJ1225" s="12">
        <v>0</v>
      </c>
      <c r="AK1225" s="12">
        <v>0</v>
      </c>
      <c r="AL1225" s="12">
        <v>0</v>
      </c>
      <c r="AM1225" s="12">
        <v>0</v>
      </c>
      <c r="AN1225" s="12">
        <v>0</v>
      </c>
      <c r="AO1225" s="12">
        <v>0</v>
      </c>
      <c r="AP1225" s="12">
        <v>0.2</v>
      </c>
      <c r="AQ1225" s="12">
        <v>3000</v>
      </c>
      <c r="AR1225" s="12">
        <v>0.5</v>
      </c>
      <c r="AS1225" s="12">
        <v>0</v>
      </c>
      <c r="AT1225" s="341" t="s">
        <v>2555</v>
      </c>
      <c r="AU1225" s="12" t="s">
        <v>198</v>
      </c>
      <c r="AV1225" s="12"/>
      <c r="AW1225" s="13" t="s">
        <v>199</v>
      </c>
      <c r="AX1225" s="12" t="s">
        <v>1408</v>
      </c>
      <c r="AY1225" s="12">
        <v>0</v>
      </c>
      <c r="AZ1225" s="18">
        <v>21403020</v>
      </c>
      <c r="BA1225" s="13" t="s">
        <v>200</v>
      </c>
      <c r="BB1225" s="13">
        <v>0</v>
      </c>
      <c r="BC1225" s="12">
        <v>0</v>
      </c>
      <c r="BD1225" s="12">
        <v>0</v>
      </c>
      <c r="BE1225" s="184" t="s">
        <v>2556</v>
      </c>
      <c r="BF1225" s="184" t="s">
        <v>2557</v>
      </c>
      <c r="BG1225" s="12">
        <v>0</v>
      </c>
      <c r="BH1225" s="12">
        <v>0</v>
      </c>
      <c r="BI1225" s="12">
        <v>0</v>
      </c>
      <c r="BJ1225" s="12">
        <v>0</v>
      </c>
      <c r="BK1225" s="12">
        <v>0</v>
      </c>
      <c r="BL1225" s="12">
        <v>0</v>
      </c>
      <c r="BM1225" s="185">
        <v>0</v>
      </c>
      <c r="BN1225" s="12">
        <v>1</v>
      </c>
      <c r="BO1225" s="12">
        <v>0</v>
      </c>
      <c r="BP1225" s="12">
        <v>0</v>
      </c>
      <c r="BQ1225" s="12">
        <v>0</v>
      </c>
      <c r="BR1225" s="12">
        <v>0</v>
      </c>
      <c r="BS1225" s="12">
        <v>0</v>
      </c>
      <c r="BT1225" s="12">
        <v>0</v>
      </c>
      <c r="BU1225" s="47">
        <v>0</v>
      </c>
      <c r="BV1225" s="47"/>
      <c r="BW1225" s="47"/>
    </row>
    <row r="1226" spans="3:75" ht="19.5" customHeight="1">
      <c r="C1226" s="16">
        <v>65023301</v>
      </c>
      <c r="D1226" s="19" t="s">
        <v>2558</v>
      </c>
      <c r="E1226" s="19" t="s">
        <v>2559</v>
      </c>
      <c r="F1226" s="16">
        <v>0</v>
      </c>
      <c r="G1226" s="16">
        <v>65023301</v>
      </c>
      <c r="H1226" s="16">
        <v>65023302</v>
      </c>
      <c r="I1226" s="12">
        <v>0</v>
      </c>
      <c r="J1226" s="16">
        <v>30</v>
      </c>
      <c r="K1226" s="18">
        <v>5</v>
      </c>
      <c r="L1226" s="16">
        <v>0</v>
      </c>
      <c r="M1226" s="18">
        <v>0</v>
      </c>
      <c r="N1226" s="18">
        <v>0</v>
      </c>
      <c r="O1226" s="18">
        <v>1</v>
      </c>
      <c r="P1226" s="18">
        <v>0</v>
      </c>
      <c r="Q1226" s="18">
        <v>0</v>
      </c>
      <c r="R1226" s="18">
        <v>0</v>
      </c>
      <c r="S1226" s="12">
        <v>0</v>
      </c>
      <c r="T1226" s="27">
        <v>0</v>
      </c>
      <c r="U1226" s="16">
        <v>1</v>
      </c>
      <c r="V1226" s="18">
        <v>2</v>
      </c>
      <c r="W1226" s="18">
        <v>0</v>
      </c>
      <c r="X1226" s="18">
        <v>3.25</v>
      </c>
      <c r="Y1226" s="12">
        <v>0</v>
      </c>
      <c r="Z1226" s="18">
        <v>1350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49" t="s">
        <v>2560</v>
      </c>
      <c r="AV1226" s="18"/>
      <c r="AW1226" s="19" t="s">
        <v>199</v>
      </c>
      <c r="AX1226" s="18" t="s">
        <v>534</v>
      </c>
      <c r="AY1226" s="18">
        <v>10003002</v>
      </c>
      <c r="AZ1226" s="18">
        <v>21403030</v>
      </c>
      <c r="BA1226" s="19" t="s">
        <v>200</v>
      </c>
      <c r="BB1226" s="19">
        <v>0</v>
      </c>
      <c r="BC1226" s="27">
        <v>0</v>
      </c>
      <c r="BD1226" s="27">
        <v>0</v>
      </c>
      <c r="BE1226" s="183" t="str">
        <f>"对前方敌人造成"&amp;X1226*100&amp;"%攻击伤害+"&amp;Z1226&amp;"点固定伤害,并造成击退效果,如果目标血量低于30%则额外提升50%伤害。"</f>
        <v>对前方敌人造成325%攻击伤害+1350点固定伤害,并造成击退效果,如果目标血量低于30%则额外提升50%伤害。</v>
      </c>
      <c r="BF1226" s="183" t="s">
        <v>2561</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2562</v>
      </c>
      <c r="BW1226" s="47"/>
    </row>
    <row r="1227" spans="3:75" ht="19.5" customHeight="1">
      <c r="C1227" s="16">
        <v>65023302</v>
      </c>
      <c r="D1227" s="19" t="s">
        <v>2558</v>
      </c>
      <c r="E1227" s="19" t="s">
        <v>2559</v>
      </c>
      <c r="F1227" s="16">
        <v>1</v>
      </c>
      <c r="G1227" s="16">
        <v>65023301</v>
      </c>
      <c r="H1227" s="16">
        <v>65023303</v>
      </c>
      <c r="I1227" s="12">
        <v>0</v>
      </c>
      <c r="J1227" s="16">
        <v>37</v>
      </c>
      <c r="K1227" s="18">
        <v>2</v>
      </c>
      <c r="L1227" s="16">
        <v>0</v>
      </c>
      <c r="M1227" s="18">
        <v>0</v>
      </c>
      <c r="N1227" s="18">
        <v>0</v>
      </c>
      <c r="O1227" s="18">
        <v>1</v>
      </c>
      <c r="P1227" s="18">
        <v>0</v>
      </c>
      <c r="Q1227" s="18">
        <v>0</v>
      </c>
      <c r="R1227" s="18">
        <v>0</v>
      </c>
      <c r="S1227" s="12">
        <v>0</v>
      </c>
      <c r="T1227" s="27">
        <v>0</v>
      </c>
      <c r="U1227" s="16">
        <v>1</v>
      </c>
      <c r="V1227" s="18">
        <v>2</v>
      </c>
      <c r="W1227" s="18">
        <v>0</v>
      </c>
      <c r="X1227" s="18">
        <v>3.25</v>
      </c>
      <c r="Y1227" s="12">
        <v>0</v>
      </c>
      <c r="Z1227" s="18">
        <v>1350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49" t="s">
        <v>2560</v>
      </c>
      <c r="AV1227" s="18"/>
      <c r="AW1227" s="19" t="s">
        <v>199</v>
      </c>
      <c r="AX1227" s="18" t="s">
        <v>534</v>
      </c>
      <c r="AY1227" s="18">
        <v>10003002</v>
      </c>
      <c r="AZ1227" s="18">
        <v>21403030</v>
      </c>
      <c r="BA1227" s="19" t="s">
        <v>200</v>
      </c>
      <c r="BB1227" s="19">
        <v>0</v>
      </c>
      <c r="BC1227" s="27">
        <v>0</v>
      </c>
      <c r="BD1227" s="27">
        <v>0</v>
      </c>
      <c r="BE1227" s="183" t="str">
        <f t="shared" ref="BE1227:BE1231" si="142">"对前方敌人造成"&amp;X1227*100&amp;"%攻击伤害+"&amp;Z1227&amp;"点固定伤害,并造成击退效果,如果目标血量低于30%则额外提升50%伤害。"</f>
        <v>对前方敌人造成325%攻击伤害+1350点固定伤害,并造成击退效果,如果目标血量低于30%则额外提升50%伤害。</v>
      </c>
      <c r="BF1227" s="183" t="s">
        <v>2561</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2562</v>
      </c>
      <c r="BW1227" s="47"/>
    </row>
    <row r="1228" spans="3:75" ht="19.5" customHeight="1">
      <c r="C1228" s="16">
        <v>65023303</v>
      </c>
      <c r="D1228" s="19" t="s">
        <v>2558</v>
      </c>
      <c r="E1228" s="19" t="s">
        <v>2559</v>
      </c>
      <c r="F1228" s="16">
        <v>2</v>
      </c>
      <c r="G1228" s="16">
        <v>65023301</v>
      </c>
      <c r="H1228" s="16">
        <v>65023304</v>
      </c>
      <c r="I1228" s="12">
        <v>0</v>
      </c>
      <c r="J1228" s="16">
        <v>42</v>
      </c>
      <c r="K1228" s="18">
        <v>2</v>
      </c>
      <c r="L1228" s="16">
        <v>0</v>
      </c>
      <c r="M1228" s="18">
        <v>0</v>
      </c>
      <c r="N1228" s="18">
        <v>0</v>
      </c>
      <c r="O1228" s="18">
        <v>1</v>
      </c>
      <c r="P1228" s="18">
        <v>0</v>
      </c>
      <c r="Q1228" s="18">
        <v>0</v>
      </c>
      <c r="R1228" s="18">
        <v>0</v>
      </c>
      <c r="S1228" s="12">
        <v>0</v>
      </c>
      <c r="T1228" s="27">
        <v>0</v>
      </c>
      <c r="U1228" s="16">
        <v>1</v>
      </c>
      <c r="V1228" s="18">
        <v>2</v>
      </c>
      <c r="W1228" s="18">
        <v>0</v>
      </c>
      <c r="X1228" s="18">
        <v>3.5</v>
      </c>
      <c r="Y1228" s="12">
        <v>0</v>
      </c>
      <c r="Z1228" s="18">
        <v>2700</v>
      </c>
      <c r="AA1228" s="18">
        <v>0</v>
      </c>
      <c r="AB1228" s="18">
        <v>25</v>
      </c>
      <c r="AC1228" s="18">
        <v>0</v>
      </c>
      <c r="AD1228" s="18">
        <v>0</v>
      </c>
      <c r="AE1228" s="18">
        <v>0</v>
      </c>
      <c r="AF1228" s="18">
        <v>12</v>
      </c>
      <c r="AG1228" s="12">
        <v>2</v>
      </c>
      <c r="AH1228" s="12" t="s">
        <v>627</v>
      </c>
      <c r="AI1228" s="12">
        <v>0</v>
      </c>
      <c r="AJ1228" s="12">
        <v>2</v>
      </c>
      <c r="AK1228" s="12">
        <v>0</v>
      </c>
      <c r="AL1228" s="12">
        <v>2</v>
      </c>
      <c r="AM1228" s="18">
        <v>0</v>
      </c>
      <c r="AN1228" s="18">
        <v>0</v>
      </c>
      <c r="AO1228" s="18">
        <v>0</v>
      </c>
      <c r="AP1228" s="18">
        <v>0.25</v>
      </c>
      <c r="AQ1228" s="18">
        <v>3000</v>
      </c>
      <c r="AR1228" s="18">
        <v>0</v>
      </c>
      <c r="AS1228" s="18">
        <v>10</v>
      </c>
      <c r="AT1228" s="12">
        <v>0</v>
      </c>
      <c r="AU1228" s="349" t="s">
        <v>2560</v>
      </c>
      <c r="AV1228" s="18"/>
      <c r="AW1228" s="19" t="s">
        <v>199</v>
      </c>
      <c r="AX1228" s="18" t="s">
        <v>534</v>
      </c>
      <c r="AY1228" s="18">
        <v>10003002</v>
      </c>
      <c r="AZ1228" s="18">
        <v>21403030</v>
      </c>
      <c r="BA1228" s="19" t="s">
        <v>200</v>
      </c>
      <c r="BB1228" s="19">
        <v>0</v>
      </c>
      <c r="BC1228" s="27">
        <v>0</v>
      </c>
      <c r="BD1228" s="27">
        <v>0</v>
      </c>
      <c r="BE1228" s="183" t="str">
        <f t="shared" si="142"/>
        <v>对前方敌人造成350%攻击伤害+2700点固定伤害,并造成击退效果,如果目标血量低于30%则额外提升50%伤害。</v>
      </c>
      <c r="BF1228" s="183" t="s">
        <v>2563</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2562</v>
      </c>
      <c r="BW1228" s="47"/>
    </row>
    <row r="1229" spans="3:75" ht="19.5" customHeight="1">
      <c r="C1229" s="16">
        <v>65023304</v>
      </c>
      <c r="D1229" s="19" t="s">
        <v>2558</v>
      </c>
      <c r="E1229" s="19" t="s">
        <v>2559</v>
      </c>
      <c r="F1229" s="16">
        <v>3</v>
      </c>
      <c r="G1229" s="16">
        <v>65023301</v>
      </c>
      <c r="H1229" s="18">
        <v>0</v>
      </c>
      <c r="I1229" s="12">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3.75</v>
      </c>
      <c r="Y1229" s="12">
        <v>0</v>
      </c>
      <c r="Z1229" s="18">
        <v>4200</v>
      </c>
      <c r="AA1229" s="18">
        <v>0</v>
      </c>
      <c r="AB1229" s="18">
        <v>25</v>
      </c>
      <c r="AC1229" s="18">
        <v>0</v>
      </c>
      <c r="AD1229" s="18">
        <v>0</v>
      </c>
      <c r="AE1229" s="18">
        <v>0</v>
      </c>
      <c r="AF1229" s="18">
        <v>12</v>
      </c>
      <c r="AG1229" s="12">
        <v>2</v>
      </c>
      <c r="AH1229" s="12" t="s">
        <v>627</v>
      </c>
      <c r="AI1229" s="12">
        <v>0</v>
      </c>
      <c r="AJ1229" s="12">
        <v>2</v>
      </c>
      <c r="AK1229" s="12">
        <v>0</v>
      </c>
      <c r="AL1229" s="12">
        <v>2</v>
      </c>
      <c r="AM1229" s="18">
        <v>0</v>
      </c>
      <c r="AN1229" s="18">
        <v>0</v>
      </c>
      <c r="AO1229" s="18">
        <v>0</v>
      </c>
      <c r="AP1229" s="18">
        <v>0.25</v>
      </c>
      <c r="AQ1229" s="18">
        <v>3000</v>
      </c>
      <c r="AR1229" s="18">
        <v>0</v>
      </c>
      <c r="AS1229" s="18">
        <v>10</v>
      </c>
      <c r="AT1229" s="12">
        <v>0</v>
      </c>
      <c r="AU1229" s="349" t="s">
        <v>2560</v>
      </c>
      <c r="AV1229" s="18"/>
      <c r="AW1229" s="19" t="s">
        <v>199</v>
      </c>
      <c r="AX1229" s="18" t="s">
        <v>534</v>
      </c>
      <c r="AY1229" s="18">
        <v>10003002</v>
      </c>
      <c r="AZ1229" s="18">
        <v>21403030</v>
      </c>
      <c r="BA1229" s="19" t="s">
        <v>200</v>
      </c>
      <c r="BB1229" s="19">
        <v>0</v>
      </c>
      <c r="BC1229" s="27">
        <v>0</v>
      </c>
      <c r="BD1229" s="27">
        <v>0</v>
      </c>
      <c r="BE1229" s="183" t="str">
        <f t="shared" si="142"/>
        <v>对前方敌人造成375%攻击伤害+4200点固定伤害,并造成击退效果,如果目标血量低于30%则额外提升50%伤害。</v>
      </c>
      <c r="BF1229" s="183" t="s">
        <v>2564</v>
      </c>
      <c r="BG1229" s="18">
        <v>0</v>
      </c>
      <c r="BH1229" s="16">
        <v>0</v>
      </c>
      <c r="BI1229" s="18">
        <v>0</v>
      </c>
      <c r="BJ1229" s="18">
        <v>0</v>
      </c>
      <c r="BK1229" s="18">
        <v>0</v>
      </c>
      <c r="BL1229" s="18">
        <v>0</v>
      </c>
      <c r="BM1229" s="15">
        <v>0</v>
      </c>
      <c r="BN1229" s="12">
        <v>0</v>
      </c>
      <c r="BO1229" s="12">
        <v>0</v>
      </c>
      <c r="BP1229" s="12">
        <v>0</v>
      </c>
      <c r="BQ1229" s="12">
        <v>0</v>
      </c>
      <c r="BR1229" s="12">
        <v>0</v>
      </c>
      <c r="BS1229" s="12">
        <v>0</v>
      </c>
      <c r="BT1229" s="12">
        <v>0</v>
      </c>
      <c r="BU1229" s="47">
        <v>0</v>
      </c>
      <c r="BV1229" s="47" t="s">
        <v>2562</v>
      </c>
      <c r="BW1229" s="47"/>
    </row>
    <row r="1230" spans="3:75" ht="19.5" customHeight="1">
      <c r="C1230" s="16">
        <v>65023305</v>
      </c>
      <c r="D1230" s="19" t="s">
        <v>2558</v>
      </c>
      <c r="E1230" s="19" t="s">
        <v>2559</v>
      </c>
      <c r="F1230" s="16">
        <v>4</v>
      </c>
      <c r="G1230" s="16">
        <v>65023301</v>
      </c>
      <c r="H1230" s="18">
        <v>0</v>
      </c>
      <c r="I1230" s="12">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4</v>
      </c>
      <c r="Y1230" s="12">
        <v>0</v>
      </c>
      <c r="Z1230" s="18">
        <v>6000</v>
      </c>
      <c r="AA1230" s="18">
        <v>0</v>
      </c>
      <c r="AB1230" s="18">
        <v>25</v>
      </c>
      <c r="AC1230" s="18">
        <v>0</v>
      </c>
      <c r="AD1230" s="18">
        <v>0</v>
      </c>
      <c r="AE1230" s="18">
        <v>0</v>
      </c>
      <c r="AF1230" s="18">
        <v>12</v>
      </c>
      <c r="AG1230" s="12">
        <v>2</v>
      </c>
      <c r="AH1230" s="12" t="s">
        <v>627</v>
      </c>
      <c r="AI1230" s="12">
        <v>0</v>
      </c>
      <c r="AJ1230" s="12">
        <v>2</v>
      </c>
      <c r="AK1230" s="12">
        <v>0</v>
      </c>
      <c r="AL1230" s="12">
        <v>2</v>
      </c>
      <c r="AM1230" s="18">
        <v>0</v>
      </c>
      <c r="AN1230" s="18">
        <v>0</v>
      </c>
      <c r="AO1230" s="18">
        <v>0</v>
      </c>
      <c r="AP1230" s="18">
        <v>0.25</v>
      </c>
      <c r="AQ1230" s="18">
        <v>3000</v>
      </c>
      <c r="AR1230" s="18">
        <v>0</v>
      </c>
      <c r="AS1230" s="18">
        <v>10</v>
      </c>
      <c r="AT1230" s="12">
        <v>0</v>
      </c>
      <c r="AU1230" s="349" t="s">
        <v>2560</v>
      </c>
      <c r="AV1230" s="18"/>
      <c r="AW1230" s="19" t="s">
        <v>199</v>
      </c>
      <c r="AX1230" s="18" t="s">
        <v>534</v>
      </c>
      <c r="AY1230" s="18">
        <v>10003002</v>
      </c>
      <c r="AZ1230" s="18">
        <v>21403030</v>
      </c>
      <c r="BA1230" s="19" t="s">
        <v>200</v>
      </c>
      <c r="BB1230" s="19">
        <v>0</v>
      </c>
      <c r="BC1230" s="27">
        <v>0</v>
      </c>
      <c r="BD1230" s="27">
        <v>0</v>
      </c>
      <c r="BE1230" s="183" t="str">
        <f t="shared" si="142"/>
        <v>对前方敌人造成400%攻击伤害+6000点固定伤害,并造成击退效果,如果目标血量低于30%则额外提升50%伤害。</v>
      </c>
      <c r="BF1230" s="183" t="s">
        <v>2565</v>
      </c>
      <c r="BG1230" s="18">
        <v>0</v>
      </c>
      <c r="BH1230" s="16">
        <v>0</v>
      </c>
      <c r="BI1230" s="18">
        <v>0</v>
      </c>
      <c r="BJ1230" s="18">
        <v>0</v>
      </c>
      <c r="BK1230" s="18">
        <v>0</v>
      </c>
      <c r="BL1230" s="18">
        <v>0</v>
      </c>
      <c r="BM1230" s="15">
        <v>0</v>
      </c>
      <c r="BN1230" s="12">
        <v>0</v>
      </c>
      <c r="BO1230" s="12">
        <v>0</v>
      </c>
      <c r="BP1230" s="12">
        <v>0</v>
      </c>
      <c r="BQ1230" s="12">
        <v>0</v>
      </c>
      <c r="BR1230" s="12">
        <v>0</v>
      </c>
      <c r="BS1230" s="12">
        <v>0</v>
      </c>
      <c r="BT1230" s="12">
        <v>0</v>
      </c>
      <c r="BU1230" s="47">
        <v>0</v>
      </c>
      <c r="BV1230" s="47" t="s">
        <v>2562</v>
      </c>
      <c r="BW1230" s="47"/>
    </row>
    <row r="1231" spans="3:75" ht="19.5" customHeight="1">
      <c r="C1231" s="16">
        <v>65023306</v>
      </c>
      <c r="D1231" s="19" t="s">
        <v>2558</v>
      </c>
      <c r="E1231" s="19" t="s">
        <v>2559</v>
      </c>
      <c r="F1231" s="16">
        <v>5</v>
      </c>
      <c r="G1231" s="16">
        <v>65023301</v>
      </c>
      <c r="H1231" s="18">
        <v>0</v>
      </c>
      <c r="I1231" s="12">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4.25</v>
      </c>
      <c r="Y1231" s="12">
        <v>0</v>
      </c>
      <c r="Z1231" s="18">
        <v>7800</v>
      </c>
      <c r="AA1231" s="18">
        <v>0</v>
      </c>
      <c r="AB1231" s="18">
        <v>25</v>
      </c>
      <c r="AC1231" s="18">
        <v>0</v>
      </c>
      <c r="AD1231" s="18">
        <v>0</v>
      </c>
      <c r="AE1231" s="18">
        <v>0</v>
      </c>
      <c r="AF1231" s="18">
        <v>12</v>
      </c>
      <c r="AG1231" s="12">
        <v>2</v>
      </c>
      <c r="AH1231" s="12" t="s">
        <v>627</v>
      </c>
      <c r="AI1231" s="12">
        <v>0</v>
      </c>
      <c r="AJ1231" s="12">
        <v>2</v>
      </c>
      <c r="AK1231" s="12">
        <v>0</v>
      </c>
      <c r="AL1231" s="12">
        <v>2</v>
      </c>
      <c r="AM1231" s="18">
        <v>0</v>
      </c>
      <c r="AN1231" s="18">
        <v>0</v>
      </c>
      <c r="AO1231" s="18">
        <v>0</v>
      </c>
      <c r="AP1231" s="18">
        <v>0.25</v>
      </c>
      <c r="AQ1231" s="18">
        <v>3000</v>
      </c>
      <c r="AR1231" s="18">
        <v>0</v>
      </c>
      <c r="AS1231" s="18">
        <v>10</v>
      </c>
      <c r="AT1231" s="12">
        <v>0</v>
      </c>
      <c r="AU1231" s="349" t="s">
        <v>2560</v>
      </c>
      <c r="AV1231" s="18"/>
      <c r="AW1231" s="19" t="s">
        <v>199</v>
      </c>
      <c r="AX1231" s="18" t="s">
        <v>534</v>
      </c>
      <c r="AY1231" s="18">
        <v>10003002</v>
      </c>
      <c r="AZ1231" s="18">
        <v>21403030</v>
      </c>
      <c r="BA1231" s="19" t="s">
        <v>200</v>
      </c>
      <c r="BB1231" s="19">
        <v>0</v>
      </c>
      <c r="BC1231" s="27">
        <v>0</v>
      </c>
      <c r="BD1231" s="27">
        <v>0</v>
      </c>
      <c r="BE1231" s="183" t="str">
        <f t="shared" si="142"/>
        <v>对前方敌人造成425%攻击伤害+7800点固定伤害,并造成击退效果,如果目标血量低于30%则额外提升50%伤害。</v>
      </c>
      <c r="BF1231" s="183" t="s">
        <v>2566</v>
      </c>
      <c r="BG1231" s="18">
        <v>0</v>
      </c>
      <c r="BH1231" s="16">
        <v>0</v>
      </c>
      <c r="BI1231" s="18">
        <v>0</v>
      </c>
      <c r="BJ1231" s="18">
        <v>0</v>
      </c>
      <c r="BK1231" s="18">
        <v>0</v>
      </c>
      <c r="BL1231" s="18">
        <v>0</v>
      </c>
      <c r="BM1231" s="15">
        <v>0</v>
      </c>
      <c r="BN1231" s="12">
        <v>0</v>
      </c>
      <c r="BO1231" s="12">
        <v>0</v>
      </c>
      <c r="BP1231" s="12">
        <v>0</v>
      </c>
      <c r="BQ1231" s="12">
        <v>0</v>
      </c>
      <c r="BR1231" s="12">
        <v>0</v>
      </c>
      <c r="BS1231" s="12">
        <v>0</v>
      </c>
      <c r="BT1231" s="12">
        <v>0</v>
      </c>
      <c r="BU1231" s="47">
        <v>0</v>
      </c>
      <c r="BV1231" s="47" t="s">
        <v>2562</v>
      </c>
      <c r="BW1231" s="47"/>
    </row>
    <row r="1232" spans="3:75" ht="20.100000000000001" customHeight="1">
      <c r="C1232" s="18">
        <v>65023401</v>
      </c>
      <c r="D1232" s="19" t="s">
        <v>2567</v>
      </c>
      <c r="E1232" s="19" t="s">
        <v>2568</v>
      </c>
      <c r="F1232" s="16">
        <v>0</v>
      </c>
      <c r="G1232" s="18">
        <v>65023401</v>
      </c>
      <c r="H1232" s="18">
        <v>65023402</v>
      </c>
      <c r="I1232" s="27">
        <v>0</v>
      </c>
      <c r="J1232" s="16">
        <v>35</v>
      </c>
      <c r="K1232" s="18">
        <v>5</v>
      </c>
      <c r="L1232" s="16">
        <v>0</v>
      </c>
      <c r="M1232" s="18">
        <v>0</v>
      </c>
      <c r="N1232" s="18">
        <v>0</v>
      </c>
      <c r="O1232" s="18">
        <v>1</v>
      </c>
      <c r="P1232" s="18">
        <v>0</v>
      </c>
      <c r="Q1232" s="18">
        <v>0</v>
      </c>
      <c r="R1232" s="18">
        <v>0</v>
      </c>
      <c r="S1232" s="12">
        <v>0</v>
      </c>
      <c r="T1232" s="27">
        <v>0</v>
      </c>
      <c r="U1232" s="16">
        <v>1</v>
      </c>
      <c r="V1232" s="18">
        <v>2</v>
      </c>
      <c r="W1232" s="18">
        <v>0</v>
      </c>
      <c r="X1232" s="18">
        <v>2.5</v>
      </c>
      <c r="Y1232" s="12">
        <v>0</v>
      </c>
      <c r="Z1232" s="18">
        <v>900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"对自身大范围内的敌人目标造成"&amp;X1232*100&amp;"%攻击伤害+"&amp;Z1232&amp;"点固定伤害,，并将其快速拉回到自身前面，并造成1秒置空。"</f>
        <v>对自身大范围内的敌人目标造成250%攻击伤害+900点固定伤害,，并将其快速拉回到自身前面，并造成1秒置空。</v>
      </c>
      <c r="BF1232" s="183" t="s">
        <v>2569</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3:75" ht="20.100000000000001" customHeight="1">
      <c r="C1233" s="18">
        <v>65023402</v>
      </c>
      <c r="D1233" s="19" t="s">
        <v>2567</v>
      </c>
      <c r="E1233" s="19" t="s">
        <v>2568</v>
      </c>
      <c r="F1233" s="16">
        <v>1</v>
      </c>
      <c r="G1233" s="18">
        <v>65023401</v>
      </c>
      <c r="H1233" s="18">
        <v>65023403</v>
      </c>
      <c r="I1233" s="27">
        <v>0</v>
      </c>
      <c r="J1233" s="16">
        <v>42</v>
      </c>
      <c r="K1233" s="18">
        <v>2</v>
      </c>
      <c r="L1233" s="16">
        <v>0</v>
      </c>
      <c r="M1233" s="18">
        <v>0</v>
      </c>
      <c r="N1233" s="18">
        <v>0</v>
      </c>
      <c r="O1233" s="18">
        <v>1</v>
      </c>
      <c r="P1233" s="18">
        <v>0</v>
      </c>
      <c r="Q1233" s="18">
        <v>0</v>
      </c>
      <c r="R1233" s="18">
        <v>0</v>
      </c>
      <c r="S1233" s="12">
        <v>0</v>
      </c>
      <c r="T1233" s="27">
        <v>0</v>
      </c>
      <c r="U1233" s="16">
        <v>1</v>
      </c>
      <c r="V1233" s="18">
        <v>2</v>
      </c>
      <c r="W1233" s="18">
        <v>0</v>
      </c>
      <c r="X1233" s="18">
        <v>2.5</v>
      </c>
      <c r="Y1233" s="12">
        <v>0</v>
      </c>
      <c r="Z1233" s="18">
        <v>900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ref="BE1233:BE1237" si="143">"对自身大范围内的敌人目标造成"&amp;X1233*100&amp;"%攻击伤害+"&amp;Z1233&amp;"点固定伤害,，并将其快速拉回到自身前面，并造成1秒置空。"</f>
        <v>对自身大范围内的敌人目标造成250%攻击伤害+900点固定伤害,，并将其快速拉回到自身前面，并造成1秒置空。</v>
      </c>
      <c r="BF1233" s="183" t="s">
        <v>2569</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3:75" ht="20.100000000000001" customHeight="1">
      <c r="C1234" s="18">
        <v>65023403</v>
      </c>
      <c r="D1234" s="19" t="s">
        <v>2567</v>
      </c>
      <c r="E1234" s="19" t="s">
        <v>2568</v>
      </c>
      <c r="F1234" s="16">
        <v>2</v>
      </c>
      <c r="G1234" s="18">
        <v>65023401</v>
      </c>
      <c r="H1234" s="18">
        <v>65023404</v>
      </c>
      <c r="I1234" s="27">
        <v>0</v>
      </c>
      <c r="J1234" s="16">
        <v>47</v>
      </c>
      <c r="K1234" s="18">
        <v>2</v>
      </c>
      <c r="L1234" s="16">
        <v>0</v>
      </c>
      <c r="M1234" s="18">
        <v>0</v>
      </c>
      <c r="N1234" s="18">
        <v>0</v>
      </c>
      <c r="O1234" s="18">
        <v>1</v>
      </c>
      <c r="P1234" s="18">
        <v>0</v>
      </c>
      <c r="Q1234" s="18">
        <v>0</v>
      </c>
      <c r="R1234" s="18">
        <v>0</v>
      </c>
      <c r="S1234" s="12">
        <v>0</v>
      </c>
      <c r="T1234" s="27">
        <v>0</v>
      </c>
      <c r="U1234" s="16">
        <v>1</v>
      </c>
      <c r="V1234" s="18">
        <v>2</v>
      </c>
      <c r="W1234" s="18">
        <v>0</v>
      </c>
      <c r="X1234" s="18">
        <v>2.75</v>
      </c>
      <c r="Y1234" s="12">
        <v>0</v>
      </c>
      <c r="Z1234" s="18">
        <v>1800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1547</v>
      </c>
      <c r="AX1234" s="18" t="s">
        <v>534</v>
      </c>
      <c r="AY1234" s="18">
        <v>10000009</v>
      </c>
      <c r="AZ1234" s="18">
        <v>21403040</v>
      </c>
      <c r="BA1234" s="17" t="s">
        <v>1549</v>
      </c>
      <c r="BB1234" s="19">
        <v>0</v>
      </c>
      <c r="BC1234" s="27">
        <v>0</v>
      </c>
      <c r="BD1234" s="27">
        <v>0</v>
      </c>
      <c r="BE1234" s="183" t="str">
        <f t="shared" si="143"/>
        <v>对自身大范围内的敌人目标造成275%攻击伤害+1800点固定伤害,，并将其快速拉回到自身前面，并造成1秒置空。</v>
      </c>
      <c r="BF1234" s="183" t="s">
        <v>2570</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row>
    <row r="1235" spans="3:75" ht="20.100000000000001" customHeight="1">
      <c r="C1235" s="18">
        <v>65023404</v>
      </c>
      <c r="D1235" s="19" t="s">
        <v>2567</v>
      </c>
      <c r="E1235" s="19" t="s">
        <v>2568</v>
      </c>
      <c r="F1235" s="16">
        <v>3</v>
      </c>
      <c r="G1235" s="18">
        <v>65023401</v>
      </c>
      <c r="H1235" s="16">
        <v>0</v>
      </c>
      <c r="I1235" s="27">
        <v>0</v>
      </c>
      <c r="J1235" s="18">
        <v>0</v>
      </c>
      <c r="K1235" s="18">
        <v>0</v>
      </c>
      <c r="L1235" s="16">
        <v>0</v>
      </c>
      <c r="M1235" s="18">
        <v>0</v>
      </c>
      <c r="N1235" s="18">
        <v>0</v>
      </c>
      <c r="O1235" s="18">
        <v>1</v>
      </c>
      <c r="P1235" s="18">
        <v>0</v>
      </c>
      <c r="Q1235" s="18">
        <v>0</v>
      </c>
      <c r="R1235" s="18">
        <v>0</v>
      </c>
      <c r="S1235" s="12">
        <v>0</v>
      </c>
      <c r="T1235" s="27">
        <v>0</v>
      </c>
      <c r="U1235" s="16">
        <v>1</v>
      </c>
      <c r="V1235" s="18">
        <v>2</v>
      </c>
      <c r="W1235" s="18">
        <v>0</v>
      </c>
      <c r="X1235" s="18">
        <v>3</v>
      </c>
      <c r="Y1235" s="12">
        <v>0</v>
      </c>
      <c r="Z1235" s="18">
        <v>2800</v>
      </c>
      <c r="AA1235" s="18">
        <v>1</v>
      </c>
      <c r="AB1235" s="18">
        <v>30</v>
      </c>
      <c r="AC1235" s="18">
        <v>0</v>
      </c>
      <c r="AD1235" s="18">
        <v>0</v>
      </c>
      <c r="AE1235" s="18">
        <v>0</v>
      </c>
      <c r="AF1235" s="18">
        <v>18</v>
      </c>
      <c r="AG1235" s="18">
        <v>1</v>
      </c>
      <c r="AH1235" s="18">
        <v>5</v>
      </c>
      <c r="AI1235" s="12">
        <v>0</v>
      </c>
      <c r="AJ1235" s="12">
        <v>0</v>
      </c>
      <c r="AK1235" s="12">
        <v>0</v>
      </c>
      <c r="AL1235" s="12">
        <v>3</v>
      </c>
      <c r="AM1235" s="18">
        <v>0</v>
      </c>
      <c r="AN1235" s="18">
        <v>0</v>
      </c>
      <c r="AO1235" s="18">
        <v>0</v>
      </c>
      <c r="AP1235" s="18">
        <v>0.3</v>
      </c>
      <c r="AQ1235" s="18">
        <v>2000</v>
      </c>
      <c r="AR1235" s="18">
        <v>0.5</v>
      </c>
      <c r="AS1235" s="18">
        <v>0</v>
      </c>
      <c r="AT1235" s="12">
        <v>0</v>
      </c>
      <c r="AU1235" s="18">
        <v>92041070</v>
      </c>
      <c r="AV1235" s="18"/>
      <c r="AW1235" s="19" t="s">
        <v>1547</v>
      </c>
      <c r="AX1235" s="18" t="s">
        <v>534</v>
      </c>
      <c r="AY1235" s="18">
        <v>10000009</v>
      </c>
      <c r="AZ1235" s="18">
        <v>21403040</v>
      </c>
      <c r="BA1235" s="17" t="s">
        <v>1549</v>
      </c>
      <c r="BB1235" s="19">
        <v>0</v>
      </c>
      <c r="BC1235" s="27">
        <v>0</v>
      </c>
      <c r="BD1235" s="27">
        <v>0</v>
      </c>
      <c r="BE1235" s="183" t="str">
        <f t="shared" si="143"/>
        <v>对自身大范围内的敌人目标造成300%攻击伤害+2800点固定伤害,，并将其快速拉回到自身前面，并造成1秒置空。</v>
      </c>
      <c r="BF1235" s="183" t="s">
        <v>2571</v>
      </c>
      <c r="BG1235" s="18">
        <v>0</v>
      </c>
      <c r="BH1235" s="16">
        <v>0</v>
      </c>
      <c r="BI1235" s="18">
        <v>0</v>
      </c>
      <c r="BJ1235" s="18">
        <v>0</v>
      </c>
      <c r="BK1235" s="18">
        <v>0</v>
      </c>
      <c r="BL1235" s="18">
        <v>0</v>
      </c>
      <c r="BM1235" s="15">
        <v>0</v>
      </c>
      <c r="BN1235" s="12">
        <v>1</v>
      </c>
      <c r="BO1235" s="12">
        <v>0</v>
      </c>
      <c r="BP1235" s="12">
        <v>0</v>
      </c>
      <c r="BQ1235" s="12">
        <v>0</v>
      </c>
      <c r="BR1235" s="12">
        <v>0</v>
      </c>
      <c r="BS1235" s="12">
        <v>0</v>
      </c>
      <c r="BT1235" s="12">
        <v>0</v>
      </c>
      <c r="BU1235" s="47">
        <v>0</v>
      </c>
      <c r="BV1235" s="47"/>
      <c r="BW1235" s="47"/>
    </row>
    <row r="1236" spans="3:75" ht="20.100000000000001" customHeight="1">
      <c r="C1236" s="18">
        <v>65023405</v>
      </c>
      <c r="D1236" s="19" t="s">
        <v>2567</v>
      </c>
      <c r="E1236" s="19" t="s">
        <v>2568</v>
      </c>
      <c r="F1236" s="16">
        <v>4</v>
      </c>
      <c r="G1236" s="18">
        <v>65023401</v>
      </c>
      <c r="H1236" s="16">
        <v>0</v>
      </c>
      <c r="I1236" s="27">
        <v>0</v>
      </c>
      <c r="J1236" s="18">
        <v>0</v>
      </c>
      <c r="K1236" s="18">
        <v>0</v>
      </c>
      <c r="L1236" s="16">
        <v>0</v>
      </c>
      <c r="M1236" s="18">
        <v>0</v>
      </c>
      <c r="N1236" s="18">
        <v>0</v>
      </c>
      <c r="O1236" s="18">
        <v>1</v>
      </c>
      <c r="P1236" s="18">
        <v>0</v>
      </c>
      <c r="Q1236" s="18">
        <v>0</v>
      </c>
      <c r="R1236" s="18">
        <v>0</v>
      </c>
      <c r="S1236" s="12">
        <v>0</v>
      </c>
      <c r="T1236" s="27">
        <v>0</v>
      </c>
      <c r="U1236" s="16">
        <v>1</v>
      </c>
      <c r="V1236" s="18">
        <v>2</v>
      </c>
      <c r="W1236" s="18">
        <v>0</v>
      </c>
      <c r="X1236" s="18">
        <v>3.25</v>
      </c>
      <c r="Y1236" s="12">
        <v>0</v>
      </c>
      <c r="Z1236" s="18">
        <v>4000</v>
      </c>
      <c r="AA1236" s="18">
        <v>1</v>
      </c>
      <c r="AB1236" s="18">
        <v>30</v>
      </c>
      <c r="AC1236" s="18">
        <v>0</v>
      </c>
      <c r="AD1236" s="18">
        <v>0</v>
      </c>
      <c r="AE1236" s="18">
        <v>0</v>
      </c>
      <c r="AF1236" s="18">
        <v>18</v>
      </c>
      <c r="AG1236" s="18">
        <v>1</v>
      </c>
      <c r="AH1236" s="18">
        <v>5</v>
      </c>
      <c r="AI1236" s="12">
        <v>0</v>
      </c>
      <c r="AJ1236" s="12">
        <v>0</v>
      </c>
      <c r="AK1236" s="12">
        <v>0</v>
      </c>
      <c r="AL1236" s="12">
        <v>3</v>
      </c>
      <c r="AM1236" s="18">
        <v>0</v>
      </c>
      <c r="AN1236" s="18">
        <v>0</v>
      </c>
      <c r="AO1236" s="18">
        <v>0</v>
      </c>
      <c r="AP1236" s="18">
        <v>0.3</v>
      </c>
      <c r="AQ1236" s="18">
        <v>2000</v>
      </c>
      <c r="AR1236" s="18">
        <v>0.5</v>
      </c>
      <c r="AS1236" s="18">
        <v>0</v>
      </c>
      <c r="AT1236" s="12">
        <v>0</v>
      </c>
      <c r="AU1236" s="18">
        <v>92041070</v>
      </c>
      <c r="AV1236" s="18"/>
      <c r="AW1236" s="19" t="s">
        <v>1547</v>
      </c>
      <c r="AX1236" s="18" t="s">
        <v>534</v>
      </c>
      <c r="AY1236" s="18">
        <v>10000009</v>
      </c>
      <c r="AZ1236" s="18">
        <v>21403040</v>
      </c>
      <c r="BA1236" s="17" t="s">
        <v>1549</v>
      </c>
      <c r="BB1236" s="19">
        <v>0</v>
      </c>
      <c r="BC1236" s="27">
        <v>0</v>
      </c>
      <c r="BD1236" s="27">
        <v>0</v>
      </c>
      <c r="BE1236" s="183" t="str">
        <f t="shared" si="143"/>
        <v>对自身大范围内的敌人目标造成325%攻击伤害+4000点固定伤害,，并将其快速拉回到自身前面，并造成1秒置空。</v>
      </c>
      <c r="BF1236" s="183" t="s">
        <v>2572</v>
      </c>
      <c r="BG1236" s="18">
        <v>0</v>
      </c>
      <c r="BH1236" s="16">
        <v>0</v>
      </c>
      <c r="BI1236" s="18">
        <v>0</v>
      </c>
      <c r="BJ1236" s="18">
        <v>0</v>
      </c>
      <c r="BK1236" s="18">
        <v>0</v>
      </c>
      <c r="BL1236" s="18">
        <v>0</v>
      </c>
      <c r="BM1236" s="15">
        <v>0</v>
      </c>
      <c r="BN1236" s="12">
        <v>1</v>
      </c>
      <c r="BO1236" s="12">
        <v>0</v>
      </c>
      <c r="BP1236" s="12">
        <v>0</v>
      </c>
      <c r="BQ1236" s="12">
        <v>0</v>
      </c>
      <c r="BR1236" s="12">
        <v>0</v>
      </c>
      <c r="BS1236" s="12">
        <v>0</v>
      </c>
      <c r="BT1236" s="12">
        <v>0</v>
      </c>
      <c r="BU1236" s="47">
        <v>0</v>
      </c>
      <c r="BV1236" s="47"/>
      <c r="BW1236" s="47"/>
    </row>
    <row r="1237" spans="3:75" ht="20.100000000000001" customHeight="1">
      <c r="C1237" s="18">
        <v>65023406</v>
      </c>
      <c r="D1237" s="19" t="s">
        <v>2567</v>
      </c>
      <c r="E1237" s="19" t="s">
        <v>2568</v>
      </c>
      <c r="F1237" s="16">
        <v>5</v>
      </c>
      <c r="G1237" s="18">
        <v>65023401</v>
      </c>
      <c r="H1237" s="16">
        <v>0</v>
      </c>
      <c r="I1237" s="27">
        <v>0</v>
      </c>
      <c r="J1237" s="18">
        <v>0</v>
      </c>
      <c r="K1237" s="18">
        <v>0</v>
      </c>
      <c r="L1237" s="16">
        <v>0</v>
      </c>
      <c r="M1237" s="18">
        <v>0</v>
      </c>
      <c r="N1237" s="18">
        <v>0</v>
      </c>
      <c r="O1237" s="18">
        <v>1</v>
      </c>
      <c r="P1237" s="18">
        <v>0</v>
      </c>
      <c r="Q1237" s="18">
        <v>0</v>
      </c>
      <c r="R1237" s="18">
        <v>0</v>
      </c>
      <c r="S1237" s="12">
        <v>0</v>
      </c>
      <c r="T1237" s="27">
        <v>0</v>
      </c>
      <c r="U1237" s="16">
        <v>1</v>
      </c>
      <c r="V1237" s="18">
        <v>2</v>
      </c>
      <c r="W1237" s="18">
        <v>0</v>
      </c>
      <c r="X1237" s="18">
        <v>3.5</v>
      </c>
      <c r="Y1237" s="12">
        <v>0</v>
      </c>
      <c r="Z1237" s="18">
        <v>5200</v>
      </c>
      <c r="AA1237" s="18">
        <v>1</v>
      </c>
      <c r="AB1237" s="18">
        <v>30</v>
      </c>
      <c r="AC1237" s="18">
        <v>0</v>
      </c>
      <c r="AD1237" s="18">
        <v>0</v>
      </c>
      <c r="AE1237" s="18">
        <v>0</v>
      </c>
      <c r="AF1237" s="18">
        <v>18</v>
      </c>
      <c r="AG1237" s="18">
        <v>1</v>
      </c>
      <c r="AH1237" s="18">
        <v>5</v>
      </c>
      <c r="AI1237" s="12">
        <v>0</v>
      </c>
      <c r="AJ1237" s="12">
        <v>0</v>
      </c>
      <c r="AK1237" s="12">
        <v>0</v>
      </c>
      <c r="AL1237" s="12">
        <v>3</v>
      </c>
      <c r="AM1237" s="18">
        <v>0</v>
      </c>
      <c r="AN1237" s="18">
        <v>0</v>
      </c>
      <c r="AO1237" s="18">
        <v>0</v>
      </c>
      <c r="AP1237" s="18">
        <v>0.3</v>
      </c>
      <c r="AQ1237" s="18">
        <v>2000</v>
      </c>
      <c r="AR1237" s="18">
        <v>0.5</v>
      </c>
      <c r="AS1237" s="18">
        <v>0</v>
      </c>
      <c r="AT1237" s="12">
        <v>0</v>
      </c>
      <c r="AU1237" s="18">
        <v>92041070</v>
      </c>
      <c r="AV1237" s="18"/>
      <c r="AW1237" s="19" t="s">
        <v>1547</v>
      </c>
      <c r="AX1237" s="18" t="s">
        <v>534</v>
      </c>
      <c r="AY1237" s="18">
        <v>10000009</v>
      </c>
      <c r="AZ1237" s="18">
        <v>21403040</v>
      </c>
      <c r="BA1237" s="17" t="s">
        <v>1549</v>
      </c>
      <c r="BB1237" s="19">
        <v>0</v>
      </c>
      <c r="BC1237" s="27">
        <v>0</v>
      </c>
      <c r="BD1237" s="27">
        <v>0</v>
      </c>
      <c r="BE1237" s="183" t="str">
        <f t="shared" si="143"/>
        <v>对自身大范围内的敌人目标造成350%攻击伤害+5200点固定伤害,，并将其快速拉回到自身前面，并造成1秒置空。</v>
      </c>
      <c r="BF1237" s="183" t="s">
        <v>2573</v>
      </c>
      <c r="BG1237" s="18">
        <v>0</v>
      </c>
      <c r="BH1237" s="16">
        <v>0</v>
      </c>
      <c r="BI1237" s="18">
        <v>0</v>
      </c>
      <c r="BJ1237" s="18">
        <v>0</v>
      </c>
      <c r="BK1237" s="18">
        <v>0</v>
      </c>
      <c r="BL1237" s="18">
        <v>0</v>
      </c>
      <c r="BM1237" s="15">
        <v>0</v>
      </c>
      <c r="BN1237" s="12">
        <v>1</v>
      </c>
      <c r="BO1237" s="12">
        <v>0</v>
      </c>
      <c r="BP1237" s="12">
        <v>0</v>
      </c>
      <c r="BQ1237" s="12">
        <v>0</v>
      </c>
      <c r="BR1237" s="12">
        <v>0</v>
      </c>
      <c r="BS1237" s="12">
        <v>0</v>
      </c>
      <c r="BT1237" s="12">
        <v>0</v>
      </c>
      <c r="BU1237" s="47">
        <v>0</v>
      </c>
      <c r="BV1237" s="47"/>
      <c r="BW1237" s="47"/>
    </row>
    <row r="1238" spans="3:75" ht="20.100000000000001" customHeight="1">
      <c r="C1238" s="18">
        <v>60031111</v>
      </c>
      <c r="D1238" s="13" t="s">
        <v>2574</v>
      </c>
      <c r="E1238" s="13" t="s">
        <v>2575</v>
      </c>
      <c r="F1238" s="18">
        <v>1</v>
      </c>
      <c r="G1238" s="18">
        <v>60031111</v>
      </c>
      <c r="H1238" s="18">
        <v>0</v>
      </c>
      <c r="I1238" s="27">
        <v>0</v>
      </c>
      <c r="J1238" s="18">
        <v>60</v>
      </c>
      <c r="K1238" s="18">
        <v>0</v>
      </c>
      <c r="L1238" s="18">
        <v>0</v>
      </c>
      <c r="M1238" s="16">
        <v>0</v>
      </c>
      <c r="N1238" s="16">
        <v>0</v>
      </c>
      <c r="O1238" s="18">
        <v>1</v>
      </c>
      <c r="P1238" s="16">
        <v>0</v>
      </c>
      <c r="Q1238" s="16">
        <v>1</v>
      </c>
      <c r="R1238" s="16">
        <v>0</v>
      </c>
      <c r="S1238" s="12">
        <v>0</v>
      </c>
      <c r="T1238" s="16">
        <v>0</v>
      </c>
      <c r="U1238" s="16">
        <v>1</v>
      </c>
      <c r="V1238" s="16">
        <v>2</v>
      </c>
      <c r="W1238" s="16">
        <v>0</v>
      </c>
      <c r="X1238" s="16">
        <v>3</v>
      </c>
      <c r="Y1238" s="12">
        <v>0</v>
      </c>
      <c r="Z1238" s="16">
        <v>0</v>
      </c>
      <c r="AA1238" s="16">
        <v>1</v>
      </c>
      <c r="AB1238" s="16">
        <v>0</v>
      </c>
      <c r="AC1238" s="16">
        <v>0</v>
      </c>
      <c r="AD1238" s="16">
        <v>0</v>
      </c>
      <c r="AE1238" s="16">
        <v>0</v>
      </c>
      <c r="AF1238" s="16">
        <v>20</v>
      </c>
      <c r="AG1238" s="16">
        <v>1</v>
      </c>
      <c r="AH1238" s="16">
        <v>3</v>
      </c>
      <c r="AI1238" s="12">
        <v>0</v>
      </c>
      <c r="AJ1238" s="12">
        <v>2</v>
      </c>
      <c r="AK1238" s="12">
        <v>0</v>
      </c>
      <c r="AL1238" s="12">
        <v>2</v>
      </c>
      <c r="AM1238" s="16">
        <v>0</v>
      </c>
      <c r="AN1238" s="16">
        <v>0</v>
      </c>
      <c r="AO1238" s="16">
        <v>0</v>
      </c>
      <c r="AP1238" s="16">
        <v>2</v>
      </c>
      <c r="AQ1238" s="16">
        <v>10000</v>
      </c>
      <c r="AR1238" s="16">
        <v>0.5</v>
      </c>
      <c r="AS1238" s="16">
        <v>10</v>
      </c>
      <c r="AT1238" s="12">
        <v>0</v>
      </c>
      <c r="AU1238" s="16" t="s">
        <v>198</v>
      </c>
      <c r="AV1238" s="16"/>
      <c r="AW1238" s="19" t="s">
        <v>2576</v>
      </c>
      <c r="AX1238" s="16" t="s">
        <v>534</v>
      </c>
      <c r="AY1238" s="18">
        <v>10000007</v>
      </c>
      <c r="AZ1238" s="18">
        <v>22001001</v>
      </c>
      <c r="BA1238" s="19" t="s">
        <v>586</v>
      </c>
      <c r="BB1238" s="27" t="s">
        <v>2577</v>
      </c>
      <c r="BC1238" s="27">
        <v>0</v>
      </c>
      <c r="BD1238" s="27">
        <v>1</v>
      </c>
      <c r="BE1238" s="44" t="s">
        <v>2578</v>
      </c>
      <c r="BF1238" s="44" t="s">
        <v>2579</v>
      </c>
      <c r="BG1238" s="16">
        <v>0</v>
      </c>
      <c r="BH1238" s="16">
        <v>0</v>
      </c>
      <c r="BI1238" s="16">
        <v>0</v>
      </c>
      <c r="BJ1238" s="16">
        <v>0</v>
      </c>
      <c r="BK1238" s="16">
        <v>0</v>
      </c>
      <c r="BL1238" s="16">
        <v>0</v>
      </c>
      <c r="BM1238" s="15">
        <v>0</v>
      </c>
      <c r="BN1238" s="12">
        <v>0</v>
      </c>
      <c r="BO1238" s="12">
        <v>0</v>
      </c>
      <c r="BP1238" s="12">
        <v>0</v>
      </c>
      <c r="BQ1238" s="12">
        <v>0</v>
      </c>
      <c r="BR1238" s="12">
        <v>0</v>
      </c>
      <c r="BS1238" s="12">
        <v>0</v>
      </c>
      <c r="BT1238" s="12">
        <v>0</v>
      </c>
      <c r="BU1238" s="47">
        <v>0</v>
      </c>
      <c r="BV1238" s="47"/>
      <c r="BW1238" s="47"/>
    </row>
    <row r="1239" spans="3:75" ht="20.100000000000001" customHeight="1">
      <c r="C1239" s="18">
        <v>60031121</v>
      </c>
      <c r="D1239" s="13" t="s">
        <v>2580</v>
      </c>
      <c r="E1239" s="13" t="s">
        <v>2581</v>
      </c>
      <c r="F1239" s="16">
        <v>1</v>
      </c>
      <c r="G1239" s="18">
        <v>60031121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1.5</v>
      </c>
      <c r="Y1239" s="12">
        <v>0</v>
      </c>
      <c r="Z1239" s="18">
        <v>0</v>
      </c>
      <c r="AA1239" s="18">
        <v>0</v>
      </c>
      <c r="AB1239" s="18">
        <v>0</v>
      </c>
      <c r="AC1239" s="18">
        <v>0</v>
      </c>
      <c r="AD1239" s="18">
        <v>0</v>
      </c>
      <c r="AE1239" s="18">
        <v>0</v>
      </c>
      <c r="AF1239" s="16">
        <v>20</v>
      </c>
      <c r="AG1239" s="18">
        <v>1</v>
      </c>
      <c r="AH1239" s="18">
        <v>5</v>
      </c>
      <c r="AI1239" s="12">
        <v>2</v>
      </c>
      <c r="AJ1239" s="12">
        <v>1</v>
      </c>
      <c r="AK1239" s="12">
        <v>0</v>
      </c>
      <c r="AL1239" s="12">
        <v>6</v>
      </c>
      <c r="AM1239" s="18">
        <v>0</v>
      </c>
      <c r="AN1239" s="18">
        <v>0</v>
      </c>
      <c r="AO1239" s="18">
        <v>0</v>
      </c>
      <c r="AP1239" s="18">
        <v>0.25</v>
      </c>
      <c r="AQ1239" s="18">
        <v>8000</v>
      </c>
      <c r="AR1239" s="18">
        <v>0.25</v>
      </c>
      <c r="AS1239" s="18">
        <v>0</v>
      </c>
      <c r="AT1239" s="12">
        <v>0</v>
      </c>
      <c r="AU1239" s="18">
        <v>83000004</v>
      </c>
      <c r="AV1239" s="18"/>
      <c r="AW1239" s="19" t="s">
        <v>199</v>
      </c>
      <c r="AX1239" s="18" t="s">
        <v>1408</v>
      </c>
      <c r="AY1239" s="18">
        <v>10002001</v>
      </c>
      <c r="AZ1239" s="18">
        <v>22001002</v>
      </c>
      <c r="BA1239" s="19" t="s">
        <v>315</v>
      </c>
      <c r="BB1239" s="19" t="s">
        <v>1756</v>
      </c>
      <c r="BC1239" s="27">
        <v>0</v>
      </c>
      <c r="BD1239" s="27">
        <v>1</v>
      </c>
      <c r="BE1239" s="183" t="s">
        <v>2582</v>
      </c>
      <c r="BF1239" s="183" t="s">
        <v>2583</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row>
    <row r="1240" spans="3:75" ht="20.100000000000001" customHeight="1">
      <c r="C1240" s="18">
        <v>60031131</v>
      </c>
      <c r="D1240" s="13" t="s">
        <v>2584</v>
      </c>
      <c r="E1240" s="13" t="s">
        <v>2585</v>
      </c>
      <c r="F1240" s="16">
        <v>1</v>
      </c>
      <c r="G1240" s="18">
        <v>60031131</v>
      </c>
      <c r="H1240" s="18">
        <v>0</v>
      </c>
      <c r="I1240" s="12">
        <v>0</v>
      </c>
      <c r="J1240" s="18">
        <v>60</v>
      </c>
      <c r="K1240" s="18">
        <v>0</v>
      </c>
      <c r="L1240" s="16">
        <v>0</v>
      </c>
      <c r="M1240" s="12">
        <v>0</v>
      </c>
      <c r="N1240" s="12">
        <v>0</v>
      </c>
      <c r="O1240" s="12">
        <v>1</v>
      </c>
      <c r="P1240" s="12">
        <v>0</v>
      </c>
      <c r="Q1240" s="12">
        <v>0</v>
      </c>
      <c r="R1240" s="12">
        <v>0</v>
      </c>
      <c r="S1240" s="12">
        <v>0</v>
      </c>
      <c r="T1240" s="12">
        <v>0</v>
      </c>
      <c r="U1240" s="16">
        <v>1</v>
      </c>
      <c r="V1240" s="12">
        <v>2</v>
      </c>
      <c r="W1240" s="12">
        <v>0</v>
      </c>
      <c r="X1240" s="18">
        <v>2</v>
      </c>
      <c r="Y1240" s="12">
        <v>0</v>
      </c>
      <c r="Z1240" s="18">
        <v>0</v>
      </c>
      <c r="AA1240" s="12">
        <v>0</v>
      </c>
      <c r="AB1240" s="12">
        <v>0</v>
      </c>
      <c r="AC1240" s="12">
        <v>0</v>
      </c>
      <c r="AD1240" s="12">
        <v>0</v>
      </c>
      <c r="AE1240" s="12">
        <v>0</v>
      </c>
      <c r="AF1240" s="16">
        <v>20</v>
      </c>
      <c r="AG1240" s="12">
        <v>0</v>
      </c>
      <c r="AH1240" s="12">
        <v>0</v>
      </c>
      <c r="AI1240" s="12">
        <v>0</v>
      </c>
      <c r="AJ1240" s="12">
        <v>0</v>
      </c>
      <c r="AK1240" s="12">
        <v>0</v>
      </c>
      <c r="AL1240" s="12">
        <v>3</v>
      </c>
      <c r="AM1240" s="12">
        <v>0</v>
      </c>
      <c r="AN1240" s="12">
        <v>0</v>
      </c>
      <c r="AO1240" s="12">
        <v>0</v>
      </c>
      <c r="AP1240" s="12">
        <v>0.25</v>
      </c>
      <c r="AQ1240" s="12">
        <v>1000</v>
      </c>
      <c r="AR1240" s="12">
        <v>0</v>
      </c>
      <c r="AS1240" s="12">
        <v>0</v>
      </c>
      <c r="AT1240" s="12">
        <v>0</v>
      </c>
      <c r="AU1240" s="349" t="s">
        <v>2586</v>
      </c>
      <c r="AV1240" s="18"/>
      <c r="AW1240" s="13" t="s">
        <v>199</v>
      </c>
      <c r="AX1240" s="18" t="s">
        <v>1408</v>
      </c>
      <c r="AY1240" s="12" t="s">
        <v>198</v>
      </c>
      <c r="AZ1240" s="349" t="s">
        <v>2587</v>
      </c>
      <c r="BA1240" s="13" t="s">
        <v>200</v>
      </c>
      <c r="BB1240" s="12">
        <v>0</v>
      </c>
      <c r="BC1240" s="27">
        <v>0</v>
      </c>
      <c r="BD1240" s="27">
        <v>1</v>
      </c>
      <c r="BE1240" s="183" t="s">
        <v>2588</v>
      </c>
      <c r="BF1240" s="183" t="s">
        <v>2589</v>
      </c>
      <c r="BG1240" s="12">
        <v>0</v>
      </c>
      <c r="BH1240" s="16">
        <v>0</v>
      </c>
      <c r="BI1240" s="12">
        <v>0</v>
      </c>
      <c r="BJ1240" s="12">
        <v>0</v>
      </c>
      <c r="BK1240" s="12">
        <v>0</v>
      </c>
      <c r="BL1240" s="12">
        <v>0</v>
      </c>
      <c r="BM1240" s="15">
        <v>0</v>
      </c>
      <c r="BN1240" s="12">
        <v>0</v>
      </c>
      <c r="BO1240" s="12">
        <v>0</v>
      </c>
      <c r="BP1240" s="12">
        <v>0</v>
      </c>
      <c r="BQ1240" s="12">
        <v>0</v>
      </c>
      <c r="BR1240" s="12">
        <v>0</v>
      </c>
      <c r="BS1240" s="12">
        <v>0</v>
      </c>
      <c r="BT1240" s="12">
        <v>0</v>
      </c>
      <c r="BU1240" s="47">
        <v>0</v>
      </c>
      <c r="BV1240" s="47"/>
      <c r="BW1240" s="47"/>
    </row>
    <row r="1241" spans="3:75" ht="19.5" customHeight="1">
      <c r="C1241" s="18">
        <v>60031132</v>
      </c>
      <c r="D1241" s="13" t="s">
        <v>2590</v>
      </c>
      <c r="E1241" s="13" t="s">
        <v>2591</v>
      </c>
      <c r="F1241" s="16">
        <v>1</v>
      </c>
      <c r="G1241" s="18">
        <v>60031131</v>
      </c>
      <c r="H1241" s="18">
        <v>0</v>
      </c>
      <c r="I1241" s="27">
        <v>0</v>
      </c>
      <c r="J1241" s="18">
        <v>60</v>
      </c>
      <c r="K1241" s="18">
        <v>0</v>
      </c>
      <c r="L1241" s="16">
        <v>0</v>
      </c>
      <c r="M1241" s="18">
        <v>0</v>
      </c>
      <c r="N1241" s="18">
        <v>0</v>
      </c>
      <c r="O1241" s="18">
        <v>2</v>
      </c>
      <c r="P1241" s="18">
        <v>1</v>
      </c>
      <c r="Q1241" s="18">
        <v>1</v>
      </c>
      <c r="R1241" s="18">
        <v>0</v>
      </c>
      <c r="S1241" s="12">
        <v>0</v>
      </c>
      <c r="T1241" s="27">
        <v>0</v>
      </c>
      <c r="U1241" s="16">
        <v>1</v>
      </c>
      <c r="V1241" s="18">
        <v>2</v>
      </c>
      <c r="W1241" s="18">
        <v>0</v>
      </c>
      <c r="X1241" s="18">
        <v>2</v>
      </c>
      <c r="Y1241" s="12">
        <v>0</v>
      </c>
      <c r="Z1241" s="18">
        <v>0</v>
      </c>
      <c r="AA1241" s="18">
        <v>0</v>
      </c>
      <c r="AB1241" s="18">
        <v>0</v>
      </c>
      <c r="AC1241" s="18">
        <v>0</v>
      </c>
      <c r="AD1241" s="18">
        <v>1</v>
      </c>
      <c r="AE1241" s="18">
        <v>0</v>
      </c>
      <c r="AF1241" s="16">
        <v>0</v>
      </c>
      <c r="AG1241" s="18">
        <v>1</v>
      </c>
      <c r="AH1241" s="18">
        <v>3</v>
      </c>
      <c r="AI1241" s="12">
        <v>1</v>
      </c>
      <c r="AJ1241" s="12">
        <v>1</v>
      </c>
      <c r="AK1241" s="12">
        <v>0</v>
      </c>
      <c r="AL1241" s="12">
        <v>6</v>
      </c>
      <c r="AM1241" s="18">
        <v>0</v>
      </c>
      <c r="AN1241" s="18">
        <v>0</v>
      </c>
      <c r="AO1241" s="18">
        <v>0</v>
      </c>
      <c r="AP1241" s="18">
        <v>0</v>
      </c>
      <c r="AQ1241" s="18">
        <v>1000</v>
      </c>
      <c r="AR1241" s="18">
        <v>0</v>
      </c>
      <c r="AS1241" s="18">
        <v>0</v>
      </c>
      <c r="AT1241" s="12">
        <v>0</v>
      </c>
      <c r="AU1241" s="18">
        <v>0</v>
      </c>
      <c r="AV1241" s="18"/>
      <c r="AW1241" s="19" t="s">
        <v>198</v>
      </c>
      <c r="AX1241" s="18" t="s">
        <v>1826</v>
      </c>
      <c r="AY1241" s="18">
        <v>10003002</v>
      </c>
      <c r="AZ1241" s="12">
        <v>22001003</v>
      </c>
      <c r="BA1241" s="19" t="s">
        <v>200</v>
      </c>
      <c r="BB1241" s="19">
        <v>0</v>
      </c>
      <c r="BC1241" s="27">
        <v>0</v>
      </c>
      <c r="BD1241" s="27">
        <v>1</v>
      </c>
      <c r="BE1241" s="183"/>
      <c r="BF1241" s="183"/>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row>
    <row r="1242" spans="3:75" ht="20.100000000000001" customHeight="1">
      <c r="C1242" s="18">
        <v>60031141</v>
      </c>
      <c r="D1242" s="13" t="s">
        <v>2592</v>
      </c>
      <c r="E1242" s="13" t="s">
        <v>2593</v>
      </c>
      <c r="F1242" s="16">
        <v>1</v>
      </c>
      <c r="G1242" s="18">
        <v>60031141</v>
      </c>
      <c r="H1242" s="16">
        <v>0</v>
      </c>
      <c r="I1242" s="27">
        <v>0</v>
      </c>
      <c r="J1242" s="18">
        <v>60</v>
      </c>
      <c r="K1242" s="16">
        <v>0</v>
      </c>
      <c r="L1242" s="16">
        <v>0</v>
      </c>
      <c r="M1242" s="18">
        <v>0</v>
      </c>
      <c r="N1242" s="18">
        <v>0</v>
      </c>
      <c r="O1242" s="18">
        <v>1</v>
      </c>
      <c r="P1242" s="18">
        <v>0</v>
      </c>
      <c r="Q1242" s="18">
        <v>0</v>
      </c>
      <c r="R1242" s="18">
        <v>0</v>
      </c>
      <c r="S1242" s="12">
        <v>0</v>
      </c>
      <c r="T1242" s="27">
        <v>0</v>
      </c>
      <c r="U1242" s="16">
        <v>1</v>
      </c>
      <c r="V1242" s="18">
        <v>2</v>
      </c>
      <c r="W1242" s="18">
        <v>0</v>
      </c>
      <c r="X1242" s="18">
        <v>1.8</v>
      </c>
      <c r="Y1242" s="12">
        <v>0</v>
      </c>
      <c r="Z1242" s="18">
        <v>0</v>
      </c>
      <c r="AA1242" s="18">
        <v>0</v>
      </c>
      <c r="AB1242" s="18">
        <v>0</v>
      </c>
      <c r="AC1242" s="18">
        <v>0</v>
      </c>
      <c r="AD1242" s="18">
        <v>0</v>
      </c>
      <c r="AE1242" s="18">
        <v>0</v>
      </c>
      <c r="AF1242" s="16">
        <v>20</v>
      </c>
      <c r="AG1242" s="18">
        <v>1</v>
      </c>
      <c r="AH1242" s="18">
        <v>3</v>
      </c>
      <c r="AI1242" s="12">
        <v>2</v>
      </c>
      <c r="AJ1242" s="12">
        <v>1</v>
      </c>
      <c r="AK1242" s="12">
        <v>0</v>
      </c>
      <c r="AL1242" s="12">
        <v>6</v>
      </c>
      <c r="AM1242" s="18">
        <v>0</v>
      </c>
      <c r="AN1242" s="18">
        <v>0</v>
      </c>
      <c r="AO1242" s="18">
        <v>0</v>
      </c>
      <c r="AP1242" s="18">
        <v>0.25</v>
      </c>
      <c r="AQ1242" s="18">
        <v>20000</v>
      </c>
      <c r="AR1242" s="18">
        <v>0.25</v>
      </c>
      <c r="AS1242" s="18">
        <v>2</v>
      </c>
      <c r="AT1242" s="12">
        <v>0</v>
      </c>
      <c r="AU1242" s="18">
        <v>0</v>
      </c>
      <c r="AV1242" s="18"/>
      <c r="AW1242" s="19" t="s">
        <v>199</v>
      </c>
      <c r="AX1242" s="18" t="s">
        <v>1408</v>
      </c>
      <c r="AY1242" s="18">
        <v>10002001</v>
      </c>
      <c r="AZ1242" s="18">
        <v>22001004</v>
      </c>
      <c r="BA1242" s="19" t="s">
        <v>2594</v>
      </c>
      <c r="BB1242" s="19" t="s">
        <v>371</v>
      </c>
      <c r="BC1242" s="27">
        <v>0</v>
      </c>
      <c r="BD1242" s="27">
        <v>1</v>
      </c>
      <c r="BE1242" s="183" t="s">
        <v>2595</v>
      </c>
      <c r="BF1242" s="183" t="s">
        <v>2596</v>
      </c>
      <c r="BG1242" s="18">
        <v>0</v>
      </c>
      <c r="BH1242" s="16">
        <v>0</v>
      </c>
      <c r="BI1242" s="18">
        <v>0</v>
      </c>
      <c r="BJ1242" s="18">
        <v>0</v>
      </c>
      <c r="BK1242" s="18">
        <v>0</v>
      </c>
      <c r="BL1242" s="18">
        <v>0</v>
      </c>
      <c r="BM1242" s="15">
        <v>0</v>
      </c>
      <c r="BN1242" s="12">
        <v>0</v>
      </c>
      <c r="BO1242" s="12">
        <v>0</v>
      </c>
      <c r="BP1242" s="12">
        <v>0</v>
      </c>
      <c r="BQ1242" s="12">
        <v>0</v>
      </c>
      <c r="BR1242" s="12">
        <v>0</v>
      </c>
      <c r="BS1242" s="12">
        <v>0</v>
      </c>
      <c r="BT1242" s="12">
        <v>0</v>
      </c>
      <c r="BU1242" s="47">
        <v>0</v>
      </c>
      <c r="BV1242" s="47"/>
      <c r="BW1242" s="47"/>
    </row>
    <row r="1243" spans="3:75" ht="20.100000000000001" customHeight="1">
      <c r="C1243" s="18">
        <v>60031151</v>
      </c>
      <c r="D1243" s="13" t="s">
        <v>2597</v>
      </c>
      <c r="E1243" s="13" t="s">
        <v>2598</v>
      </c>
      <c r="F1243" s="16">
        <v>1</v>
      </c>
      <c r="G1243" s="18">
        <v>60031151</v>
      </c>
      <c r="H1243" s="16">
        <v>0</v>
      </c>
      <c r="I1243" s="27">
        <v>0</v>
      </c>
      <c r="J1243" s="18">
        <v>60</v>
      </c>
      <c r="K1243" s="16">
        <v>0</v>
      </c>
      <c r="L1243" s="16">
        <v>0</v>
      </c>
      <c r="M1243" s="16">
        <v>0</v>
      </c>
      <c r="N1243" s="16">
        <v>0</v>
      </c>
      <c r="O1243" s="16">
        <v>1</v>
      </c>
      <c r="P1243" s="16">
        <v>0</v>
      </c>
      <c r="Q1243" s="16">
        <v>0</v>
      </c>
      <c r="R1243" s="16">
        <v>0</v>
      </c>
      <c r="S1243" s="12">
        <v>0</v>
      </c>
      <c r="T1243" s="16">
        <v>0</v>
      </c>
      <c r="U1243" s="16">
        <v>1</v>
      </c>
      <c r="V1243" s="16">
        <v>2</v>
      </c>
      <c r="W1243" s="16">
        <v>0</v>
      </c>
      <c r="X1243" s="16">
        <v>1.5</v>
      </c>
      <c r="Y1243" s="12">
        <v>0</v>
      </c>
      <c r="Z1243" s="18">
        <v>0</v>
      </c>
      <c r="AA1243" s="16">
        <v>1</v>
      </c>
      <c r="AB1243" s="16">
        <v>0</v>
      </c>
      <c r="AC1243" s="16">
        <v>0</v>
      </c>
      <c r="AD1243" s="16">
        <v>0</v>
      </c>
      <c r="AE1243" s="16">
        <v>0</v>
      </c>
      <c r="AF1243" s="16">
        <v>20</v>
      </c>
      <c r="AG1243" s="16">
        <v>1</v>
      </c>
      <c r="AH1243" s="60">
        <v>4</v>
      </c>
      <c r="AI1243" s="12">
        <v>2</v>
      </c>
      <c r="AJ1243" s="12">
        <v>1</v>
      </c>
      <c r="AK1243" s="12">
        <v>0</v>
      </c>
      <c r="AL1243" s="12">
        <v>6</v>
      </c>
      <c r="AM1243" s="16">
        <v>0</v>
      </c>
      <c r="AN1243" s="16">
        <v>0</v>
      </c>
      <c r="AO1243" s="16">
        <v>0</v>
      </c>
      <c r="AP1243" s="16">
        <v>0.5</v>
      </c>
      <c r="AQ1243" s="16">
        <v>8000</v>
      </c>
      <c r="AR1243" s="16">
        <v>0.2</v>
      </c>
      <c r="AS1243" s="16">
        <v>0</v>
      </c>
      <c r="AT1243" s="12">
        <v>0</v>
      </c>
      <c r="AU1243" s="18">
        <v>90001025</v>
      </c>
      <c r="AV1243" s="18"/>
      <c r="AW1243" s="17" t="s">
        <v>617</v>
      </c>
      <c r="AX1243" s="18" t="s">
        <v>1041</v>
      </c>
      <c r="AY1243" s="18">
        <v>10000007</v>
      </c>
      <c r="AZ1243" s="18">
        <v>22001005</v>
      </c>
      <c r="BA1243" s="17" t="s">
        <v>1574</v>
      </c>
      <c r="BB1243" s="16">
        <v>0</v>
      </c>
      <c r="BC1243" s="27">
        <v>0</v>
      </c>
      <c r="BD1243" s="27">
        <v>1</v>
      </c>
      <c r="BE1243" s="183" t="s">
        <v>2599</v>
      </c>
      <c r="BF1243" s="183" t="s">
        <v>2600</v>
      </c>
      <c r="BG1243" s="16">
        <v>0</v>
      </c>
      <c r="BH1243" s="16">
        <v>0</v>
      </c>
      <c r="BI1243" s="16">
        <v>0</v>
      </c>
      <c r="BJ1243" s="16">
        <v>0</v>
      </c>
      <c r="BK1243" s="16">
        <v>0</v>
      </c>
      <c r="BL1243" s="16">
        <v>0</v>
      </c>
      <c r="BM1243" s="15">
        <v>0</v>
      </c>
      <c r="BN1243" s="12">
        <v>0</v>
      </c>
      <c r="BO1243" s="12">
        <v>0</v>
      </c>
      <c r="BP1243" s="12">
        <v>1000</v>
      </c>
      <c r="BQ1243" s="12">
        <v>1</v>
      </c>
      <c r="BR1243" s="12">
        <v>600</v>
      </c>
      <c r="BS1243" s="12">
        <v>600</v>
      </c>
      <c r="BT1243" s="12">
        <v>0</v>
      </c>
      <c r="BU1243" s="47">
        <v>0</v>
      </c>
      <c r="BV1243" s="47"/>
      <c r="BW1243" s="47"/>
    </row>
    <row r="1244" spans="3:75" ht="20.100000000000001" customHeight="1">
      <c r="C1244" s="18">
        <v>60031161</v>
      </c>
      <c r="D1244" s="13" t="s">
        <v>2601</v>
      </c>
      <c r="E1244" s="13" t="s">
        <v>2602</v>
      </c>
      <c r="F1244" s="16">
        <v>1</v>
      </c>
      <c r="G1244" s="18">
        <v>60031161</v>
      </c>
      <c r="H1244" s="18">
        <v>0</v>
      </c>
      <c r="I1244" s="27">
        <v>0</v>
      </c>
      <c r="J1244" s="18">
        <v>60</v>
      </c>
      <c r="K1244" s="16">
        <v>0</v>
      </c>
      <c r="L1244" s="16">
        <v>0</v>
      </c>
      <c r="M1244" s="18">
        <v>0</v>
      </c>
      <c r="N1244" s="18">
        <v>0</v>
      </c>
      <c r="O1244" s="18">
        <v>1</v>
      </c>
      <c r="P1244" s="18">
        <v>0</v>
      </c>
      <c r="Q1244" s="18">
        <v>0</v>
      </c>
      <c r="R1244" s="18">
        <v>0</v>
      </c>
      <c r="S1244" s="12">
        <v>0</v>
      </c>
      <c r="T1244" s="27">
        <v>0</v>
      </c>
      <c r="U1244" s="16">
        <v>1</v>
      </c>
      <c r="V1244" s="18">
        <v>2</v>
      </c>
      <c r="W1244" s="18">
        <v>0</v>
      </c>
      <c r="X1244" s="18">
        <v>3</v>
      </c>
      <c r="Y1244" s="12">
        <v>0</v>
      </c>
      <c r="Z1244" s="18">
        <v>0</v>
      </c>
      <c r="AA1244" s="18">
        <v>0</v>
      </c>
      <c r="AB1244" s="18">
        <v>0</v>
      </c>
      <c r="AC1244" s="18">
        <v>0</v>
      </c>
      <c r="AD1244" s="18">
        <v>0</v>
      </c>
      <c r="AE1244" s="18">
        <v>0</v>
      </c>
      <c r="AF1244" s="16">
        <v>20</v>
      </c>
      <c r="AG1244" s="18">
        <v>1</v>
      </c>
      <c r="AH1244" s="18">
        <v>8</v>
      </c>
      <c r="AI1244" s="12">
        <v>2</v>
      </c>
      <c r="AJ1244" s="12">
        <v>0</v>
      </c>
      <c r="AK1244" s="12">
        <v>1</v>
      </c>
      <c r="AL1244" s="12">
        <v>0</v>
      </c>
      <c r="AM1244" s="18">
        <v>0</v>
      </c>
      <c r="AN1244" s="18">
        <v>0</v>
      </c>
      <c r="AO1244" s="18">
        <v>0</v>
      </c>
      <c r="AP1244" s="18">
        <v>0.5</v>
      </c>
      <c r="AQ1244" s="18">
        <v>12000</v>
      </c>
      <c r="AR1244" s="18">
        <v>0</v>
      </c>
      <c r="AS1244" s="18">
        <v>0</v>
      </c>
      <c r="AT1244" s="12">
        <v>0</v>
      </c>
      <c r="AU1244" s="349" t="s">
        <v>2603</v>
      </c>
      <c r="AV1244" s="18"/>
      <c r="AW1244" s="19" t="s">
        <v>1557</v>
      </c>
      <c r="AX1244" s="18" t="s">
        <v>1408</v>
      </c>
      <c r="AY1244" s="18">
        <v>10002001</v>
      </c>
      <c r="AZ1244" s="18">
        <v>22001006</v>
      </c>
      <c r="BA1244" s="19" t="s">
        <v>2604</v>
      </c>
      <c r="BB1244" s="27" t="s">
        <v>2605</v>
      </c>
      <c r="BC1244" s="27">
        <v>0</v>
      </c>
      <c r="BD1244" s="27">
        <v>1</v>
      </c>
      <c r="BE1244" s="183" t="s">
        <v>2606</v>
      </c>
      <c r="BF1244" s="183" t="s">
        <v>2607</v>
      </c>
      <c r="BG1244" s="18">
        <v>0</v>
      </c>
      <c r="BH1244" s="16">
        <v>0</v>
      </c>
      <c r="BI1244" s="18">
        <v>0</v>
      </c>
      <c r="BJ1244" s="18">
        <v>0</v>
      </c>
      <c r="BK1244" s="18">
        <v>0</v>
      </c>
      <c r="BL1244" s="18">
        <v>0</v>
      </c>
      <c r="BM1244" s="15">
        <v>0</v>
      </c>
      <c r="BN1244" s="12">
        <v>0</v>
      </c>
      <c r="BO1244" s="12">
        <v>0</v>
      </c>
      <c r="BP1244" s="12">
        <v>0</v>
      </c>
      <c r="BQ1244" s="12">
        <v>0</v>
      </c>
      <c r="BR1244" s="12">
        <v>0</v>
      </c>
      <c r="BS1244" s="12">
        <v>0</v>
      </c>
      <c r="BT1244" s="12">
        <v>0</v>
      </c>
      <c r="BU1244" s="47">
        <v>0</v>
      </c>
      <c r="BV1244" s="47"/>
      <c r="BW1244" s="47"/>
    </row>
    <row r="1245" spans="3:75" ht="19.5" customHeight="1">
      <c r="C1245" s="18">
        <v>60031162</v>
      </c>
      <c r="D1245" s="149" t="s">
        <v>2608</v>
      </c>
      <c r="E1245" s="149" t="s">
        <v>2609</v>
      </c>
      <c r="F1245" s="148">
        <v>1</v>
      </c>
      <c r="G1245" s="150">
        <v>60010100</v>
      </c>
      <c r="H1245" s="148">
        <v>0</v>
      </c>
      <c r="I1245" s="154">
        <v>0</v>
      </c>
      <c r="J1245" s="148">
        <v>60</v>
      </c>
      <c r="K1245" s="148">
        <v>0</v>
      </c>
      <c r="L1245" s="148">
        <v>0</v>
      </c>
      <c r="M1245" s="150">
        <v>0</v>
      </c>
      <c r="N1245" s="150">
        <v>0</v>
      </c>
      <c r="O1245" s="150">
        <v>1</v>
      </c>
      <c r="P1245" s="150">
        <v>0</v>
      </c>
      <c r="Q1245" s="150">
        <v>1</v>
      </c>
      <c r="R1245" s="150">
        <v>0</v>
      </c>
      <c r="S1245" s="156">
        <v>0</v>
      </c>
      <c r="T1245" s="150">
        <v>0</v>
      </c>
      <c r="U1245" s="150">
        <v>1</v>
      </c>
      <c r="V1245" s="150">
        <v>2</v>
      </c>
      <c r="W1245" s="150">
        <v>0</v>
      </c>
      <c r="X1245" s="150">
        <v>3</v>
      </c>
      <c r="Y1245" s="12">
        <v>0</v>
      </c>
      <c r="Z1245" s="150">
        <v>0</v>
      </c>
      <c r="AA1245" s="150">
        <v>1</v>
      </c>
      <c r="AB1245" s="150">
        <v>0</v>
      </c>
      <c r="AC1245" s="150">
        <v>0</v>
      </c>
      <c r="AD1245" s="150">
        <v>0</v>
      </c>
      <c r="AE1245" s="150">
        <v>0</v>
      </c>
      <c r="AF1245" s="16">
        <v>0</v>
      </c>
      <c r="AG1245" s="150">
        <v>1</v>
      </c>
      <c r="AH1245" s="150">
        <v>3</v>
      </c>
      <c r="AI1245" s="156">
        <v>7</v>
      </c>
      <c r="AJ1245" s="156">
        <v>1</v>
      </c>
      <c r="AK1245" s="156">
        <v>0</v>
      </c>
      <c r="AL1245" s="156">
        <v>6</v>
      </c>
      <c r="AM1245" s="150">
        <v>0</v>
      </c>
      <c r="AN1245" s="150">
        <v>0</v>
      </c>
      <c r="AO1245" s="150">
        <v>0</v>
      </c>
      <c r="AP1245" s="150">
        <v>0</v>
      </c>
      <c r="AQ1245" s="150">
        <v>5000</v>
      </c>
      <c r="AR1245" s="150">
        <v>2.5</v>
      </c>
      <c r="AS1245" s="150">
        <v>0</v>
      </c>
      <c r="AT1245" s="156">
        <v>0</v>
      </c>
      <c r="AU1245" s="150">
        <v>80001030</v>
      </c>
      <c r="AV1245" s="150"/>
      <c r="AW1245" s="151"/>
      <c r="AX1245" s="150" t="s">
        <v>534</v>
      </c>
      <c r="AY1245" s="148">
        <v>10000007</v>
      </c>
      <c r="AZ1245" s="148">
        <v>70204001</v>
      </c>
      <c r="BA1245" s="149" t="s">
        <v>200</v>
      </c>
      <c r="BB1245" s="150">
        <v>0</v>
      </c>
      <c r="BC1245" s="154">
        <v>0</v>
      </c>
      <c r="BD1245" s="27">
        <v>1</v>
      </c>
      <c r="BE1245" s="168" t="s">
        <v>2610</v>
      </c>
      <c r="BF1245" s="168" t="s">
        <v>2611</v>
      </c>
      <c r="BG1245" s="150">
        <v>0</v>
      </c>
      <c r="BH1245" s="150">
        <v>0</v>
      </c>
      <c r="BI1245" s="150">
        <v>0</v>
      </c>
      <c r="BJ1245" s="150">
        <v>0</v>
      </c>
      <c r="BK1245" s="150">
        <v>0</v>
      </c>
      <c r="BL1245" s="150">
        <v>0</v>
      </c>
      <c r="BM1245" s="171">
        <v>0</v>
      </c>
      <c r="BN1245" s="156">
        <v>1</v>
      </c>
      <c r="BO1245" s="156">
        <v>0</v>
      </c>
      <c r="BP1245" s="156">
        <v>0</v>
      </c>
      <c r="BQ1245" s="156">
        <v>0</v>
      </c>
      <c r="BR1245" s="156">
        <v>0</v>
      </c>
      <c r="BS1245" s="156">
        <v>0</v>
      </c>
      <c r="BT1245" s="12">
        <v>0</v>
      </c>
      <c r="BU1245" s="47">
        <v>0</v>
      </c>
      <c r="BV1245" s="47"/>
      <c r="BW1245" s="47"/>
    </row>
    <row r="1246" spans="3:75" ht="20.100000000000001" customHeight="1">
      <c r="C1246" s="176">
        <v>60031171</v>
      </c>
      <c r="D1246" s="203" t="s">
        <v>2612</v>
      </c>
      <c r="E1246" s="203" t="s">
        <v>2613</v>
      </c>
      <c r="F1246" s="172">
        <v>1</v>
      </c>
      <c r="G1246" s="176">
        <v>60031171</v>
      </c>
      <c r="H1246" s="176">
        <v>0</v>
      </c>
      <c r="I1246" s="174">
        <v>0</v>
      </c>
      <c r="J1246" s="172">
        <v>60</v>
      </c>
      <c r="K1246" s="172">
        <v>0</v>
      </c>
      <c r="L1246" s="172">
        <v>0</v>
      </c>
      <c r="M1246" s="176">
        <v>0</v>
      </c>
      <c r="N1246" s="176">
        <v>0</v>
      </c>
      <c r="O1246" s="176">
        <v>1</v>
      </c>
      <c r="P1246" s="176">
        <v>0</v>
      </c>
      <c r="Q1246" s="176">
        <v>0</v>
      </c>
      <c r="R1246" s="176">
        <v>0</v>
      </c>
      <c r="S1246" s="175">
        <v>0</v>
      </c>
      <c r="T1246" s="174">
        <v>0</v>
      </c>
      <c r="U1246" s="172">
        <v>1</v>
      </c>
      <c r="V1246" s="176">
        <v>2</v>
      </c>
      <c r="W1246" s="176">
        <v>0</v>
      </c>
      <c r="X1246" s="176">
        <v>1.5</v>
      </c>
      <c r="Y1246" s="12">
        <v>0</v>
      </c>
      <c r="Z1246" s="176">
        <v>5000</v>
      </c>
      <c r="AA1246" s="176">
        <v>0</v>
      </c>
      <c r="AB1246" s="176">
        <v>0</v>
      </c>
      <c r="AC1246" s="176">
        <v>0</v>
      </c>
      <c r="AD1246" s="176">
        <v>0</v>
      </c>
      <c r="AE1246" s="176">
        <v>0</v>
      </c>
      <c r="AF1246" s="176">
        <v>30</v>
      </c>
      <c r="AG1246" s="176">
        <v>1</v>
      </c>
      <c r="AH1246" s="176">
        <v>3</v>
      </c>
      <c r="AI1246" s="175">
        <v>2</v>
      </c>
      <c r="AJ1246" s="175">
        <v>1</v>
      </c>
      <c r="AK1246" s="175">
        <v>0</v>
      </c>
      <c r="AL1246" s="175">
        <v>6</v>
      </c>
      <c r="AM1246" s="176">
        <v>0</v>
      </c>
      <c r="AN1246" s="176">
        <v>0</v>
      </c>
      <c r="AO1246" s="176">
        <v>0</v>
      </c>
      <c r="AP1246" s="176">
        <v>0.5</v>
      </c>
      <c r="AQ1246" s="176">
        <v>10000</v>
      </c>
      <c r="AR1246" s="176">
        <v>0.5</v>
      </c>
      <c r="AS1246" s="176">
        <v>0</v>
      </c>
      <c r="AT1246" s="175">
        <v>0</v>
      </c>
      <c r="AU1246" s="176">
        <v>0</v>
      </c>
      <c r="AV1246" s="176"/>
      <c r="AW1246" s="203" t="s">
        <v>617</v>
      </c>
      <c r="AX1246" s="176" t="s">
        <v>1408</v>
      </c>
      <c r="AY1246" s="176">
        <v>10002001</v>
      </c>
      <c r="AZ1246" s="176">
        <v>21201090</v>
      </c>
      <c r="BA1246" s="203" t="s">
        <v>315</v>
      </c>
      <c r="BB1246" s="203" t="s">
        <v>371</v>
      </c>
      <c r="BC1246" s="174">
        <v>0</v>
      </c>
      <c r="BD1246" s="174">
        <v>0</v>
      </c>
      <c r="BE1246" s="208" t="str">
        <f>"在目标区域立即释放法术,在此范围内的目标每秒造成"&amp;X1246*100&amp;"%攻击伤害+"&amp;Z1246&amp;"点固定伤害,持续10秒"</f>
        <v>在目标区域立即释放法术,在此范围内的目标每秒造成150%攻击伤害+5000点固定伤害,持续10秒</v>
      </c>
      <c r="BF1246" s="208" t="s">
        <v>2614</v>
      </c>
      <c r="BG1246" s="176">
        <v>0</v>
      </c>
      <c r="BH1246" s="172">
        <v>0</v>
      </c>
      <c r="BI1246" s="176">
        <v>0</v>
      </c>
      <c r="BJ1246" s="176">
        <v>0</v>
      </c>
      <c r="BK1246" s="176">
        <v>0</v>
      </c>
      <c r="BL1246" s="176">
        <v>0</v>
      </c>
      <c r="BM1246" s="178">
        <v>0</v>
      </c>
      <c r="BN1246" s="175">
        <v>0</v>
      </c>
      <c r="BO1246" s="175">
        <v>0</v>
      </c>
      <c r="BP1246" s="175">
        <v>0</v>
      </c>
      <c r="BQ1246" s="175">
        <v>0</v>
      </c>
      <c r="BR1246" s="175">
        <v>0</v>
      </c>
      <c r="BS1246" s="175">
        <v>0</v>
      </c>
      <c r="BT1246" s="12">
        <v>0</v>
      </c>
      <c r="BU1246" s="47">
        <v>0</v>
      </c>
      <c r="BV1246" s="47"/>
      <c r="BW1246" s="47"/>
    </row>
    <row r="1247" spans="3:75" ht="19.5" customHeight="1">
      <c r="C1247" s="176">
        <v>60031181</v>
      </c>
      <c r="D1247" s="200" t="s">
        <v>2615</v>
      </c>
      <c r="E1247" s="200" t="s">
        <v>2616</v>
      </c>
      <c r="F1247" s="176">
        <v>1</v>
      </c>
      <c r="G1247" s="176">
        <v>60031181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198</v>
      </c>
      <c r="AV1247" s="172"/>
      <c r="AW1247" s="203" t="s">
        <v>617</v>
      </c>
      <c r="AX1247" s="172" t="s">
        <v>534</v>
      </c>
      <c r="AY1247" s="176">
        <v>10000007</v>
      </c>
      <c r="AZ1247" s="176">
        <v>21202090</v>
      </c>
      <c r="BA1247" s="203" t="s">
        <v>586</v>
      </c>
      <c r="BB1247" s="175" t="s">
        <v>2617</v>
      </c>
      <c r="BC1247" s="174">
        <v>0</v>
      </c>
      <c r="BD1247" s="174" t="s">
        <v>2618</v>
      </c>
      <c r="BE1247" s="206" t="s">
        <v>2619</v>
      </c>
      <c r="BF1247" s="206" t="s">
        <v>2620</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row>
    <row r="1248" spans="3:75" ht="20.100000000000001" customHeight="1">
      <c r="C1248" s="176">
        <v>60031191</v>
      </c>
      <c r="D1248" s="173" t="s">
        <v>2621</v>
      </c>
      <c r="E1248" s="173" t="s">
        <v>2622</v>
      </c>
      <c r="F1248" s="176">
        <v>1</v>
      </c>
      <c r="G1248" s="176">
        <v>60031191</v>
      </c>
      <c r="H1248" s="176">
        <v>0</v>
      </c>
      <c r="I1248" s="174">
        <v>0</v>
      </c>
      <c r="J1248" s="172">
        <v>60</v>
      </c>
      <c r="K1248" s="176">
        <v>0</v>
      </c>
      <c r="L1248" s="176">
        <v>0</v>
      </c>
      <c r="M1248" s="172">
        <v>0</v>
      </c>
      <c r="N1248" s="172">
        <v>0</v>
      </c>
      <c r="O1248" s="172">
        <v>1</v>
      </c>
      <c r="P1248" s="172">
        <v>0</v>
      </c>
      <c r="Q1248" s="172">
        <v>1</v>
      </c>
      <c r="R1248" s="172">
        <v>0</v>
      </c>
      <c r="S1248" s="175">
        <v>0</v>
      </c>
      <c r="T1248" s="172">
        <v>0</v>
      </c>
      <c r="U1248" s="172">
        <v>1</v>
      </c>
      <c r="V1248" s="172">
        <v>2</v>
      </c>
      <c r="W1248" s="172">
        <v>0</v>
      </c>
      <c r="X1248" s="172">
        <v>0</v>
      </c>
      <c r="Y1248" s="12">
        <v>0</v>
      </c>
      <c r="Z1248" s="172">
        <v>0</v>
      </c>
      <c r="AA1248" s="172">
        <v>0</v>
      </c>
      <c r="AB1248" s="172">
        <v>0</v>
      </c>
      <c r="AC1248" s="172">
        <v>0</v>
      </c>
      <c r="AD1248" s="172">
        <v>0</v>
      </c>
      <c r="AE1248" s="172">
        <v>0</v>
      </c>
      <c r="AF1248" s="172">
        <v>30</v>
      </c>
      <c r="AG1248" s="172">
        <v>0</v>
      </c>
      <c r="AH1248" s="172">
        <v>0</v>
      </c>
      <c r="AI1248" s="175">
        <v>2</v>
      </c>
      <c r="AJ1248" s="175">
        <v>2</v>
      </c>
      <c r="AK1248" s="175">
        <v>0</v>
      </c>
      <c r="AL1248" s="175">
        <v>1.5</v>
      </c>
      <c r="AM1248" s="172">
        <v>0</v>
      </c>
      <c r="AN1248" s="172">
        <v>0</v>
      </c>
      <c r="AO1248" s="172">
        <v>0</v>
      </c>
      <c r="AP1248" s="172">
        <v>1</v>
      </c>
      <c r="AQ1248" s="172">
        <v>3000</v>
      </c>
      <c r="AR1248" s="172">
        <v>0.5</v>
      </c>
      <c r="AS1248" s="172">
        <v>0</v>
      </c>
      <c r="AT1248" s="175">
        <v>0</v>
      </c>
      <c r="AU1248" s="172" t="s">
        <v>198</v>
      </c>
      <c r="AV1248" s="172"/>
      <c r="AW1248" s="173" t="s">
        <v>1648</v>
      </c>
      <c r="AX1248" s="172" t="s">
        <v>545</v>
      </c>
      <c r="AY1248" s="176">
        <v>0</v>
      </c>
      <c r="AZ1248" s="176">
        <v>21203090</v>
      </c>
      <c r="BA1248" s="173" t="s">
        <v>1174</v>
      </c>
      <c r="BB1248" s="203" t="s">
        <v>2623</v>
      </c>
      <c r="BC1248" s="174">
        <v>0</v>
      </c>
      <c r="BD1248" s="174">
        <v>0</v>
      </c>
      <c r="BE1248" s="206" t="s">
        <v>2624</v>
      </c>
      <c r="BF1248" s="206" t="s">
        <v>2625</v>
      </c>
      <c r="BG1248" s="172">
        <v>0</v>
      </c>
      <c r="BH1248" s="172">
        <v>0</v>
      </c>
      <c r="BI1248" s="172">
        <v>0</v>
      </c>
      <c r="BJ1248" s="172">
        <v>0</v>
      </c>
      <c r="BK1248" s="172">
        <v>0</v>
      </c>
      <c r="BL1248" s="172">
        <v>0</v>
      </c>
      <c r="BM1248" s="178">
        <v>0</v>
      </c>
      <c r="BN1248" s="175">
        <v>0</v>
      </c>
      <c r="BO1248" s="175">
        <v>0</v>
      </c>
      <c r="BP1248" s="175">
        <v>0</v>
      </c>
      <c r="BQ1248" s="175">
        <v>0</v>
      </c>
      <c r="BR1248" s="175">
        <v>0</v>
      </c>
      <c r="BS1248" s="175">
        <v>0</v>
      </c>
      <c r="BT1248" s="12">
        <v>0</v>
      </c>
      <c r="BU1248" s="47">
        <v>0</v>
      </c>
      <c r="BV1248" s="47"/>
      <c r="BW1248" s="47"/>
    </row>
    <row r="1249" spans="1:75" s="1" customFormat="1" ht="19.5" customHeight="1">
      <c r="A1249" s="215"/>
      <c r="B1249" s="215"/>
      <c r="C1249" s="176">
        <v>60031201</v>
      </c>
      <c r="D1249" s="59" t="s">
        <v>2626</v>
      </c>
      <c r="E1249" s="59" t="s">
        <v>2627</v>
      </c>
      <c r="F1249" s="172">
        <v>1</v>
      </c>
      <c r="G1249" s="176">
        <v>60031201</v>
      </c>
      <c r="H1249" s="64">
        <v>0</v>
      </c>
      <c r="I1249" s="66">
        <v>0</v>
      </c>
      <c r="J1249" s="16">
        <v>60</v>
      </c>
      <c r="K1249" s="16">
        <v>0</v>
      </c>
      <c r="L1249" s="64">
        <v>0</v>
      </c>
      <c r="M1249" s="60">
        <v>0</v>
      </c>
      <c r="N1249" s="60">
        <v>0</v>
      </c>
      <c r="O1249" s="60">
        <v>1</v>
      </c>
      <c r="P1249" s="60">
        <v>0</v>
      </c>
      <c r="Q1249" s="60">
        <v>0</v>
      </c>
      <c r="R1249" s="60">
        <v>0</v>
      </c>
      <c r="S1249" s="68">
        <v>0</v>
      </c>
      <c r="T1249" s="60">
        <v>0</v>
      </c>
      <c r="U1249" s="60">
        <v>1</v>
      </c>
      <c r="V1249" s="60">
        <v>1</v>
      </c>
      <c r="W1249" s="60">
        <v>0</v>
      </c>
      <c r="X1249" s="60">
        <v>0</v>
      </c>
      <c r="Y1249" s="12">
        <v>0</v>
      </c>
      <c r="Z1249" s="60">
        <v>0</v>
      </c>
      <c r="AA1249" s="60">
        <v>0</v>
      </c>
      <c r="AB1249" s="60">
        <v>0</v>
      </c>
      <c r="AC1249" s="60">
        <v>0</v>
      </c>
      <c r="AD1249" s="60">
        <v>0</v>
      </c>
      <c r="AE1249" s="60">
        <v>0</v>
      </c>
      <c r="AF1249" s="60">
        <v>24</v>
      </c>
      <c r="AG1249" s="60">
        <v>0</v>
      </c>
      <c r="AH1249" s="60">
        <v>0</v>
      </c>
      <c r="AI1249" s="68">
        <v>0</v>
      </c>
      <c r="AJ1249" s="68">
        <v>0</v>
      </c>
      <c r="AK1249" s="68">
        <v>0</v>
      </c>
      <c r="AL1249" s="68">
        <v>1.5</v>
      </c>
      <c r="AM1249" s="60">
        <v>0</v>
      </c>
      <c r="AN1249" s="60">
        <v>0</v>
      </c>
      <c r="AO1249" s="60">
        <v>0</v>
      </c>
      <c r="AP1249" s="64">
        <v>0.2</v>
      </c>
      <c r="AQ1249" s="60">
        <v>3000</v>
      </c>
      <c r="AR1249" s="60">
        <v>0.2</v>
      </c>
      <c r="AS1249" s="60">
        <v>0</v>
      </c>
      <c r="AT1249" s="68">
        <v>0</v>
      </c>
      <c r="AU1249" s="60" t="s">
        <v>198</v>
      </c>
      <c r="AV1249" s="60"/>
      <c r="AW1249" s="19" t="s">
        <v>199</v>
      </c>
      <c r="AX1249" s="60" t="s">
        <v>545</v>
      </c>
      <c r="AY1249" s="64">
        <v>0</v>
      </c>
      <c r="AZ1249" s="64">
        <v>21300030</v>
      </c>
      <c r="BA1249" s="59" t="s">
        <v>1174</v>
      </c>
      <c r="BB1249" s="355" t="s">
        <v>2628</v>
      </c>
      <c r="BC1249" s="66">
        <v>0</v>
      </c>
      <c r="BD1249" s="66">
        <v>0</v>
      </c>
      <c r="BE1249" s="90" t="s">
        <v>2629</v>
      </c>
      <c r="BF1249" s="90" t="s">
        <v>2630</v>
      </c>
      <c r="BG1249" s="60">
        <v>0</v>
      </c>
      <c r="BH1249" s="60">
        <v>0</v>
      </c>
      <c r="BI1249" s="60">
        <v>0</v>
      </c>
      <c r="BJ1249" s="60">
        <v>0</v>
      </c>
      <c r="BK1249" s="60">
        <v>0</v>
      </c>
      <c r="BL1249" s="60">
        <v>0</v>
      </c>
      <c r="BM1249" s="93">
        <v>0</v>
      </c>
      <c r="BN1249" s="68">
        <v>0</v>
      </c>
      <c r="BO1249" s="68">
        <v>0</v>
      </c>
      <c r="BP1249" s="68">
        <v>0</v>
      </c>
      <c r="BQ1249" s="68">
        <v>0</v>
      </c>
      <c r="BR1249" s="68">
        <v>0</v>
      </c>
      <c r="BS1249" s="68">
        <v>0</v>
      </c>
      <c r="BT1249" s="68">
        <v>0</v>
      </c>
      <c r="BU1249" s="68">
        <v>0</v>
      </c>
      <c r="BV1249" s="47"/>
      <c r="BW1249" s="47"/>
    </row>
    <row r="1250" spans="1:75" ht="19.5" customHeight="1">
      <c r="C1250" s="176">
        <v>60031211</v>
      </c>
      <c r="D1250" s="200" t="s">
        <v>2631</v>
      </c>
      <c r="E1250" s="200" t="s">
        <v>2632</v>
      </c>
      <c r="F1250" s="176">
        <v>1</v>
      </c>
      <c r="G1250" s="176">
        <v>60031211</v>
      </c>
      <c r="H1250" s="176">
        <v>0</v>
      </c>
      <c r="I1250" s="174">
        <v>0</v>
      </c>
      <c r="J1250" s="172">
        <v>60</v>
      </c>
      <c r="K1250" s="176">
        <v>0</v>
      </c>
      <c r="L1250" s="176">
        <v>0</v>
      </c>
      <c r="M1250" s="172">
        <v>0</v>
      </c>
      <c r="N1250" s="172">
        <v>0</v>
      </c>
      <c r="O1250" s="172">
        <v>1</v>
      </c>
      <c r="P1250" s="172">
        <v>0</v>
      </c>
      <c r="Q1250" s="172">
        <v>1</v>
      </c>
      <c r="R1250" s="172">
        <v>0</v>
      </c>
      <c r="S1250" s="175">
        <v>0</v>
      </c>
      <c r="T1250" s="172">
        <v>0</v>
      </c>
      <c r="U1250" s="172">
        <v>1</v>
      </c>
      <c r="V1250" s="172">
        <v>2</v>
      </c>
      <c r="W1250" s="172">
        <v>0</v>
      </c>
      <c r="X1250" s="172">
        <v>3</v>
      </c>
      <c r="Y1250" s="12">
        <v>0</v>
      </c>
      <c r="Z1250" s="172">
        <v>5000</v>
      </c>
      <c r="AA1250" s="172">
        <v>1</v>
      </c>
      <c r="AB1250" s="172">
        <v>0</v>
      </c>
      <c r="AC1250" s="172">
        <v>0</v>
      </c>
      <c r="AD1250" s="172">
        <v>0</v>
      </c>
      <c r="AE1250" s="172">
        <v>0</v>
      </c>
      <c r="AF1250" s="172">
        <v>30</v>
      </c>
      <c r="AG1250" s="172">
        <v>1</v>
      </c>
      <c r="AH1250" s="172">
        <v>3</v>
      </c>
      <c r="AI1250" s="175">
        <v>0</v>
      </c>
      <c r="AJ1250" s="175">
        <v>2</v>
      </c>
      <c r="AK1250" s="175">
        <v>0</v>
      </c>
      <c r="AL1250" s="175">
        <v>2</v>
      </c>
      <c r="AM1250" s="172">
        <v>0</v>
      </c>
      <c r="AN1250" s="172">
        <v>0</v>
      </c>
      <c r="AO1250" s="172">
        <v>0</v>
      </c>
      <c r="AP1250" s="172">
        <v>2</v>
      </c>
      <c r="AQ1250" s="172">
        <v>10000</v>
      </c>
      <c r="AR1250" s="172">
        <v>0.5</v>
      </c>
      <c r="AS1250" s="172">
        <v>10</v>
      </c>
      <c r="AT1250" s="175">
        <v>0</v>
      </c>
      <c r="AU1250" s="172" t="s">
        <v>198</v>
      </c>
      <c r="AV1250" s="172"/>
      <c r="AW1250" s="203" t="s">
        <v>617</v>
      </c>
      <c r="AX1250" s="172" t="s">
        <v>534</v>
      </c>
      <c r="AY1250" s="176">
        <v>10000007</v>
      </c>
      <c r="AZ1250" s="176">
        <v>21204030</v>
      </c>
      <c r="BA1250" s="203" t="s">
        <v>586</v>
      </c>
      <c r="BB1250" s="175" t="s">
        <v>2617</v>
      </c>
      <c r="BC1250" s="174">
        <v>0</v>
      </c>
      <c r="BD1250" s="174" t="s">
        <v>2618</v>
      </c>
      <c r="BE1250" s="206" t="s">
        <v>2619</v>
      </c>
      <c r="BF1250" s="206" t="s">
        <v>2620</v>
      </c>
      <c r="BG1250" s="172">
        <v>0</v>
      </c>
      <c r="BH1250" s="172">
        <v>0</v>
      </c>
      <c r="BI1250" s="172">
        <v>0</v>
      </c>
      <c r="BJ1250" s="172">
        <v>0</v>
      </c>
      <c r="BK1250" s="172">
        <v>0</v>
      </c>
      <c r="BL1250" s="172">
        <v>0</v>
      </c>
      <c r="BM1250" s="178">
        <v>0</v>
      </c>
      <c r="BN1250" s="175">
        <v>0</v>
      </c>
      <c r="BO1250" s="175">
        <v>0</v>
      </c>
      <c r="BP1250" s="175">
        <v>0</v>
      </c>
      <c r="BQ1250" s="175">
        <v>0</v>
      </c>
      <c r="BR1250" s="175">
        <v>0</v>
      </c>
      <c r="BS1250" s="175">
        <v>0</v>
      </c>
      <c r="BT1250" s="12">
        <v>0</v>
      </c>
      <c r="BU1250" s="47">
        <v>0</v>
      </c>
      <c r="BV1250" s="47"/>
      <c r="BW1250" s="47"/>
    </row>
    <row r="1251" spans="1:75" ht="20.100000000000001" customHeight="1">
      <c r="C1251" s="13">
        <v>60031221</v>
      </c>
      <c r="D1251" s="13" t="s">
        <v>2633</v>
      </c>
      <c r="E1251" s="13" t="s">
        <v>2634</v>
      </c>
      <c r="F1251" s="16">
        <v>1</v>
      </c>
      <c r="G1251" s="176">
        <v>60031221</v>
      </c>
      <c r="H1251" s="16">
        <v>0</v>
      </c>
      <c r="I1251" s="27">
        <v>0</v>
      </c>
      <c r="J1251" s="18">
        <v>60</v>
      </c>
      <c r="K1251" s="16">
        <v>0</v>
      </c>
      <c r="L1251" s="16">
        <v>0</v>
      </c>
      <c r="M1251" s="16">
        <v>0</v>
      </c>
      <c r="N1251" s="16">
        <v>0</v>
      </c>
      <c r="O1251" s="16">
        <v>1</v>
      </c>
      <c r="P1251" s="16">
        <v>0</v>
      </c>
      <c r="Q1251" s="16">
        <v>0</v>
      </c>
      <c r="R1251" s="16">
        <v>0</v>
      </c>
      <c r="S1251" s="12">
        <v>0</v>
      </c>
      <c r="T1251" s="16">
        <v>0</v>
      </c>
      <c r="U1251" s="16">
        <v>1</v>
      </c>
      <c r="V1251" s="16">
        <v>2</v>
      </c>
      <c r="W1251" s="16">
        <v>0</v>
      </c>
      <c r="X1251" s="16">
        <v>1.5</v>
      </c>
      <c r="Y1251" s="12">
        <v>0</v>
      </c>
      <c r="Z1251" s="18">
        <v>0</v>
      </c>
      <c r="AA1251" s="16">
        <v>1</v>
      </c>
      <c r="AB1251" s="16">
        <v>0</v>
      </c>
      <c r="AC1251" s="16">
        <v>0</v>
      </c>
      <c r="AD1251" s="16">
        <v>0</v>
      </c>
      <c r="AE1251" s="16">
        <v>0</v>
      </c>
      <c r="AF1251" s="16">
        <v>20</v>
      </c>
      <c r="AG1251" s="16">
        <v>1</v>
      </c>
      <c r="AH1251" s="16">
        <v>4</v>
      </c>
      <c r="AI1251" s="12">
        <v>2</v>
      </c>
      <c r="AJ1251" s="12">
        <v>1</v>
      </c>
      <c r="AK1251" s="12">
        <v>0</v>
      </c>
      <c r="AL1251" s="12">
        <v>6</v>
      </c>
      <c r="AM1251" s="16">
        <v>0</v>
      </c>
      <c r="AN1251" s="16">
        <v>0</v>
      </c>
      <c r="AO1251" s="16">
        <v>0</v>
      </c>
      <c r="AP1251" s="16">
        <v>0.5</v>
      </c>
      <c r="AQ1251" s="16">
        <v>8000</v>
      </c>
      <c r="AR1251" s="16">
        <v>0.2</v>
      </c>
      <c r="AS1251" s="16">
        <v>0</v>
      </c>
      <c r="AT1251" s="12">
        <v>0</v>
      </c>
      <c r="AU1251" s="18">
        <v>90001025</v>
      </c>
      <c r="AV1251" s="18"/>
      <c r="AW1251" s="17" t="s">
        <v>617</v>
      </c>
      <c r="AX1251" s="18" t="s">
        <v>1041</v>
      </c>
      <c r="AY1251" s="18">
        <v>10000007</v>
      </c>
      <c r="AZ1251" s="18">
        <v>22001009</v>
      </c>
      <c r="BA1251" s="17" t="s">
        <v>1574</v>
      </c>
      <c r="BB1251" s="16">
        <v>0</v>
      </c>
      <c r="BC1251" s="27">
        <v>0</v>
      </c>
      <c r="BD1251" s="27">
        <v>1</v>
      </c>
      <c r="BE1251" s="183" t="s">
        <v>2599</v>
      </c>
      <c r="BF1251" s="183" t="s">
        <v>2600</v>
      </c>
      <c r="BG1251" s="16">
        <v>0</v>
      </c>
      <c r="BH1251" s="16">
        <v>0</v>
      </c>
      <c r="BI1251" s="16">
        <v>0</v>
      </c>
      <c r="BJ1251" s="16">
        <v>0</v>
      </c>
      <c r="BK1251" s="16">
        <v>0</v>
      </c>
      <c r="BL1251" s="16">
        <v>0</v>
      </c>
      <c r="BM1251" s="15">
        <v>0</v>
      </c>
      <c r="BN1251" s="12">
        <v>0</v>
      </c>
      <c r="BO1251" s="12">
        <v>0</v>
      </c>
      <c r="BP1251" s="12">
        <v>1000</v>
      </c>
      <c r="BQ1251" s="12">
        <v>1</v>
      </c>
      <c r="BR1251" s="12">
        <v>600</v>
      </c>
      <c r="BS1251" s="12">
        <v>600</v>
      </c>
      <c r="BT1251" s="12">
        <v>0</v>
      </c>
      <c r="BU1251" s="47">
        <v>0</v>
      </c>
      <c r="BV1251" s="47"/>
      <c r="BW1251" s="47"/>
    </row>
    <row r="1252" spans="1:75" ht="20.100000000000001" customHeight="1">
      <c r="C1252" s="176">
        <v>60031231</v>
      </c>
      <c r="D1252" s="203" t="s">
        <v>2635</v>
      </c>
      <c r="E1252" s="203" t="s">
        <v>2636</v>
      </c>
      <c r="F1252" s="172">
        <v>1</v>
      </c>
      <c r="G1252" s="176">
        <v>60031171</v>
      </c>
      <c r="H1252" s="176">
        <v>0</v>
      </c>
      <c r="I1252" s="174">
        <v>0</v>
      </c>
      <c r="J1252" s="172">
        <v>60</v>
      </c>
      <c r="K1252" s="172">
        <v>0</v>
      </c>
      <c r="L1252" s="172">
        <v>0</v>
      </c>
      <c r="M1252" s="176">
        <v>0</v>
      </c>
      <c r="N1252" s="176">
        <v>0</v>
      </c>
      <c r="O1252" s="176">
        <v>1</v>
      </c>
      <c r="P1252" s="176">
        <v>0</v>
      </c>
      <c r="Q1252" s="176">
        <v>0</v>
      </c>
      <c r="R1252" s="176">
        <v>0</v>
      </c>
      <c r="S1252" s="175">
        <v>0</v>
      </c>
      <c r="T1252" s="174">
        <v>0</v>
      </c>
      <c r="U1252" s="172">
        <v>1</v>
      </c>
      <c r="V1252" s="176">
        <v>2</v>
      </c>
      <c r="W1252" s="176">
        <v>0</v>
      </c>
      <c r="X1252" s="176">
        <v>1.2</v>
      </c>
      <c r="Y1252" s="12">
        <v>0</v>
      </c>
      <c r="Z1252" s="176">
        <v>2000</v>
      </c>
      <c r="AA1252" s="176">
        <v>1</v>
      </c>
      <c r="AB1252" s="176">
        <v>0</v>
      </c>
      <c r="AC1252" s="176">
        <v>0</v>
      </c>
      <c r="AD1252" s="176">
        <v>0</v>
      </c>
      <c r="AE1252" s="176">
        <v>0</v>
      </c>
      <c r="AF1252" s="176">
        <v>30</v>
      </c>
      <c r="AG1252" s="176">
        <v>1</v>
      </c>
      <c r="AH1252" s="176">
        <v>4</v>
      </c>
      <c r="AI1252" s="175">
        <v>2</v>
      </c>
      <c r="AJ1252" s="175">
        <v>1</v>
      </c>
      <c r="AK1252" s="175">
        <v>0</v>
      </c>
      <c r="AL1252" s="175">
        <v>8</v>
      </c>
      <c r="AM1252" s="176">
        <v>0</v>
      </c>
      <c r="AN1252" s="176">
        <v>0</v>
      </c>
      <c r="AO1252" s="176">
        <v>0</v>
      </c>
      <c r="AP1252" s="176">
        <v>0.5</v>
      </c>
      <c r="AQ1252" s="176">
        <v>10000</v>
      </c>
      <c r="AR1252" s="176">
        <v>0.5</v>
      </c>
      <c r="AS1252" s="176">
        <v>0</v>
      </c>
      <c r="AT1252" s="175">
        <v>0</v>
      </c>
      <c r="AU1252" s="176">
        <v>90001092</v>
      </c>
      <c r="AV1252" s="176"/>
      <c r="AW1252" s="203" t="s">
        <v>617</v>
      </c>
      <c r="AX1252" s="176" t="s">
        <v>1408</v>
      </c>
      <c r="AY1252" s="176">
        <v>10002001</v>
      </c>
      <c r="AZ1252" s="176">
        <v>21205010</v>
      </c>
      <c r="BA1252" s="203" t="s">
        <v>315</v>
      </c>
      <c r="BB1252" s="203" t="s">
        <v>371</v>
      </c>
      <c r="BC1252" s="174">
        <v>0</v>
      </c>
      <c r="BD1252" s="174">
        <v>0</v>
      </c>
      <c r="BE1252" s="208" t="str">
        <f>"在目标区域立即释放法术,在此范围内的目标每秒造成"&amp;X1252*100&amp;"%攻击伤害+"&amp;Z1252&amp;"点固定伤害,并使其移动速度降低70%,持续10秒"</f>
        <v>在目标区域立即释放法术,在此范围内的目标每秒造成120%攻击伤害+2000点固定伤害,并使其移动速度降低70%,持续10秒</v>
      </c>
      <c r="BF1252" s="208" t="s">
        <v>2637</v>
      </c>
      <c r="BG1252" s="176">
        <v>0</v>
      </c>
      <c r="BH1252" s="172">
        <v>0</v>
      </c>
      <c r="BI1252" s="176">
        <v>0</v>
      </c>
      <c r="BJ1252" s="176">
        <v>0</v>
      </c>
      <c r="BK1252" s="176">
        <v>0</v>
      </c>
      <c r="BL1252" s="176">
        <v>0</v>
      </c>
      <c r="BM1252" s="178">
        <v>0</v>
      </c>
      <c r="BN1252" s="175">
        <v>0</v>
      </c>
      <c r="BO1252" s="175">
        <v>0</v>
      </c>
      <c r="BP1252" s="175">
        <v>0</v>
      </c>
      <c r="BQ1252" s="175">
        <v>0</v>
      </c>
      <c r="BR1252" s="175">
        <v>0</v>
      </c>
      <c r="BS1252" s="175">
        <v>0</v>
      </c>
      <c r="BT1252" s="12">
        <v>0</v>
      </c>
      <c r="BU1252" s="47">
        <v>0</v>
      </c>
      <c r="BV1252" s="47"/>
      <c r="BW1252" s="47"/>
    </row>
    <row r="1253" spans="1:75" ht="20.100000000000001" customHeight="1">
      <c r="C1253" s="19" t="s">
        <v>2638</v>
      </c>
      <c r="D1253" s="19" t="s">
        <v>2639</v>
      </c>
      <c r="E1253" s="19" t="s">
        <v>2640</v>
      </c>
      <c r="F1253" s="16">
        <v>1</v>
      </c>
      <c r="G1253" s="19">
        <v>60031241</v>
      </c>
      <c r="H1253" s="16">
        <v>0</v>
      </c>
      <c r="I1253" s="27">
        <v>0</v>
      </c>
      <c r="J1253" s="172">
        <v>60</v>
      </c>
      <c r="K1253" s="18">
        <v>0</v>
      </c>
      <c r="L1253" s="16">
        <v>0</v>
      </c>
      <c r="M1253" s="18">
        <v>0</v>
      </c>
      <c r="N1253" s="18">
        <v>0</v>
      </c>
      <c r="O1253" s="18">
        <v>1</v>
      </c>
      <c r="P1253" s="18">
        <v>0</v>
      </c>
      <c r="Q1253" s="18">
        <v>0</v>
      </c>
      <c r="R1253" s="18">
        <v>0</v>
      </c>
      <c r="S1253" s="12">
        <v>0</v>
      </c>
      <c r="T1253" s="27">
        <v>0</v>
      </c>
      <c r="U1253" s="16">
        <v>1</v>
      </c>
      <c r="V1253" s="18">
        <v>2</v>
      </c>
      <c r="W1253" s="18">
        <v>0</v>
      </c>
      <c r="X1253" s="18">
        <v>3</v>
      </c>
      <c r="Y1253" s="12">
        <v>0</v>
      </c>
      <c r="Z1253" s="18">
        <v>0</v>
      </c>
      <c r="AA1253" s="18">
        <v>1</v>
      </c>
      <c r="AB1253" s="18">
        <v>0</v>
      </c>
      <c r="AC1253" s="18">
        <v>0</v>
      </c>
      <c r="AD1253" s="18">
        <v>0</v>
      </c>
      <c r="AE1253" s="18">
        <v>0</v>
      </c>
      <c r="AF1253" s="18">
        <v>30</v>
      </c>
      <c r="AG1253" s="18">
        <v>1</v>
      </c>
      <c r="AH1253" s="18">
        <v>0</v>
      </c>
      <c r="AI1253" s="12">
        <v>0</v>
      </c>
      <c r="AJ1253" s="12">
        <v>101</v>
      </c>
      <c r="AK1253" s="12">
        <v>0</v>
      </c>
      <c r="AL1253" s="12">
        <v>10</v>
      </c>
      <c r="AM1253" s="18">
        <v>0</v>
      </c>
      <c r="AN1253" s="18">
        <v>0</v>
      </c>
      <c r="AO1253" s="18">
        <v>0</v>
      </c>
      <c r="AP1253" s="18">
        <v>1</v>
      </c>
      <c r="AQ1253" s="18">
        <v>1000</v>
      </c>
      <c r="AR1253" s="18">
        <v>0.4</v>
      </c>
      <c r="AS1253" s="18">
        <v>0</v>
      </c>
      <c r="AT1253" s="12">
        <v>0</v>
      </c>
      <c r="AU1253" s="349" t="s">
        <v>198</v>
      </c>
      <c r="AV1253" s="18"/>
      <c r="AW1253" s="19" t="s">
        <v>1648</v>
      </c>
      <c r="AX1253" s="18" t="s">
        <v>215</v>
      </c>
      <c r="AY1253" s="18">
        <v>0</v>
      </c>
      <c r="AZ1253" s="18">
        <v>21205020</v>
      </c>
      <c r="BA1253" s="19" t="s">
        <v>2483</v>
      </c>
      <c r="BB1253" s="19" t="s">
        <v>2641</v>
      </c>
      <c r="BC1253" s="27">
        <v>0</v>
      </c>
      <c r="BD1253" s="27">
        <v>0</v>
      </c>
      <c r="BE1253" s="183" t="s">
        <v>2642</v>
      </c>
      <c r="BF1253" s="183" t="s">
        <v>2643</v>
      </c>
      <c r="BG1253" s="18">
        <v>0</v>
      </c>
      <c r="BH1253" s="16">
        <v>0</v>
      </c>
      <c r="BI1253" s="18">
        <v>0</v>
      </c>
      <c r="BJ1253" s="18">
        <v>0</v>
      </c>
      <c r="BK1253" s="18">
        <v>0</v>
      </c>
      <c r="BL1253" s="18">
        <v>0</v>
      </c>
      <c r="BM1253" s="185">
        <v>0</v>
      </c>
      <c r="BN1253" s="12">
        <v>0</v>
      </c>
      <c r="BO1253" s="12">
        <v>0</v>
      </c>
      <c r="BP1253" s="12">
        <v>0</v>
      </c>
      <c r="BQ1253" s="12">
        <v>0</v>
      </c>
      <c r="BR1253" s="12">
        <v>0</v>
      </c>
      <c r="BS1253" s="12">
        <v>0</v>
      </c>
      <c r="BT1253" s="12">
        <v>0</v>
      </c>
      <c r="BU1253" s="47">
        <v>0</v>
      </c>
      <c r="BV1253" s="47"/>
      <c r="BW1253" s="47"/>
    </row>
    <row r="1254" spans="1:75" ht="20.100000000000001" customHeight="1">
      <c r="C1254" s="19" t="s">
        <v>2644</v>
      </c>
      <c r="D1254" s="19" t="s">
        <v>2645</v>
      </c>
      <c r="E1254" s="19" t="s">
        <v>2646</v>
      </c>
      <c r="F1254" s="16">
        <v>1</v>
      </c>
      <c r="G1254" s="19" t="s">
        <v>198</v>
      </c>
      <c r="H1254" s="16">
        <v>0</v>
      </c>
      <c r="I1254" s="27">
        <v>0</v>
      </c>
      <c r="J1254" s="172">
        <v>0</v>
      </c>
      <c r="K1254" s="18">
        <v>0</v>
      </c>
      <c r="L1254" s="16">
        <v>0</v>
      </c>
      <c r="M1254" s="18">
        <v>0</v>
      </c>
      <c r="N1254" s="18">
        <v>0</v>
      </c>
      <c r="O1254" s="18">
        <v>2</v>
      </c>
      <c r="P1254" s="18">
        <v>1</v>
      </c>
      <c r="Q1254" s="18">
        <v>0.3</v>
      </c>
      <c r="R1254" s="18">
        <v>0</v>
      </c>
      <c r="S1254" s="12">
        <v>0</v>
      </c>
      <c r="T1254" s="27">
        <v>0</v>
      </c>
      <c r="U1254" s="16">
        <v>1</v>
      </c>
      <c r="V1254" s="18">
        <v>1</v>
      </c>
      <c r="W1254" s="18">
        <v>0</v>
      </c>
      <c r="X1254" s="18">
        <v>2</v>
      </c>
      <c r="Y1254" s="12">
        <v>0</v>
      </c>
      <c r="Z1254" s="18">
        <v>750</v>
      </c>
      <c r="AA1254" s="18">
        <v>0</v>
      </c>
      <c r="AB1254" s="18">
        <v>0</v>
      </c>
      <c r="AC1254" s="18">
        <v>0</v>
      </c>
      <c r="AD1254" s="18">
        <v>0</v>
      </c>
      <c r="AE1254" s="18">
        <v>0</v>
      </c>
      <c r="AF1254" s="18">
        <v>30</v>
      </c>
      <c r="AG1254" s="18">
        <v>2</v>
      </c>
      <c r="AH1254" s="18" t="s">
        <v>1968</v>
      </c>
      <c r="AI1254" s="12">
        <v>0</v>
      </c>
      <c r="AJ1254" s="12">
        <v>3</v>
      </c>
      <c r="AK1254" s="12">
        <v>0</v>
      </c>
      <c r="AL1254" s="12">
        <v>2</v>
      </c>
      <c r="AM1254" s="18">
        <v>0</v>
      </c>
      <c r="AN1254" s="18">
        <v>0</v>
      </c>
      <c r="AO1254" s="18">
        <v>0</v>
      </c>
      <c r="AP1254" s="18">
        <v>0.2</v>
      </c>
      <c r="AQ1254" s="18">
        <v>1000</v>
      </c>
      <c r="AR1254" s="18">
        <v>0.2</v>
      </c>
      <c r="AS1254" s="18">
        <v>15</v>
      </c>
      <c r="AT1254" s="12">
        <v>0</v>
      </c>
      <c r="AU1254" s="18">
        <v>95100001</v>
      </c>
      <c r="AV1254" s="18"/>
      <c r="AW1254" s="19" t="s">
        <v>199</v>
      </c>
      <c r="AX1254" s="18" t="s">
        <v>534</v>
      </c>
      <c r="AY1254" s="18">
        <v>10000001</v>
      </c>
      <c r="AZ1254" s="18">
        <v>21205021</v>
      </c>
      <c r="BA1254" s="19" t="s">
        <v>586</v>
      </c>
      <c r="BB1254" s="19" t="s">
        <v>2177</v>
      </c>
      <c r="BC1254" s="27">
        <v>0</v>
      </c>
      <c r="BD1254" s="27">
        <v>0</v>
      </c>
      <c r="BE1254" s="183" t="str">
        <f t="shared" ref="BE1254" si="144">"将手中的武器幻化成魔法,对指定前方区域内的目标造成"&amp;X1254*100&amp;"%攻击伤害+"&amp;Z1254&amp;"点固定伤害,并附带魔法印记,其状态每秒会对目标造成30%伤害,持续6秒.此印记可以叠加"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4" s="183" t="s">
        <v>2647</v>
      </c>
      <c r="BG1254" s="18">
        <v>0</v>
      </c>
      <c r="BH1254" s="16">
        <v>0</v>
      </c>
      <c r="BI1254" s="18">
        <v>0</v>
      </c>
      <c r="BJ1254" s="18">
        <v>0</v>
      </c>
      <c r="BK1254" s="18">
        <v>0</v>
      </c>
      <c r="BL1254" s="18">
        <v>0</v>
      </c>
      <c r="BM1254" s="185">
        <v>0</v>
      </c>
      <c r="BN1254" s="12">
        <v>0</v>
      </c>
      <c r="BO1254" s="12">
        <v>0</v>
      </c>
      <c r="BP1254" s="12">
        <v>0</v>
      </c>
      <c r="BQ1254" s="12">
        <v>0</v>
      </c>
      <c r="BR1254" s="12">
        <v>0</v>
      </c>
      <c r="BS1254" s="12">
        <v>0</v>
      </c>
      <c r="BT1254" s="12">
        <v>0</v>
      </c>
      <c r="BU1254" s="47">
        <v>0</v>
      </c>
      <c r="BV1254" s="47"/>
      <c r="BW1254" s="47"/>
    </row>
    <row r="1255" spans="1:75" ht="20.100000000000001" customHeight="1">
      <c r="C1255" s="19" t="s">
        <v>2648</v>
      </c>
      <c r="D1255" s="19" t="s">
        <v>2649</v>
      </c>
      <c r="E1255" s="19" t="s">
        <v>2650</v>
      </c>
      <c r="F1255" s="16">
        <v>1</v>
      </c>
      <c r="G1255" s="19">
        <v>60031251</v>
      </c>
      <c r="H1255" s="16">
        <v>0</v>
      </c>
      <c r="I1255" s="27">
        <v>0</v>
      </c>
      <c r="J1255" s="172">
        <v>60</v>
      </c>
      <c r="K1255" s="18">
        <v>0</v>
      </c>
      <c r="L1255" s="16">
        <v>0</v>
      </c>
      <c r="M1255" s="18">
        <v>0</v>
      </c>
      <c r="N1255" s="18">
        <v>0</v>
      </c>
      <c r="O1255" s="18">
        <v>1</v>
      </c>
      <c r="P1255" s="18">
        <v>0</v>
      </c>
      <c r="Q1255" s="18">
        <v>0</v>
      </c>
      <c r="R1255" s="18">
        <v>0</v>
      </c>
      <c r="S1255" s="12">
        <v>0</v>
      </c>
      <c r="T1255" s="27">
        <v>0</v>
      </c>
      <c r="U1255" s="16">
        <v>1</v>
      </c>
      <c r="V1255" s="18">
        <v>2</v>
      </c>
      <c r="W1255" s="18">
        <v>0</v>
      </c>
      <c r="X1255" s="18">
        <v>2.5</v>
      </c>
      <c r="Y1255" s="12">
        <v>0</v>
      </c>
      <c r="Z1255" s="18">
        <v>2800</v>
      </c>
      <c r="AA1255" s="18">
        <v>1</v>
      </c>
      <c r="AB1255" s="18">
        <v>0</v>
      </c>
      <c r="AC1255" s="18">
        <v>0</v>
      </c>
      <c r="AD1255" s="18">
        <v>0</v>
      </c>
      <c r="AE1255" s="18">
        <v>0</v>
      </c>
      <c r="AF1255" s="18">
        <v>30</v>
      </c>
      <c r="AG1255" s="18">
        <v>1</v>
      </c>
      <c r="AH1255" s="18">
        <v>2</v>
      </c>
      <c r="AI1255" s="12">
        <v>2</v>
      </c>
      <c r="AJ1255" s="12">
        <v>0</v>
      </c>
      <c r="AK1255" s="12">
        <v>0</v>
      </c>
      <c r="AL1255" s="12">
        <v>2</v>
      </c>
      <c r="AM1255" s="18">
        <v>0</v>
      </c>
      <c r="AN1255" s="18">
        <v>0</v>
      </c>
      <c r="AO1255" s="18">
        <v>0</v>
      </c>
      <c r="AP1255" s="18">
        <v>0.5</v>
      </c>
      <c r="AQ1255" s="18">
        <v>10000</v>
      </c>
      <c r="AR1255" s="18">
        <v>0.5</v>
      </c>
      <c r="AS1255" s="18">
        <v>100</v>
      </c>
      <c r="AT1255" s="12">
        <v>0</v>
      </c>
      <c r="AU1255" s="349" t="s">
        <v>2651</v>
      </c>
      <c r="AV1255" s="18"/>
      <c r="AW1255" s="19" t="s">
        <v>199</v>
      </c>
      <c r="AX1255" s="18" t="s">
        <v>1041</v>
      </c>
      <c r="AY1255" s="18">
        <v>10004004</v>
      </c>
      <c r="AZ1255" s="18">
        <v>21205030</v>
      </c>
      <c r="BA1255" s="19" t="s">
        <v>1669</v>
      </c>
      <c r="BB1255" s="19" t="s">
        <v>861</v>
      </c>
      <c r="BC1255" s="27">
        <v>0</v>
      </c>
      <c r="BD1255" s="27">
        <v>0</v>
      </c>
      <c r="BE1255" s="183" t="str">
        <f>"释放出3个暗魔之球,释放时对附近单位造成1秒眩晕,并持续对周围造成每秒造成"&amp;X1255*100&amp;"%攻击伤害+"&amp;Z1255&amp;"点固定伤害,并降低目标30%闪避和使其受到的伤害提升30%,持续6秒"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5" s="183" t="s">
        <v>2652</v>
      </c>
      <c r="BG1255" s="18">
        <v>0</v>
      </c>
      <c r="BH1255" s="16">
        <v>0</v>
      </c>
      <c r="BI1255" s="18">
        <v>0</v>
      </c>
      <c r="BJ1255" s="18">
        <v>0</v>
      </c>
      <c r="BK1255" s="18">
        <v>0</v>
      </c>
      <c r="BL1255" s="18">
        <v>0</v>
      </c>
      <c r="BM1255" s="185">
        <v>0</v>
      </c>
      <c r="BN1255" s="12">
        <v>0</v>
      </c>
      <c r="BO1255" s="12">
        <v>0</v>
      </c>
      <c r="BP1255" s="12">
        <v>0</v>
      </c>
      <c r="BQ1255" s="12">
        <v>0</v>
      </c>
      <c r="BR1255" s="12">
        <v>0</v>
      </c>
      <c r="BS1255" s="12">
        <v>0</v>
      </c>
      <c r="BT1255" s="12">
        <v>0</v>
      </c>
      <c r="BU1255" s="47">
        <v>0</v>
      </c>
      <c r="BV1255" s="47"/>
      <c r="BW1255" s="47"/>
    </row>
    <row r="1256" spans="1:75" ht="19.5" customHeight="1">
      <c r="C1256" s="18">
        <v>61031111</v>
      </c>
      <c r="D1256" s="13" t="s">
        <v>2653</v>
      </c>
      <c r="E1256" s="13" t="s">
        <v>2654</v>
      </c>
      <c r="F1256" s="18">
        <v>1</v>
      </c>
      <c r="G1256" s="18">
        <v>60031111</v>
      </c>
      <c r="H1256" s="18">
        <v>0</v>
      </c>
      <c r="I1256" s="27">
        <v>0</v>
      </c>
      <c r="J1256" s="18">
        <v>60</v>
      </c>
      <c r="K1256" s="18">
        <v>0</v>
      </c>
      <c r="L1256" s="18">
        <v>0</v>
      </c>
      <c r="M1256" s="16">
        <v>0</v>
      </c>
      <c r="N1256" s="16">
        <v>0</v>
      </c>
      <c r="O1256" s="60">
        <v>1</v>
      </c>
      <c r="P1256" s="16">
        <v>0</v>
      </c>
      <c r="Q1256" s="16">
        <v>1</v>
      </c>
      <c r="R1256" s="16">
        <v>0</v>
      </c>
      <c r="S1256" s="12">
        <v>0</v>
      </c>
      <c r="T1256" s="16">
        <v>0</v>
      </c>
      <c r="U1256" s="16">
        <v>1</v>
      </c>
      <c r="V1256" s="16">
        <v>2</v>
      </c>
      <c r="W1256" s="16">
        <v>0</v>
      </c>
      <c r="X1256" s="16">
        <v>3</v>
      </c>
      <c r="Y1256" s="12">
        <v>0</v>
      </c>
      <c r="Z1256" s="16">
        <v>0</v>
      </c>
      <c r="AA1256" s="16">
        <v>1</v>
      </c>
      <c r="AB1256" s="16">
        <v>0</v>
      </c>
      <c r="AC1256" s="16">
        <v>0</v>
      </c>
      <c r="AD1256" s="16">
        <v>0</v>
      </c>
      <c r="AE1256" s="16">
        <v>0</v>
      </c>
      <c r="AF1256" s="16">
        <v>30</v>
      </c>
      <c r="AG1256" s="16">
        <v>1</v>
      </c>
      <c r="AH1256" s="16">
        <v>3</v>
      </c>
      <c r="AI1256" s="12">
        <v>0</v>
      </c>
      <c r="AJ1256" s="12">
        <v>2</v>
      </c>
      <c r="AK1256" s="12">
        <v>0</v>
      </c>
      <c r="AL1256" s="12">
        <v>2</v>
      </c>
      <c r="AM1256" s="16">
        <v>0</v>
      </c>
      <c r="AN1256" s="16">
        <v>0</v>
      </c>
      <c r="AO1256" s="16">
        <v>0</v>
      </c>
      <c r="AP1256" s="16">
        <v>2</v>
      </c>
      <c r="AQ1256" s="16">
        <v>10000</v>
      </c>
      <c r="AR1256" s="16">
        <v>0.5</v>
      </c>
      <c r="AS1256" s="16">
        <v>10</v>
      </c>
      <c r="AT1256" s="12">
        <v>0</v>
      </c>
      <c r="AU1256" s="16" t="s">
        <v>198</v>
      </c>
      <c r="AV1256" s="16"/>
      <c r="AW1256" s="19" t="s">
        <v>2576</v>
      </c>
      <c r="AX1256" s="16" t="s">
        <v>534</v>
      </c>
      <c r="AY1256" s="18">
        <v>10000007</v>
      </c>
      <c r="AZ1256" s="18">
        <v>22001001</v>
      </c>
      <c r="BA1256" s="19" t="s">
        <v>586</v>
      </c>
      <c r="BB1256" s="27" t="s">
        <v>2617</v>
      </c>
      <c r="BC1256" s="27">
        <v>0</v>
      </c>
      <c r="BD1256" s="27">
        <v>1</v>
      </c>
      <c r="BE1256" s="44" t="s">
        <v>2655</v>
      </c>
      <c r="BF1256" s="44" t="s">
        <v>2656</v>
      </c>
      <c r="BG1256" s="16">
        <v>0</v>
      </c>
      <c r="BH1256" s="16">
        <v>0</v>
      </c>
      <c r="BI1256" s="16">
        <v>0</v>
      </c>
      <c r="BJ1256" s="16">
        <v>0</v>
      </c>
      <c r="BK1256" s="16">
        <v>0</v>
      </c>
      <c r="BL1256" s="16">
        <v>0</v>
      </c>
      <c r="BM1256" s="15">
        <v>0</v>
      </c>
      <c r="BN1256" s="12">
        <v>0</v>
      </c>
      <c r="BO1256" s="12">
        <v>0</v>
      </c>
      <c r="BP1256" s="12">
        <v>0</v>
      </c>
      <c r="BQ1256" s="12">
        <v>0</v>
      </c>
      <c r="BR1256" s="12">
        <v>0</v>
      </c>
      <c r="BS1256" s="12">
        <v>0</v>
      </c>
      <c r="BT1256" s="12">
        <v>0</v>
      </c>
      <c r="BU1256" s="47">
        <v>0</v>
      </c>
      <c r="BV1256" s="47"/>
      <c r="BW1256" s="47"/>
    </row>
    <row r="1257" spans="1:75" ht="20.100000000000001" customHeight="1">
      <c r="C1257" s="18">
        <v>61031121</v>
      </c>
      <c r="D1257" s="13" t="s">
        <v>2657</v>
      </c>
      <c r="E1257" s="13" t="s">
        <v>2658</v>
      </c>
      <c r="F1257" s="16">
        <v>1</v>
      </c>
      <c r="G1257" s="18">
        <v>60031121</v>
      </c>
      <c r="H1257" s="16">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1.5</v>
      </c>
      <c r="Y1257" s="12">
        <v>0</v>
      </c>
      <c r="Z1257" s="18">
        <v>0</v>
      </c>
      <c r="AA1257" s="18">
        <v>0</v>
      </c>
      <c r="AB1257" s="18">
        <v>0</v>
      </c>
      <c r="AC1257" s="18">
        <v>0</v>
      </c>
      <c r="AD1257" s="18">
        <v>0</v>
      </c>
      <c r="AE1257" s="18">
        <v>0</v>
      </c>
      <c r="AF1257" s="16">
        <v>30</v>
      </c>
      <c r="AG1257" s="18">
        <v>1</v>
      </c>
      <c r="AH1257" s="18">
        <v>5</v>
      </c>
      <c r="AI1257" s="12">
        <v>2</v>
      </c>
      <c r="AJ1257" s="12">
        <v>1</v>
      </c>
      <c r="AK1257" s="12">
        <v>0</v>
      </c>
      <c r="AL1257" s="12">
        <v>6</v>
      </c>
      <c r="AM1257" s="18">
        <v>0</v>
      </c>
      <c r="AN1257" s="18">
        <v>0</v>
      </c>
      <c r="AO1257" s="18">
        <v>0</v>
      </c>
      <c r="AP1257" s="18">
        <v>0.25</v>
      </c>
      <c r="AQ1257" s="18">
        <v>5000</v>
      </c>
      <c r="AR1257" s="18">
        <v>0.25</v>
      </c>
      <c r="AS1257" s="18">
        <v>0</v>
      </c>
      <c r="AT1257" s="12">
        <v>0</v>
      </c>
      <c r="AU1257" s="18">
        <v>0</v>
      </c>
      <c r="AV1257" s="18"/>
      <c r="AW1257" s="19" t="s">
        <v>199</v>
      </c>
      <c r="AX1257" s="18" t="s">
        <v>1408</v>
      </c>
      <c r="AY1257" s="18">
        <v>10002001</v>
      </c>
      <c r="AZ1257" s="18">
        <v>22001002</v>
      </c>
      <c r="BA1257" s="19" t="s">
        <v>315</v>
      </c>
      <c r="BB1257" s="19" t="s">
        <v>1756</v>
      </c>
      <c r="BC1257" s="27">
        <v>0</v>
      </c>
      <c r="BD1257" s="27">
        <v>1</v>
      </c>
      <c r="BE1257" s="183">
        <v>11</v>
      </c>
      <c r="BF1257" s="183">
        <v>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spans="1:75" ht="20.100000000000001" customHeight="1">
      <c r="C1258" s="18">
        <v>61031131</v>
      </c>
      <c r="D1258" s="13" t="s">
        <v>2659</v>
      </c>
      <c r="E1258" s="13" t="s">
        <v>2660</v>
      </c>
      <c r="F1258" s="16">
        <v>1</v>
      </c>
      <c r="G1258" s="18">
        <v>60031131</v>
      </c>
      <c r="H1258" s="18">
        <v>0</v>
      </c>
      <c r="I1258" s="12">
        <v>0</v>
      </c>
      <c r="J1258" s="18">
        <v>60</v>
      </c>
      <c r="K1258" s="18">
        <v>0</v>
      </c>
      <c r="L1258" s="16">
        <v>0</v>
      </c>
      <c r="M1258" s="12">
        <v>0</v>
      </c>
      <c r="N1258" s="12">
        <v>0</v>
      </c>
      <c r="O1258" s="12">
        <v>1</v>
      </c>
      <c r="P1258" s="12">
        <v>0</v>
      </c>
      <c r="Q1258" s="12">
        <v>0</v>
      </c>
      <c r="R1258" s="12">
        <v>0</v>
      </c>
      <c r="S1258" s="12">
        <v>0</v>
      </c>
      <c r="T1258" s="12">
        <v>0</v>
      </c>
      <c r="U1258" s="16">
        <v>1</v>
      </c>
      <c r="V1258" s="12">
        <v>2</v>
      </c>
      <c r="W1258" s="12">
        <v>0</v>
      </c>
      <c r="X1258" s="18">
        <v>2</v>
      </c>
      <c r="Y1258" s="12">
        <v>0</v>
      </c>
      <c r="Z1258" s="18">
        <v>0</v>
      </c>
      <c r="AA1258" s="12">
        <v>0</v>
      </c>
      <c r="AB1258" s="12">
        <v>0</v>
      </c>
      <c r="AC1258" s="12">
        <v>0</v>
      </c>
      <c r="AD1258" s="12">
        <v>0</v>
      </c>
      <c r="AE1258" s="12">
        <v>0</v>
      </c>
      <c r="AF1258" s="16">
        <v>30</v>
      </c>
      <c r="AG1258" s="12">
        <v>0</v>
      </c>
      <c r="AH1258" s="12">
        <v>0</v>
      </c>
      <c r="AI1258" s="12">
        <v>0</v>
      </c>
      <c r="AJ1258" s="12">
        <v>0</v>
      </c>
      <c r="AK1258" s="12">
        <v>0</v>
      </c>
      <c r="AL1258" s="12">
        <v>3</v>
      </c>
      <c r="AM1258" s="12">
        <v>0</v>
      </c>
      <c r="AN1258" s="12">
        <v>0</v>
      </c>
      <c r="AO1258" s="12">
        <v>0</v>
      </c>
      <c r="AP1258" s="12">
        <v>0.25</v>
      </c>
      <c r="AQ1258" s="12">
        <v>1000</v>
      </c>
      <c r="AR1258" s="12">
        <v>0</v>
      </c>
      <c r="AS1258" s="12">
        <v>0</v>
      </c>
      <c r="AT1258" s="12">
        <v>0</v>
      </c>
      <c r="AU1258" s="349" t="s">
        <v>2586</v>
      </c>
      <c r="AV1258" s="18"/>
      <c r="AW1258" s="13" t="s">
        <v>199</v>
      </c>
      <c r="AX1258" s="18" t="s">
        <v>1408</v>
      </c>
      <c r="AY1258" s="12" t="s">
        <v>198</v>
      </c>
      <c r="AZ1258" s="349" t="s">
        <v>2587</v>
      </c>
      <c r="BA1258" s="13" t="s">
        <v>200</v>
      </c>
      <c r="BB1258" s="12">
        <v>0</v>
      </c>
      <c r="BC1258" s="27">
        <v>0</v>
      </c>
      <c r="BD1258" s="27">
        <v>1</v>
      </c>
      <c r="BE1258" s="183" t="s">
        <v>2588</v>
      </c>
      <c r="BF1258" s="183" t="s">
        <v>2589</v>
      </c>
      <c r="BG1258" s="12">
        <v>0</v>
      </c>
      <c r="BH1258" s="16">
        <v>0</v>
      </c>
      <c r="BI1258" s="12">
        <v>0</v>
      </c>
      <c r="BJ1258" s="12">
        <v>0</v>
      </c>
      <c r="BK1258" s="12">
        <v>0</v>
      </c>
      <c r="BL1258" s="12">
        <v>0</v>
      </c>
      <c r="BM1258" s="15">
        <v>0</v>
      </c>
      <c r="BN1258" s="12">
        <v>0</v>
      </c>
      <c r="BO1258" s="12">
        <v>0</v>
      </c>
      <c r="BP1258" s="12">
        <v>0</v>
      </c>
      <c r="BQ1258" s="12">
        <v>0</v>
      </c>
      <c r="BR1258" s="12">
        <v>0</v>
      </c>
      <c r="BS1258" s="12">
        <v>0</v>
      </c>
      <c r="BT1258" s="12">
        <v>0</v>
      </c>
      <c r="BU1258" s="47">
        <v>0</v>
      </c>
      <c r="BV1258" s="47"/>
      <c r="BW1258" s="47"/>
    </row>
    <row r="1259" spans="1:75" ht="20.100000000000001" customHeight="1">
      <c r="C1259" s="18">
        <v>61031141</v>
      </c>
      <c r="D1259" s="13" t="s">
        <v>2661</v>
      </c>
      <c r="E1259" s="13" t="s">
        <v>2662</v>
      </c>
      <c r="F1259" s="16">
        <v>1</v>
      </c>
      <c r="G1259" s="18">
        <v>60031141</v>
      </c>
      <c r="H1259" s="16">
        <v>0</v>
      </c>
      <c r="I1259" s="27">
        <v>0</v>
      </c>
      <c r="J1259" s="18">
        <v>60</v>
      </c>
      <c r="K1259" s="16">
        <v>0</v>
      </c>
      <c r="L1259" s="16">
        <v>0</v>
      </c>
      <c r="M1259" s="18">
        <v>0</v>
      </c>
      <c r="N1259" s="18">
        <v>0</v>
      </c>
      <c r="O1259" s="18">
        <v>1</v>
      </c>
      <c r="P1259" s="18">
        <v>0</v>
      </c>
      <c r="Q1259" s="18">
        <v>0</v>
      </c>
      <c r="R1259" s="18">
        <v>0</v>
      </c>
      <c r="S1259" s="12">
        <v>0</v>
      </c>
      <c r="T1259" s="27">
        <v>0</v>
      </c>
      <c r="U1259" s="16">
        <v>1</v>
      </c>
      <c r="V1259" s="18">
        <v>2</v>
      </c>
      <c r="W1259" s="18">
        <v>0</v>
      </c>
      <c r="X1259" s="18">
        <v>1.8</v>
      </c>
      <c r="Y1259" s="12">
        <v>0</v>
      </c>
      <c r="Z1259" s="18">
        <v>0</v>
      </c>
      <c r="AA1259" s="18">
        <v>0</v>
      </c>
      <c r="AB1259" s="18">
        <v>0</v>
      </c>
      <c r="AC1259" s="18">
        <v>0</v>
      </c>
      <c r="AD1259" s="18">
        <v>0</v>
      </c>
      <c r="AE1259" s="18">
        <v>0</v>
      </c>
      <c r="AF1259" s="16">
        <v>30</v>
      </c>
      <c r="AG1259" s="18">
        <v>1</v>
      </c>
      <c r="AH1259" s="18">
        <v>3</v>
      </c>
      <c r="AI1259" s="12">
        <v>2</v>
      </c>
      <c r="AJ1259" s="12">
        <v>1</v>
      </c>
      <c r="AK1259" s="12">
        <v>0</v>
      </c>
      <c r="AL1259" s="12">
        <v>6</v>
      </c>
      <c r="AM1259" s="18">
        <v>0</v>
      </c>
      <c r="AN1259" s="18">
        <v>0</v>
      </c>
      <c r="AO1259" s="18">
        <v>0</v>
      </c>
      <c r="AP1259" s="18">
        <v>0.25</v>
      </c>
      <c r="AQ1259" s="18">
        <v>20000</v>
      </c>
      <c r="AR1259" s="18">
        <v>0.25</v>
      </c>
      <c r="AS1259" s="18">
        <v>2</v>
      </c>
      <c r="AT1259" s="12">
        <v>0</v>
      </c>
      <c r="AU1259" s="18">
        <v>0</v>
      </c>
      <c r="AV1259" s="18"/>
      <c r="AW1259" s="19" t="s">
        <v>199</v>
      </c>
      <c r="AX1259" s="18" t="s">
        <v>1408</v>
      </c>
      <c r="AY1259" s="18">
        <v>10002001</v>
      </c>
      <c r="AZ1259" s="18">
        <v>22001004</v>
      </c>
      <c r="BA1259" s="19" t="s">
        <v>2594</v>
      </c>
      <c r="BB1259" s="19" t="s">
        <v>371</v>
      </c>
      <c r="BC1259" s="27">
        <v>0</v>
      </c>
      <c r="BD1259" s="27">
        <v>1</v>
      </c>
      <c r="BE1259" s="183" t="s">
        <v>2595</v>
      </c>
      <c r="BF1259" s="183" t="s">
        <v>2596</v>
      </c>
      <c r="BG1259" s="18">
        <v>0</v>
      </c>
      <c r="BH1259" s="16">
        <v>0</v>
      </c>
      <c r="BI1259" s="18">
        <v>0</v>
      </c>
      <c r="BJ1259" s="18">
        <v>0</v>
      </c>
      <c r="BK1259" s="18">
        <v>0</v>
      </c>
      <c r="BL1259" s="18">
        <v>0</v>
      </c>
      <c r="BM1259" s="15">
        <v>0</v>
      </c>
      <c r="BN1259" s="12">
        <v>0</v>
      </c>
      <c r="BO1259" s="12">
        <v>0</v>
      </c>
      <c r="BP1259" s="12">
        <v>0</v>
      </c>
      <c r="BQ1259" s="12">
        <v>0</v>
      </c>
      <c r="BR1259" s="12">
        <v>0</v>
      </c>
      <c r="BS1259" s="12">
        <v>0</v>
      </c>
      <c r="BT1259" s="12">
        <v>0</v>
      </c>
      <c r="BU1259" s="47">
        <v>0</v>
      </c>
      <c r="BV1259" s="47"/>
      <c r="BW1259" s="47"/>
    </row>
    <row r="1260" spans="1:75" ht="20.100000000000001" customHeight="1">
      <c r="C1260" s="18">
        <v>61031151</v>
      </c>
      <c r="D1260" s="13" t="s">
        <v>2663</v>
      </c>
      <c r="E1260" s="13" t="s">
        <v>2664</v>
      </c>
      <c r="F1260" s="16">
        <v>1</v>
      </c>
      <c r="G1260" s="18">
        <v>60031151</v>
      </c>
      <c r="H1260" s="16">
        <v>0</v>
      </c>
      <c r="I1260" s="27">
        <v>0</v>
      </c>
      <c r="J1260" s="18">
        <v>60</v>
      </c>
      <c r="K1260" s="16">
        <v>0</v>
      </c>
      <c r="L1260" s="16">
        <v>0</v>
      </c>
      <c r="M1260" s="16">
        <v>0</v>
      </c>
      <c r="N1260" s="16">
        <v>0</v>
      </c>
      <c r="O1260" s="16">
        <v>1</v>
      </c>
      <c r="P1260" s="16">
        <v>0</v>
      </c>
      <c r="Q1260" s="16">
        <v>0</v>
      </c>
      <c r="R1260" s="16">
        <v>0</v>
      </c>
      <c r="S1260" s="12">
        <v>0</v>
      </c>
      <c r="T1260" s="16">
        <v>0</v>
      </c>
      <c r="U1260" s="16">
        <v>1</v>
      </c>
      <c r="V1260" s="16">
        <v>2</v>
      </c>
      <c r="W1260" s="16">
        <v>0</v>
      </c>
      <c r="X1260" s="16">
        <v>1.5</v>
      </c>
      <c r="Y1260" s="12">
        <v>0</v>
      </c>
      <c r="Z1260" s="18">
        <v>0</v>
      </c>
      <c r="AA1260" s="16">
        <v>1</v>
      </c>
      <c r="AB1260" s="16">
        <v>0</v>
      </c>
      <c r="AC1260" s="16">
        <v>0</v>
      </c>
      <c r="AD1260" s="16">
        <v>0</v>
      </c>
      <c r="AE1260" s="16">
        <v>0</v>
      </c>
      <c r="AF1260" s="16">
        <v>30</v>
      </c>
      <c r="AG1260" s="16">
        <v>1</v>
      </c>
      <c r="AH1260" s="16">
        <v>4</v>
      </c>
      <c r="AI1260" s="12">
        <v>2</v>
      </c>
      <c r="AJ1260" s="12">
        <v>1</v>
      </c>
      <c r="AK1260" s="12">
        <v>0</v>
      </c>
      <c r="AL1260" s="12">
        <v>6</v>
      </c>
      <c r="AM1260" s="16">
        <v>0</v>
      </c>
      <c r="AN1260" s="16">
        <v>0</v>
      </c>
      <c r="AO1260" s="16">
        <v>0</v>
      </c>
      <c r="AP1260" s="16">
        <v>0.5</v>
      </c>
      <c r="AQ1260" s="16">
        <v>8000</v>
      </c>
      <c r="AR1260" s="16">
        <v>0.2</v>
      </c>
      <c r="AS1260" s="16">
        <v>0</v>
      </c>
      <c r="AT1260" s="12">
        <v>0</v>
      </c>
      <c r="AU1260" s="18">
        <v>90001025</v>
      </c>
      <c r="AV1260" s="18"/>
      <c r="AW1260" s="17" t="s">
        <v>617</v>
      </c>
      <c r="AX1260" s="18" t="s">
        <v>1041</v>
      </c>
      <c r="AY1260" s="18">
        <v>10000007</v>
      </c>
      <c r="AZ1260" s="18">
        <v>22001005</v>
      </c>
      <c r="BA1260" s="17" t="s">
        <v>1574</v>
      </c>
      <c r="BB1260" s="16">
        <v>0</v>
      </c>
      <c r="BC1260" s="27">
        <v>0</v>
      </c>
      <c r="BD1260" s="27">
        <v>1</v>
      </c>
      <c r="BE1260" s="183" t="s">
        <v>2599</v>
      </c>
      <c r="BF1260" s="183" t="s">
        <v>2600</v>
      </c>
      <c r="BG1260" s="16">
        <v>0</v>
      </c>
      <c r="BH1260" s="16">
        <v>0</v>
      </c>
      <c r="BI1260" s="16">
        <v>0</v>
      </c>
      <c r="BJ1260" s="16">
        <v>0</v>
      </c>
      <c r="BK1260" s="16">
        <v>0</v>
      </c>
      <c r="BL1260" s="16">
        <v>0</v>
      </c>
      <c r="BM1260" s="15">
        <v>0</v>
      </c>
      <c r="BN1260" s="12">
        <v>0</v>
      </c>
      <c r="BO1260" s="12">
        <v>0</v>
      </c>
      <c r="BP1260" s="12">
        <v>1000</v>
      </c>
      <c r="BQ1260" s="12">
        <v>1</v>
      </c>
      <c r="BR1260" s="12">
        <v>600</v>
      </c>
      <c r="BS1260" s="12">
        <v>600</v>
      </c>
      <c r="BT1260" s="12">
        <v>0</v>
      </c>
      <c r="BU1260" s="47">
        <v>0</v>
      </c>
      <c r="BV1260" s="47"/>
      <c r="BW1260" s="47"/>
    </row>
    <row r="1261" spans="1:75" ht="20.100000000000001" customHeight="1">
      <c r="C1261" s="18">
        <v>61031161</v>
      </c>
      <c r="D1261" s="13" t="s">
        <v>2665</v>
      </c>
      <c r="E1261" s="13" t="s">
        <v>2666</v>
      </c>
      <c r="F1261" s="16"/>
      <c r="G1261" s="18">
        <v>60031161</v>
      </c>
      <c r="H1261" s="18">
        <v>0</v>
      </c>
      <c r="I1261" s="27">
        <v>0</v>
      </c>
      <c r="J1261" s="18">
        <v>60</v>
      </c>
      <c r="K1261" s="16">
        <v>0</v>
      </c>
      <c r="L1261" s="16">
        <v>0</v>
      </c>
      <c r="M1261" s="18">
        <v>0</v>
      </c>
      <c r="N1261" s="18">
        <v>0</v>
      </c>
      <c r="O1261" s="18">
        <v>1</v>
      </c>
      <c r="P1261" s="18">
        <v>0</v>
      </c>
      <c r="Q1261" s="18">
        <v>0</v>
      </c>
      <c r="R1261" s="18">
        <v>0</v>
      </c>
      <c r="S1261" s="12">
        <v>0</v>
      </c>
      <c r="T1261" s="27">
        <v>0</v>
      </c>
      <c r="U1261" s="16">
        <v>1</v>
      </c>
      <c r="V1261" s="18">
        <v>2</v>
      </c>
      <c r="W1261" s="18">
        <v>0</v>
      </c>
      <c r="X1261" s="18">
        <v>3</v>
      </c>
      <c r="Y1261" s="12">
        <v>0</v>
      </c>
      <c r="Z1261" s="18">
        <v>0</v>
      </c>
      <c r="AA1261" s="18">
        <v>0</v>
      </c>
      <c r="AB1261" s="18">
        <v>0</v>
      </c>
      <c r="AC1261" s="18">
        <v>0</v>
      </c>
      <c r="AD1261" s="18">
        <v>0</v>
      </c>
      <c r="AE1261" s="18">
        <v>0</v>
      </c>
      <c r="AF1261" s="16">
        <v>30</v>
      </c>
      <c r="AG1261" s="18">
        <v>1</v>
      </c>
      <c r="AH1261" s="18">
        <v>8</v>
      </c>
      <c r="AI1261" s="12">
        <v>2</v>
      </c>
      <c r="AJ1261" s="12">
        <v>0</v>
      </c>
      <c r="AK1261" s="12">
        <v>1</v>
      </c>
      <c r="AL1261" s="12">
        <v>0</v>
      </c>
      <c r="AM1261" s="18">
        <v>0</v>
      </c>
      <c r="AN1261" s="18">
        <v>0</v>
      </c>
      <c r="AO1261" s="18">
        <v>0</v>
      </c>
      <c r="AP1261" s="18">
        <v>0.5</v>
      </c>
      <c r="AQ1261" s="18">
        <v>12000</v>
      </c>
      <c r="AR1261" s="18">
        <v>0</v>
      </c>
      <c r="AS1261" s="18">
        <v>0</v>
      </c>
      <c r="AT1261" s="12">
        <v>0</v>
      </c>
      <c r="AU1261" s="349" t="s">
        <v>2603</v>
      </c>
      <c r="AV1261" s="18"/>
      <c r="AW1261" s="19" t="s">
        <v>1557</v>
      </c>
      <c r="AX1261" s="18" t="s">
        <v>1408</v>
      </c>
      <c r="AY1261" s="18">
        <v>10002001</v>
      </c>
      <c r="AZ1261" s="18">
        <v>22001006</v>
      </c>
      <c r="BA1261" s="19" t="s">
        <v>2604</v>
      </c>
      <c r="BB1261" s="27" t="s">
        <v>2605</v>
      </c>
      <c r="BC1261" s="27">
        <v>0</v>
      </c>
      <c r="BD1261" s="27">
        <v>1</v>
      </c>
      <c r="BE1261" s="183" t="s">
        <v>2606</v>
      </c>
      <c r="BF1261" s="183" t="s">
        <v>2607</v>
      </c>
      <c r="BG1261" s="18">
        <v>0</v>
      </c>
      <c r="BH1261" s="16">
        <v>0</v>
      </c>
      <c r="BI1261" s="18">
        <v>0</v>
      </c>
      <c r="BJ1261" s="18">
        <v>0</v>
      </c>
      <c r="BK1261" s="18">
        <v>0</v>
      </c>
      <c r="BL1261" s="18">
        <v>0</v>
      </c>
      <c r="BM1261" s="15">
        <v>0</v>
      </c>
      <c r="BN1261" s="12">
        <v>0</v>
      </c>
      <c r="BO1261" s="12">
        <v>0</v>
      </c>
      <c r="BP1261" s="12">
        <v>0</v>
      </c>
      <c r="BQ1261" s="12">
        <v>0</v>
      </c>
      <c r="BR1261" s="12">
        <v>0</v>
      </c>
      <c r="BS1261" s="12">
        <v>0</v>
      </c>
      <c r="BT1261" s="12">
        <v>0</v>
      </c>
      <c r="BU1261" s="47">
        <v>0</v>
      </c>
      <c r="BV1261" s="47"/>
      <c r="BW1261" s="47"/>
    </row>
    <row r="1262" spans="1:75" ht="20.100000000000001" customHeight="1">
      <c r="C1262" s="176">
        <v>61031171</v>
      </c>
      <c r="D1262" s="203" t="s">
        <v>2667</v>
      </c>
      <c r="E1262" s="203" t="s">
        <v>2668</v>
      </c>
      <c r="F1262" s="172">
        <v>1</v>
      </c>
      <c r="G1262" s="176">
        <v>60031171</v>
      </c>
      <c r="H1262" s="176">
        <v>0</v>
      </c>
      <c r="I1262" s="174">
        <v>0</v>
      </c>
      <c r="J1262" s="172">
        <v>42</v>
      </c>
      <c r="K1262" s="172">
        <v>2</v>
      </c>
      <c r="L1262" s="172">
        <v>0</v>
      </c>
      <c r="M1262" s="176">
        <v>0</v>
      </c>
      <c r="N1262" s="176">
        <v>0</v>
      </c>
      <c r="O1262" s="176">
        <v>1</v>
      </c>
      <c r="P1262" s="176">
        <v>0</v>
      </c>
      <c r="Q1262" s="176">
        <v>0</v>
      </c>
      <c r="R1262" s="176">
        <v>0</v>
      </c>
      <c r="S1262" s="175">
        <v>0</v>
      </c>
      <c r="T1262" s="174">
        <v>0</v>
      </c>
      <c r="U1262" s="172">
        <v>1</v>
      </c>
      <c r="V1262" s="176">
        <v>2</v>
      </c>
      <c r="W1262" s="176">
        <v>0</v>
      </c>
      <c r="X1262" s="176">
        <v>1</v>
      </c>
      <c r="Y1262" s="12">
        <v>0</v>
      </c>
      <c r="Z1262" s="176">
        <v>500</v>
      </c>
      <c r="AA1262" s="176">
        <v>0</v>
      </c>
      <c r="AB1262" s="176">
        <v>0</v>
      </c>
      <c r="AC1262" s="176">
        <v>0</v>
      </c>
      <c r="AD1262" s="176">
        <v>0</v>
      </c>
      <c r="AE1262" s="176">
        <v>0</v>
      </c>
      <c r="AF1262" s="176">
        <v>30</v>
      </c>
      <c r="AG1262" s="176">
        <v>1</v>
      </c>
      <c r="AH1262" s="176">
        <v>3</v>
      </c>
      <c r="AI1262" s="175">
        <v>2</v>
      </c>
      <c r="AJ1262" s="175">
        <v>0</v>
      </c>
      <c r="AK1262" s="175">
        <v>0</v>
      </c>
      <c r="AL1262" s="175">
        <v>1.5</v>
      </c>
      <c r="AM1262" s="176">
        <v>0</v>
      </c>
      <c r="AN1262" s="176">
        <v>0</v>
      </c>
      <c r="AO1262" s="176">
        <v>0</v>
      </c>
      <c r="AP1262" s="176">
        <v>0.5</v>
      </c>
      <c r="AQ1262" s="176">
        <v>20000</v>
      </c>
      <c r="AR1262" s="176">
        <v>0.5</v>
      </c>
      <c r="AS1262" s="176">
        <v>0</v>
      </c>
      <c r="AT1262" s="175">
        <v>0</v>
      </c>
      <c r="AU1262" s="359" t="s">
        <v>2603</v>
      </c>
      <c r="AV1262" s="176"/>
      <c r="AW1262" s="203" t="s">
        <v>1557</v>
      </c>
      <c r="AX1262" s="176" t="s">
        <v>1408</v>
      </c>
      <c r="AY1262" s="176">
        <v>10002001</v>
      </c>
      <c r="AZ1262" s="176">
        <v>21201090</v>
      </c>
      <c r="BA1262" s="203" t="s">
        <v>315</v>
      </c>
      <c r="BB1262" s="203" t="s">
        <v>371</v>
      </c>
      <c r="BC1262" s="174">
        <v>0</v>
      </c>
      <c r="BD1262" s="174">
        <v>0</v>
      </c>
      <c r="BE1262" s="208" t="str">
        <f>"在脚底下立即释放法术,在此范围内的目标每秒造成"&amp;X1262*100&amp;"%攻击伤害+"&amp;Z1262&amp;"点固定伤害,己方伤害提升20%,目标移动速度降低20%,持续20秒"</f>
        <v>在脚底下立即释放法术,在此范围内的目标每秒造成100%攻击伤害+500点固定伤害,己方伤害提升20%,目标移动速度降低20%,持续20秒</v>
      </c>
      <c r="BF1262" s="208" t="s">
        <v>2669</v>
      </c>
      <c r="BG1262" s="176">
        <v>0</v>
      </c>
      <c r="BH1262" s="172">
        <v>0</v>
      </c>
      <c r="BI1262" s="176">
        <v>0</v>
      </c>
      <c r="BJ1262" s="176">
        <v>0</v>
      </c>
      <c r="BK1262" s="176">
        <v>0</v>
      </c>
      <c r="BL1262" s="176">
        <v>0</v>
      </c>
      <c r="BM1262" s="178">
        <v>0</v>
      </c>
      <c r="BN1262" s="175">
        <v>0</v>
      </c>
      <c r="BO1262" s="175">
        <v>0</v>
      </c>
      <c r="BP1262" s="175">
        <v>0</v>
      </c>
      <c r="BQ1262" s="175">
        <v>0</v>
      </c>
      <c r="BR1262" s="175">
        <v>0</v>
      </c>
      <c r="BS1262" s="175">
        <v>0</v>
      </c>
      <c r="BT1262" s="12">
        <v>0</v>
      </c>
      <c r="BU1262" s="47">
        <v>0</v>
      </c>
      <c r="BV1262" s="47"/>
      <c r="BW1262" s="47"/>
    </row>
    <row r="1263" spans="1:75" ht="19.5" customHeight="1">
      <c r="C1263" s="176">
        <v>61031181</v>
      </c>
      <c r="D1263" s="200" t="s">
        <v>2670</v>
      </c>
      <c r="E1263" s="200" t="s">
        <v>2671</v>
      </c>
      <c r="F1263" s="176">
        <v>1</v>
      </c>
      <c r="G1263" s="176">
        <v>60031181</v>
      </c>
      <c r="H1263" s="176">
        <v>0</v>
      </c>
      <c r="I1263" s="174">
        <v>0</v>
      </c>
      <c r="J1263" s="176">
        <v>60</v>
      </c>
      <c r="K1263" s="176">
        <v>0</v>
      </c>
      <c r="L1263" s="176">
        <v>0</v>
      </c>
      <c r="M1263" s="172">
        <v>0</v>
      </c>
      <c r="N1263" s="172">
        <v>0</v>
      </c>
      <c r="O1263" s="172">
        <v>1</v>
      </c>
      <c r="P1263" s="172">
        <v>0</v>
      </c>
      <c r="Q1263" s="172">
        <v>1</v>
      </c>
      <c r="R1263" s="172">
        <v>0</v>
      </c>
      <c r="S1263" s="175">
        <v>0</v>
      </c>
      <c r="T1263" s="172">
        <v>0</v>
      </c>
      <c r="U1263" s="172">
        <v>1</v>
      </c>
      <c r="V1263" s="172">
        <v>2</v>
      </c>
      <c r="W1263" s="172">
        <v>0</v>
      </c>
      <c r="X1263" s="172">
        <v>3</v>
      </c>
      <c r="Y1263" s="12">
        <v>0</v>
      </c>
      <c r="Z1263" s="172">
        <v>0</v>
      </c>
      <c r="AA1263" s="172">
        <v>1</v>
      </c>
      <c r="AB1263" s="172">
        <v>0</v>
      </c>
      <c r="AC1263" s="172">
        <v>0</v>
      </c>
      <c r="AD1263" s="172">
        <v>0</v>
      </c>
      <c r="AE1263" s="172">
        <v>0</v>
      </c>
      <c r="AF1263" s="172">
        <v>30</v>
      </c>
      <c r="AG1263" s="172">
        <v>1</v>
      </c>
      <c r="AH1263" s="172">
        <v>3</v>
      </c>
      <c r="AI1263" s="175">
        <v>0</v>
      </c>
      <c r="AJ1263" s="175">
        <v>2</v>
      </c>
      <c r="AK1263" s="175">
        <v>0</v>
      </c>
      <c r="AL1263" s="175">
        <v>2</v>
      </c>
      <c r="AM1263" s="172">
        <v>0</v>
      </c>
      <c r="AN1263" s="172">
        <v>0</v>
      </c>
      <c r="AO1263" s="172">
        <v>0</v>
      </c>
      <c r="AP1263" s="172">
        <v>2</v>
      </c>
      <c r="AQ1263" s="172">
        <v>10000</v>
      </c>
      <c r="AR1263" s="172">
        <v>0.5</v>
      </c>
      <c r="AS1263" s="172">
        <v>20</v>
      </c>
      <c r="AT1263" s="175">
        <v>0</v>
      </c>
      <c r="AU1263" s="172" t="s">
        <v>198</v>
      </c>
      <c r="AV1263" s="172"/>
      <c r="AW1263" s="203" t="s">
        <v>2576</v>
      </c>
      <c r="AX1263" s="172" t="s">
        <v>534</v>
      </c>
      <c r="AY1263" s="176">
        <v>10000007</v>
      </c>
      <c r="AZ1263" s="176">
        <v>21202090</v>
      </c>
      <c r="BA1263" s="203" t="s">
        <v>586</v>
      </c>
      <c r="BB1263" s="174" t="s">
        <v>2617</v>
      </c>
      <c r="BC1263" s="174">
        <v>0</v>
      </c>
      <c r="BD1263" s="174">
        <v>1</v>
      </c>
      <c r="BE1263" s="206" t="s">
        <v>2655</v>
      </c>
      <c r="BF1263" s="206" t="s">
        <v>2656</v>
      </c>
      <c r="BG1263" s="172">
        <v>0</v>
      </c>
      <c r="BH1263" s="172">
        <v>0</v>
      </c>
      <c r="BI1263" s="172">
        <v>0</v>
      </c>
      <c r="BJ1263" s="172">
        <v>0</v>
      </c>
      <c r="BK1263" s="172">
        <v>0</v>
      </c>
      <c r="BL1263" s="172">
        <v>0</v>
      </c>
      <c r="BM1263" s="178">
        <v>0</v>
      </c>
      <c r="BN1263" s="175">
        <v>0</v>
      </c>
      <c r="BO1263" s="175">
        <v>0</v>
      </c>
      <c r="BP1263" s="175">
        <v>0</v>
      </c>
      <c r="BQ1263" s="175">
        <v>0</v>
      </c>
      <c r="BR1263" s="175">
        <v>0</v>
      </c>
      <c r="BS1263" s="175">
        <v>0</v>
      </c>
      <c r="BT1263" s="12">
        <v>0</v>
      </c>
      <c r="BU1263" s="47">
        <v>0</v>
      </c>
      <c r="BV1263" s="47"/>
      <c r="BW1263" s="47"/>
    </row>
    <row r="1264" spans="1:75" ht="20.100000000000001" customHeight="1">
      <c r="C1264" s="176">
        <v>61031191</v>
      </c>
      <c r="D1264" s="173" t="s">
        <v>2672</v>
      </c>
      <c r="E1264" s="173" t="s">
        <v>2673</v>
      </c>
      <c r="F1264" s="176">
        <v>1</v>
      </c>
      <c r="G1264" s="176">
        <v>60031191</v>
      </c>
      <c r="H1264" s="176">
        <v>0</v>
      </c>
      <c r="I1264" s="174">
        <v>0</v>
      </c>
      <c r="J1264" s="176">
        <v>1</v>
      </c>
      <c r="K1264" s="176">
        <v>0</v>
      </c>
      <c r="L1264" s="176">
        <v>0</v>
      </c>
      <c r="M1264" s="172">
        <v>0</v>
      </c>
      <c r="N1264" s="172">
        <v>0</v>
      </c>
      <c r="O1264" s="172">
        <v>2</v>
      </c>
      <c r="P1264" s="172">
        <v>1</v>
      </c>
      <c r="Q1264" s="172">
        <v>0.6</v>
      </c>
      <c r="R1264" s="172">
        <v>0</v>
      </c>
      <c r="S1264" s="175">
        <v>0</v>
      </c>
      <c r="T1264" s="172">
        <v>0</v>
      </c>
      <c r="U1264" s="172">
        <v>1</v>
      </c>
      <c r="V1264" s="172">
        <v>2</v>
      </c>
      <c r="W1264" s="172">
        <v>0</v>
      </c>
      <c r="X1264" s="172">
        <v>0</v>
      </c>
      <c r="Y1264" s="12">
        <v>0</v>
      </c>
      <c r="Z1264" s="172">
        <v>0</v>
      </c>
      <c r="AA1264" s="172">
        <v>0</v>
      </c>
      <c r="AB1264" s="172">
        <v>0</v>
      </c>
      <c r="AC1264" s="172">
        <v>0</v>
      </c>
      <c r="AD1264" s="172">
        <v>0</v>
      </c>
      <c r="AE1264" s="172">
        <v>0</v>
      </c>
      <c r="AF1264" s="172">
        <v>20</v>
      </c>
      <c r="AG1264" s="172">
        <v>0</v>
      </c>
      <c r="AH1264" s="172">
        <v>0</v>
      </c>
      <c r="AI1264" s="175">
        <v>2</v>
      </c>
      <c r="AJ1264" s="175">
        <v>2</v>
      </c>
      <c r="AK1264" s="175">
        <v>0</v>
      </c>
      <c r="AL1264" s="175">
        <v>1.5</v>
      </c>
      <c r="AM1264" s="172">
        <v>0</v>
      </c>
      <c r="AN1264" s="172">
        <v>0</v>
      </c>
      <c r="AO1264" s="172">
        <v>0</v>
      </c>
      <c r="AP1264" s="172">
        <v>1</v>
      </c>
      <c r="AQ1264" s="172">
        <v>3000</v>
      </c>
      <c r="AR1264" s="172">
        <v>0.5</v>
      </c>
      <c r="AS1264" s="172">
        <v>0</v>
      </c>
      <c r="AT1264" s="175">
        <v>0</v>
      </c>
      <c r="AU1264" s="172" t="s">
        <v>198</v>
      </c>
      <c r="AV1264" s="172"/>
      <c r="AW1264" s="203" t="s">
        <v>199</v>
      </c>
      <c r="AX1264" s="172" t="s">
        <v>545</v>
      </c>
      <c r="AY1264" s="176">
        <v>0</v>
      </c>
      <c r="AZ1264" s="176">
        <v>21203090</v>
      </c>
      <c r="BA1264" s="173" t="s">
        <v>1174</v>
      </c>
      <c r="BB1264" s="203" t="s">
        <v>2674</v>
      </c>
      <c r="BC1264" s="174">
        <v>0</v>
      </c>
      <c r="BD1264" s="174">
        <v>0</v>
      </c>
      <c r="BE1264" s="206" t="s">
        <v>592</v>
      </c>
      <c r="BF1264" s="206" t="s">
        <v>593</v>
      </c>
      <c r="BG1264" s="172">
        <v>0</v>
      </c>
      <c r="BH1264" s="172">
        <v>0</v>
      </c>
      <c r="BI1264" s="172">
        <v>0</v>
      </c>
      <c r="BJ1264" s="172">
        <v>0</v>
      </c>
      <c r="BK1264" s="172">
        <v>0</v>
      </c>
      <c r="BL1264" s="172">
        <v>0</v>
      </c>
      <c r="BM1264" s="178">
        <v>0</v>
      </c>
      <c r="BN1264" s="175">
        <v>0</v>
      </c>
      <c r="BO1264" s="175">
        <v>0</v>
      </c>
      <c r="BP1264" s="175">
        <v>0</v>
      </c>
      <c r="BQ1264" s="175">
        <v>0</v>
      </c>
      <c r="BR1264" s="175">
        <v>0</v>
      </c>
      <c r="BS1264" s="175">
        <v>0</v>
      </c>
      <c r="BT1264" s="12">
        <v>0</v>
      </c>
      <c r="BU1264" s="47">
        <v>0</v>
      </c>
      <c r="BV1264" s="47"/>
      <c r="BW1264" s="47"/>
    </row>
    <row r="1265" spans="3:75" ht="20.100000000000001" customHeight="1">
      <c r="C1265" s="12">
        <v>62000000</v>
      </c>
      <c r="D1265" s="13" t="s">
        <v>2675</v>
      </c>
      <c r="E1265" s="13" t="s">
        <v>2676</v>
      </c>
      <c r="F1265" s="12">
        <v>1</v>
      </c>
      <c r="G1265" s="12">
        <v>10001</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30</v>
      </c>
      <c r="AG1265" s="12">
        <v>0</v>
      </c>
      <c r="AH1265" s="12">
        <v>0</v>
      </c>
      <c r="AI1265" s="12">
        <v>2</v>
      </c>
      <c r="AJ1265" s="12">
        <v>1</v>
      </c>
      <c r="AK1265" s="12">
        <v>0</v>
      </c>
      <c r="AL1265" s="12">
        <v>0</v>
      </c>
      <c r="AM1265" s="12">
        <v>0</v>
      </c>
      <c r="AN1265" s="12">
        <v>0</v>
      </c>
      <c r="AO1265" s="12">
        <v>0</v>
      </c>
      <c r="AP1265" s="12">
        <v>0</v>
      </c>
      <c r="AQ1265" s="12">
        <v>1000</v>
      </c>
      <c r="AR1265" s="12">
        <v>0</v>
      </c>
      <c r="AS1265" s="12">
        <v>0</v>
      </c>
      <c r="AT1265" s="12">
        <v>92000003</v>
      </c>
      <c r="AU1265" s="12" t="s">
        <v>198</v>
      </c>
      <c r="AV1265" s="12"/>
      <c r="AW1265" s="13" t="s">
        <v>199</v>
      </c>
      <c r="AX1265" s="12" t="s">
        <v>1837</v>
      </c>
      <c r="AY1265" s="12">
        <v>0</v>
      </c>
      <c r="AZ1265" s="12">
        <v>40000003</v>
      </c>
      <c r="BA1265" s="13" t="s">
        <v>200</v>
      </c>
      <c r="BB1265" s="13" t="s">
        <v>198</v>
      </c>
      <c r="BC1265" s="12">
        <v>0</v>
      </c>
      <c r="BD1265" s="12">
        <v>0</v>
      </c>
      <c r="BE1265" s="42" t="s">
        <v>2677</v>
      </c>
      <c r="BF1265" s="42" t="s">
        <v>2678</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spans="3:75" ht="20.100000000000001" customHeight="1">
      <c r="C1266" s="12">
        <v>62000001</v>
      </c>
      <c r="D1266" s="237" t="s">
        <v>381</v>
      </c>
      <c r="E1266" s="237" t="s">
        <v>382</v>
      </c>
      <c r="F1266" s="238">
        <v>1</v>
      </c>
      <c r="G1266" s="12">
        <v>10001</v>
      </c>
      <c r="H1266" s="238">
        <v>0</v>
      </c>
      <c r="I1266" s="238">
        <v>0</v>
      </c>
      <c r="J1266" s="238">
        <v>1</v>
      </c>
      <c r="K1266" s="238">
        <v>0</v>
      </c>
      <c r="L1266" s="238">
        <v>0</v>
      </c>
      <c r="M1266" s="238">
        <v>0</v>
      </c>
      <c r="N1266" s="238">
        <v>0</v>
      </c>
      <c r="O1266" s="238">
        <v>2</v>
      </c>
      <c r="P1266" s="238">
        <v>3</v>
      </c>
      <c r="Q1266" s="238">
        <v>0.2</v>
      </c>
      <c r="R1266" s="238">
        <v>0</v>
      </c>
      <c r="S1266" s="238">
        <v>0</v>
      </c>
      <c r="T1266" s="238">
        <v>0</v>
      </c>
      <c r="U1266" s="238">
        <v>1</v>
      </c>
      <c r="V1266" s="238">
        <v>2</v>
      </c>
      <c r="W1266" s="238">
        <v>0</v>
      </c>
      <c r="X1266" s="238">
        <v>0</v>
      </c>
      <c r="Y1266" s="12">
        <v>0</v>
      </c>
      <c r="Z1266" s="238">
        <v>0</v>
      </c>
      <c r="AA1266" s="238">
        <v>0</v>
      </c>
      <c r="AB1266" s="238">
        <v>0</v>
      </c>
      <c r="AC1266" s="238">
        <v>0</v>
      </c>
      <c r="AD1266" s="238">
        <v>1</v>
      </c>
      <c r="AE1266" s="238">
        <v>0</v>
      </c>
      <c r="AF1266" s="238">
        <v>10</v>
      </c>
      <c r="AG1266" s="238">
        <v>0</v>
      </c>
      <c r="AH1266" s="238">
        <v>0</v>
      </c>
      <c r="AI1266" s="238">
        <v>2</v>
      </c>
      <c r="AJ1266" s="238">
        <v>0</v>
      </c>
      <c r="AK1266" s="238">
        <v>0</v>
      </c>
      <c r="AL1266" s="238">
        <v>0</v>
      </c>
      <c r="AM1266" s="238">
        <v>0</v>
      </c>
      <c r="AN1266" s="238">
        <v>0</v>
      </c>
      <c r="AO1266" s="238">
        <v>0</v>
      </c>
      <c r="AP1266" s="238">
        <v>0</v>
      </c>
      <c r="AQ1266" s="238">
        <v>1000</v>
      </c>
      <c r="AR1266" s="238">
        <v>0</v>
      </c>
      <c r="AS1266" s="238">
        <v>0</v>
      </c>
      <c r="AT1266" s="238">
        <v>92000037</v>
      </c>
      <c r="AU1266" s="238" t="s">
        <v>198</v>
      </c>
      <c r="AV1266" s="238"/>
      <c r="AW1266" s="237" t="s">
        <v>199</v>
      </c>
      <c r="AX1266" s="238" t="s">
        <v>1837</v>
      </c>
      <c r="AY1266" s="238">
        <v>0</v>
      </c>
      <c r="AZ1266" s="238">
        <v>40000003</v>
      </c>
      <c r="BA1266" s="237" t="s">
        <v>200</v>
      </c>
      <c r="BB1266" s="238" t="s">
        <v>198</v>
      </c>
      <c r="BC1266" s="238">
        <v>0</v>
      </c>
      <c r="BD1266" s="238">
        <v>0</v>
      </c>
      <c r="BE1266" s="239" t="s">
        <v>2679</v>
      </c>
      <c r="BF1266" s="239" t="s">
        <v>2680</v>
      </c>
      <c r="BG1266" s="238">
        <v>0</v>
      </c>
      <c r="BH1266" s="238">
        <v>0</v>
      </c>
      <c r="BI1266" s="238">
        <v>0</v>
      </c>
      <c r="BJ1266" s="238">
        <v>0</v>
      </c>
      <c r="BK1266" s="238">
        <v>0</v>
      </c>
      <c r="BL1266" s="238">
        <v>0</v>
      </c>
      <c r="BM1266" s="241">
        <v>0</v>
      </c>
      <c r="BN1266" s="238">
        <v>1</v>
      </c>
      <c r="BO1266" s="12">
        <v>0</v>
      </c>
      <c r="BP1266" s="12">
        <v>0</v>
      </c>
      <c r="BQ1266" s="12">
        <v>0</v>
      </c>
      <c r="BR1266" s="12">
        <v>0</v>
      </c>
      <c r="BS1266" s="12">
        <v>0</v>
      </c>
      <c r="BT1266" s="12">
        <v>0</v>
      </c>
      <c r="BU1266" s="47">
        <v>0</v>
      </c>
      <c r="BV1266" s="47"/>
      <c r="BW1266" s="47"/>
    </row>
    <row r="1267" spans="3:75" ht="20.100000000000001" customHeight="1">
      <c r="C1267" s="12">
        <v>62000002</v>
      </c>
      <c r="D1267" s="13" t="s">
        <v>2681</v>
      </c>
      <c r="E1267" s="13" t="s">
        <v>2682</v>
      </c>
      <c r="F1267" s="12">
        <v>1</v>
      </c>
      <c r="G1267" s="12">
        <v>10002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4</v>
      </c>
      <c r="Y1267" s="12">
        <v>0</v>
      </c>
      <c r="Z1267" s="12">
        <v>1000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v>0</v>
      </c>
      <c r="AV1267" s="12"/>
      <c r="AW1267" s="13" t="s">
        <v>256</v>
      </c>
      <c r="AX1267" s="12" t="s">
        <v>1695</v>
      </c>
      <c r="AY1267" s="12" t="s">
        <v>198</v>
      </c>
      <c r="AZ1267" s="12" t="s">
        <v>2683</v>
      </c>
      <c r="BA1267" s="13" t="s">
        <v>200</v>
      </c>
      <c r="BB1267" s="12">
        <v>0</v>
      </c>
      <c r="BC1267" s="12">
        <v>0</v>
      </c>
      <c r="BD1267" s="12">
        <v>0</v>
      </c>
      <c r="BE1267" s="42" t="s">
        <v>2684</v>
      </c>
      <c r="BF1267" s="42" t="s">
        <v>2685</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68">
        <v>62000003</v>
      </c>
      <c r="D1268" s="124" t="s">
        <v>598</v>
      </c>
      <c r="E1268" s="124" t="s">
        <v>1162</v>
      </c>
      <c r="F1268" s="68">
        <v>1</v>
      </c>
      <c r="G1268" s="68">
        <v>10011</v>
      </c>
      <c r="H1268" s="68">
        <v>0</v>
      </c>
      <c r="I1268" s="68">
        <v>0</v>
      </c>
      <c r="J1268" s="68">
        <v>1</v>
      </c>
      <c r="K1268" s="68">
        <v>0</v>
      </c>
      <c r="L1268" s="60">
        <v>0</v>
      </c>
      <c r="M1268" s="68">
        <v>0</v>
      </c>
      <c r="N1268" s="68">
        <v>0</v>
      </c>
      <c r="O1268" s="68">
        <v>2</v>
      </c>
      <c r="P1268" s="68">
        <v>1</v>
      </c>
      <c r="Q1268" s="68">
        <v>0.15</v>
      </c>
      <c r="R1268" s="68">
        <v>0</v>
      </c>
      <c r="S1268" s="68">
        <v>0</v>
      </c>
      <c r="T1268" s="68">
        <v>0</v>
      </c>
      <c r="U1268" s="68">
        <v>1</v>
      </c>
      <c r="V1268" s="68">
        <v>2</v>
      </c>
      <c r="W1268" s="68">
        <v>0</v>
      </c>
      <c r="X1268" s="68">
        <v>2.5</v>
      </c>
      <c r="Y1268" s="12">
        <v>0</v>
      </c>
      <c r="Z1268" s="68">
        <v>0</v>
      </c>
      <c r="AA1268" s="68">
        <v>0</v>
      </c>
      <c r="AB1268" s="68">
        <v>0</v>
      </c>
      <c r="AC1268" s="68">
        <v>0</v>
      </c>
      <c r="AD1268" s="68">
        <v>1</v>
      </c>
      <c r="AE1268" s="68">
        <v>0</v>
      </c>
      <c r="AF1268" s="68">
        <v>9</v>
      </c>
      <c r="AG1268" s="68">
        <v>2</v>
      </c>
      <c r="AH1268" s="68" t="s">
        <v>213</v>
      </c>
      <c r="AI1268" s="68">
        <v>2</v>
      </c>
      <c r="AJ1268" s="68">
        <v>2</v>
      </c>
      <c r="AK1268" s="12">
        <v>0</v>
      </c>
      <c r="AL1268" s="68">
        <v>1.5</v>
      </c>
      <c r="AM1268" s="68">
        <v>0</v>
      </c>
      <c r="AN1268" s="68">
        <v>0</v>
      </c>
      <c r="AO1268" s="68">
        <v>0</v>
      </c>
      <c r="AP1268" s="68">
        <v>1</v>
      </c>
      <c r="AQ1268" s="68">
        <v>3000</v>
      </c>
      <c r="AR1268" s="68">
        <v>0.5</v>
      </c>
      <c r="AS1268" s="68">
        <v>0</v>
      </c>
      <c r="AT1268" s="68">
        <v>0</v>
      </c>
      <c r="AU1268" s="68" t="s">
        <v>198</v>
      </c>
      <c r="AV1268" s="68"/>
      <c r="AW1268" s="124" t="s">
        <v>287</v>
      </c>
      <c r="AX1268" s="68" t="s">
        <v>545</v>
      </c>
      <c r="AY1268" s="68">
        <v>10000007</v>
      </c>
      <c r="AZ1268" s="68">
        <v>21000110</v>
      </c>
      <c r="BA1268" s="124" t="s">
        <v>200</v>
      </c>
      <c r="BB1268" s="68">
        <v>0</v>
      </c>
      <c r="BC1268" s="68">
        <v>0</v>
      </c>
      <c r="BD1268" s="68">
        <v>0</v>
      </c>
      <c r="BE1268" s="240" t="s">
        <v>2686</v>
      </c>
      <c r="BF1268" s="240" t="s">
        <v>2687</v>
      </c>
      <c r="BG1268" s="68">
        <v>0</v>
      </c>
      <c r="BH1268" s="68">
        <v>0</v>
      </c>
      <c r="BI1268" s="68">
        <v>0</v>
      </c>
      <c r="BJ1268" s="68">
        <v>0</v>
      </c>
      <c r="BK1268" s="68">
        <v>0</v>
      </c>
      <c r="BL1268" s="68">
        <v>0</v>
      </c>
      <c r="BM1268" s="134">
        <v>0</v>
      </c>
      <c r="BN1268" s="12">
        <v>0</v>
      </c>
      <c r="BO1268" s="12">
        <v>0</v>
      </c>
      <c r="BP1268" s="12">
        <v>0</v>
      </c>
      <c r="BQ1268" s="12">
        <v>0</v>
      </c>
      <c r="BR1268" s="12">
        <v>0</v>
      </c>
      <c r="BS1268" s="12">
        <v>0</v>
      </c>
      <c r="BT1268" s="12">
        <v>0</v>
      </c>
      <c r="BU1268" s="47">
        <v>0</v>
      </c>
      <c r="BV1268" s="47"/>
      <c r="BW1268" s="47"/>
    </row>
    <row r="1269" spans="3:75" ht="20.100000000000001" customHeight="1">
      <c r="C1269" s="12">
        <v>62000004</v>
      </c>
      <c r="D1269" s="13" t="s">
        <v>2688</v>
      </c>
      <c r="E1269" s="13" t="s">
        <v>2689</v>
      </c>
      <c r="F1269" s="12">
        <v>1</v>
      </c>
      <c r="G1269" s="12">
        <v>10013</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18</v>
      </c>
      <c r="AG1269" s="12">
        <v>0</v>
      </c>
      <c r="AH1269" s="12">
        <v>0</v>
      </c>
      <c r="AI1269" s="12">
        <v>2</v>
      </c>
      <c r="AJ1269" s="12">
        <v>0</v>
      </c>
      <c r="AK1269" s="12">
        <v>0</v>
      </c>
      <c r="AL1269" s="12">
        <v>0</v>
      </c>
      <c r="AM1269" s="12">
        <v>0</v>
      </c>
      <c r="AN1269" s="12">
        <v>0</v>
      </c>
      <c r="AO1269" s="12">
        <v>0</v>
      </c>
      <c r="AP1269" s="12">
        <v>0.5</v>
      </c>
      <c r="AQ1269" s="12">
        <v>1000</v>
      </c>
      <c r="AR1269" s="12">
        <v>0.5</v>
      </c>
      <c r="AS1269" s="12">
        <v>0</v>
      </c>
      <c r="AT1269" s="341" t="s">
        <v>2690</v>
      </c>
      <c r="AU1269" s="12" t="s">
        <v>198</v>
      </c>
      <c r="AV1269" s="12"/>
      <c r="AW1269" s="13" t="s">
        <v>199</v>
      </c>
      <c r="AX1269" s="12" t="s">
        <v>2102</v>
      </c>
      <c r="AY1269" s="12">
        <v>0</v>
      </c>
      <c r="AZ1269" s="12">
        <v>0</v>
      </c>
      <c r="BA1269" s="13" t="s">
        <v>200</v>
      </c>
      <c r="BB1269" s="13" t="s">
        <v>198</v>
      </c>
      <c r="BC1269" s="12">
        <v>0</v>
      </c>
      <c r="BD1269" s="12">
        <v>0</v>
      </c>
      <c r="BE1269" s="42" t="s">
        <v>2691</v>
      </c>
      <c r="BF1269" s="42" t="s">
        <v>2692</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spans="3:75" ht="20.100000000000001" customHeight="1">
      <c r="C1270" s="68">
        <v>62000005</v>
      </c>
      <c r="D1270" s="124" t="s">
        <v>2693</v>
      </c>
      <c r="E1270" s="124" t="s">
        <v>2694</v>
      </c>
      <c r="F1270" s="68">
        <v>1</v>
      </c>
      <c r="G1270" s="68">
        <v>10031</v>
      </c>
      <c r="H1270" s="68">
        <v>0</v>
      </c>
      <c r="I1270" s="68">
        <v>0</v>
      </c>
      <c r="J1270" s="68">
        <v>1</v>
      </c>
      <c r="K1270" s="68">
        <v>0</v>
      </c>
      <c r="L1270" s="60">
        <v>0</v>
      </c>
      <c r="M1270" s="68">
        <v>0</v>
      </c>
      <c r="N1270" s="68">
        <v>0</v>
      </c>
      <c r="O1270" s="68">
        <v>2</v>
      </c>
      <c r="P1270" s="68">
        <v>3</v>
      </c>
      <c r="Q1270" s="68">
        <v>0.15</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40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68">
        <v>80001064</v>
      </c>
      <c r="AU1270" s="68" t="s">
        <v>198</v>
      </c>
      <c r="AV1270" s="68"/>
      <c r="AW1270" s="124"/>
      <c r="AX1270" s="68" t="s">
        <v>348</v>
      </c>
      <c r="AY1270" s="68">
        <v>0</v>
      </c>
      <c r="AZ1270" s="68">
        <v>0</v>
      </c>
      <c r="BA1270" s="124" t="s">
        <v>200</v>
      </c>
      <c r="BB1270" s="124" t="s">
        <v>198</v>
      </c>
      <c r="BC1270" s="68">
        <v>0</v>
      </c>
      <c r="BD1270" s="68">
        <v>0</v>
      </c>
      <c r="BE1270" s="240" t="s">
        <v>2695</v>
      </c>
      <c r="BF1270" s="240" t="s">
        <v>2696</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row>
    <row r="1271" spans="3:75" ht="20.100000000000001" customHeight="1">
      <c r="C1271" s="12">
        <v>62000006</v>
      </c>
      <c r="D1271" s="13" t="s">
        <v>744</v>
      </c>
      <c r="E1271" s="13" t="s">
        <v>745</v>
      </c>
      <c r="F1271" s="12">
        <v>1</v>
      </c>
      <c r="G1271" s="12">
        <v>10032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3.5</v>
      </c>
      <c r="Y1271" s="12">
        <v>0</v>
      </c>
      <c r="Z1271" s="12">
        <v>1500</v>
      </c>
      <c r="AA1271" s="12">
        <v>0</v>
      </c>
      <c r="AB1271" s="12">
        <v>0</v>
      </c>
      <c r="AC1271" s="12">
        <v>0</v>
      </c>
      <c r="AD1271" s="12">
        <v>0</v>
      </c>
      <c r="AE1271" s="12">
        <v>0</v>
      </c>
      <c r="AF1271" s="12">
        <v>7</v>
      </c>
      <c r="AG1271" s="12">
        <v>0</v>
      </c>
      <c r="AH1271" s="12">
        <v>0</v>
      </c>
      <c r="AI1271" s="12">
        <v>7</v>
      </c>
      <c r="AJ1271" s="12">
        <v>0</v>
      </c>
      <c r="AK1271" s="12">
        <v>0</v>
      </c>
      <c r="AL1271" s="12">
        <v>6</v>
      </c>
      <c r="AM1271" s="12">
        <v>0</v>
      </c>
      <c r="AN1271" s="12">
        <v>0</v>
      </c>
      <c r="AO1271" s="12">
        <v>0</v>
      </c>
      <c r="AP1271" s="12">
        <v>0.5</v>
      </c>
      <c r="AQ1271" s="12">
        <v>1000</v>
      </c>
      <c r="AR1271" s="12">
        <v>0</v>
      </c>
      <c r="AS1271" s="12">
        <v>0</v>
      </c>
      <c r="AT1271" s="12">
        <v>0</v>
      </c>
      <c r="AU1271" s="12" t="s">
        <v>198</v>
      </c>
      <c r="AV1271" s="12"/>
      <c r="AW1271" s="13" t="s">
        <v>256</v>
      </c>
      <c r="AX1271" s="12" t="s">
        <v>1695</v>
      </c>
      <c r="AY1271" s="12" t="s">
        <v>198</v>
      </c>
      <c r="AZ1271" s="12" t="s">
        <v>2683</v>
      </c>
      <c r="BA1271" s="13" t="s">
        <v>200</v>
      </c>
      <c r="BB1271" s="12">
        <v>0</v>
      </c>
      <c r="BC1271" s="12" t="s">
        <v>2697</v>
      </c>
      <c r="BD1271" s="12">
        <v>0</v>
      </c>
      <c r="BE1271" s="42" t="s">
        <v>2698</v>
      </c>
      <c r="BF1271" s="42" t="s">
        <v>2699</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238">
        <v>62000007</v>
      </c>
      <c r="D1272" s="237" t="s">
        <v>381</v>
      </c>
      <c r="E1272" s="237" t="s">
        <v>382</v>
      </c>
      <c r="F1272" s="238">
        <v>1</v>
      </c>
      <c r="G1272" s="238">
        <v>10041</v>
      </c>
      <c r="H1272" s="238">
        <v>0</v>
      </c>
      <c r="I1272" s="238">
        <v>0</v>
      </c>
      <c r="J1272" s="238">
        <v>1</v>
      </c>
      <c r="K1272" s="238">
        <v>0</v>
      </c>
      <c r="L1272" s="238">
        <v>0</v>
      </c>
      <c r="M1272" s="238">
        <v>0</v>
      </c>
      <c r="N1272" s="238">
        <v>0</v>
      </c>
      <c r="O1272" s="238">
        <v>2</v>
      </c>
      <c r="P1272" s="238">
        <v>1</v>
      </c>
      <c r="Q1272" s="238">
        <v>0.2</v>
      </c>
      <c r="R1272" s="238">
        <v>0</v>
      </c>
      <c r="S1272" s="238">
        <v>0</v>
      </c>
      <c r="T1272" s="238">
        <v>0</v>
      </c>
      <c r="U1272" s="238">
        <v>1</v>
      </c>
      <c r="V1272" s="238">
        <v>2</v>
      </c>
      <c r="W1272" s="238">
        <v>0</v>
      </c>
      <c r="X1272" s="238">
        <v>0</v>
      </c>
      <c r="Y1272" s="12">
        <v>0</v>
      </c>
      <c r="Z1272" s="238">
        <v>0</v>
      </c>
      <c r="AA1272" s="238">
        <v>0</v>
      </c>
      <c r="AB1272" s="238">
        <v>0</v>
      </c>
      <c r="AC1272" s="238">
        <v>0</v>
      </c>
      <c r="AD1272" s="238">
        <v>1</v>
      </c>
      <c r="AE1272" s="238">
        <v>0</v>
      </c>
      <c r="AF1272" s="238">
        <v>1</v>
      </c>
      <c r="AG1272" s="238">
        <v>0</v>
      </c>
      <c r="AH1272" s="238">
        <v>0</v>
      </c>
      <c r="AI1272" s="238">
        <v>2</v>
      </c>
      <c r="AJ1272" s="238">
        <v>0</v>
      </c>
      <c r="AK1272" s="238">
        <v>0</v>
      </c>
      <c r="AL1272" s="238">
        <v>0</v>
      </c>
      <c r="AM1272" s="238">
        <v>0</v>
      </c>
      <c r="AN1272" s="238">
        <v>0</v>
      </c>
      <c r="AO1272" s="238">
        <v>0</v>
      </c>
      <c r="AP1272" s="238">
        <v>0</v>
      </c>
      <c r="AQ1272" s="238">
        <v>1000</v>
      </c>
      <c r="AR1272" s="238">
        <v>0</v>
      </c>
      <c r="AS1272" s="238">
        <v>0</v>
      </c>
      <c r="AT1272" s="238">
        <v>92000005</v>
      </c>
      <c r="AU1272" s="238" t="s">
        <v>198</v>
      </c>
      <c r="AV1272" s="238"/>
      <c r="AW1272" s="237" t="s">
        <v>199</v>
      </c>
      <c r="AX1272" s="238" t="s">
        <v>1837</v>
      </c>
      <c r="AY1272" s="238">
        <v>0</v>
      </c>
      <c r="AZ1272" s="238">
        <v>40000003</v>
      </c>
      <c r="BA1272" s="237" t="s">
        <v>200</v>
      </c>
      <c r="BB1272" s="238" t="s">
        <v>198</v>
      </c>
      <c r="BC1272" s="238">
        <v>0</v>
      </c>
      <c r="BD1272" s="238">
        <v>0</v>
      </c>
      <c r="BE1272" s="239" t="s">
        <v>2700</v>
      </c>
      <c r="BF1272" s="239" t="s">
        <v>2701</v>
      </c>
      <c r="BG1272" s="238">
        <v>0</v>
      </c>
      <c r="BH1272" s="238">
        <v>0</v>
      </c>
      <c r="BI1272" s="238">
        <v>0</v>
      </c>
      <c r="BJ1272" s="238">
        <v>0</v>
      </c>
      <c r="BK1272" s="238">
        <v>0</v>
      </c>
      <c r="BL1272" s="238">
        <v>0</v>
      </c>
      <c r="BM1272" s="241">
        <v>0</v>
      </c>
      <c r="BN1272" s="238">
        <v>1</v>
      </c>
      <c r="BO1272" s="12">
        <v>0</v>
      </c>
      <c r="BP1272" s="12">
        <v>0</v>
      </c>
      <c r="BQ1272" s="12">
        <v>0</v>
      </c>
      <c r="BR1272" s="12">
        <v>0</v>
      </c>
      <c r="BS1272" s="12">
        <v>0</v>
      </c>
      <c r="BT1272" s="12">
        <v>0</v>
      </c>
      <c r="BU1272" s="47">
        <v>0</v>
      </c>
      <c r="BV1272" s="47"/>
      <c r="BW1272" s="47"/>
    </row>
    <row r="1273" spans="3:75" ht="20.100000000000001" customHeight="1">
      <c r="C1273" s="68">
        <v>62000008</v>
      </c>
      <c r="D1273" s="124" t="s">
        <v>2702</v>
      </c>
      <c r="E1273" s="124" t="s">
        <v>2703</v>
      </c>
      <c r="F1273" s="68">
        <v>1</v>
      </c>
      <c r="G1273" s="68">
        <v>10042</v>
      </c>
      <c r="H1273" s="68">
        <v>0</v>
      </c>
      <c r="I1273" s="68">
        <v>0</v>
      </c>
      <c r="J1273" s="68">
        <v>1</v>
      </c>
      <c r="K1273" s="68">
        <v>0</v>
      </c>
      <c r="L1273" s="60">
        <v>0</v>
      </c>
      <c r="M1273" s="68">
        <v>0</v>
      </c>
      <c r="N1273" s="68">
        <v>0</v>
      </c>
      <c r="O1273" s="68">
        <v>2</v>
      </c>
      <c r="P1273" s="68">
        <v>2</v>
      </c>
      <c r="Q1273" s="68">
        <v>0.3</v>
      </c>
      <c r="R1273" s="68">
        <v>0</v>
      </c>
      <c r="S1273" s="68">
        <v>0</v>
      </c>
      <c r="T1273" s="68">
        <v>0</v>
      </c>
      <c r="U1273" s="68">
        <v>1</v>
      </c>
      <c r="V1273" s="68">
        <v>2</v>
      </c>
      <c r="W1273" s="68">
        <v>0</v>
      </c>
      <c r="X1273" s="68">
        <v>0</v>
      </c>
      <c r="Y1273" s="12">
        <v>0</v>
      </c>
      <c r="Z1273" s="68">
        <v>0</v>
      </c>
      <c r="AA1273" s="68">
        <v>0</v>
      </c>
      <c r="AB1273" s="68">
        <v>0</v>
      </c>
      <c r="AC1273" s="68">
        <v>0</v>
      </c>
      <c r="AD1273" s="68">
        <v>1</v>
      </c>
      <c r="AE1273" s="68">
        <v>0</v>
      </c>
      <c r="AF1273" s="68">
        <v>120</v>
      </c>
      <c r="AG1273" s="68">
        <v>0</v>
      </c>
      <c r="AH1273" s="68">
        <v>0</v>
      </c>
      <c r="AI1273" s="68">
        <v>2</v>
      </c>
      <c r="AJ1273" s="68">
        <v>0</v>
      </c>
      <c r="AK1273" s="12">
        <v>0</v>
      </c>
      <c r="AL1273" s="68">
        <v>0</v>
      </c>
      <c r="AM1273" s="68">
        <v>0</v>
      </c>
      <c r="AN1273" s="68">
        <v>0</v>
      </c>
      <c r="AO1273" s="68">
        <v>0</v>
      </c>
      <c r="AP1273" s="68">
        <v>0</v>
      </c>
      <c r="AQ1273" s="68">
        <v>1000</v>
      </c>
      <c r="AR1273" s="68">
        <v>0.5</v>
      </c>
      <c r="AS1273" s="68">
        <v>0</v>
      </c>
      <c r="AT1273" s="342" t="s">
        <v>2704</v>
      </c>
      <c r="AU1273" s="68" t="s">
        <v>198</v>
      </c>
      <c r="AV1273" s="68"/>
      <c r="AW1273" s="124" t="s">
        <v>199</v>
      </c>
      <c r="AX1273" s="68" t="s">
        <v>1837</v>
      </c>
      <c r="AY1273" s="68">
        <v>0</v>
      </c>
      <c r="AZ1273" s="64">
        <v>21030020</v>
      </c>
      <c r="BA1273" s="124" t="s">
        <v>200</v>
      </c>
      <c r="BB1273" s="124" t="s">
        <v>198</v>
      </c>
      <c r="BC1273" s="68">
        <v>0</v>
      </c>
      <c r="BD1273" s="68">
        <v>0</v>
      </c>
      <c r="BE1273" s="240" t="s">
        <v>2705</v>
      </c>
      <c r="BF1273" s="240" t="s">
        <v>2706</v>
      </c>
      <c r="BG1273" s="68">
        <v>0</v>
      </c>
      <c r="BH1273" s="68">
        <v>0</v>
      </c>
      <c r="BI1273" s="68">
        <v>0</v>
      </c>
      <c r="BJ1273" s="68">
        <v>0</v>
      </c>
      <c r="BK1273" s="68">
        <v>0</v>
      </c>
      <c r="BL1273" s="68">
        <v>0</v>
      </c>
      <c r="BM1273" s="134">
        <v>0</v>
      </c>
      <c r="BN1273" s="12">
        <v>1</v>
      </c>
      <c r="BO1273" s="12">
        <v>0</v>
      </c>
      <c r="BP1273" s="12">
        <v>0</v>
      </c>
      <c r="BQ1273" s="12">
        <v>0</v>
      </c>
      <c r="BR1273" s="12">
        <v>0</v>
      </c>
      <c r="BS1273" s="12">
        <v>0</v>
      </c>
      <c r="BT1273" s="12">
        <v>0</v>
      </c>
      <c r="BU1273" s="47">
        <v>0</v>
      </c>
      <c r="BV1273" s="47"/>
      <c r="BW1273" s="47"/>
    </row>
    <row r="1274" spans="3:75" ht="20.100000000000001" customHeight="1">
      <c r="C1274" s="12">
        <v>62000009</v>
      </c>
      <c r="D1274" s="13" t="s">
        <v>2707</v>
      </c>
      <c r="E1274" s="13" t="s">
        <v>2708</v>
      </c>
      <c r="F1274" s="12">
        <v>1</v>
      </c>
      <c r="G1274" s="12">
        <v>10051</v>
      </c>
      <c r="H1274" s="12">
        <v>0</v>
      </c>
      <c r="I1274" s="12">
        <v>0</v>
      </c>
      <c r="J1274" s="12">
        <v>1</v>
      </c>
      <c r="K1274" s="12">
        <v>0</v>
      </c>
      <c r="L1274" s="16">
        <v>0</v>
      </c>
      <c r="M1274" s="12">
        <v>0</v>
      </c>
      <c r="N1274" s="12">
        <v>0</v>
      </c>
      <c r="O1274" s="12">
        <v>2</v>
      </c>
      <c r="P1274" s="12">
        <v>2</v>
      </c>
      <c r="Q1274" s="12">
        <v>0.1</v>
      </c>
      <c r="R1274" s="12">
        <v>0</v>
      </c>
      <c r="S1274" s="12">
        <v>0</v>
      </c>
      <c r="T1274" s="12">
        <v>0</v>
      </c>
      <c r="U1274" s="12">
        <v>1</v>
      </c>
      <c r="V1274" s="12">
        <v>2</v>
      </c>
      <c r="W1274" s="12">
        <v>0</v>
      </c>
      <c r="X1274" s="12">
        <v>0</v>
      </c>
      <c r="Y1274" s="12">
        <v>0</v>
      </c>
      <c r="Z1274" s="12">
        <v>0</v>
      </c>
      <c r="AA1274" s="12">
        <v>0</v>
      </c>
      <c r="AB1274" s="12">
        <v>0</v>
      </c>
      <c r="AC1274" s="12">
        <v>0</v>
      </c>
      <c r="AD1274" s="12">
        <v>0</v>
      </c>
      <c r="AE1274" s="12">
        <v>0</v>
      </c>
      <c r="AF1274" s="12">
        <v>120</v>
      </c>
      <c r="AG1274" s="12">
        <v>0</v>
      </c>
      <c r="AH1274" s="12">
        <v>0</v>
      </c>
      <c r="AI1274" s="12">
        <v>2</v>
      </c>
      <c r="AJ1274" s="12">
        <v>0</v>
      </c>
      <c r="AK1274" s="12">
        <v>0</v>
      </c>
      <c r="AL1274" s="12">
        <v>0</v>
      </c>
      <c r="AM1274" s="12">
        <v>0</v>
      </c>
      <c r="AN1274" s="12">
        <v>0</v>
      </c>
      <c r="AO1274" s="12">
        <v>0</v>
      </c>
      <c r="AP1274" s="12">
        <v>0</v>
      </c>
      <c r="AQ1274" s="12">
        <v>1000</v>
      </c>
      <c r="AR1274" s="12">
        <v>0</v>
      </c>
      <c r="AS1274" s="12">
        <v>0</v>
      </c>
      <c r="AT1274" s="341" t="s">
        <v>2709</v>
      </c>
      <c r="AU1274" s="12" t="s">
        <v>198</v>
      </c>
      <c r="AV1274" s="12"/>
      <c r="AW1274" s="13" t="s">
        <v>199</v>
      </c>
      <c r="AX1274" s="12" t="s">
        <v>348</v>
      </c>
      <c r="AY1274" s="12">
        <v>0</v>
      </c>
      <c r="AZ1274" s="12">
        <v>22000040</v>
      </c>
      <c r="BA1274" s="13" t="s">
        <v>200</v>
      </c>
      <c r="BB1274" s="13" t="s">
        <v>198</v>
      </c>
      <c r="BC1274" s="12">
        <v>0</v>
      </c>
      <c r="BD1274" s="12">
        <v>0</v>
      </c>
      <c r="BE1274" s="42" t="s">
        <v>2710</v>
      </c>
      <c r="BF1274" s="42" t="s">
        <v>2711</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row>
    <row r="1275" spans="3:75" ht="20.100000000000001" customHeight="1">
      <c r="C1275" s="12">
        <v>62000010</v>
      </c>
      <c r="D1275" s="13" t="s">
        <v>2712</v>
      </c>
      <c r="E1275" s="13" t="s">
        <v>2713</v>
      </c>
      <c r="F1275" s="12">
        <v>1</v>
      </c>
      <c r="G1275" s="12">
        <v>10052</v>
      </c>
      <c r="H1275" s="12">
        <v>0</v>
      </c>
      <c r="I1275" s="12">
        <v>0</v>
      </c>
      <c r="J1275" s="12">
        <v>1</v>
      </c>
      <c r="K1275" s="12">
        <v>0</v>
      </c>
      <c r="L1275" s="16">
        <v>0</v>
      </c>
      <c r="M1275" s="12">
        <v>0</v>
      </c>
      <c r="N1275" s="12">
        <v>0</v>
      </c>
      <c r="O1275" s="12">
        <v>1</v>
      </c>
      <c r="P1275" s="12">
        <v>0</v>
      </c>
      <c r="Q1275" s="12">
        <v>0</v>
      </c>
      <c r="R1275" s="12">
        <v>0</v>
      </c>
      <c r="S1275" s="12">
        <v>0</v>
      </c>
      <c r="T1275" s="12">
        <v>0</v>
      </c>
      <c r="U1275" s="12">
        <v>1</v>
      </c>
      <c r="V1275" s="12">
        <v>2</v>
      </c>
      <c r="W1275" s="12">
        <v>0</v>
      </c>
      <c r="X1275" s="12">
        <v>1.5</v>
      </c>
      <c r="Y1275" s="12">
        <v>0</v>
      </c>
      <c r="Z1275" s="12">
        <v>0</v>
      </c>
      <c r="AA1275" s="12">
        <v>0</v>
      </c>
      <c r="AB1275" s="12">
        <v>0</v>
      </c>
      <c r="AC1275" s="12">
        <v>0</v>
      </c>
      <c r="AD1275" s="12">
        <v>0</v>
      </c>
      <c r="AE1275" s="12">
        <v>0</v>
      </c>
      <c r="AF1275" s="12">
        <v>18</v>
      </c>
      <c r="AG1275" s="12">
        <v>1</v>
      </c>
      <c r="AH1275" s="12">
        <v>3</v>
      </c>
      <c r="AI1275" s="12">
        <v>2</v>
      </c>
      <c r="AJ1275" s="12">
        <v>1</v>
      </c>
      <c r="AK1275" s="12">
        <v>0</v>
      </c>
      <c r="AL1275" s="12">
        <v>4</v>
      </c>
      <c r="AM1275" s="12">
        <v>0</v>
      </c>
      <c r="AN1275" s="12">
        <v>0</v>
      </c>
      <c r="AO1275" s="12">
        <v>0</v>
      </c>
      <c r="AP1275" s="12">
        <v>0.5</v>
      </c>
      <c r="AQ1275" s="12">
        <v>6000</v>
      </c>
      <c r="AR1275" s="12">
        <v>0.5</v>
      </c>
      <c r="AS1275" s="12">
        <v>0</v>
      </c>
      <c r="AT1275" s="12">
        <v>0</v>
      </c>
      <c r="AU1275" s="12" t="s">
        <v>198</v>
      </c>
      <c r="AV1275" s="12"/>
      <c r="AW1275" s="13" t="s">
        <v>1613</v>
      </c>
      <c r="AX1275" s="12" t="s">
        <v>545</v>
      </c>
      <c r="AY1275" s="12">
        <v>10001006</v>
      </c>
      <c r="AZ1275" s="12">
        <v>22000020</v>
      </c>
      <c r="BA1275" s="13" t="s">
        <v>315</v>
      </c>
      <c r="BB1275" s="13" t="s">
        <v>371</v>
      </c>
      <c r="BC1275" s="12">
        <v>0</v>
      </c>
      <c r="BD1275" s="12">
        <v>0</v>
      </c>
      <c r="BE1275" s="42" t="s">
        <v>2714</v>
      </c>
      <c r="BF1275" s="42" t="s">
        <v>2715</v>
      </c>
      <c r="BG1275" s="12">
        <v>0</v>
      </c>
      <c r="BH1275" s="12">
        <v>0</v>
      </c>
      <c r="BI1275" s="12">
        <v>0</v>
      </c>
      <c r="BJ1275" s="12">
        <v>0</v>
      </c>
      <c r="BK1275" s="12">
        <v>0</v>
      </c>
      <c r="BL1275" s="12">
        <v>0</v>
      </c>
      <c r="BM1275" s="185">
        <v>0</v>
      </c>
      <c r="BN1275" s="12">
        <v>0</v>
      </c>
      <c r="BO1275" s="12">
        <v>0</v>
      </c>
      <c r="BP1275" s="12">
        <v>0</v>
      </c>
      <c r="BQ1275" s="12">
        <v>0</v>
      </c>
      <c r="BR1275" s="12">
        <v>0</v>
      </c>
      <c r="BS1275" s="12">
        <v>0</v>
      </c>
      <c r="BT1275" s="12">
        <v>0</v>
      </c>
      <c r="BU1275" s="47">
        <v>0</v>
      </c>
      <c r="BV1275" s="47"/>
      <c r="BW1275" s="47"/>
    </row>
    <row r="1276" spans="3:75" ht="20.100000000000001" customHeight="1">
      <c r="C1276" s="12">
        <v>62000011</v>
      </c>
      <c r="D1276" s="13" t="s">
        <v>2716</v>
      </c>
      <c r="E1276" s="13" t="s">
        <v>2717</v>
      </c>
      <c r="F1276" s="12">
        <v>1</v>
      </c>
      <c r="G1276" s="12">
        <v>10061</v>
      </c>
      <c r="H1276" s="12">
        <v>0</v>
      </c>
      <c r="I1276" s="12">
        <v>0</v>
      </c>
      <c r="J1276" s="12">
        <v>1</v>
      </c>
      <c r="K1276" s="12">
        <v>0</v>
      </c>
      <c r="L1276" s="16">
        <v>0</v>
      </c>
      <c r="M1276" s="12">
        <v>0</v>
      </c>
      <c r="N1276" s="12">
        <v>0</v>
      </c>
      <c r="O1276" s="12">
        <v>2</v>
      </c>
      <c r="P1276" s="12">
        <v>5</v>
      </c>
      <c r="Q1276" s="12">
        <v>1</v>
      </c>
      <c r="R1276" s="12">
        <v>0</v>
      </c>
      <c r="S1276" s="12">
        <v>0</v>
      </c>
      <c r="T1276" s="12">
        <v>0</v>
      </c>
      <c r="U1276" s="12">
        <v>1</v>
      </c>
      <c r="V1276" s="12">
        <v>2</v>
      </c>
      <c r="W1276" s="12">
        <v>0</v>
      </c>
      <c r="X1276" s="12">
        <v>1</v>
      </c>
      <c r="Y1276" s="12">
        <v>0</v>
      </c>
      <c r="Z1276" s="12">
        <v>0</v>
      </c>
      <c r="AA1276" s="12">
        <v>0</v>
      </c>
      <c r="AB1276" s="12">
        <v>0</v>
      </c>
      <c r="AC1276" s="12">
        <v>0</v>
      </c>
      <c r="AD1276" s="12">
        <v>1</v>
      </c>
      <c r="AE1276" s="12">
        <v>0</v>
      </c>
      <c r="AF1276" s="12">
        <v>1</v>
      </c>
      <c r="AG1276" s="12">
        <v>0</v>
      </c>
      <c r="AH1276" s="12">
        <v>0</v>
      </c>
      <c r="AI1276" s="12">
        <v>7</v>
      </c>
      <c r="AJ1276" s="12">
        <v>0</v>
      </c>
      <c r="AK1276" s="12">
        <v>0</v>
      </c>
      <c r="AL1276" s="12">
        <v>3</v>
      </c>
      <c r="AM1276" s="12">
        <v>0</v>
      </c>
      <c r="AN1276" s="12">
        <v>0</v>
      </c>
      <c r="AO1276" s="12">
        <v>0</v>
      </c>
      <c r="AP1276" s="12">
        <v>0</v>
      </c>
      <c r="AQ1276" s="12">
        <v>3000</v>
      </c>
      <c r="AR1276" s="12">
        <v>0.5</v>
      </c>
      <c r="AS1276" s="12">
        <v>0</v>
      </c>
      <c r="AT1276" s="12">
        <v>0</v>
      </c>
      <c r="AU1276" s="12">
        <v>0</v>
      </c>
      <c r="AV1276" s="12"/>
      <c r="AW1276" s="13" t="s">
        <v>199</v>
      </c>
      <c r="AX1276" s="12">
        <v>0</v>
      </c>
      <c r="AY1276" s="12">
        <v>0</v>
      </c>
      <c r="AZ1276" s="12">
        <v>0</v>
      </c>
      <c r="BA1276" s="13" t="s">
        <v>200</v>
      </c>
      <c r="BB1276" s="13">
        <v>0</v>
      </c>
      <c r="BC1276" s="12">
        <v>0</v>
      </c>
      <c r="BD1276" s="12">
        <v>0</v>
      </c>
      <c r="BE1276" s="42" t="s">
        <v>2718</v>
      </c>
      <c r="BF1276" s="42" t="s">
        <v>2719</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2">
        <v>62000012</v>
      </c>
      <c r="D1277" s="13" t="s">
        <v>2720</v>
      </c>
      <c r="E1277" s="13" t="s">
        <v>2721</v>
      </c>
      <c r="F1277" s="12">
        <v>1</v>
      </c>
      <c r="G1277" s="12">
        <v>20063</v>
      </c>
      <c r="H1277" s="12">
        <v>0</v>
      </c>
      <c r="I1277" s="12">
        <v>0</v>
      </c>
      <c r="J1277" s="12">
        <v>1</v>
      </c>
      <c r="K1277" s="12">
        <v>0</v>
      </c>
      <c r="L1277" s="16">
        <v>0</v>
      </c>
      <c r="M1277" s="12">
        <v>0</v>
      </c>
      <c r="N1277" s="12">
        <v>0</v>
      </c>
      <c r="O1277" s="12">
        <v>2</v>
      </c>
      <c r="P1277" s="12">
        <v>3</v>
      </c>
      <c r="Q1277" s="12">
        <v>0.2</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10</v>
      </c>
      <c r="AG1277" s="12">
        <v>0</v>
      </c>
      <c r="AH1277" s="12">
        <v>0</v>
      </c>
      <c r="AI1277" s="12">
        <v>7</v>
      </c>
      <c r="AJ1277" s="12">
        <v>0</v>
      </c>
      <c r="AK1277" s="12">
        <v>0</v>
      </c>
      <c r="AL1277" s="12">
        <v>3</v>
      </c>
      <c r="AM1277" s="12">
        <v>0</v>
      </c>
      <c r="AN1277" s="12">
        <v>0</v>
      </c>
      <c r="AO1277" s="12">
        <v>0</v>
      </c>
      <c r="AP1277" s="12">
        <v>0</v>
      </c>
      <c r="AQ1277" s="12">
        <v>3000</v>
      </c>
      <c r="AR1277" s="12">
        <v>0.5</v>
      </c>
      <c r="AS1277" s="12">
        <v>0</v>
      </c>
      <c r="AT1277" s="12">
        <v>0</v>
      </c>
      <c r="AU1277" s="12">
        <v>90000008</v>
      </c>
      <c r="AV1277" s="12"/>
      <c r="AW1277" s="13" t="s">
        <v>199</v>
      </c>
      <c r="AX1277" s="12">
        <v>0</v>
      </c>
      <c r="AY1277" s="12">
        <v>0</v>
      </c>
      <c r="AZ1277" s="12">
        <v>0</v>
      </c>
      <c r="BA1277" s="13" t="s">
        <v>200</v>
      </c>
      <c r="BB1277" s="13">
        <v>0</v>
      </c>
      <c r="BC1277" s="12">
        <v>0</v>
      </c>
      <c r="BD1277" s="12">
        <v>0</v>
      </c>
      <c r="BE1277" s="42" t="s">
        <v>2722</v>
      </c>
      <c r="BF1277" s="42" t="s">
        <v>2723</v>
      </c>
      <c r="BG1277" s="12">
        <v>0</v>
      </c>
      <c r="BH1277" s="12">
        <v>0</v>
      </c>
      <c r="BI1277" s="12">
        <v>0</v>
      </c>
      <c r="BJ1277" s="12">
        <v>0</v>
      </c>
      <c r="BK1277" s="12">
        <v>0</v>
      </c>
      <c r="BL1277" s="12">
        <v>0</v>
      </c>
      <c r="BM1277" s="185">
        <v>0</v>
      </c>
      <c r="BN1277" s="12">
        <v>0</v>
      </c>
      <c r="BO1277" s="12">
        <v>0</v>
      </c>
      <c r="BP1277" s="12">
        <v>0</v>
      </c>
      <c r="BQ1277" s="12">
        <v>0</v>
      </c>
      <c r="BR1277" s="12">
        <v>0</v>
      </c>
      <c r="BS1277" s="12">
        <v>0</v>
      </c>
      <c r="BT1277" s="12">
        <v>0</v>
      </c>
      <c r="BU1277" s="47">
        <v>0</v>
      </c>
      <c r="BV1277" s="47"/>
      <c r="BW1277" s="47"/>
    </row>
    <row r="1278" spans="3:75" ht="19.5" customHeight="1">
      <c r="C1278" s="12">
        <v>62000013</v>
      </c>
      <c r="D1278" s="19" t="s">
        <v>2431</v>
      </c>
      <c r="E1278" s="19" t="s">
        <v>1564</v>
      </c>
      <c r="F1278" s="16">
        <v>1</v>
      </c>
      <c r="G1278" s="12">
        <v>65021101</v>
      </c>
      <c r="H1278" s="172">
        <v>0</v>
      </c>
      <c r="I1278" s="27">
        <v>0</v>
      </c>
      <c r="J1278" s="16">
        <v>1</v>
      </c>
      <c r="K1278" s="16">
        <v>0</v>
      </c>
      <c r="L1278" s="16">
        <v>0</v>
      </c>
      <c r="M1278" s="18">
        <v>0</v>
      </c>
      <c r="N1278" s="18">
        <v>0</v>
      </c>
      <c r="O1278" s="18">
        <v>2</v>
      </c>
      <c r="P1278" s="18">
        <v>1</v>
      </c>
      <c r="Q1278" s="18">
        <v>0.15</v>
      </c>
      <c r="R1278" s="18">
        <v>0</v>
      </c>
      <c r="S1278" s="12">
        <v>0</v>
      </c>
      <c r="T1278" s="27">
        <v>0</v>
      </c>
      <c r="U1278" s="16">
        <v>1</v>
      </c>
      <c r="V1278" s="18">
        <v>2</v>
      </c>
      <c r="W1278" s="18">
        <v>0</v>
      </c>
      <c r="X1278" s="18">
        <v>3</v>
      </c>
      <c r="Y1278" s="12">
        <v>0</v>
      </c>
      <c r="Z1278" s="18">
        <v>1500</v>
      </c>
      <c r="AA1278" s="18">
        <v>0</v>
      </c>
      <c r="AB1278" s="18">
        <v>0</v>
      </c>
      <c r="AC1278" s="18">
        <v>0</v>
      </c>
      <c r="AD1278" s="18">
        <v>0</v>
      </c>
      <c r="AE1278" s="18">
        <v>0</v>
      </c>
      <c r="AF1278" s="18">
        <v>10</v>
      </c>
      <c r="AG1278" s="18">
        <v>2</v>
      </c>
      <c r="AH1278" s="18" t="s">
        <v>801</v>
      </c>
      <c r="AI1278" s="12">
        <v>2</v>
      </c>
      <c r="AJ1278" s="12">
        <v>3</v>
      </c>
      <c r="AK1278" s="12">
        <v>0</v>
      </c>
      <c r="AL1278" s="12">
        <v>2</v>
      </c>
      <c r="AM1278" s="18">
        <v>0</v>
      </c>
      <c r="AN1278" s="18">
        <v>0</v>
      </c>
      <c r="AO1278" s="18">
        <v>0</v>
      </c>
      <c r="AP1278" s="18">
        <v>0.25</v>
      </c>
      <c r="AQ1278" s="18">
        <v>3000</v>
      </c>
      <c r="AR1278" s="18">
        <v>0.1</v>
      </c>
      <c r="AS1278" s="18">
        <v>0</v>
      </c>
      <c r="AT1278" s="12">
        <v>0</v>
      </c>
      <c r="AU1278" s="349" t="s">
        <v>2433</v>
      </c>
      <c r="AV1278" s="18"/>
      <c r="AW1278" s="19" t="s">
        <v>256</v>
      </c>
      <c r="AX1278" s="18" t="s">
        <v>545</v>
      </c>
      <c r="AY1278" s="18">
        <v>10001007</v>
      </c>
      <c r="AZ1278" s="18">
        <v>21401010</v>
      </c>
      <c r="BA1278" s="19" t="s">
        <v>200</v>
      </c>
      <c r="BB1278" s="19">
        <v>0</v>
      </c>
      <c r="BC1278" s="27">
        <v>0</v>
      </c>
      <c r="BD1278" s="27">
        <v>0</v>
      </c>
      <c r="BE1278" s="183" t="str">
        <f t="shared" ref="BE1278" si="145">"立即对前方范围内的敌人造成"&amp;X1278*100&amp;"%攻击伤害+"&amp;Z1278&amp;"点固定伤害,并将其置空1秒"</f>
        <v>立即对前方范围内的敌人造成300%攻击伤害+1500点固定伤害,并将其置空1秒</v>
      </c>
      <c r="BF1278" s="183" t="s">
        <v>1568</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2">
        <v>62000031</v>
      </c>
      <c r="D1279" s="13" t="s">
        <v>2724</v>
      </c>
      <c r="E1279" s="13" t="s">
        <v>2725</v>
      </c>
      <c r="F1279" s="12">
        <v>1</v>
      </c>
      <c r="G1279" s="12">
        <v>30001</v>
      </c>
      <c r="H1279" s="12">
        <v>0</v>
      </c>
      <c r="I1279" s="12">
        <v>0</v>
      </c>
      <c r="J1279" s="12">
        <v>1</v>
      </c>
      <c r="K1279" s="12">
        <v>0</v>
      </c>
      <c r="L1279" s="16">
        <v>0</v>
      </c>
      <c r="M1279" s="12">
        <v>0</v>
      </c>
      <c r="N1279" s="12">
        <v>0</v>
      </c>
      <c r="O1279" s="12">
        <v>2</v>
      </c>
      <c r="P1279" s="12">
        <v>10</v>
      </c>
      <c r="Q1279" s="12">
        <v>0.05</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3</v>
      </c>
      <c r="AG1279" s="12">
        <v>0</v>
      </c>
      <c r="AH1279" s="12">
        <v>0</v>
      </c>
      <c r="AI1279" s="12">
        <v>2</v>
      </c>
      <c r="AJ1279" s="12">
        <v>0</v>
      </c>
      <c r="AK1279" s="12">
        <v>0</v>
      </c>
      <c r="AL1279" s="12">
        <v>0</v>
      </c>
      <c r="AM1279" s="12">
        <v>0</v>
      </c>
      <c r="AN1279" s="12">
        <v>0</v>
      </c>
      <c r="AO1279" s="12">
        <v>0</v>
      </c>
      <c r="AP1279" s="12">
        <v>0</v>
      </c>
      <c r="AQ1279" s="12">
        <v>1000</v>
      </c>
      <c r="AR1279" s="12">
        <v>0</v>
      </c>
      <c r="AS1279" s="12">
        <v>0</v>
      </c>
      <c r="AT1279" s="12">
        <v>92000021</v>
      </c>
      <c r="AU1279" s="12" t="s">
        <v>198</v>
      </c>
      <c r="AV1279" s="12"/>
      <c r="AW1279" s="13" t="s">
        <v>199</v>
      </c>
      <c r="AX1279" s="12" t="s">
        <v>1837</v>
      </c>
      <c r="AY1279" s="12">
        <v>0</v>
      </c>
      <c r="AZ1279" s="12">
        <v>40000003</v>
      </c>
      <c r="BA1279" s="13" t="s">
        <v>200</v>
      </c>
      <c r="BB1279" s="13" t="s">
        <v>198</v>
      </c>
      <c r="BC1279" s="12">
        <v>0</v>
      </c>
      <c r="BD1279" s="12">
        <v>0</v>
      </c>
      <c r="BE1279" s="42" t="s">
        <v>2726</v>
      </c>
      <c r="BF1279" s="42" t="s">
        <v>2727</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62000032</v>
      </c>
      <c r="D1280" s="13" t="s">
        <v>2728</v>
      </c>
      <c r="E1280" s="13" t="s">
        <v>2729</v>
      </c>
      <c r="F1280" s="12">
        <v>1</v>
      </c>
      <c r="G1280" s="12">
        <v>30002</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20</v>
      </c>
      <c r="AG1280" s="12">
        <v>0</v>
      </c>
      <c r="AH1280" s="12">
        <v>20</v>
      </c>
      <c r="AI1280" s="12">
        <v>2</v>
      </c>
      <c r="AJ1280" s="12">
        <v>0</v>
      </c>
      <c r="AK1280" s="12">
        <v>0</v>
      </c>
      <c r="AL1280" s="12">
        <v>0</v>
      </c>
      <c r="AM1280" s="12">
        <v>0</v>
      </c>
      <c r="AN1280" s="12">
        <v>0</v>
      </c>
      <c r="AO1280" s="12">
        <v>0</v>
      </c>
      <c r="AP1280" s="12">
        <v>0</v>
      </c>
      <c r="AQ1280" s="12">
        <v>1000</v>
      </c>
      <c r="AR1280" s="12">
        <v>0</v>
      </c>
      <c r="AS1280" s="12">
        <v>0</v>
      </c>
      <c r="AT1280" s="12">
        <v>92000022</v>
      </c>
      <c r="AU1280" s="12">
        <v>92000032</v>
      </c>
      <c r="AV1280" s="12"/>
      <c r="AW1280" s="13" t="s">
        <v>199</v>
      </c>
      <c r="AX1280" s="12" t="s">
        <v>1837</v>
      </c>
      <c r="AY1280" s="12">
        <v>0</v>
      </c>
      <c r="AZ1280" s="12">
        <v>40000003</v>
      </c>
      <c r="BA1280" s="13" t="s">
        <v>200</v>
      </c>
      <c r="BB1280" s="13" t="s">
        <v>198</v>
      </c>
      <c r="BC1280" s="12">
        <v>0</v>
      </c>
      <c r="BD1280" s="12">
        <v>0</v>
      </c>
      <c r="BE1280" s="42" t="s">
        <v>2730</v>
      </c>
      <c r="BF1280" s="42" t="s">
        <v>2731</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3:75" ht="20.100000000000001" customHeight="1">
      <c r="C1281" s="180">
        <v>62000033</v>
      </c>
      <c r="D1281" s="236" t="s">
        <v>2732</v>
      </c>
      <c r="E1281" s="236" t="s">
        <v>2733</v>
      </c>
      <c r="F1281" s="180">
        <v>1</v>
      </c>
      <c r="G1281" s="180">
        <v>30011</v>
      </c>
      <c r="H1281" s="180">
        <v>0</v>
      </c>
      <c r="I1281" s="180">
        <v>0</v>
      </c>
      <c r="J1281" s="180">
        <v>1</v>
      </c>
      <c r="K1281" s="180">
        <v>0</v>
      </c>
      <c r="L1281" s="180">
        <v>0</v>
      </c>
      <c r="M1281" s="180">
        <v>0</v>
      </c>
      <c r="N1281" s="180">
        <v>0</v>
      </c>
      <c r="O1281" s="180">
        <v>2</v>
      </c>
      <c r="P1281" s="180">
        <v>1</v>
      </c>
      <c r="Q1281" s="180">
        <v>0.05</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7</v>
      </c>
      <c r="AJ1281" s="180">
        <v>0</v>
      </c>
      <c r="AK1281" s="180">
        <v>0</v>
      </c>
      <c r="AL1281" s="180">
        <v>0</v>
      </c>
      <c r="AM1281" s="180">
        <v>0</v>
      </c>
      <c r="AN1281" s="180">
        <v>0</v>
      </c>
      <c r="AO1281" s="180">
        <v>0</v>
      </c>
      <c r="AP1281" s="180">
        <v>0</v>
      </c>
      <c r="AQ1281" s="180">
        <v>1000</v>
      </c>
      <c r="AR1281" s="180">
        <v>0</v>
      </c>
      <c r="AS1281" s="180">
        <v>0</v>
      </c>
      <c r="AT1281" s="180">
        <v>0</v>
      </c>
      <c r="AU1281" s="180">
        <v>92000033</v>
      </c>
      <c r="AV1281" s="180"/>
      <c r="AW1281" s="236" t="s">
        <v>199</v>
      </c>
      <c r="AX1281" s="180" t="s">
        <v>1837</v>
      </c>
      <c r="AY1281" s="180">
        <v>0</v>
      </c>
      <c r="AZ1281" s="180">
        <v>40000003</v>
      </c>
      <c r="BA1281" s="236" t="s">
        <v>200</v>
      </c>
      <c r="BB1281" s="236" t="s">
        <v>198</v>
      </c>
      <c r="BC1281" s="180">
        <v>0</v>
      </c>
      <c r="BD1281" s="180">
        <v>0</v>
      </c>
      <c r="BE1281" s="243" t="s">
        <v>2734</v>
      </c>
      <c r="BF1281" s="243" t="s">
        <v>2735</v>
      </c>
      <c r="BG1281" s="180">
        <v>0</v>
      </c>
      <c r="BH1281" s="180">
        <v>0</v>
      </c>
      <c r="BI1281" s="180">
        <v>0</v>
      </c>
      <c r="BJ1281" s="180">
        <v>0</v>
      </c>
      <c r="BK1281" s="180">
        <v>0</v>
      </c>
      <c r="BL1281" s="180">
        <v>0</v>
      </c>
      <c r="BM1281" s="245">
        <v>0</v>
      </c>
      <c r="BN1281" s="180">
        <v>1</v>
      </c>
      <c r="BO1281" s="180">
        <v>0</v>
      </c>
      <c r="BP1281" s="180">
        <v>0</v>
      </c>
      <c r="BQ1281" s="180">
        <v>0</v>
      </c>
      <c r="BR1281" s="180">
        <v>0</v>
      </c>
      <c r="BS1281" s="180">
        <v>0</v>
      </c>
      <c r="BT1281" s="12">
        <v>0</v>
      </c>
      <c r="BU1281" s="47">
        <v>0</v>
      </c>
      <c r="BV1281" s="47"/>
      <c r="BW1281" s="47"/>
    </row>
    <row r="1282" spans="3:75" ht="19.5" customHeight="1">
      <c r="C1282" s="180">
        <v>62000034</v>
      </c>
      <c r="D1282" s="236" t="s">
        <v>2736</v>
      </c>
      <c r="E1282" s="236" t="s">
        <v>2737</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3</v>
      </c>
      <c r="Y1282" s="12">
        <v>0</v>
      </c>
      <c r="Z1282" s="16">
        <v>1000</v>
      </c>
      <c r="AA1282" s="16">
        <v>0</v>
      </c>
      <c r="AB1282" s="16">
        <v>0</v>
      </c>
      <c r="AC1282" s="16">
        <v>0</v>
      </c>
      <c r="AD1282" s="16">
        <v>0</v>
      </c>
      <c r="AE1282" s="16">
        <v>0</v>
      </c>
      <c r="AF1282" s="16">
        <v>1</v>
      </c>
      <c r="AG1282" s="16">
        <v>1</v>
      </c>
      <c r="AH1282" s="16">
        <v>3</v>
      </c>
      <c r="AI1282" s="12">
        <v>1</v>
      </c>
      <c r="AJ1282" s="12">
        <v>0</v>
      </c>
      <c r="AK1282" s="12">
        <v>0</v>
      </c>
      <c r="AL1282" s="12">
        <v>0</v>
      </c>
      <c r="AM1282" s="16">
        <v>0</v>
      </c>
      <c r="AN1282" s="16">
        <v>0</v>
      </c>
      <c r="AO1282" s="16">
        <v>0</v>
      </c>
      <c r="AP1282" s="16">
        <v>0</v>
      </c>
      <c r="AQ1282" s="16">
        <v>5000</v>
      </c>
      <c r="AR1282" s="16">
        <v>0</v>
      </c>
      <c r="AS1282" s="16">
        <v>0</v>
      </c>
      <c r="AT1282" s="12">
        <v>0</v>
      </c>
      <c r="AU1282" s="16">
        <v>0</v>
      </c>
      <c r="AV1282" s="16"/>
      <c r="AW1282" s="19" t="s">
        <v>256</v>
      </c>
      <c r="AX1282" s="16" t="s">
        <v>534</v>
      </c>
      <c r="AY1282" s="18">
        <v>10000007</v>
      </c>
      <c r="AZ1282" s="18">
        <v>70403005</v>
      </c>
      <c r="BA1282" s="17" t="s">
        <v>200</v>
      </c>
      <c r="BB1282" s="16">
        <v>0</v>
      </c>
      <c r="BC1282" s="27">
        <v>0</v>
      </c>
      <c r="BD1282" s="27">
        <v>0</v>
      </c>
      <c r="BE1282" s="44" t="s">
        <v>2738</v>
      </c>
      <c r="BF1282" s="44" t="s">
        <v>2739</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3:75" ht="20.100000000000001" customHeight="1">
      <c r="C1283" s="12">
        <v>62000035</v>
      </c>
      <c r="D1283" s="13" t="s">
        <v>2740</v>
      </c>
      <c r="E1283" s="13" t="s">
        <v>2741</v>
      </c>
      <c r="F1283" s="12">
        <v>1</v>
      </c>
      <c r="G1283" s="12">
        <v>30022</v>
      </c>
      <c r="H1283" s="12">
        <v>0</v>
      </c>
      <c r="I1283" s="12">
        <v>0</v>
      </c>
      <c r="J1283" s="12">
        <v>1</v>
      </c>
      <c r="K1283" s="12">
        <v>0</v>
      </c>
      <c r="L1283" s="16">
        <v>0</v>
      </c>
      <c r="M1283" s="12">
        <v>0</v>
      </c>
      <c r="N1283" s="12">
        <v>0</v>
      </c>
      <c r="O1283" s="12">
        <v>2</v>
      </c>
      <c r="P1283" s="12">
        <v>1</v>
      </c>
      <c r="Q1283" s="12">
        <v>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1</v>
      </c>
      <c r="AH1283" s="12">
        <v>2</v>
      </c>
      <c r="AI1283" s="12">
        <v>7</v>
      </c>
      <c r="AJ1283" s="12">
        <v>0</v>
      </c>
      <c r="AK1283" s="12">
        <v>0</v>
      </c>
      <c r="AL1283" s="12">
        <v>0</v>
      </c>
      <c r="AM1283" s="12">
        <v>0</v>
      </c>
      <c r="AN1283" s="12">
        <v>0</v>
      </c>
      <c r="AO1283" s="12">
        <v>0</v>
      </c>
      <c r="AP1283" s="12">
        <v>0</v>
      </c>
      <c r="AQ1283" s="12">
        <v>1000</v>
      </c>
      <c r="AR1283" s="12">
        <v>0</v>
      </c>
      <c r="AS1283" s="12">
        <v>0</v>
      </c>
      <c r="AT1283" s="12">
        <v>0</v>
      </c>
      <c r="AU1283" s="12">
        <v>92000023</v>
      </c>
      <c r="AV1283" s="12"/>
      <c r="AW1283" s="13" t="s">
        <v>199</v>
      </c>
      <c r="AX1283" s="12" t="s">
        <v>1837</v>
      </c>
      <c r="AY1283" s="12">
        <v>0</v>
      </c>
      <c r="AZ1283" s="12">
        <v>0</v>
      </c>
      <c r="BA1283" s="13" t="s">
        <v>200</v>
      </c>
      <c r="BB1283" s="13" t="s">
        <v>198</v>
      </c>
      <c r="BC1283" s="12">
        <v>0</v>
      </c>
      <c r="BD1283" s="12">
        <v>0</v>
      </c>
      <c r="BE1283" s="42" t="s">
        <v>2742</v>
      </c>
      <c r="BF1283" s="42" t="s">
        <v>2743</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row>
    <row r="1284" spans="3:75" ht="20.100000000000001" customHeight="1">
      <c r="C1284" s="12">
        <v>62000036</v>
      </c>
      <c r="D1284" s="13" t="s">
        <v>2744</v>
      </c>
      <c r="E1284" s="13" t="s">
        <v>2745</v>
      </c>
      <c r="F1284" s="12">
        <v>1</v>
      </c>
      <c r="G1284" s="12">
        <v>30031</v>
      </c>
      <c r="H1284" s="12">
        <v>0</v>
      </c>
      <c r="I1284" s="12">
        <v>0</v>
      </c>
      <c r="J1284" s="12">
        <v>1</v>
      </c>
      <c r="K1284" s="12">
        <v>0</v>
      </c>
      <c r="L1284" s="16">
        <v>0</v>
      </c>
      <c r="M1284" s="12">
        <v>0</v>
      </c>
      <c r="N1284" s="12">
        <v>0</v>
      </c>
      <c r="O1284" s="12">
        <v>2</v>
      </c>
      <c r="P1284" s="12">
        <v>19</v>
      </c>
      <c r="Q1284" s="12">
        <v>1</v>
      </c>
      <c r="R1284" s="12">
        <v>0</v>
      </c>
      <c r="S1284" s="12">
        <v>0</v>
      </c>
      <c r="T1284" s="12">
        <v>0</v>
      </c>
      <c r="U1284" s="12">
        <v>1</v>
      </c>
      <c r="V1284" s="12">
        <v>2</v>
      </c>
      <c r="W1284" s="12">
        <v>0</v>
      </c>
      <c r="X1284" s="12">
        <v>0</v>
      </c>
      <c r="Y1284" s="12">
        <v>0</v>
      </c>
      <c r="Z1284" s="12">
        <v>0</v>
      </c>
      <c r="AA1284" s="12">
        <v>0</v>
      </c>
      <c r="AB1284" s="12">
        <v>0</v>
      </c>
      <c r="AC1284" s="12">
        <v>0</v>
      </c>
      <c r="AD1284" s="12">
        <v>1</v>
      </c>
      <c r="AE1284" s="12">
        <v>0</v>
      </c>
      <c r="AF1284" s="12">
        <v>1</v>
      </c>
      <c r="AG1284" s="12">
        <v>0</v>
      </c>
      <c r="AH1284" s="12">
        <v>0</v>
      </c>
      <c r="AI1284" s="12">
        <v>2</v>
      </c>
      <c r="AJ1284" s="12">
        <v>0</v>
      </c>
      <c r="AK1284" s="12">
        <v>0</v>
      </c>
      <c r="AL1284" s="12">
        <v>0</v>
      </c>
      <c r="AM1284" s="12">
        <v>0</v>
      </c>
      <c r="AN1284" s="12">
        <v>0</v>
      </c>
      <c r="AO1284" s="12">
        <v>0</v>
      </c>
      <c r="AP1284" s="12">
        <v>0</v>
      </c>
      <c r="AQ1284" s="12">
        <v>1000</v>
      </c>
      <c r="AR1284" s="12">
        <v>0</v>
      </c>
      <c r="AS1284" s="12">
        <v>0</v>
      </c>
      <c r="AT1284" s="12">
        <v>92000024</v>
      </c>
      <c r="AU1284" s="12" t="s">
        <v>198</v>
      </c>
      <c r="AV1284" s="12"/>
      <c r="AW1284" s="13" t="s">
        <v>199</v>
      </c>
      <c r="AX1284" s="12" t="s">
        <v>1837</v>
      </c>
      <c r="AY1284" s="12">
        <v>0</v>
      </c>
      <c r="AZ1284" s="12">
        <v>40000003</v>
      </c>
      <c r="BA1284" s="13" t="s">
        <v>200</v>
      </c>
      <c r="BB1284" s="13" t="s">
        <v>198</v>
      </c>
      <c r="BC1284" s="12">
        <v>0</v>
      </c>
      <c r="BD1284" s="12">
        <v>0</v>
      </c>
      <c r="BE1284" s="42" t="s">
        <v>2746</v>
      </c>
      <c r="BF1284" s="42" t="s">
        <v>2747</v>
      </c>
      <c r="BG1284" s="12">
        <v>0</v>
      </c>
      <c r="BH1284" s="12">
        <v>0</v>
      </c>
      <c r="BI1284" s="12">
        <v>0</v>
      </c>
      <c r="BJ1284" s="12">
        <v>0</v>
      </c>
      <c r="BK1284" s="12">
        <v>0</v>
      </c>
      <c r="BL1284" s="12">
        <v>0</v>
      </c>
      <c r="BM1284" s="185">
        <v>0</v>
      </c>
      <c r="BN1284" s="12">
        <v>1</v>
      </c>
      <c r="BO1284" s="12">
        <v>0</v>
      </c>
      <c r="BP1284" s="12">
        <v>0</v>
      </c>
      <c r="BQ1284" s="12">
        <v>0</v>
      </c>
      <c r="BR1284" s="12">
        <v>0</v>
      </c>
      <c r="BS1284" s="12">
        <v>0</v>
      </c>
      <c r="BT1284" s="12">
        <v>0</v>
      </c>
      <c r="BU1284" s="47">
        <v>0</v>
      </c>
      <c r="BV1284" s="47"/>
      <c r="BW1284" s="47"/>
    </row>
    <row r="1285" spans="3:75" ht="20.100000000000001" customHeight="1">
      <c r="C1285" s="180">
        <v>62000037</v>
      </c>
      <c r="D1285" s="236" t="s">
        <v>2748</v>
      </c>
      <c r="E1285" s="236" t="s">
        <v>2749</v>
      </c>
      <c r="F1285" s="180">
        <v>1</v>
      </c>
      <c r="G1285" s="180">
        <v>30052</v>
      </c>
      <c r="H1285" s="180">
        <v>0</v>
      </c>
      <c r="I1285" s="180">
        <v>0</v>
      </c>
      <c r="J1285" s="180">
        <v>1</v>
      </c>
      <c r="K1285" s="180">
        <v>0</v>
      </c>
      <c r="L1285" s="180">
        <v>0</v>
      </c>
      <c r="M1285" s="180">
        <v>0</v>
      </c>
      <c r="N1285" s="180">
        <v>0</v>
      </c>
      <c r="O1285" s="180">
        <v>2</v>
      </c>
      <c r="P1285" s="180">
        <v>1</v>
      </c>
      <c r="Q1285" s="180">
        <v>0.1</v>
      </c>
      <c r="R1285" s="180">
        <v>0</v>
      </c>
      <c r="S1285" s="180">
        <v>0</v>
      </c>
      <c r="T1285" s="180">
        <v>0</v>
      </c>
      <c r="U1285" s="180">
        <v>1</v>
      </c>
      <c r="V1285" s="180">
        <v>2</v>
      </c>
      <c r="W1285" s="180">
        <v>0</v>
      </c>
      <c r="X1285" s="180">
        <v>0</v>
      </c>
      <c r="Y1285" s="12">
        <v>0</v>
      </c>
      <c r="Z1285" s="180">
        <v>0</v>
      </c>
      <c r="AA1285" s="180">
        <v>0</v>
      </c>
      <c r="AB1285" s="180">
        <v>0</v>
      </c>
      <c r="AC1285" s="180">
        <v>0</v>
      </c>
      <c r="AD1285" s="180">
        <v>1</v>
      </c>
      <c r="AE1285" s="180">
        <v>0</v>
      </c>
      <c r="AF1285" s="180">
        <v>1</v>
      </c>
      <c r="AG1285" s="180">
        <v>0</v>
      </c>
      <c r="AH1285" s="180">
        <v>0</v>
      </c>
      <c r="AI1285" s="180">
        <v>2</v>
      </c>
      <c r="AJ1285" s="180">
        <v>0</v>
      </c>
      <c r="AK1285" s="180">
        <v>0</v>
      </c>
      <c r="AL1285" s="180">
        <v>0</v>
      </c>
      <c r="AM1285" s="180">
        <v>0</v>
      </c>
      <c r="AN1285" s="180">
        <v>0</v>
      </c>
      <c r="AO1285" s="180">
        <v>0</v>
      </c>
      <c r="AP1285" s="180">
        <v>0</v>
      </c>
      <c r="AQ1285" s="180">
        <v>1000</v>
      </c>
      <c r="AR1285" s="180">
        <v>0</v>
      </c>
      <c r="AS1285" s="180">
        <v>0</v>
      </c>
      <c r="AT1285" s="180">
        <v>92000031</v>
      </c>
      <c r="AU1285" s="180" t="s">
        <v>198</v>
      </c>
      <c r="AV1285" s="180"/>
      <c r="AW1285" s="236" t="s">
        <v>199</v>
      </c>
      <c r="AX1285" s="180" t="s">
        <v>1837</v>
      </c>
      <c r="AY1285" s="180">
        <v>0</v>
      </c>
      <c r="AZ1285" s="180">
        <v>40000003</v>
      </c>
      <c r="BA1285" s="236" t="s">
        <v>200</v>
      </c>
      <c r="BB1285" s="236" t="s">
        <v>198</v>
      </c>
      <c r="BC1285" s="180">
        <v>0</v>
      </c>
      <c r="BD1285" s="180">
        <v>0</v>
      </c>
      <c r="BE1285" s="243" t="s">
        <v>2750</v>
      </c>
      <c r="BF1285" s="243" t="s">
        <v>2751</v>
      </c>
      <c r="BG1285" s="180">
        <v>0</v>
      </c>
      <c r="BH1285" s="180">
        <v>0</v>
      </c>
      <c r="BI1285" s="180">
        <v>0</v>
      </c>
      <c r="BJ1285" s="180">
        <v>0</v>
      </c>
      <c r="BK1285" s="180">
        <v>0</v>
      </c>
      <c r="BL1285" s="180">
        <v>0</v>
      </c>
      <c r="BM1285" s="245">
        <v>0</v>
      </c>
      <c r="BN1285" s="180">
        <v>1</v>
      </c>
      <c r="BO1285" s="180">
        <v>0</v>
      </c>
      <c r="BP1285" s="180">
        <v>0</v>
      </c>
      <c r="BQ1285" s="180">
        <v>0</v>
      </c>
      <c r="BR1285" s="180">
        <v>0</v>
      </c>
      <c r="BS1285" s="180">
        <v>0</v>
      </c>
      <c r="BT1285" s="12">
        <v>0</v>
      </c>
      <c r="BU1285" s="47">
        <v>0</v>
      </c>
      <c r="BV1285" s="47"/>
      <c r="BW1285" s="47"/>
    </row>
    <row r="1286" spans="3:75" ht="20.100000000000001" customHeight="1">
      <c r="C1286" s="12">
        <v>62000038</v>
      </c>
      <c r="D1286" s="13" t="s">
        <v>2752</v>
      </c>
      <c r="E1286" s="13" t="s">
        <v>2753</v>
      </c>
      <c r="F1286" s="12">
        <v>1</v>
      </c>
      <c r="G1286" s="12">
        <v>30061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341" t="s">
        <v>2754</v>
      </c>
      <c r="AV1286" s="12"/>
      <c r="AW1286" s="13" t="s">
        <v>199</v>
      </c>
      <c r="AX1286" s="12" t="s">
        <v>1837</v>
      </c>
      <c r="AY1286" s="12">
        <v>0</v>
      </c>
      <c r="AZ1286" s="12">
        <v>0</v>
      </c>
      <c r="BA1286" s="13" t="s">
        <v>200</v>
      </c>
      <c r="BB1286" s="13" t="s">
        <v>198</v>
      </c>
      <c r="BC1286" s="12">
        <v>0</v>
      </c>
      <c r="BD1286" s="12">
        <v>0</v>
      </c>
      <c r="BE1286" s="42" t="s">
        <v>2755</v>
      </c>
      <c r="BF1286" s="42" t="s">
        <v>2756</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3:75" ht="20.100000000000001" customHeight="1">
      <c r="C1287" s="12">
        <v>62000039</v>
      </c>
      <c r="D1287" s="17" t="s">
        <v>2757</v>
      </c>
      <c r="E1287" s="17" t="s">
        <v>2758</v>
      </c>
      <c r="F1287" s="16">
        <v>1</v>
      </c>
      <c r="G1287" s="16">
        <v>80002002</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2759</v>
      </c>
      <c r="BC1287" s="27">
        <v>0</v>
      </c>
      <c r="BD1287" s="27">
        <v>1</v>
      </c>
      <c r="BE1287" s="44" t="s">
        <v>2760</v>
      </c>
      <c r="BF1287" s="44" t="s">
        <v>2761</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3:75" ht="19.5" customHeight="1">
      <c r="C1288" s="180">
        <v>62000040</v>
      </c>
      <c r="D1288" s="236" t="s">
        <v>2762</v>
      </c>
      <c r="E1288" s="236" t="s">
        <v>2763</v>
      </c>
      <c r="F1288" s="18">
        <v>1</v>
      </c>
      <c r="G1288" s="16">
        <v>60010100</v>
      </c>
      <c r="H1288" s="18">
        <v>0</v>
      </c>
      <c r="I1288" s="27">
        <v>0</v>
      </c>
      <c r="J1288" s="18">
        <v>1</v>
      </c>
      <c r="K1288" s="18">
        <v>0</v>
      </c>
      <c r="L1288" s="18">
        <v>0</v>
      </c>
      <c r="M1288" s="16">
        <v>0</v>
      </c>
      <c r="N1288" s="16">
        <v>0</v>
      </c>
      <c r="O1288" s="16">
        <v>2</v>
      </c>
      <c r="P1288" s="16">
        <v>1</v>
      </c>
      <c r="Q1288" s="16">
        <v>1</v>
      </c>
      <c r="R1288" s="16">
        <v>0</v>
      </c>
      <c r="S1288" s="12">
        <v>0</v>
      </c>
      <c r="T1288" s="16">
        <v>0</v>
      </c>
      <c r="U1288" s="16">
        <v>1</v>
      </c>
      <c r="V1288" s="16">
        <v>2</v>
      </c>
      <c r="W1288" s="16">
        <v>0</v>
      </c>
      <c r="X1288" s="16">
        <v>1</v>
      </c>
      <c r="Y1288" s="12">
        <v>0</v>
      </c>
      <c r="Z1288" s="16">
        <v>0</v>
      </c>
      <c r="AA1288" s="16">
        <v>0</v>
      </c>
      <c r="AB1288" s="16">
        <v>0</v>
      </c>
      <c r="AC1288" s="16">
        <v>0</v>
      </c>
      <c r="AD1288" s="16">
        <v>0</v>
      </c>
      <c r="AE1288" s="16">
        <v>0</v>
      </c>
      <c r="AF1288" s="16">
        <v>1</v>
      </c>
      <c r="AG1288" s="16">
        <v>1</v>
      </c>
      <c r="AH1288" s="16">
        <v>2</v>
      </c>
      <c r="AI1288" s="12">
        <v>1</v>
      </c>
      <c r="AJ1288" s="12">
        <v>0</v>
      </c>
      <c r="AK1288" s="12">
        <v>0</v>
      </c>
      <c r="AL1288" s="12">
        <v>0</v>
      </c>
      <c r="AM1288" s="16">
        <v>0</v>
      </c>
      <c r="AN1288" s="16">
        <v>0</v>
      </c>
      <c r="AO1288" s="16">
        <v>0</v>
      </c>
      <c r="AP1288" s="16">
        <v>0</v>
      </c>
      <c r="AQ1288" s="16">
        <v>5000</v>
      </c>
      <c r="AR1288" s="16">
        <v>0</v>
      </c>
      <c r="AS1288" s="16">
        <v>0</v>
      </c>
      <c r="AT1288" s="12">
        <v>0</v>
      </c>
      <c r="AU1288" s="16">
        <v>0</v>
      </c>
      <c r="AV1288" s="16"/>
      <c r="AW1288" s="19" t="s">
        <v>256</v>
      </c>
      <c r="AX1288" s="16" t="s">
        <v>534</v>
      </c>
      <c r="AY1288" s="18">
        <v>10000007</v>
      </c>
      <c r="AZ1288" s="18">
        <v>70403006</v>
      </c>
      <c r="BA1288" s="17" t="s">
        <v>200</v>
      </c>
      <c r="BB1288" s="16">
        <v>0</v>
      </c>
      <c r="BC1288" s="27">
        <v>0</v>
      </c>
      <c r="BD1288" s="27">
        <v>0</v>
      </c>
      <c r="BE1288" s="44" t="s">
        <v>2764</v>
      </c>
      <c r="BF1288" s="44" t="s">
        <v>2765</v>
      </c>
      <c r="BG1288" s="16">
        <v>0</v>
      </c>
      <c r="BH1288" s="16">
        <v>0</v>
      </c>
      <c r="BI1288" s="16">
        <v>0</v>
      </c>
      <c r="BJ1288" s="16">
        <v>0</v>
      </c>
      <c r="BK1288" s="16">
        <v>0</v>
      </c>
      <c r="BL1288" s="16">
        <v>0</v>
      </c>
      <c r="BM1288" s="15">
        <v>0</v>
      </c>
      <c r="BN1288" s="12">
        <v>0</v>
      </c>
      <c r="BO1288" s="12">
        <v>0</v>
      </c>
      <c r="BP1288" s="12">
        <v>0</v>
      </c>
      <c r="BQ1288" s="12">
        <v>0</v>
      </c>
      <c r="BR1288" s="12">
        <v>0</v>
      </c>
      <c r="BS1288" s="12">
        <v>0</v>
      </c>
      <c r="BT1288" s="12">
        <v>0</v>
      </c>
      <c r="BU1288" s="47">
        <v>0</v>
      </c>
      <c r="BV1288" s="47"/>
      <c r="BW1288" s="47"/>
    </row>
    <row r="1289" spans="3:75" ht="19.5" customHeight="1">
      <c r="C1289" s="180">
        <v>62000041</v>
      </c>
      <c r="D1289" s="236" t="s">
        <v>2766</v>
      </c>
      <c r="E1289" s="236" t="s">
        <v>2767</v>
      </c>
      <c r="F1289" s="18">
        <v>1</v>
      </c>
      <c r="G1289" s="16">
        <v>60010100</v>
      </c>
      <c r="H1289" s="18">
        <v>0</v>
      </c>
      <c r="I1289" s="27">
        <v>0</v>
      </c>
      <c r="J1289" s="18">
        <v>1</v>
      </c>
      <c r="K1289" s="18">
        <v>0</v>
      </c>
      <c r="L1289" s="18">
        <v>0</v>
      </c>
      <c r="M1289" s="16">
        <v>0</v>
      </c>
      <c r="N1289" s="16">
        <v>0</v>
      </c>
      <c r="O1289" s="16">
        <v>2</v>
      </c>
      <c r="P1289" s="16">
        <v>1</v>
      </c>
      <c r="Q1289" s="16">
        <v>1</v>
      </c>
      <c r="R1289" s="16">
        <v>0</v>
      </c>
      <c r="S1289" s="12">
        <v>0</v>
      </c>
      <c r="T1289" s="16">
        <v>0</v>
      </c>
      <c r="U1289" s="16">
        <v>1</v>
      </c>
      <c r="V1289" s="16">
        <v>2</v>
      </c>
      <c r="W1289" s="16">
        <v>0</v>
      </c>
      <c r="X1289" s="16">
        <v>2.5</v>
      </c>
      <c r="Y1289" s="12">
        <v>0</v>
      </c>
      <c r="Z1289" s="16">
        <v>0</v>
      </c>
      <c r="AA1289" s="16">
        <v>0</v>
      </c>
      <c r="AB1289" s="16">
        <v>0</v>
      </c>
      <c r="AC1289" s="16">
        <v>0</v>
      </c>
      <c r="AD1289" s="16">
        <v>0</v>
      </c>
      <c r="AE1289" s="16">
        <v>0</v>
      </c>
      <c r="AF1289" s="16">
        <v>1</v>
      </c>
      <c r="AG1289" s="16">
        <v>1</v>
      </c>
      <c r="AH1289" s="16">
        <v>2</v>
      </c>
      <c r="AI1289" s="12">
        <v>1</v>
      </c>
      <c r="AJ1289" s="12">
        <v>0</v>
      </c>
      <c r="AK1289" s="12">
        <v>0</v>
      </c>
      <c r="AL1289" s="12">
        <v>0</v>
      </c>
      <c r="AM1289" s="16">
        <v>0</v>
      </c>
      <c r="AN1289" s="16">
        <v>0</v>
      </c>
      <c r="AO1289" s="16">
        <v>0</v>
      </c>
      <c r="AP1289" s="16">
        <v>0</v>
      </c>
      <c r="AQ1289" s="16">
        <v>5000</v>
      </c>
      <c r="AR1289" s="16">
        <v>0</v>
      </c>
      <c r="AS1289" s="16">
        <v>0</v>
      </c>
      <c r="AT1289" s="12">
        <v>0</v>
      </c>
      <c r="AU1289" s="16">
        <v>92000036</v>
      </c>
      <c r="AV1289" s="16"/>
      <c r="AW1289" s="19" t="s">
        <v>256</v>
      </c>
      <c r="AX1289" s="16" t="s">
        <v>534</v>
      </c>
      <c r="AY1289" s="18">
        <v>10000007</v>
      </c>
      <c r="AZ1289" s="18">
        <v>70403006</v>
      </c>
      <c r="BA1289" s="17" t="s">
        <v>200</v>
      </c>
      <c r="BB1289" s="16">
        <v>0</v>
      </c>
      <c r="BC1289" s="27">
        <v>0</v>
      </c>
      <c r="BD1289" s="27">
        <v>0</v>
      </c>
      <c r="BE1289" s="44" t="s">
        <v>2764</v>
      </c>
      <c r="BF1289" s="44" t="s">
        <v>2765</v>
      </c>
      <c r="BG1289" s="16">
        <v>0</v>
      </c>
      <c r="BH1289" s="16">
        <v>0</v>
      </c>
      <c r="BI1289" s="16">
        <v>0</v>
      </c>
      <c r="BJ1289" s="16">
        <v>0</v>
      </c>
      <c r="BK1289" s="16">
        <v>0</v>
      </c>
      <c r="BL1289" s="16">
        <v>0</v>
      </c>
      <c r="BM1289" s="15">
        <v>0</v>
      </c>
      <c r="BN1289" s="12">
        <v>0</v>
      </c>
      <c r="BO1289" s="12">
        <v>0</v>
      </c>
      <c r="BP1289" s="12">
        <v>0</v>
      </c>
      <c r="BQ1289" s="12">
        <v>0</v>
      </c>
      <c r="BR1289" s="12">
        <v>0</v>
      </c>
      <c r="BS1289" s="12">
        <v>0</v>
      </c>
      <c r="BT1289" s="12">
        <v>0</v>
      </c>
      <c r="BU1289" s="47">
        <v>0</v>
      </c>
      <c r="BV1289" s="47"/>
      <c r="BW1289" s="47"/>
    </row>
    <row r="1290" spans="3:75" ht="20.100000000000001" customHeight="1">
      <c r="C1290" s="180">
        <v>62000042</v>
      </c>
      <c r="D1290" s="17" t="s">
        <v>2768</v>
      </c>
      <c r="E1290" s="17" t="s">
        <v>2769</v>
      </c>
      <c r="F1290" s="16">
        <v>1</v>
      </c>
      <c r="G1290" s="16">
        <v>60011301</v>
      </c>
      <c r="H1290" s="18">
        <v>0</v>
      </c>
      <c r="I1290" s="27">
        <v>0</v>
      </c>
      <c r="J1290" s="18">
        <v>1</v>
      </c>
      <c r="K1290" s="18">
        <v>0</v>
      </c>
      <c r="L1290" s="18">
        <v>0</v>
      </c>
      <c r="M1290" s="16">
        <v>0</v>
      </c>
      <c r="N1290" s="16">
        <v>0</v>
      </c>
      <c r="O1290" s="16">
        <v>5</v>
      </c>
      <c r="P1290" s="16">
        <v>0</v>
      </c>
      <c r="Q1290" s="16">
        <v>0</v>
      </c>
      <c r="R1290" s="16">
        <v>0</v>
      </c>
      <c r="S1290" s="12">
        <v>0</v>
      </c>
      <c r="T1290" s="16">
        <v>0</v>
      </c>
      <c r="U1290" s="16">
        <v>1</v>
      </c>
      <c r="V1290" s="16">
        <v>2</v>
      </c>
      <c r="W1290" s="16">
        <v>0</v>
      </c>
      <c r="X1290" s="16">
        <v>0</v>
      </c>
      <c r="Y1290" s="12">
        <v>0</v>
      </c>
      <c r="Z1290" s="16">
        <v>0</v>
      </c>
      <c r="AA1290" s="16">
        <v>0</v>
      </c>
      <c r="AB1290" s="16">
        <v>0</v>
      </c>
      <c r="AC1290" s="16">
        <v>0</v>
      </c>
      <c r="AD1290" s="16">
        <v>0</v>
      </c>
      <c r="AE1290" s="16">
        <v>0</v>
      </c>
      <c r="AF1290" s="16">
        <v>9</v>
      </c>
      <c r="AG1290" s="16">
        <v>2</v>
      </c>
      <c r="AH1290" s="16" t="s">
        <v>213</v>
      </c>
      <c r="AI1290" s="12">
        <v>2</v>
      </c>
      <c r="AJ1290" s="12">
        <v>2</v>
      </c>
      <c r="AK1290" s="12">
        <v>0</v>
      </c>
      <c r="AL1290" s="12">
        <v>1.5</v>
      </c>
      <c r="AM1290" s="16">
        <v>0</v>
      </c>
      <c r="AN1290" s="16">
        <v>0</v>
      </c>
      <c r="AO1290" s="16">
        <v>0</v>
      </c>
      <c r="AP1290" s="16">
        <v>0</v>
      </c>
      <c r="AQ1290" s="16">
        <v>3000</v>
      </c>
      <c r="AR1290" s="16">
        <v>0.5</v>
      </c>
      <c r="AS1290" s="16">
        <v>0</v>
      </c>
      <c r="AT1290" s="12">
        <v>0</v>
      </c>
      <c r="AU1290" s="16" t="s">
        <v>198</v>
      </c>
      <c r="AV1290" s="16"/>
      <c r="AW1290" s="17" t="s">
        <v>199</v>
      </c>
      <c r="AX1290" s="16">
        <v>0</v>
      </c>
      <c r="AY1290" s="18">
        <v>0</v>
      </c>
      <c r="AZ1290" s="18">
        <v>0</v>
      </c>
      <c r="BA1290" s="17" t="s">
        <v>200</v>
      </c>
      <c r="BB1290" s="16" t="s">
        <v>2770</v>
      </c>
      <c r="BC1290" s="27">
        <v>0</v>
      </c>
      <c r="BD1290" s="27">
        <v>0</v>
      </c>
      <c r="BE1290" s="44" t="s">
        <v>2771</v>
      </c>
      <c r="BF1290" s="44" t="s">
        <v>2772</v>
      </c>
      <c r="BG1290" s="16"/>
      <c r="BH1290" s="16">
        <v>0</v>
      </c>
      <c r="BI1290" s="16"/>
      <c r="BJ1290" s="16"/>
      <c r="BK1290" s="16"/>
      <c r="BL1290" s="18"/>
      <c r="BM1290" s="16">
        <v>0</v>
      </c>
      <c r="BN1290" s="12">
        <v>0</v>
      </c>
      <c r="BO1290" s="12">
        <v>0</v>
      </c>
      <c r="BP1290" s="12">
        <v>0</v>
      </c>
      <c r="BQ1290" s="12">
        <v>0</v>
      </c>
      <c r="BR1290" s="12">
        <v>0</v>
      </c>
      <c r="BS1290" s="12">
        <v>0</v>
      </c>
      <c r="BT1290" s="12">
        <v>0</v>
      </c>
      <c r="BU1290" s="47">
        <v>0</v>
      </c>
      <c r="BV1290" s="47"/>
      <c r="BW1290" s="47"/>
    </row>
    <row r="1291" spans="3:75" ht="20.100000000000001" customHeight="1">
      <c r="C1291" s="12">
        <v>62000061</v>
      </c>
      <c r="D1291" s="13" t="s">
        <v>2773</v>
      </c>
      <c r="E1291" s="13" t="s">
        <v>1694</v>
      </c>
      <c r="F1291" s="12">
        <v>1</v>
      </c>
      <c r="G1291" s="12">
        <v>40001</v>
      </c>
      <c r="H1291" s="12">
        <v>0</v>
      </c>
      <c r="I1291" s="12">
        <v>0</v>
      </c>
      <c r="J1291" s="12">
        <v>1</v>
      </c>
      <c r="K1291" s="12">
        <v>0</v>
      </c>
      <c r="L1291" s="16">
        <v>0</v>
      </c>
      <c r="M1291" s="12">
        <v>0</v>
      </c>
      <c r="N1291" s="12">
        <v>0</v>
      </c>
      <c r="O1291" s="12">
        <v>1</v>
      </c>
      <c r="P1291" s="12">
        <v>0</v>
      </c>
      <c r="Q1291" s="12">
        <v>0</v>
      </c>
      <c r="R1291" s="12">
        <v>0</v>
      </c>
      <c r="S1291" s="12">
        <v>0</v>
      </c>
      <c r="T1291" s="12">
        <v>0</v>
      </c>
      <c r="U1291" s="12">
        <v>1</v>
      </c>
      <c r="V1291" s="12">
        <v>2</v>
      </c>
      <c r="W1291" s="12">
        <v>0</v>
      </c>
      <c r="X1291" s="12">
        <v>4</v>
      </c>
      <c r="Y1291" s="12">
        <v>0</v>
      </c>
      <c r="Z1291" s="12">
        <v>0</v>
      </c>
      <c r="AA1291" s="12">
        <v>0</v>
      </c>
      <c r="AB1291" s="12">
        <v>0</v>
      </c>
      <c r="AC1291" s="12">
        <v>0</v>
      </c>
      <c r="AD1291" s="12">
        <v>0</v>
      </c>
      <c r="AE1291" s="12">
        <v>0</v>
      </c>
      <c r="AF1291" s="12">
        <v>7</v>
      </c>
      <c r="AG1291" s="12">
        <v>0</v>
      </c>
      <c r="AH1291" s="12">
        <v>0</v>
      </c>
      <c r="AI1291" s="12">
        <v>7</v>
      </c>
      <c r="AJ1291" s="12">
        <v>0</v>
      </c>
      <c r="AK1291" s="12">
        <v>0</v>
      </c>
      <c r="AL1291" s="12">
        <v>6</v>
      </c>
      <c r="AM1291" s="12">
        <v>0</v>
      </c>
      <c r="AN1291" s="12">
        <v>0</v>
      </c>
      <c r="AO1291" s="12">
        <v>0</v>
      </c>
      <c r="AP1291" s="12">
        <v>0.5</v>
      </c>
      <c r="AQ1291" s="12">
        <v>1000</v>
      </c>
      <c r="AR1291" s="12">
        <v>0</v>
      </c>
      <c r="AS1291" s="12">
        <v>0</v>
      </c>
      <c r="AT1291" s="12">
        <v>0</v>
      </c>
      <c r="AU1291" s="12">
        <v>0</v>
      </c>
      <c r="AV1291" s="12"/>
      <c r="AW1291" s="13" t="s">
        <v>256</v>
      </c>
      <c r="AX1291" s="12" t="s">
        <v>1695</v>
      </c>
      <c r="AY1291" s="12" t="s">
        <v>198</v>
      </c>
      <c r="AZ1291" s="12" t="s">
        <v>2683</v>
      </c>
      <c r="BA1291" s="13" t="s">
        <v>200</v>
      </c>
      <c r="BB1291" s="12">
        <v>0</v>
      </c>
      <c r="BC1291" s="12">
        <v>0</v>
      </c>
      <c r="BD1291" s="12">
        <v>0</v>
      </c>
      <c r="BE1291" s="42" t="s">
        <v>2774</v>
      </c>
      <c r="BF1291" s="42" t="s">
        <v>2775</v>
      </c>
      <c r="BG1291" s="12">
        <v>0</v>
      </c>
      <c r="BH1291" s="12">
        <v>0</v>
      </c>
      <c r="BI1291" s="12">
        <v>0</v>
      </c>
      <c r="BJ1291" s="12">
        <v>0</v>
      </c>
      <c r="BK1291" s="12">
        <v>0</v>
      </c>
      <c r="BL1291" s="12">
        <v>0</v>
      </c>
      <c r="BM1291" s="185">
        <v>0</v>
      </c>
      <c r="BN1291" s="12">
        <v>0</v>
      </c>
      <c r="BO1291" s="12">
        <v>0</v>
      </c>
      <c r="BP1291" s="12">
        <v>0</v>
      </c>
      <c r="BQ1291" s="12">
        <v>0</v>
      </c>
      <c r="BR1291" s="12">
        <v>0</v>
      </c>
      <c r="BS1291" s="12">
        <v>0</v>
      </c>
      <c r="BT1291" s="12">
        <v>0</v>
      </c>
      <c r="BU1291" s="47">
        <v>0</v>
      </c>
      <c r="BV1291" s="47"/>
      <c r="BW1291" s="47"/>
    </row>
    <row r="1292" spans="3:75" ht="20.100000000000001" customHeight="1">
      <c r="C1292" s="12">
        <v>62000062</v>
      </c>
      <c r="D1292" s="237" t="s">
        <v>2776</v>
      </c>
      <c r="E1292" s="237" t="s">
        <v>2777</v>
      </c>
      <c r="F1292" s="238">
        <v>1</v>
      </c>
      <c r="G1292" s="12">
        <v>40003</v>
      </c>
      <c r="H1292" s="238">
        <v>0</v>
      </c>
      <c r="I1292" s="238">
        <v>0</v>
      </c>
      <c r="J1292" s="238">
        <v>1</v>
      </c>
      <c r="K1292" s="238">
        <v>0</v>
      </c>
      <c r="L1292" s="238">
        <v>0</v>
      </c>
      <c r="M1292" s="238">
        <v>0</v>
      </c>
      <c r="N1292" s="238">
        <v>0</v>
      </c>
      <c r="O1292" s="238">
        <v>2</v>
      </c>
      <c r="P1292" s="238">
        <v>7</v>
      </c>
      <c r="Q1292" s="238">
        <v>0.2</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3</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238">
        <v>92000038</v>
      </c>
      <c r="AU1292" s="238" t="s">
        <v>198</v>
      </c>
      <c r="AV1292" s="238"/>
      <c r="AW1292" s="237" t="s">
        <v>199</v>
      </c>
      <c r="AX1292" s="238" t="s">
        <v>1837</v>
      </c>
      <c r="AY1292" s="238">
        <v>0</v>
      </c>
      <c r="AZ1292" s="238">
        <v>40000003</v>
      </c>
      <c r="BA1292" s="237" t="s">
        <v>200</v>
      </c>
      <c r="BB1292" s="238" t="s">
        <v>198</v>
      </c>
      <c r="BC1292" s="238">
        <v>0</v>
      </c>
      <c r="BD1292" s="238">
        <v>0</v>
      </c>
      <c r="BE1292" s="239" t="s">
        <v>2778</v>
      </c>
      <c r="BF1292" s="239" t="s">
        <v>2779</v>
      </c>
      <c r="BG1292" s="238">
        <v>0</v>
      </c>
      <c r="BH1292" s="238">
        <v>0</v>
      </c>
      <c r="BI1292" s="238">
        <v>0</v>
      </c>
      <c r="BJ1292" s="238">
        <v>0</v>
      </c>
      <c r="BK1292" s="238">
        <v>0</v>
      </c>
      <c r="BL1292" s="238">
        <v>0</v>
      </c>
      <c r="BM1292" s="241">
        <v>0</v>
      </c>
      <c r="BN1292" s="238">
        <v>1</v>
      </c>
      <c r="BO1292" s="12">
        <v>0</v>
      </c>
      <c r="BP1292" s="12">
        <v>0</v>
      </c>
      <c r="BQ1292" s="12">
        <v>0</v>
      </c>
      <c r="BR1292" s="12">
        <v>0</v>
      </c>
      <c r="BS1292" s="12">
        <v>0</v>
      </c>
      <c r="BT1292" s="12">
        <v>0</v>
      </c>
      <c r="BU1292" s="47">
        <v>0</v>
      </c>
      <c r="BV1292" s="47"/>
      <c r="BW1292" s="47"/>
    </row>
    <row r="1293" spans="3:75" ht="20.100000000000001" customHeight="1">
      <c r="C1293" s="12">
        <v>62000063</v>
      </c>
      <c r="D1293" s="13" t="s">
        <v>2780</v>
      </c>
      <c r="E1293" s="13" t="s">
        <v>2781</v>
      </c>
      <c r="F1293" s="12">
        <v>1</v>
      </c>
      <c r="G1293" s="12">
        <v>40011</v>
      </c>
      <c r="H1293" s="12">
        <v>0</v>
      </c>
      <c r="I1293" s="12">
        <v>0</v>
      </c>
      <c r="J1293" s="12">
        <v>1</v>
      </c>
      <c r="K1293" s="12">
        <v>0</v>
      </c>
      <c r="L1293" s="16">
        <v>0</v>
      </c>
      <c r="M1293" s="12">
        <v>0</v>
      </c>
      <c r="N1293" s="12">
        <v>0</v>
      </c>
      <c r="O1293" s="12">
        <v>2</v>
      </c>
      <c r="P1293" s="12">
        <v>1</v>
      </c>
      <c r="Q1293" s="12">
        <v>0.1</v>
      </c>
      <c r="R1293" s="12">
        <v>0</v>
      </c>
      <c r="S1293" s="12">
        <v>0</v>
      </c>
      <c r="T1293" s="12">
        <v>0</v>
      </c>
      <c r="U1293" s="12">
        <v>1</v>
      </c>
      <c r="V1293" s="12">
        <v>2</v>
      </c>
      <c r="W1293" s="12">
        <v>0</v>
      </c>
      <c r="X1293" s="12">
        <v>0</v>
      </c>
      <c r="Y1293" s="12">
        <v>0</v>
      </c>
      <c r="Z1293" s="12">
        <v>0</v>
      </c>
      <c r="AA1293" s="12">
        <v>0</v>
      </c>
      <c r="AB1293" s="12">
        <v>0</v>
      </c>
      <c r="AC1293" s="12">
        <v>0</v>
      </c>
      <c r="AD1293" s="12">
        <v>1</v>
      </c>
      <c r="AE1293" s="12">
        <v>0</v>
      </c>
      <c r="AF1293" s="12">
        <v>1</v>
      </c>
      <c r="AG1293" s="12">
        <v>0</v>
      </c>
      <c r="AH1293" s="12">
        <v>0</v>
      </c>
      <c r="AI1293" s="12">
        <v>7</v>
      </c>
      <c r="AJ1293" s="12">
        <v>0</v>
      </c>
      <c r="AK1293" s="12">
        <v>0</v>
      </c>
      <c r="AL1293" s="12">
        <v>0</v>
      </c>
      <c r="AM1293" s="12">
        <v>0</v>
      </c>
      <c r="AN1293" s="12">
        <v>0</v>
      </c>
      <c r="AO1293" s="12">
        <v>0</v>
      </c>
      <c r="AP1293" s="12">
        <v>0</v>
      </c>
      <c r="AQ1293" s="12">
        <v>1000</v>
      </c>
      <c r="AR1293" s="12">
        <v>0</v>
      </c>
      <c r="AS1293" s="12">
        <v>0</v>
      </c>
      <c r="AT1293" s="12">
        <v>0</v>
      </c>
      <c r="AU1293" s="12">
        <v>95100001</v>
      </c>
      <c r="AV1293" s="12"/>
      <c r="AW1293" s="13" t="s">
        <v>199</v>
      </c>
      <c r="AX1293" s="12" t="s">
        <v>1837</v>
      </c>
      <c r="AY1293" s="12">
        <v>0</v>
      </c>
      <c r="AZ1293" s="12">
        <v>0</v>
      </c>
      <c r="BA1293" s="13" t="s">
        <v>200</v>
      </c>
      <c r="BB1293" s="13" t="s">
        <v>198</v>
      </c>
      <c r="BC1293" s="12">
        <v>0</v>
      </c>
      <c r="BD1293" s="12">
        <v>0</v>
      </c>
      <c r="BE1293" s="42" t="s">
        <v>2782</v>
      </c>
      <c r="BF1293" s="42" t="s">
        <v>2783</v>
      </c>
      <c r="BG1293" s="12">
        <v>0</v>
      </c>
      <c r="BH1293" s="12">
        <v>0</v>
      </c>
      <c r="BI1293" s="12">
        <v>0</v>
      </c>
      <c r="BJ1293" s="12">
        <v>0</v>
      </c>
      <c r="BK1293" s="12">
        <v>0</v>
      </c>
      <c r="BL1293" s="12">
        <v>0</v>
      </c>
      <c r="BM1293" s="185">
        <v>0</v>
      </c>
      <c r="BN1293" s="12">
        <v>1</v>
      </c>
      <c r="BO1293" s="12">
        <v>0</v>
      </c>
      <c r="BP1293" s="12">
        <v>0</v>
      </c>
      <c r="BQ1293" s="12">
        <v>0</v>
      </c>
      <c r="BR1293" s="12">
        <v>0</v>
      </c>
      <c r="BS1293" s="12">
        <v>0</v>
      </c>
      <c r="BT1293" s="12">
        <v>0</v>
      </c>
      <c r="BU1293" s="47">
        <v>0</v>
      </c>
      <c r="BV1293" s="47"/>
      <c r="BW1293" s="47"/>
    </row>
    <row r="1294" spans="3:75" ht="20.25" customHeight="1">
      <c r="C1294" s="12">
        <v>62000064</v>
      </c>
      <c r="D1294" s="63" t="s">
        <v>2784</v>
      </c>
      <c r="E1294" s="63" t="s">
        <v>2785</v>
      </c>
      <c r="F1294" s="64">
        <v>1</v>
      </c>
      <c r="G1294" s="64">
        <v>40062</v>
      </c>
      <c r="H1294" s="64">
        <v>0</v>
      </c>
      <c r="I1294" s="66">
        <v>0</v>
      </c>
      <c r="J1294" s="64">
        <v>1</v>
      </c>
      <c r="K1294" s="64">
        <v>0</v>
      </c>
      <c r="L1294" s="60">
        <v>0</v>
      </c>
      <c r="M1294" s="64">
        <v>0</v>
      </c>
      <c r="N1294" s="64">
        <v>0</v>
      </c>
      <c r="O1294" s="64">
        <v>2</v>
      </c>
      <c r="P1294" s="64">
        <v>3</v>
      </c>
      <c r="Q1294" s="64">
        <v>0.15</v>
      </c>
      <c r="R1294" s="64">
        <v>0</v>
      </c>
      <c r="S1294" s="68">
        <v>0</v>
      </c>
      <c r="T1294" s="66">
        <v>0</v>
      </c>
      <c r="U1294" s="60">
        <v>1</v>
      </c>
      <c r="V1294" s="64">
        <v>2</v>
      </c>
      <c r="W1294" s="64">
        <v>0</v>
      </c>
      <c r="X1294" s="64">
        <v>3.5</v>
      </c>
      <c r="Y1294" s="12">
        <v>0</v>
      </c>
      <c r="Z1294" s="64">
        <v>2000</v>
      </c>
      <c r="AA1294" s="64">
        <v>0</v>
      </c>
      <c r="AB1294" s="64">
        <v>0</v>
      </c>
      <c r="AC1294" s="64">
        <v>0</v>
      </c>
      <c r="AD1294" s="64">
        <v>1</v>
      </c>
      <c r="AE1294" s="64">
        <v>0</v>
      </c>
      <c r="AF1294" s="64">
        <v>5</v>
      </c>
      <c r="AG1294" s="64">
        <v>1</v>
      </c>
      <c r="AH1294" s="64">
        <v>3.5</v>
      </c>
      <c r="AI1294" s="68">
        <v>0</v>
      </c>
      <c r="AJ1294" s="68">
        <v>0</v>
      </c>
      <c r="AK1294" s="12">
        <v>0</v>
      </c>
      <c r="AL1294" s="68">
        <v>4</v>
      </c>
      <c r="AM1294" s="64">
        <v>0</v>
      </c>
      <c r="AN1294" s="64">
        <v>0</v>
      </c>
      <c r="AO1294" s="64">
        <v>0</v>
      </c>
      <c r="AP1294" s="64">
        <v>0</v>
      </c>
      <c r="AQ1294" s="64">
        <v>3000</v>
      </c>
      <c r="AR1294" s="64">
        <v>0</v>
      </c>
      <c r="AS1294" s="64">
        <v>0</v>
      </c>
      <c r="AT1294" s="68">
        <v>0</v>
      </c>
      <c r="AU1294" s="64">
        <v>92005001</v>
      </c>
      <c r="AV1294" s="64"/>
      <c r="AW1294" s="59" t="s">
        <v>199</v>
      </c>
      <c r="AX1294" s="64" t="s">
        <v>534</v>
      </c>
      <c r="AY1294" s="64">
        <v>10000009</v>
      </c>
      <c r="AZ1294" s="64">
        <v>21100050</v>
      </c>
      <c r="BA1294" s="63" t="s">
        <v>200</v>
      </c>
      <c r="BB1294" s="63">
        <v>0</v>
      </c>
      <c r="BC1294" s="66">
        <v>0</v>
      </c>
      <c r="BD1294" s="66">
        <v>0</v>
      </c>
      <c r="BE1294" s="121" t="str">
        <f>"受到伤害有一定概率立即对自身范围内的怪物造成"&amp;X1294*100&amp;"%攻击伤害+"&amp;Z1294&amp;",并击退周围附近敌方目标"</f>
        <v>受到伤害有一定概率立即对自身范围内的怪物造成350%攻击伤害+2000,并击退周围附近敌方目标</v>
      </c>
      <c r="BF1294" s="121" t="s">
        <v>2786</v>
      </c>
      <c r="BG1294" s="64">
        <v>0</v>
      </c>
      <c r="BH1294" s="60">
        <v>0</v>
      </c>
      <c r="BI1294" s="64">
        <v>0</v>
      </c>
      <c r="BJ1294" s="64">
        <v>0</v>
      </c>
      <c r="BK1294" s="64">
        <v>0</v>
      </c>
      <c r="BL1294" s="64">
        <v>0</v>
      </c>
      <c r="BM1294" s="93">
        <v>0</v>
      </c>
      <c r="BN1294" s="12">
        <v>1</v>
      </c>
      <c r="BO1294" s="12">
        <v>0</v>
      </c>
      <c r="BP1294" s="12">
        <v>0</v>
      </c>
      <c r="BQ1294" s="12">
        <v>0</v>
      </c>
      <c r="BR1294" s="12">
        <v>0</v>
      </c>
      <c r="BS1294" s="12">
        <v>0</v>
      </c>
      <c r="BT1294" s="12">
        <v>0</v>
      </c>
      <c r="BU1294" s="47">
        <v>0</v>
      </c>
      <c r="BV1294" s="47"/>
      <c r="BW1294" s="47"/>
    </row>
    <row r="1295" spans="3:75" ht="20.25" customHeight="1">
      <c r="C1295" s="12">
        <v>62000065</v>
      </c>
      <c r="D1295" s="63" t="s">
        <v>2787</v>
      </c>
      <c r="E1295" s="63" t="s">
        <v>2788</v>
      </c>
      <c r="F1295" s="64">
        <v>1</v>
      </c>
      <c r="G1295" s="64">
        <v>40012</v>
      </c>
      <c r="H1295" s="64">
        <v>0</v>
      </c>
      <c r="I1295" s="66">
        <v>0</v>
      </c>
      <c r="J1295" s="64">
        <v>1</v>
      </c>
      <c r="K1295" s="64">
        <v>0</v>
      </c>
      <c r="L1295" s="60">
        <v>0</v>
      </c>
      <c r="M1295" s="64">
        <v>0</v>
      </c>
      <c r="N1295" s="64">
        <v>0</v>
      </c>
      <c r="O1295" s="64">
        <v>2</v>
      </c>
      <c r="P1295" s="64">
        <v>3</v>
      </c>
      <c r="Q1295" s="64">
        <v>0.15</v>
      </c>
      <c r="R1295" s="64">
        <v>0</v>
      </c>
      <c r="S1295" s="68">
        <v>0</v>
      </c>
      <c r="T1295" s="66">
        <v>0</v>
      </c>
      <c r="U1295" s="60">
        <v>1</v>
      </c>
      <c r="V1295" s="64">
        <v>2</v>
      </c>
      <c r="W1295" s="64">
        <v>0</v>
      </c>
      <c r="X1295" s="64">
        <v>3.5</v>
      </c>
      <c r="Y1295" s="12">
        <v>0</v>
      </c>
      <c r="Z1295" s="64">
        <v>2000</v>
      </c>
      <c r="AA1295" s="64">
        <v>0</v>
      </c>
      <c r="AB1295" s="64">
        <v>0</v>
      </c>
      <c r="AC1295" s="64">
        <v>0</v>
      </c>
      <c r="AD1295" s="64">
        <v>1</v>
      </c>
      <c r="AE1295" s="64">
        <v>0</v>
      </c>
      <c r="AF1295" s="64">
        <v>18</v>
      </c>
      <c r="AG1295" s="64">
        <v>1</v>
      </c>
      <c r="AH1295" s="64">
        <v>3.5</v>
      </c>
      <c r="AI1295" s="68">
        <v>0</v>
      </c>
      <c r="AJ1295" s="68">
        <v>0</v>
      </c>
      <c r="AK1295" s="12">
        <v>0</v>
      </c>
      <c r="AL1295" s="68">
        <v>4</v>
      </c>
      <c r="AM1295" s="64">
        <v>0</v>
      </c>
      <c r="AN1295" s="64">
        <v>0</v>
      </c>
      <c r="AO1295" s="64">
        <v>0</v>
      </c>
      <c r="AP1295" s="64">
        <v>0</v>
      </c>
      <c r="AQ1295" s="64">
        <v>3000</v>
      </c>
      <c r="AR1295" s="64">
        <v>0</v>
      </c>
      <c r="AS1295" s="64">
        <v>0</v>
      </c>
      <c r="AT1295" s="68">
        <v>92000039</v>
      </c>
      <c r="AU1295" s="64">
        <v>92000040</v>
      </c>
      <c r="AV1295" s="64"/>
      <c r="AW1295" s="59" t="s">
        <v>199</v>
      </c>
      <c r="AX1295" s="64" t="s">
        <v>534</v>
      </c>
      <c r="AY1295" s="64">
        <v>10000009</v>
      </c>
      <c r="AZ1295" s="64">
        <v>21100050</v>
      </c>
      <c r="BA1295" s="63" t="s">
        <v>200</v>
      </c>
      <c r="BB1295" s="63">
        <v>0</v>
      </c>
      <c r="BC1295" s="66">
        <v>0</v>
      </c>
      <c r="BD1295" s="66">
        <v>0</v>
      </c>
      <c r="BE1295" s="121" t="str">
        <f>"立即恢复自身10%血量,受到伤害有一定概率立即对自身范围内的怪物造成"&amp;X1295*100&amp;"%攻击伤害+"&amp;Z1295&amp;",并对造成2秒眩晕"</f>
        <v>立即恢复自身10%血量,受到伤害有一定概率立即对自身范围内的怪物造成350%攻击伤害+2000,并对造成2秒眩晕</v>
      </c>
      <c r="BF1295" s="121" t="s">
        <v>2789</v>
      </c>
      <c r="BG1295" s="64">
        <v>0</v>
      </c>
      <c r="BH1295" s="60">
        <v>0</v>
      </c>
      <c r="BI1295" s="64">
        <v>0</v>
      </c>
      <c r="BJ1295" s="64">
        <v>0</v>
      </c>
      <c r="BK1295" s="64">
        <v>0</v>
      </c>
      <c r="BL1295" s="64">
        <v>0</v>
      </c>
      <c r="BM1295" s="93">
        <v>0</v>
      </c>
      <c r="BN1295" s="12">
        <v>1</v>
      </c>
      <c r="BO1295" s="12">
        <v>0</v>
      </c>
      <c r="BP1295" s="12">
        <v>0</v>
      </c>
      <c r="BQ1295" s="12">
        <v>0</v>
      </c>
      <c r="BR1295" s="12">
        <v>0</v>
      </c>
      <c r="BS1295" s="12">
        <v>0</v>
      </c>
      <c r="BT1295" s="12">
        <v>0</v>
      </c>
      <c r="BU1295" s="47">
        <v>0</v>
      </c>
      <c r="BV1295" s="47"/>
      <c r="BW1295" s="47"/>
    </row>
    <row r="1296" spans="3:75" ht="20.100000000000001" customHeight="1">
      <c r="C1296" s="238">
        <v>62000066</v>
      </c>
      <c r="D1296" s="237" t="s">
        <v>2790</v>
      </c>
      <c r="E1296" s="237" t="s">
        <v>2791</v>
      </c>
      <c r="F1296" s="238">
        <v>1</v>
      </c>
      <c r="G1296" s="238">
        <v>40021</v>
      </c>
      <c r="H1296" s="238">
        <v>0</v>
      </c>
      <c r="I1296" s="238">
        <v>0</v>
      </c>
      <c r="J1296" s="238">
        <v>1</v>
      </c>
      <c r="K1296" s="238">
        <v>0</v>
      </c>
      <c r="L1296" s="238">
        <v>0</v>
      </c>
      <c r="M1296" s="238">
        <v>0</v>
      </c>
      <c r="N1296" s="238">
        <v>0</v>
      </c>
      <c r="O1296" s="238">
        <v>2</v>
      </c>
      <c r="P1296" s="238">
        <v>1</v>
      </c>
      <c r="Q1296" s="238">
        <v>1</v>
      </c>
      <c r="R1296" s="238">
        <v>0</v>
      </c>
      <c r="S1296" s="238">
        <v>0</v>
      </c>
      <c r="T1296" s="238">
        <v>0</v>
      </c>
      <c r="U1296" s="238">
        <v>1</v>
      </c>
      <c r="V1296" s="238">
        <v>2</v>
      </c>
      <c r="W1296" s="238">
        <v>0</v>
      </c>
      <c r="X1296" s="238">
        <v>0</v>
      </c>
      <c r="Y1296" s="12">
        <v>0</v>
      </c>
      <c r="Z1296" s="238">
        <v>0</v>
      </c>
      <c r="AA1296" s="238">
        <v>0</v>
      </c>
      <c r="AB1296" s="238">
        <v>0</v>
      </c>
      <c r="AC1296" s="238">
        <v>0</v>
      </c>
      <c r="AD1296" s="238">
        <v>1</v>
      </c>
      <c r="AE1296" s="238">
        <v>0</v>
      </c>
      <c r="AF1296" s="238">
        <v>1</v>
      </c>
      <c r="AG1296" s="238">
        <v>0</v>
      </c>
      <c r="AH1296" s="238">
        <v>0</v>
      </c>
      <c r="AI1296" s="238">
        <v>2</v>
      </c>
      <c r="AJ1296" s="238">
        <v>0</v>
      </c>
      <c r="AK1296" s="238">
        <v>0</v>
      </c>
      <c r="AL1296" s="238">
        <v>0</v>
      </c>
      <c r="AM1296" s="238">
        <v>0</v>
      </c>
      <c r="AN1296" s="238">
        <v>0</v>
      </c>
      <c r="AO1296" s="238">
        <v>0</v>
      </c>
      <c r="AP1296" s="238">
        <v>0</v>
      </c>
      <c r="AQ1296" s="238">
        <v>1000</v>
      </c>
      <c r="AR1296" s="238">
        <v>0</v>
      </c>
      <c r="AS1296" s="238">
        <v>0</v>
      </c>
      <c r="AT1296" s="360" t="s">
        <v>2792</v>
      </c>
      <c r="AU1296" s="238" t="s">
        <v>198</v>
      </c>
      <c r="AV1296" s="238"/>
      <c r="AW1296" s="237" t="s">
        <v>199</v>
      </c>
      <c r="AX1296" s="238" t="s">
        <v>1837</v>
      </c>
      <c r="AY1296" s="238">
        <v>0</v>
      </c>
      <c r="AZ1296" s="238">
        <v>40000003</v>
      </c>
      <c r="BA1296" s="237" t="s">
        <v>200</v>
      </c>
      <c r="BB1296" s="238" t="s">
        <v>198</v>
      </c>
      <c r="BC1296" s="238">
        <v>0</v>
      </c>
      <c r="BD1296" s="238">
        <v>0</v>
      </c>
      <c r="BE1296" s="239" t="s">
        <v>2793</v>
      </c>
      <c r="BF1296" s="239" t="s">
        <v>2794</v>
      </c>
      <c r="BG1296" s="238">
        <v>0</v>
      </c>
      <c r="BH1296" s="238">
        <v>0</v>
      </c>
      <c r="BI1296" s="238">
        <v>0</v>
      </c>
      <c r="BJ1296" s="238">
        <v>0</v>
      </c>
      <c r="BK1296" s="238">
        <v>0</v>
      </c>
      <c r="BL1296" s="238">
        <v>0</v>
      </c>
      <c r="BM1296" s="241">
        <v>0</v>
      </c>
      <c r="BN1296" s="238">
        <v>1</v>
      </c>
      <c r="BO1296" s="12">
        <v>0</v>
      </c>
      <c r="BP1296" s="12">
        <v>0</v>
      </c>
      <c r="BQ1296" s="12">
        <v>0</v>
      </c>
      <c r="BR1296" s="12">
        <v>0</v>
      </c>
      <c r="BS1296" s="12">
        <v>0</v>
      </c>
      <c r="BT1296" s="12">
        <v>0</v>
      </c>
      <c r="BU1296" s="47">
        <v>0</v>
      </c>
      <c r="BV1296" s="47"/>
      <c r="BW1296" s="47"/>
    </row>
    <row r="1297" spans="1:75" s="4" customFormat="1" ht="20.100000000000001" customHeight="1">
      <c r="A1297" s="229"/>
      <c r="B1297" s="229"/>
      <c r="C1297" s="12">
        <v>62000067</v>
      </c>
      <c r="D1297" s="49" t="s">
        <v>2359</v>
      </c>
      <c r="E1297" s="49" t="s">
        <v>2360</v>
      </c>
      <c r="F1297" s="214">
        <v>1</v>
      </c>
      <c r="G1297" s="48">
        <v>40042</v>
      </c>
      <c r="H1297" s="48">
        <v>0</v>
      </c>
      <c r="I1297" s="48">
        <v>0</v>
      </c>
      <c r="J1297" s="16">
        <v>1</v>
      </c>
      <c r="K1297" s="48">
        <v>0</v>
      </c>
      <c r="L1297" s="48">
        <v>0</v>
      </c>
      <c r="M1297" s="48">
        <v>0</v>
      </c>
      <c r="N1297" s="48">
        <v>0</v>
      </c>
      <c r="O1297" s="48">
        <v>1</v>
      </c>
      <c r="P1297" s="48">
        <v>0</v>
      </c>
      <c r="Q1297" s="48">
        <v>0</v>
      </c>
      <c r="R1297" s="48">
        <v>0</v>
      </c>
      <c r="S1297" s="48">
        <v>0</v>
      </c>
      <c r="T1297" s="48">
        <v>0</v>
      </c>
      <c r="U1297" s="48">
        <v>1</v>
      </c>
      <c r="V1297" s="48">
        <v>1</v>
      </c>
      <c r="W1297" s="48">
        <v>0</v>
      </c>
      <c r="X1297" s="48">
        <v>3.5</v>
      </c>
      <c r="Y1297" s="12">
        <v>0</v>
      </c>
      <c r="Z1297" s="48">
        <v>0</v>
      </c>
      <c r="AA1297" s="48">
        <v>0</v>
      </c>
      <c r="AB1297" s="48">
        <v>0</v>
      </c>
      <c r="AC1297" s="48">
        <v>0</v>
      </c>
      <c r="AD1297" s="48">
        <v>0</v>
      </c>
      <c r="AE1297" s="48">
        <v>0</v>
      </c>
      <c r="AF1297" s="48">
        <v>12</v>
      </c>
      <c r="AG1297" s="48">
        <v>1</v>
      </c>
      <c r="AH1297" s="48">
        <v>3</v>
      </c>
      <c r="AI1297" s="48">
        <v>3</v>
      </c>
      <c r="AJ1297" s="48">
        <v>0</v>
      </c>
      <c r="AK1297" s="48">
        <v>0</v>
      </c>
      <c r="AL1297" s="48">
        <v>1.5</v>
      </c>
      <c r="AM1297" s="48">
        <v>0</v>
      </c>
      <c r="AN1297" s="48">
        <v>0</v>
      </c>
      <c r="AO1297" s="48">
        <v>0</v>
      </c>
      <c r="AP1297" s="48">
        <v>0.2</v>
      </c>
      <c r="AQ1297" s="48">
        <v>2000</v>
      </c>
      <c r="AR1297" s="48">
        <v>0.4</v>
      </c>
      <c r="AS1297" s="48">
        <v>0</v>
      </c>
      <c r="AT1297" s="48">
        <v>0</v>
      </c>
      <c r="AU1297" s="361" t="s">
        <v>2795</v>
      </c>
      <c r="AV1297" s="242"/>
      <c r="AW1297" s="19" t="s">
        <v>198</v>
      </c>
      <c r="AX1297" s="48" t="s">
        <v>545</v>
      </c>
      <c r="AY1297" s="48">
        <v>10000001</v>
      </c>
      <c r="AZ1297" s="48">
        <v>77005302</v>
      </c>
      <c r="BA1297" s="49" t="s">
        <v>200</v>
      </c>
      <c r="BB1297" s="48" t="s">
        <v>2796</v>
      </c>
      <c r="BC1297" s="48">
        <v>0</v>
      </c>
      <c r="BD1297" s="48">
        <v>0</v>
      </c>
      <c r="BE1297" s="53" t="s">
        <v>2797</v>
      </c>
      <c r="BF1297" s="53" t="s">
        <v>2798</v>
      </c>
      <c r="BG1297" s="48">
        <v>0</v>
      </c>
      <c r="BH1297" s="48">
        <v>0</v>
      </c>
      <c r="BI1297" s="48">
        <v>0</v>
      </c>
      <c r="BJ1297" s="48">
        <v>0</v>
      </c>
      <c r="BK1297" s="48">
        <v>0</v>
      </c>
      <c r="BL1297" s="48">
        <v>0</v>
      </c>
      <c r="BM1297" s="233">
        <v>0</v>
      </c>
      <c r="BN1297" s="48">
        <v>0</v>
      </c>
      <c r="BO1297" s="48">
        <v>0</v>
      </c>
      <c r="BP1297" s="48">
        <v>0</v>
      </c>
      <c r="BQ1297" s="48">
        <v>0</v>
      </c>
      <c r="BR1297" s="48">
        <v>0</v>
      </c>
      <c r="BS1297" s="48">
        <v>1</v>
      </c>
      <c r="BT1297" s="48">
        <v>0</v>
      </c>
      <c r="BU1297" s="48">
        <v>0</v>
      </c>
      <c r="BV1297" s="47"/>
      <c r="BW1297" s="47"/>
    </row>
    <row r="1298" spans="1:75" ht="20.100000000000001" customHeight="1">
      <c r="C1298" s="12">
        <v>62000068</v>
      </c>
      <c r="D1298" s="17" t="s">
        <v>2757</v>
      </c>
      <c r="E1298" s="17" t="s">
        <v>2758</v>
      </c>
      <c r="F1298" s="16">
        <v>1</v>
      </c>
      <c r="G1298" s="16">
        <v>40033</v>
      </c>
      <c r="H1298" s="18">
        <v>0</v>
      </c>
      <c r="I1298" s="27">
        <v>0</v>
      </c>
      <c r="J1298" s="18">
        <v>1</v>
      </c>
      <c r="K1298" s="18">
        <v>0</v>
      </c>
      <c r="L1298" s="18">
        <v>0</v>
      </c>
      <c r="M1298" s="16">
        <v>0</v>
      </c>
      <c r="N1298" s="16">
        <v>0</v>
      </c>
      <c r="O1298" s="16">
        <v>5</v>
      </c>
      <c r="P1298" s="16">
        <v>0</v>
      </c>
      <c r="Q1298" s="16">
        <v>0</v>
      </c>
      <c r="R1298" s="16">
        <v>0</v>
      </c>
      <c r="S1298" s="12">
        <v>0</v>
      </c>
      <c r="T1298" s="16">
        <v>0</v>
      </c>
      <c r="U1298" s="16">
        <v>1</v>
      </c>
      <c r="V1298" s="16">
        <v>2</v>
      </c>
      <c r="W1298" s="16">
        <v>0</v>
      </c>
      <c r="X1298" s="16">
        <v>0</v>
      </c>
      <c r="Y1298" s="12">
        <v>0</v>
      </c>
      <c r="Z1298" s="16">
        <v>0</v>
      </c>
      <c r="AA1298" s="16">
        <v>0</v>
      </c>
      <c r="AB1298" s="16">
        <v>0</v>
      </c>
      <c r="AC1298" s="16">
        <v>0</v>
      </c>
      <c r="AD1298" s="16">
        <v>0</v>
      </c>
      <c r="AE1298" s="16">
        <v>0</v>
      </c>
      <c r="AF1298" s="16">
        <v>9</v>
      </c>
      <c r="AG1298" s="16">
        <v>2</v>
      </c>
      <c r="AH1298" s="16" t="s">
        <v>213</v>
      </c>
      <c r="AI1298" s="12">
        <v>2</v>
      </c>
      <c r="AJ1298" s="12">
        <v>2</v>
      </c>
      <c r="AK1298" s="12">
        <v>0</v>
      </c>
      <c r="AL1298" s="12">
        <v>1.5</v>
      </c>
      <c r="AM1298" s="16">
        <v>0</v>
      </c>
      <c r="AN1298" s="16">
        <v>0</v>
      </c>
      <c r="AO1298" s="16">
        <v>0</v>
      </c>
      <c r="AP1298" s="16">
        <v>1</v>
      </c>
      <c r="AQ1298" s="16">
        <v>3000</v>
      </c>
      <c r="AR1298" s="16">
        <v>0.5</v>
      </c>
      <c r="AS1298" s="16">
        <v>0</v>
      </c>
      <c r="AT1298" s="12">
        <v>0</v>
      </c>
      <c r="AU1298" s="16" t="s">
        <v>198</v>
      </c>
      <c r="AV1298" s="16"/>
      <c r="AW1298" s="17" t="s">
        <v>199</v>
      </c>
      <c r="AX1298" s="16">
        <v>0</v>
      </c>
      <c r="AY1298" s="18">
        <v>0</v>
      </c>
      <c r="AZ1298" s="18">
        <v>0</v>
      </c>
      <c r="BA1298" s="17" t="s">
        <v>200</v>
      </c>
      <c r="BB1298" s="16" t="s">
        <v>2759</v>
      </c>
      <c r="BC1298" s="27">
        <v>0</v>
      </c>
      <c r="BD1298" s="27">
        <v>1</v>
      </c>
      <c r="BE1298" s="44" t="s">
        <v>2760</v>
      </c>
      <c r="BF1298" s="44" t="s">
        <v>2761</v>
      </c>
      <c r="BG1298" s="16"/>
      <c r="BH1298" s="16">
        <v>0</v>
      </c>
      <c r="BI1298" s="16"/>
      <c r="BJ1298" s="16"/>
      <c r="BK1298" s="16"/>
      <c r="BL1298" s="18"/>
      <c r="BM1298" s="16">
        <v>0</v>
      </c>
      <c r="BN1298" s="12">
        <v>0</v>
      </c>
      <c r="BO1298" s="12">
        <v>0</v>
      </c>
      <c r="BP1298" s="12">
        <v>0</v>
      </c>
      <c r="BQ1298" s="12">
        <v>0</v>
      </c>
      <c r="BR1298" s="12">
        <v>0</v>
      </c>
      <c r="BS1298" s="12">
        <v>0</v>
      </c>
      <c r="BT1298" s="12">
        <v>0</v>
      </c>
      <c r="BU1298" s="47">
        <v>0</v>
      </c>
      <c r="BV1298" s="47"/>
      <c r="BW1298" s="47"/>
    </row>
    <row r="1299" spans="1:75" ht="20.100000000000001" customHeight="1">
      <c r="C1299" s="12">
        <v>62000069</v>
      </c>
      <c r="D1299" s="13" t="s">
        <v>2744</v>
      </c>
      <c r="E1299" s="13" t="s">
        <v>2745</v>
      </c>
      <c r="F1299" s="12">
        <v>1</v>
      </c>
      <c r="G1299" s="12">
        <v>40051</v>
      </c>
      <c r="H1299" s="12">
        <v>0</v>
      </c>
      <c r="I1299" s="12">
        <v>0</v>
      </c>
      <c r="J1299" s="12">
        <v>1</v>
      </c>
      <c r="K1299" s="12">
        <v>0</v>
      </c>
      <c r="L1299" s="16">
        <v>0</v>
      </c>
      <c r="M1299" s="12">
        <v>0</v>
      </c>
      <c r="N1299" s="12">
        <v>0</v>
      </c>
      <c r="O1299" s="12">
        <v>2</v>
      </c>
      <c r="P1299" s="12">
        <v>19</v>
      </c>
      <c r="Q1299" s="12">
        <v>1</v>
      </c>
      <c r="R1299" s="12">
        <v>0</v>
      </c>
      <c r="S1299" s="12">
        <v>0</v>
      </c>
      <c r="T1299" s="12">
        <v>0</v>
      </c>
      <c r="U1299" s="12">
        <v>1</v>
      </c>
      <c r="V1299" s="12">
        <v>2</v>
      </c>
      <c r="W1299" s="12">
        <v>0</v>
      </c>
      <c r="X1299" s="12">
        <v>0</v>
      </c>
      <c r="Y1299" s="12">
        <v>0</v>
      </c>
      <c r="Z1299" s="12">
        <v>0</v>
      </c>
      <c r="AA1299" s="12">
        <v>0</v>
      </c>
      <c r="AB1299" s="12">
        <v>0</v>
      </c>
      <c r="AC1299" s="12">
        <v>0</v>
      </c>
      <c r="AD1299" s="12">
        <v>1</v>
      </c>
      <c r="AE1299" s="12">
        <v>0</v>
      </c>
      <c r="AF1299" s="12">
        <v>1</v>
      </c>
      <c r="AG1299" s="12">
        <v>0</v>
      </c>
      <c r="AH1299" s="12">
        <v>0</v>
      </c>
      <c r="AI1299" s="12">
        <v>2</v>
      </c>
      <c r="AJ1299" s="12">
        <v>0</v>
      </c>
      <c r="AK1299" s="12">
        <v>0</v>
      </c>
      <c r="AL1299" s="12">
        <v>0</v>
      </c>
      <c r="AM1299" s="12">
        <v>0</v>
      </c>
      <c r="AN1299" s="12">
        <v>0</v>
      </c>
      <c r="AO1299" s="12">
        <v>0</v>
      </c>
      <c r="AP1299" s="12">
        <v>0</v>
      </c>
      <c r="AQ1299" s="12">
        <v>1000</v>
      </c>
      <c r="AR1299" s="12">
        <v>0</v>
      </c>
      <c r="AS1299" s="12">
        <v>0</v>
      </c>
      <c r="AT1299" s="12">
        <v>92000043</v>
      </c>
      <c r="AU1299" s="12" t="s">
        <v>198</v>
      </c>
      <c r="AV1299" s="12"/>
      <c r="AW1299" s="13" t="s">
        <v>199</v>
      </c>
      <c r="AX1299" s="12" t="s">
        <v>1837</v>
      </c>
      <c r="AY1299" s="12">
        <v>0</v>
      </c>
      <c r="AZ1299" s="12">
        <v>40000003</v>
      </c>
      <c r="BA1299" s="13" t="s">
        <v>200</v>
      </c>
      <c r="BB1299" s="13" t="s">
        <v>198</v>
      </c>
      <c r="BC1299" s="12">
        <v>0</v>
      </c>
      <c r="BD1299" s="12">
        <v>0</v>
      </c>
      <c r="BE1299" s="42" t="s">
        <v>2746</v>
      </c>
      <c r="BF1299" s="42" t="s">
        <v>2747</v>
      </c>
      <c r="BG1299" s="12">
        <v>0</v>
      </c>
      <c r="BH1299" s="12">
        <v>0</v>
      </c>
      <c r="BI1299" s="12">
        <v>0</v>
      </c>
      <c r="BJ1299" s="12">
        <v>0</v>
      </c>
      <c r="BK1299" s="12">
        <v>0</v>
      </c>
      <c r="BL1299" s="12">
        <v>0</v>
      </c>
      <c r="BM1299" s="185">
        <v>0</v>
      </c>
      <c r="BN1299" s="12">
        <v>1</v>
      </c>
      <c r="BO1299" s="12">
        <v>0</v>
      </c>
      <c r="BP1299" s="12">
        <v>0</v>
      </c>
      <c r="BQ1299" s="12">
        <v>0</v>
      </c>
      <c r="BR1299" s="12">
        <v>0</v>
      </c>
      <c r="BS1299" s="12">
        <v>0</v>
      </c>
      <c r="BT1299" s="12">
        <v>0</v>
      </c>
      <c r="BU1299" s="47">
        <v>0</v>
      </c>
      <c r="BV1299" s="47"/>
      <c r="BW1299" s="47"/>
    </row>
    <row r="1300" spans="1:75" s="1" customFormat="1" ht="19.5" customHeight="1">
      <c r="A1300" s="215"/>
      <c r="B1300" s="215"/>
      <c r="C1300" s="12">
        <v>62000070</v>
      </c>
      <c r="D1300" s="59" t="s">
        <v>2190</v>
      </c>
      <c r="E1300" s="59" t="s">
        <v>2191</v>
      </c>
      <c r="F1300" s="172">
        <v>1</v>
      </c>
      <c r="G1300" s="64">
        <v>40061</v>
      </c>
      <c r="H1300" s="64">
        <v>0</v>
      </c>
      <c r="I1300" s="66">
        <v>0</v>
      </c>
      <c r="J1300" s="16">
        <v>1</v>
      </c>
      <c r="K1300" s="16">
        <v>0</v>
      </c>
      <c r="L1300" s="64">
        <v>0</v>
      </c>
      <c r="M1300" s="60">
        <v>0</v>
      </c>
      <c r="N1300" s="60">
        <v>0</v>
      </c>
      <c r="O1300" s="60">
        <v>2</v>
      </c>
      <c r="P1300" s="60">
        <v>7</v>
      </c>
      <c r="Q1300" s="60">
        <v>0.05</v>
      </c>
      <c r="R1300" s="60">
        <v>0</v>
      </c>
      <c r="S1300" s="68">
        <v>0</v>
      </c>
      <c r="T1300" s="60">
        <v>0</v>
      </c>
      <c r="U1300" s="60">
        <v>1</v>
      </c>
      <c r="V1300" s="60">
        <v>1</v>
      </c>
      <c r="W1300" s="60">
        <v>0</v>
      </c>
      <c r="X1300" s="60">
        <v>0</v>
      </c>
      <c r="Y1300" s="12">
        <v>0</v>
      </c>
      <c r="Z1300" s="60">
        <v>0</v>
      </c>
      <c r="AA1300" s="60">
        <v>0</v>
      </c>
      <c r="AB1300" s="60">
        <v>0</v>
      </c>
      <c r="AC1300" s="60">
        <v>0</v>
      </c>
      <c r="AD1300" s="60">
        <v>0</v>
      </c>
      <c r="AE1300" s="60">
        <v>0</v>
      </c>
      <c r="AF1300" s="60">
        <v>10</v>
      </c>
      <c r="AG1300" s="60">
        <v>0</v>
      </c>
      <c r="AH1300" s="60">
        <v>0</v>
      </c>
      <c r="AI1300" s="68">
        <v>0</v>
      </c>
      <c r="AJ1300" s="68">
        <v>0</v>
      </c>
      <c r="AK1300" s="68">
        <v>0</v>
      </c>
      <c r="AL1300" s="68">
        <v>1.5</v>
      </c>
      <c r="AM1300" s="60">
        <v>0</v>
      </c>
      <c r="AN1300" s="60">
        <v>0</v>
      </c>
      <c r="AO1300" s="60">
        <v>0</v>
      </c>
      <c r="AP1300" s="64">
        <v>0.2</v>
      </c>
      <c r="AQ1300" s="60">
        <v>3000</v>
      </c>
      <c r="AR1300" s="60">
        <v>0.2</v>
      </c>
      <c r="AS1300" s="60">
        <v>0</v>
      </c>
      <c r="AT1300" s="68">
        <v>0</v>
      </c>
      <c r="AU1300" s="60" t="s">
        <v>198</v>
      </c>
      <c r="AV1300" s="60"/>
      <c r="AW1300" s="19" t="s">
        <v>199</v>
      </c>
      <c r="AX1300" s="60" t="s">
        <v>545</v>
      </c>
      <c r="AY1300" s="64">
        <v>0</v>
      </c>
      <c r="AZ1300" s="64">
        <v>21300030</v>
      </c>
      <c r="BA1300" s="59" t="s">
        <v>1174</v>
      </c>
      <c r="BB1300" s="355" t="s">
        <v>2799</v>
      </c>
      <c r="BC1300" s="66">
        <v>0</v>
      </c>
      <c r="BD1300" s="66">
        <v>0</v>
      </c>
      <c r="BE1300" s="90" t="s">
        <v>2193</v>
      </c>
      <c r="BF1300" s="90" t="s">
        <v>2194</v>
      </c>
      <c r="BG1300" s="60">
        <v>0</v>
      </c>
      <c r="BH1300" s="60">
        <v>0</v>
      </c>
      <c r="BI1300" s="60">
        <v>0</v>
      </c>
      <c r="BJ1300" s="60">
        <v>0</v>
      </c>
      <c r="BK1300" s="60">
        <v>0</v>
      </c>
      <c r="BL1300" s="60">
        <v>0</v>
      </c>
      <c r="BM1300" s="93">
        <v>0</v>
      </c>
      <c r="BN1300" s="68">
        <v>0</v>
      </c>
      <c r="BO1300" s="68">
        <v>0</v>
      </c>
      <c r="BP1300" s="68">
        <v>0</v>
      </c>
      <c r="BQ1300" s="68">
        <v>0</v>
      </c>
      <c r="BR1300" s="68">
        <v>0</v>
      </c>
      <c r="BS1300" s="68">
        <v>0</v>
      </c>
      <c r="BT1300" s="68">
        <v>0</v>
      </c>
      <c r="BU1300" s="68">
        <v>0</v>
      </c>
      <c r="BV1300" s="47"/>
      <c r="BW1300" s="47"/>
    </row>
    <row r="1301" spans="1:75" ht="20.25" customHeight="1">
      <c r="C1301" s="18">
        <v>62000101</v>
      </c>
      <c r="D1301" s="19" t="s">
        <v>2800</v>
      </c>
      <c r="E1301" s="19" t="s">
        <v>2801</v>
      </c>
      <c r="F1301" s="18">
        <v>1</v>
      </c>
      <c r="G1301" s="18">
        <v>62000101</v>
      </c>
      <c r="H1301" s="18">
        <v>0</v>
      </c>
      <c r="I1301" s="27">
        <v>0</v>
      </c>
      <c r="J1301" s="18">
        <v>1</v>
      </c>
      <c r="K1301" s="18">
        <v>0</v>
      </c>
      <c r="L1301" s="16">
        <v>0</v>
      </c>
      <c r="M1301" s="18">
        <v>0</v>
      </c>
      <c r="N1301" s="18">
        <v>0</v>
      </c>
      <c r="O1301" s="18">
        <v>1</v>
      </c>
      <c r="P1301" s="18">
        <v>0</v>
      </c>
      <c r="Q1301" s="18">
        <v>0</v>
      </c>
      <c r="R1301" s="18">
        <v>0</v>
      </c>
      <c r="S1301" s="12">
        <v>0</v>
      </c>
      <c r="T1301" s="27">
        <v>0</v>
      </c>
      <c r="U1301" s="16">
        <v>1</v>
      </c>
      <c r="V1301" s="18">
        <v>1</v>
      </c>
      <c r="W1301" s="18">
        <v>0</v>
      </c>
      <c r="X1301" s="18">
        <v>3.5</v>
      </c>
      <c r="Y1301" s="12">
        <v>0</v>
      </c>
      <c r="Z1301" s="18">
        <v>1000</v>
      </c>
      <c r="AA1301" s="18">
        <v>0</v>
      </c>
      <c r="AB1301" s="18">
        <v>0</v>
      </c>
      <c r="AC1301" s="18">
        <v>0</v>
      </c>
      <c r="AD1301" s="18">
        <v>0</v>
      </c>
      <c r="AE1301" s="18">
        <v>0</v>
      </c>
      <c r="AF1301" s="18">
        <v>12</v>
      </c>
      <c r="AG1301" s="18">
        <v>0</v>
      </c>
      <c r="AH1301" s="18">
        <v>3</v>
      </c>
      <c r="AI1301" s="12">
        <v>7</v>
      </c>
      <c r="AJ1301" s="12">
        <v>0</v>
      </c>
      <c r="AK1301" s="12">
        <v>0</v>
      </c>
      <c r="AL1301" s="12">
        <v>10</v>
      </c>
      <c r="AM1301" s="18">
        <v>0</v>
      </c>
      <c r="AN1301" s="18">
        <v>0</v>
      </c>
      <c r="AO1301" s="18">
        <v>0</v>
      </c>
      <c r="AP1301" s="18">
        <v>0</v>
      </c>
      <c r="AQ1301" s="18">
        <v>3000</v>
      </c>
      <c r="AR1301" s="18">
        <v>0.5</v>
      </c>
      <c r="AS1301" s="18">
        <v>20</v>
      </c>
      <c r="AT1301" s="12">
        <v>0</v>
      </c>
      <c r="AU1301" s="18" t="s">
        <v>198</v>
      </c>
      <c r="AV1301" s="18"/>
      <c r="AW1301" s="17" t="s">
        <v>242</v>
      </c>
      <c r="AX1301" s="18" t="s">
        <v>1695</v>
      </c>
      <c r="AY1301" s="18">
        <v>10000011</v>
      </c>
      <c r="AZ1301" s="18">
        <v>20001010</v>
      </c>
      <c r="BA1301" s="19" t="s">
        <v>250</v>
      </c>
      <c r="BB1301" s="19" t="s">
        <v>198</v>
      </c>
      <c r="BC1301" s="27">
        <v>0</v>
      </c>
      <c r="BD1301" s="27">
        <v>0</v>
      </c>
      <c r="BE1301" s="44" t="s">
        <v>2802</v>
      </c>
      <c r="BF1301" s="44" t="s">
        <v>2803</v>
      </c>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spans="1:75" ht="20.25" customHeight="1">
      <c r="C1302" s="64">
        <v>62000102</v>
      </c>
      <c r="D1302" s="63" t="s">
        <v>1701</v>
      </c>
      <c r="E1302" s="63" t="s">
        <v>1702</v>
      </c>
      <c r="F1302" s="64">
        <v>1</v>
      </c>
      <c r="G1302" s="64">
        <v>62011201</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1.8</v>
      </c>
      <c r="Y1302" s="12">
        <v>0</v>
      </c>
      <c r="Z1302" s="64">
        <v>700</v>
      </c>
      <c r="AA1302" s="64">
        <v>0</v>
      </c>
      <c r="AB1302" s="64">
        <v>0</v>
      </c>
      <c r="AC1302" s="64">
        <v>0</v>
      </c>
      <c r="AD1302" s="64">
        <v>1</v>
      </c>
      <c r="AE1302" s="64">
        <v>0</v>
      </c>
      <c r="AF1302" s="64">
        <v>10</v>
      </c>
      <c r="AG1302" s="64">
        <v>1</v>
      </c>
      <c r="AH1302" s="64">
        <v>1</v>
      </c>
      <c r="AI1302" s="68">
        <v>2</v>
      </c>
      <c r="AJ1302" s="68">
        <v>2</v>
      </c>
      <c r="AK1302" s="12">
        <v>0</v>
      </c>
      <c r="AL1302" s="68">
        <v>4</v>
      </c>
      <c r="AM1302" s="64">
        <v>0</v>
      </c>
      <c r="AN1302" s="64">
        <v>0</v>
      </c>
      <c r="AO1302" s="64">
        <v>0</v>
      </c>
      <c r="AP1302" s="64">
        <v>0.5</v>
      </c>
      <c r="AQ1302" s="64">
        <v>30000</v>
      </c>
      <c r="AR1302" s="64">
        <v>0.5</v>
      </c>
      <c r="AS1302" s="64">
        <v>10</v>
      </c>
      <c r="AT1302" s="68">
        <v>0</v>
      </c>
      <c r="AU1302" s="64">
        <v>92002001</v>
      </c>
      <c r="AV1302" s="64"/>
      <c r="AW1302" s="59" t="s">
        <v>199</v>
      </c>
      <c r="AX1302" s="64" t="s">
        <v>545</v>
      </c>
      <c r="AY1302" s="64">
        <v>10003002</v>
      </c>
      <c r="AZ1302" s="64">
        <v>21100020</v>
      </c>
      <c r="BA1302" s="63" t="s">
        <v>586</v>
      </c>
      <c r="BB1302" s="63">
        <v>0</v>
      </c>
      <c r="BC1302" s="66">
        <v>0</v>
      </c>
      <c r="BD1302" s="66">
        <v>0</v>
      </c>
      <c r="BE1302" s="90" t="str">
        <f t="shared" ref="BE1302" si="146">"立即对目标范围内的怪物造成"&amp;X1302*100&amp;"%攻击伤害+"&amp;Z1302&amp;"点固定伤害"&amp;",并使目标移动速度降低50%,持续3秒"</f>
        <v>立即对目标范围内的怪物造成180%攻击伤害+700点固定伤害,并使目标移动速度降低50%,持续3秒</v>
      </c>
      <c r="BF1302" s="90" t="s">
        <v>2804</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1:75" ht="20.25" customHeight="1">
      <c r="C1303" s="18">
        <v>62000103</v>
      </c>
      <c r="D1303" s="19" t="s">
        <v>2805</v>
      </c>
      <c r="E1303" s="19" t="s">
        <v>2806</v>
      </c>
      <c r="F1303" s="18">
        <v>1</v>
      </c>
      <c r="G1303" s="18">
        <v>62000103</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3.25</v>
      </c>
      <c r="Y1303" s="12">
        <v>0</v>
      </c>
      <c r="Z1303" s="18">
        <v>0</v>
      </c>
      <c r="AA1303" s="18">
        <v>0</v>
      </c>
      <c r="AB1303" s="18">
        <v>0</v>
      </c>
      <c r="AC1303" s="18">
        <v>0</v>
      </c>
      <c r="AD1303" s="18">
        <v>0</v>
      </c>
      <c r="AE1303" s="18">
        <v>0</v>
      </c>
      <c r="AF1303" s="18">
        <v>20</v>
      </c>
      <c r="AG1303" s="18">
        <v>1</v>
      </c>
      <c r="AH1303" s="18">
        <v>4</v>
      </c>
      <c r="AI1303" s="12">
        <v>2</v>
      </c>
      <c r="AJ1303" s="12">
        <v>1</v>
      </c>
      <c r="AK1303" s="12">
        <v>0</v>
      </c>
      <c r="AL1303" s="12">
        <v>6</v>
      </c>
      <c r="AM1303" s="18">
        <v>0</v>
      </c>
      <c r="AN1303" s="18">
        <v>0.5</v>
      </c>
      <c r="AO1303" s="18">
        <v>0</v>
      </c>
      <c r="AP1303" s="18">
        <v>0.5</v>
      </c>
      <c r="AQ1303" s="18">
        <v>30000</v>
      </c>
      <c r="AR1303" s="18">
        <v>0</v>
      </c>
      <c r="AS1303" s="18">
        <v>0</v>
      </c>
      <c r="AT1303" s="12">
        <v>0</v>
      </c>
      <c r="AU1303" s="18">
        <v>93000205</v>
      </c>
      <c r="AV1303" s="18"/>
      <c r="AW1303" s="17" t="s">
        <v>199</v>
      </c>
      <c r="AX1303" s="18" t="s">
        <v>545</v>
      </c>
      <c r="AY1303" s="18">
        <v>10003002</v>
      </c>
      <c r="AZ1303" s="18">
        <v>20001020</v>
      </c>
      <c r="BA1303" s="19" t="s">
        <v>200</v>
      </c>
      <c r="BB1303" s="19">
        <v>0</v>
      </c>
      <c r="BC1303" s="27">
        <v>0</v>
      </c>
      <c r="BD1303" s="27">
        <v>0</v>
      </c>
      <c r="BE1303" s="44" t="s">
        <v>2807</v>
      </c>
      <c r="BF1303" s="44" t="s">
        <v>2808</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1:75" ht="20.25" customHeight="1">
      <c r="C1304" s="64">
        <v>62000104</v>
      </c>
      <c r="D1304" s="63" t="s">
        <v>1391</v>
      </c>
      <c r="E1304" s="63" t="s">
        <v>1392</v>
      </c>
      <c r="F1304" s="64">
        <v>1</v>
      </c>
      <c r="G1304" s="64">
        <v>62012201</v>
      </c>
      <c r="H1304" s="64">
        <v>0</v>
      </c>
      <c r="I1304" s="66">
        <v>0</v>
      </c>
      <c r="J1304" s="64">
        <v>1</v>
      </c>
      <c r="K1304" s="64">
        <v>0</v>
      </c>
      <c r="L1304" s="60">
        <v>0</v>
      </c>
      <c r="M1304" s="64">
        <v>0</v>
      </c>
      <c r="N1304" s="64">
        <v>0</v>
      </c>
      <c r="O1304" s="64">
        <v>2</v>
      </c>
      <c r="P1304" s="64">
        <v>3</v>
      </c>
      <c r="Q1304" s="64">
        <v>0.15</v>
      </c>
      <c r="R1304" s="64">
        <v>0</v>
      </c>
      <c r="S1304" s="68">
        <v>0</v>
      </c>
      <c r="T1304" s="66">
        <v>0</v>
      </c>
      <c r="U1304" s="60">
        <v>1</v>
      </c>
      <c r="V1304" s="64">
        <v>2</v>
      </c>
      <c r="W1304" s="64">
        <v>0</v>
      </c>
      <c r="X1304" s="64">
        <v>1.8</v>
      </c>
      <c r="Y1304" s="12">
        <v>0</v>
      </c>
      <c r="Z1304" s="64">
        <v>700</v>
      </c>
      <c r="AA1304" s="64">
        <v>0</v>
      </c>
      <c r="AB1304" s="64">
        <v>0</v>
      </c>
      <c r="AC1304" s="64">
        <v>0</v>
      </c>
      <c r="AD1304" s="64">
        <v>1</v>
      </c>
      <c r="AE1304" s="64">
        <v>0</v>
      </c>
      <c r="AF1304" s="64">
        <v>15</v>
      </c>
      <c r="AG1304" s="64">
        <v>1</v>
      </c>
      <c r="AH1304" s="64">
        <v>3.5</v>
      </c>
      <c r="AI1304" s="68">
        <v>0</v>
      </c>
      <c r="AJ1304" s="68">
        <v>0</v>
      </c>
      <c r="AK1304" s="12">
        <v>0</v>
      </c>
      <c r="AL1304" s="68">
        <v>4</v>
      </c>
      <c r="AM1304" s="64">
        <v>0</v>
      </c>
      <c r="AN1304" s="64">
        <v>0</v>
      </c>
      <c r="AO1304" s="64">
        <v>0</v>
      </c>
      <c r="AP1304" s="64">
        <v>0</v>
      </c>
      <c r="AQ1304" s="64">
        <v>3000</v>
      </c>
      <c r="AR1304" s="64">
        <v>0</v>
      </c>
      <c r="AS1304" s="64">
        <v>0</v>
      </c>
      <c r="AT1304" s="68">
        <v>0</v>
      </c>
      <c r="AU1304" s="64">
        <v>92005001</v>
      </c>
      <c r="AV1304" s="64"/>
      <c r="AW1304" s="59" t="s">
        <v>199</v>
      </c>
      <c r="AX1304" s="64" t="s">
        <v>534</v>
      </c>
      <c r="AY1304" s="64">
        <v>10000009</v>
      </c>
      <c r="AZ1304" s="64">
        <v>21100050</v>
      </c>
      <c r="BA1304" s="63" t="s">
        <v>200</v>
      </c>
      <c r="BB1304" s="63">
        <v>0</v>
      </c>
      <c r="BC1304" s="66">
        <v>0</v>
      </c>
      <c r="BD1304" s="66">
        <v>0</v>
      </c>
      <c r="BE1304" s="121" t="str">
        <f>"受到伤害有一定概率立即对自身范围内的怪物造成"&amp;X1304*100&amp;"%攻击伤害+"&amp;Z1304&amp;",并击退周围附近敌方目标"</f>
        <v>受到伤害有一定概率立即对自身范围内的怪物造成180%攻击伤害+700,并击退周围附近敌方目标</v>
      </c>
      <c r="BF1304" s="121" t="s">
        <v>2809</v>
      </c>
      <c r="BG1304" s="64">
        <v>0</v>
      </c>
      <c r="BH1304" s="60">
        <v>0</v>
      </c>
      <c r="BI1304" s="64">
        <v>0</v>
      </c>
      <c r="BJ1304" s="64">
        <v>0</v>
      </c>
      <c r="BK1304" s="64">
        <v>0</v>
      </c>
      <c r="BL1304" s="64">
        <v>0</v>
      </c>
      <c r="BM1304" s="93">
        <v>0</v>
      </c>
      <c r="BN1304" s="12">
        <v>1</v>
      </c>
      <c r="BO1304" s="12">
        <v>0</v>
      </c>
      <c r="BP1304" s="12">
        <v>0</v>
      </c>
      <c r="BQ1304" s="12">
        <v>0</v>
      </c>
      <c r="BR1304" s="12">
        <v>0</v>
      </c>
      <c r="BS1304" s="12">
        <v>0</v>
      </c>
      <c r="BT1304" s="12">
        <v>0</v>
      </c>
      <c r="BU1304" s="47">
        <v>0</v>
      </c>
      <c r="BV1304" s="47"/>
      <c r="BW1304" s="47"/>
    </row>
    <row r="1305" spans="1:75" ht="20.25" customHeight="1">
      <c r="C1305" s="64">
        <v>62000105</v>
      </c>
      <c r="D1305" s="63" t="s">
        <v>2810</v>
      </c>
      <c r="E1305" s="63" t="s">
        <v>2811</v>
      </c>
      <c r="F1305" s="64">
        <v>1</v>
      </c>
      <c r="G1305" s="64">
        <v>62000105</v>
      </c>
      <c r="H1305" s="64">
        <v>0</v>
      </c>
      <c r="I1305" s="66">
        <v>0</v>
      </c>
      <c r="J1305" s="64">
        <v>1</v>
      </c>
      <c r="K1305" s="64">
        <v>0</v>
      </c>
      <c r="L1305" s="60">
        <v>0</v>
      </c>
      <c r="M1305" s="64">
        <v>0</v>
      </c>
      <c r="N1305" s="64">
        <v>0</v>
      </c>
      <c r="O1305" s="64">
        <v>2</v>
      </c>
      <c r="P1305" s="64">
        <v>1</v>
      </c>
      <c r="Q1305" s="64">
        <v>0.1</v>
      </c>
      <c r="R1305" s="64">
        <v>0</v>
      </c>
      <c r="S1305" s="68">
        <v>0</v>
      </c>
      <c r="T1305" s="66">
        <v>0</v>
      </c>
      <c r="U1305" s="60">
        <v>1</v>
      </c>
      <c r="V1305" s="64">
        <v>2</v>
      </c>
      <c r="W1305" s="64">
        <v>0</v>
      </c>
      <c r="X1305" s="64">
        <v>0</v>
      </c>
      <c r="Y1305" s="12">
        <v>0</v>
      </c>
      <c r="Z1305" s="64">
        <v>0</v>
      </c>
      <c r="AA1305" s="64">
        <v>0</v>
      </c>
      <c r="AB1305" s="64">
        <v>0</v>
      </c>
      <c r="AC1305" s="64">
        <v>0</v>
      </c>
      <c r="AD1305" s="64">
        <v>1</v>
      </c>
      <c r="AE1305" s="64">
        <v>0</v>
      </c>
      <c r="AF1305" s="64">
        <v>12</v>
      </c>
      <c r="AG1305" s="64">
        <v>0</v>
      </c>
      <c r="AH1305" s="64">
        <v>0</v>
      </c>
      <c r="AI1305" s="68">
        <v>2</v>
      </c>
      <c r="AJ1305" s="68">
        <v>1</v>
      </c>
      <c r="AK1305" s="12">
        <v>0</v>
      </c>
      <c r="AL1305" s="68">
        <v>0</v>
      </c>
      <c r="AM1305" s="64">
        <v>0</v>
      </c>
      <c r="AN1305" s="64">
        <v>0</v>
      </c>
      <c r="AO1305" s="64">
        <v>0</v>
      </c>
      <c r="AP1305" s="64">
        <v>0</v>
      </c>
      <c r="AQ1305" s="64">
        <v>1000</v>
      </c>
      <c r="AR1305" s="64">
        <v>0</v>
      </c>
      <c r="AS1305" s="64">
        <v>0</v>
      </c>
      <c r="AT1305" s="68">
        <v>92000009</v>
      </c>
      <c r="AU1305" s="64" t="s">
        <v>198</v>
      </c>
      <c r="AV1305" s="64"/>
      <c r="AW1305" s="59" t="s">
        <v>199</v>
      </c>
      <c r="AX1305" s="64" t="s">
        <v>1837</v>
      </c>
      <c r="AY1305" s="64">
        <v>0</v>
      </c>
      <c r="AZ1305" s="64">
        <v>0</v>
      </c>
      <c r="BA1305" s="63" t="s">
        <v>200</v>
      </c>
      <c r="BB1305" s="63" t="s">
        <v>198</v>
      </c>
      <c r="BC1305" s="66">
        <v>0</v>
      </c>
      <c r="BD1305" s="66">
        <v>0</v>
      </c>
      <c r="BE1305" s="90" t="s">
        <v>2812</v>
      </c>
      <c r="BF1305" s="90" t="s">
        <v>2813</v>
      </c>
      <c r="BG1305" s="64">
        <v>0</v>
      </c>
      <c r="BH1305" s="60">
        <v>0</v>
      </c>
      <c r="BI1305" s="64">
        <v>0</v>
      </c>
      <c r="BJ1305" s="64">
        <v>0</v>
      </c>
      <c r="BK1305" s="64">
        <v>0</v>
      </c>
      <c r="BL1305" s="64">
        <v>0</v>
      </c>
      <c r="BM1305" s="93">
        <v>0</v>
      </c>
      <c r="BN1305" s="12">
        <v>0</v>
      </c>
      <c r="BO1305" s="12">
        <v>0</v>
      </c>
      <c r="BP1305" s="12">
        <v>0</v>
      </c>
      <c r="BQ1305" s="12">
        <v>0</v>
      </c>
      <c r="BR1305" s="12">
        <v>0</v>
      </c>
      <c r="BS1305" s="12">
        <v>0</v>
      </c>
      <c r="BT1305" s="12">
        <v>0</v>
      </c>
      <c r="BU1305" s="47">
        <v>0</v>
      </c>
      <c r="BV1305" s="47"/>
      <c r="BW1305" s="47"/>
    </row>
    <row r="1306" spans="1:75" ht="20.25" customHeight="1">
      <c r="C1306" s="64">
        <v>62000106</v>
      </c>
      <c r="D1306" s="63" t="s">
        <v>2814</v>
      </c>
      <c r="E1306" s="63" t="s">
        <v>2815</v>
      </c>
      <c r="F1306" s="64">
        <v>1</v>
      </c>
      <c r="G1306" s="64">
        <v>62000106</v>
      </c>
      <c r="H1306" s="64">
        <v>0</v>
      </c>
      <c r="I1306" s="66">
        <v>0</v>
      </c>
      <c r="J1306" s="64">
        <v>1</v>
      </c>
      <c r="K1306" s="64">
        <v>0</v>
      </c>
      <c r="L1306" s="60">
        <v>0</v>
      </c>
      <c r="M1306" s="64">
        <v>0</v>
      </c>
      <c r="N1306" s="64">
        <v>0</v>
      </c>
      <c r="O1306" s="64">
        <v>2</v>
      </c>
      <c r="P1306" s="64">
        <v>2</v>
      </c>
      <c r="Q1306" s="64">
        <v>0.3</v>
      </c>
      <c r="R1306" s="64">
        <v>0</v>
      </c>
      <c r="S1306" s="68">
        <v>0</v>
      </c>
      <c r="T1306" s="66">
        <v>0</v>
      </c>
      <c r="U1306" s="60">
        <v>1</v>
      </c>
      <c r="V1306" s="64">
        <v>2</v>
      </c>
      <c r="W1306" s="64">
        <v>0</v>
      </c>
      <c r="X1306" s="64">
        <v>0</v>
      </c>
      <c r="Y1306" s="12">
        <v>0</v>
      </c>
      <c r="Z1306" s="64">
        <v>0</v>
      </c>
      <c r="AA1306" s="64">
        <v>0</v>
      </c>
      <c r="AB1306" s="64">
        <v>0</v>
      </c>
      <c r="AC1306" s="64">
        <v>0</v>
      </c>
      <c r="AD1306" s="64">
        <v>1</v>
      </c>
      <c r="AE1306" s="64">
        <v>0</v>
      </c>
      <c r="AF1306" s="64">
        <v>45</v>
      </c>
      <c r="AG1306" s="64">
        <v>0</v>
      </c>
      <c r="AH1306" s="64">
        <v>0</v>
      </c>
      <c r="AI1306" s="68">
        <v>2</v>
      </c>
      <c r="AJ1306" s="68">
        <v>1</v>
      </c>
      <c r="AK1306" s="12">
        <v>0</v>
      </c>
      <c r="AL1306" s="68">
        <v>0</v>
      </c>
      <c r="AM1306" s="64">
        <v>0</v>
      </c>
      <c r="AN1306" s="64">
        <v>0</v>
      </c>
      <c r="AO1306" s="64">
        <v>0</v>
      </c>
      <c r="AP1306" s="64">
        <v>0</v>
      </c>
      <c r="AQ1306" s="64">
        <v>1000</v>
      </c>
      <c r="AR1306" s="64">
        <v>0</v>
      </c>
      <c r="AS1306" s="64">
        <v>0</v>
      </c>
      <c r="AT1306" s="68">
        <v>92000010</v>
      </c>
      <c r="AU1306" s="64" t="s">
        <v>198</v>
      </c>
      <c r="AV1306" s="64"/>
      <c r="AW1306" s="59" t="s">
        <v>199</v>
      </c>
      <c r="AX1306" s="64" t="s">
        <v>1837</v>
      </c>
      <c r="AY1306" s="64">
        <v>0</v>
      </c>
      <c r="AZ1306" s="64">
        <v>0</v>
      </c>
      <c r="BA1306" s="63" t="s">
        <v>200</v>
      </c>
      <c r="BB1306" s="63" t="s">
        <v>198</v>
      </c>
      <c r="BC1306" s="66">
        <v>0</v>
      </c>
      <c r="BD1306" s="66">
        <v>0</v>
      </c>
      <c r="BE1306" s="92" t="s">
        <v>2816</v>
      </c>
      <c r="BF1306" s="92" t="s">
        <v>2817</v>
      </c>
      <c r="BG1306" s="64">
        <v>0</v>
      </c>
      <c r="BH1306" s="60">
        <v>0</v>
      </c>
      <c r="BI1306" s="64">
        <v>0</v>
      </c>
      <c r="BJ1306" s="64">
        <v>0</v>
      </c>
      <c r="BK1306" s="64">
        <v>0</v>
      </c>
      <c r="BL1306" s="64">
        <v>0</v>
      </c>
      <c r="BM1306" s="93">
        <v>0</v>
      </c>
      <c r="BN1306" s="12">
        <v>0</v>
      </c>
      <c r="BO1306" s="12">
        <v>0</v>
      </c>
      <c r="BP1306" s="12">
        <v>0</v>
      </c>
      <c r="BQ1306" s="12">
        <v>0</v>
      </c>
      <c r="BR1306" s="12">
        <v>0</v>
      </c>
      <c r="BS1306" s="12">
        <v>0</v>
      </c>
      <c r="BT1306" s="12">
        <v>0</v>
      </c>
      <c r="BU1306" s="47">
        <v>0</v>
      </c>
      <c r="BV1306" s="47"/>
      <c r="BW1306" s="47"/>
    </row>
    <row r="1307" spans="1:75" ht="20.25" customHeight="1">
      <c r="C1307" s="18">
        <v>62000107</v>
      </c>
      <c r="D1307" s="19" t="s">
        <v>2787</v>
      </c>
      <c r="E1307" s="19" t="s">
        <v>2788</v>
      </c>
      <c r="F1307" s="18">
        <v>1</v>
      </c>
      <c r="G1307" s="18">
        <v>62000107</v>
      </c>
      <c r="H1307" s="18">
        <v>0</v>
      </c>
      <c r="I1307" s="27">
        <v>0</v>
      </c>
      <c r="J1307" s="18">
        <v>1</v>
      </c>
      <c r="K1307" s="18">
        <v>0</v>
      </c>
      <c r="L1307" s="16">
        <v>0</v>
      </c>
      <c r="M1307" s="18">
        <v>0</v>
      </c>
      <c r="N1307" s="18">
        <v>0</v>
      </c>
      <c r="O1307" s="18">
        <v>1</v>
      </c>
      <c r="P1307" s="18">
        <v>0</v>
      </c>
      <c r="Q1307" s="18">
        <v>0</v>
      </c>
      <c r="R1307" s="18">
        <v>0</v>
      </c>
      <c r="S1307" s="12">
        <v>0</v>
      </c>
      <c r="T1307" s="27">
        <v>0</v>
      </c>
      <c r="U1307" s="16">
        <v>1</v>
      </c>
      <c r="V1307" s="18">
        <v>2</v>
      </c>
      <c r="W1307" s="18">
        <v>0</v>
      </c>
      <c r="X1307" s="18">
        <v>2.5</v>
      </c>
      <c r="Y1307" s="12">
        <v>0</v>
      </c>
      <c r="Z1307" s="18">
        <v>0</v>
      </c>
      <c r="AA1307" s="18">
        <v>0</v>
      </c>
      <c r="AB1307" s="18">
        <v>0</v>
      </c>
      <c r="AC1307" s="18">
        <v>0</v>
      </c>
      <c r="AD1307" s="18">
        <v>0</v>
      </c>
      <c r="AE1307" s="18">
        <v>0</v>
      </c>
      <c r="AF1307" s="18">
        <v>18</v>
      </c>
      <c r="AG1307" s="18">
        <v>1</v>
      </c>
      <c r="AH1307" s="18">
        <v>3.5</v>
      </c>
      <c r="AI1307" s="12">
        <v>0</v>
      </c>
      <c r="AJ1307" s="12">
        <v>0</v>
      </c>
      <c r="AK1307" s="12">
        <v>0</v>
      </c>
      <c r="AL1307" s="12">
        <v>4</v>
      </c>
      <c r="AM1307" s="18">
        <v>0</v>
      </c>
      <c r="AN1307" s="18">
        <v>0</v>
      </c>
      <c r="AO1307" s="18">
        <v>0</v>
      </c>
      <c r="AP1307" s="18">
        <v>0.5</v>
      </c>
      <c r="AQ1307" s="18">
        <v>3000</v>
      </c>
      <c r="AR1307" s="18">
        <v>0</v>
      </c>
      <c r="AS1307" s="18">
        <v>0</v>
      </c>
      <c r="AT1307" s="12">
        <v>92000018</v>
      </c>
      <c r="AU1307" s="18" t="s">
        <v>2818</v>
      </c>
      <c r="AV1307" s="18"/>
      <c r="AW1307" s="17" t="s">
        <v>199</v>
      </c>
      <c r="AX1307" s="18" t="s">
        <v>534</v>
      </c>
      <c r="AY1307" s="18">
        <v>10000009</v>
      </c>
      <c r="AZ1307" s="18">
        <v>20001030</v>
      </c>
      <c r="BA1307" s="19" t="s">
        <v>200</v>
      </c>
      <c r="BB1307" s="19">
        <v>0</v>
      </c>
      <c r="BC1307" s="27">
        <v>0</v>
      </c>
      <c r="BD1307" s="27">
        <v>0</v>
      </c>
      <c r="BE1307" s="44" t="s">
        <v>2819</v>
      </c>
      <c r="BF1307" s="44" t="s">
        <v>2820</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1:75" ht="20.25" customHeight="1">
      <c r="C1308" s="18">
        <v>62000108</v>
      </c>
      <c r="D1308" s="19" t="s">
        <v>2821</v>
      </c>
      <c r="E1308" s="19" t="s">
        <v>2822</v>
      </c>
      <c r="F1308" s="18">
        <v>1</v>
      </c>
      <c r="G1308" s="18">
        <v>62000108</v>
      </c>
      <c r="H1308" s="18">
        <v>0</v>
      </c>
      <c r="I1308" s="27">
        <v>0</v>
      </c>
      <c r="J1308" s="18">
        <v>1</v>
      </c>
      <c r="K1308" s="18">
        <v>0</v>
      </c>
      <c r="L1308" s="16">
        <v>0</v>
      </c>
      <c r="M1308" s="18">
        <v>0</v>
      </c>
      <c r="N1308" s="18">
        <v>0</v>
      </c>
      <c r="O1308" s="18">
        <v>2</v>
      </c>
      <c r="P1308" s="18">
        <v>4</v>
      </c>
      <c r="Q1308" s="18">
        <v>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1</v>
      </c>
      <c r="AG1308" s="18">
        <v>0</v>
      </c>
      <c r="AH1308" s="18">
        <v>0</v>
      </c>
      <c r="AI1308" s="12">
        <v>8</v>
      </c>
      <c r="AJ1308" s="12">
        <v>0</v>
      </c>
      <c r="AK1308" s="12">
        <v>0</v>
      </c>
      <c r="AL1308" s="12">
        <v>0</v>
      </c>
      <c r="AM1308" s="18">
        <v>0</v>
      </c>
      <c r="AN1308" s="18">
        <v>0</v>
      </c>
      <c r="AO1308" s="18">
        <v>0</v>
      </c>
      <c r="AP1308" s="18">
        <v>0</v>
      </c>
      <c r="AQ1308" s="18">
        <v>1000</v>
      </c>
      <c r="AR1308" s="18">
        <v>0</v>
      </c>
      <c r="AS1308" s="18">
        <v>0</v>
      </c>
      <c r="AT1308" s="12">
        <v>92000005</v>
      </c>
      <c r="AU1308" s="18" t="s">
        <v>198</v>
      </c>
      <c r="AV1308" s="18"/>
      <c r="AW1308" s="17" t="s">
        <v>199</v>
      </c>
      <c r="AX1308" s="18" t="s">
        <v>1837</v>
      </c>
      <c r="AY1308" s="18">
        <v>0</v>
      </c>
      <c r="AZ1308" s="18">
        <v>40000003</v>
      </c>
      <c r="BA1308" s="19" t="s">
        <v>200</v>
      </c>
      <c r="BB1308" s="19" t="s">
        <v>198</v>
      </c>
      <c r="BC1308" s="27">
        <v>0</v>
      </c>
      <c r="BD1308" s="27">
        <v>0</v>
      </c>
      <c r="BE1308" s="44" t="s">
        <v>2823</v>
      </c>
      <c r="BF1308" s="44" t="s">
        <v>2824</v>
      </c>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row>
    <row r="1309" spans="1:75" ht="20.25" customHeight="1">
      <c r="C1309" s="18">
        <v>62000109</v>
      </c>
      <c r="D1309" s="19" t="s">
        <v>2825</v>
      </c>
      <c r="E1309" s="19" t="s">
        <v>2826</v>
      </c>
      <c r="F1309" s="18">
        <v>1</v>
      </c>
      <c r="G1309" s="18">
        <v>62000109</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12</v>
      </c>
      <c r="AG1309" s="18">
        <v>1</v>
      </c>
      <c r="AH1309" s="18">
        <v>3</v>
      </c>
      <c r="AI1309" s="12">
        <v>2</v>
      </c>
      <c r="AJ1309" s="12">
        <v>2</v>
      </c>
      <c r="AK1309" s="12">
        <v>0</v>
      </c>
      <c r="AL1309" s="12">
        <v>4</v>
      </c>
      <c r="AM1309" s="18">
        <v>0</v>
      </c>
      <c r="AN1309" s="18">
        <v>0</v>
      </c>
      <c r="AO1309" s="18">
        <v>0</v>
      </c>
      <c r="AP1309" s="18">
        <v>0.2</v>
      </c>
      <c r="AQ1309" s="18">
        <v>3000</v>
      </c>
      <c r="AR1309" s="18">
        <v>0.2</v>
      </c>
      <c r="AS1309" s="18">
        <v>10</v>
      </c>
      <c r="AT1309" s="12">
        <v>0</v>
      </c>
      <c r="AU1309" s="18">
        <v>92000013</v>
      </c>
      <c r="AV1309" s="18"/>
      <c r="AW1309" s="17" t="s">
        <v>199</v>
      </c>
      <c r="AX1309" s="18" t="s">
        <v>545</v>
      </c>
      <c r="AY1309" s="18">
        <v>10003002</v>
      </c>
      <c r="AZ1309" s="18">
        <v>20001040</v>
      </c>
      <c r="BA1309" s="19" t="s">
        <v>586</v>
      </c>
      <c r="BB1309" s="19">
        <v>0</v>
      </c>
      <c r="BC1309" s="27">
        <v>0</v>
      </c>
      <c r="BD1309" s="27">
        <v>0</v>
      </c>
      <c r="BE1309" s="44" t="s">
        <v>2827</v>
      </c>
      <c r="BF1309" s="44" t="s">
        <v>2828</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1:75" ht="20.25" customHeight="1">
      <c r="C1310" s="18">
        <v>62000110</v>
      </c>
      <c r="D1310" s="19" t="s">
        <v>2829</v>
      </c>
      <c r="E1310" s="19" t="s">
        <v>2811</v>
      </c>
      <c r="F1310" s="18">
        <v>1</v>
      </c>
      <c r="G1310" s="18">
        <v>50002</v>
      </c>
      <c r="H1310" s="18">
        <v>0</v>
      </c>
      <c r="I1310" s="27">
        <v>0</v>
      </c>
      <c r="J1310" s="18">
        <v>1</v>
      </c>
      <c r="K1310" s="18">
        <v>0</v>
      </c>
      <c r="L1310" s="16">
        <v>0</v>
      </c>
      <c r="M1310" s="18">
        <v>0</v>
      </c>
      <c r="N1310" s="18">
        <v>0</v>
      </c>
      <c r="O1310" s="18">
        <v>2</v>
      </c>
      <c r="P1310" s="18">
        <v>1</v>
      </c>
      <c r="Q1310" s="18">
        <v>0.1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12</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92000044</v>
      </c>
      <c r="AU1310" s="18" t="s">
        <v>198</v>
      </c>
      <c r="AV1310" s="18"/>
      <c r="AW1310" s="17" t="s">
        <v>199</v>
      </c>
      <c r="AX1310" s="18" t="s">
        <v>1837</v>
      </c>
      <c r="AY1310" s="18">
        <v>0</v>
      </c>
      <c r="AZ1310" s="18">
        <v>0</v>
      </c>
      <c r="BA1310" s="19" t="s">
        <v>200</v>
      </c>
      <c r="BB1310" s="19" t="s">
        <v>198</v>
      </c>
      <c r="BC1310" s="27">
        <v>0</v>
      </c>
      <c r="BD1310" s="27">
        <v>0</v>
      </c>
      <c r="BE1310" s="44" t="s">
        <v>2830</v>
      </c>
      <c r="BF1310" s="44"/>
      <c r="BG1310" s="18">
        <v>0</v>
      </c>
      <c r="BH1310" s="16">
        <v>0</v>
      </c>
      <c r="BI1310" s="18">
        <v>0</v>
      </c>
      <c r="BJ1310" s="18">
        <v>0</v>
      </c>
      <c r="BK1310" s="18">
        <v>0</v>
      </c>
      <c r="BL1310" s="18">
        <v>0</v>
      </c>
      <c r="BM1310" s="15">
        <v>0</v>
      </c>
      <c r="BN1310" s="12">
        <v>1</v>
      </c>
      <c r="BO1310" s="12">
        <v>0</v>
      </c>
      <c r="BP1310" s="12">
        <v>0</v>
      </c>
      <c r="BQ1310" s="12">
        <v>0</v>
      </c>
      <c r="BR1310" s="12">
        <v>0</v>
      </c>
      <c r="BS1310" s="12">
        <v>0</v>
      </c>
      <c r="BT1310" s="12">
        <v>0</v>
      </c>
      <c r="BU1310" s="47">
        <v>0</v>
      </c>
      <c r="BV1310" s="47"/>
      <c r="BW1310" s="47"/>
    </row>
    <row r="1311" spans="1:75" ht="20.25" customHeight="1">
      <c r="C1311" s="18">
        <v>62000111</v>
      </c>
      <c r="D1311" s="19" t="s">
        <v>2776</v>
      </c>
      <c r="E1311" s="19" t="s">
        <v>2777</v>
      </c>
      <c r="F1311" s="18">
        <v>1</v>
      </c>
      <c r="G1311" s="18">
        <v>50003</v>
      </c>
      <c r="H1311" s="18">
        <v>0</v>
      </c>
      <c r="I1311" s="27">
        <v>0</v>
      </c>
      <c r="J1311" s="18">
        <v>1</v>
      </c>
      <c r="K1311" s="18">
        <v>0</v>
      </c>
      <c r="L1311" s="16">
        <v>0</v>
      </c>
      <c r="M1311" s="18">
        <v>0</v>
      </c>
      <c r="N1311" s="18">
        <v>0</v>
      </c>
      <c r="O1311" s="18">
        <v>2</v>
      </c>
      <c r="P1311" s="18">
        <v>7</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v>
      </c>
      <c r="AG1311" s="18">
        <v>0</v>
      </c>
      <c r="AH1311" s="18">
        <v>0</v>
      </c>
      <c r="AI1311" s="12">
        <v>2</v>
      </c>
      <c r="AJ1311" s="12">
        <v>0</v>
      </c>
      <c r="AK1311" s="12">
        <v>0</v>
      </c>
      <c r="AL1311" s="12">
        <v>0</v>
      </c>
      <c r="AM1311" s="18">
        <v>0</v>
      </c>
      <c r="AN1311" s="18">
        <v>0</v>
      </c>
      <c r="AO1311" s="18">
        <v>0</v>
      </c>
      <c r="AP1311" s="18">
        <v>0</v>
      </c>
      <c r="AQ1311" s="18">
        <v>1000</v>
      </c>
      <c r="AR1311" s="18">
        <v>0</v>
      </c>
      <c r="AS1311" s="18">
        <v>0</v>
      </c>
      <c r="AT1311" s="12">
        <v>92000045</v>
      </c>
      <c r="AU1311" s="18" t="s">
        <v>198</v>
      </c>
      <c r="AV1311" s="18"/>
      <c r="AW1311" s="17" t="s">
        <v>199</v>
      </c>
      <c r="AX1311" s="18" t="s">
        <v>1837</v>
      </c>
      <c r="AY1311" s="18">
        <v>0</v>
      </c>
      <c r="AZ1311" s="18">
        <v>40000003</v>
      </c>
      <c r="BA1311" s="19" t="s">
        <v>200</v>
      </c>
      <c r="BB1311" s="19" t="s">
        <v>198</v>
      </c>
      <c r="BC1311" s="27">
        <v>0</v>
      </c>
      <c r="BD1311" s="27">
        <v>0</v>
      </c>
      <c r="BE1311" s="44" t="s">
        <v>2831</v>
      </c>
      <c r="BF1311" s="44"/>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1:75" ht="20.25" customHeight="1">
      <c r="C1312" s="18">
        <v>62000112</v>
      </c>
      <c r="D1312" s="19" t="s">
        <v>2832</v>
      </c>
      <c r="E1312" s="19" t="s">
        <v>2717</v>
      </c>
      <c r="F1312" s="18">
        <v>1</v>
      </c>
      <c r="G1312" s="18">
        <v>50032</v>
      </c>
      <c r="H1312" s="18">
        <v>0</v>
      </c>
      <c r="I1312" s="27">
        <v>0</v>
      </c>
      <c r="J1312" s="18">
        <v>1</v>
      </c>
      <c r="K1312" s="18">
        <v>0</v>
      </c>
      <c r="L1312" s="16">
        <v>0</v>
      </c>
      <c r="M1312" s="18">
        <v>0</v>
      </c>
      <c r="N1312" s="18">
        <v>0</v>
      </c>
      <c r="O1312" s="18">
        <v>2</v>
      </c>
      <c r="P1312" s="18">
        <v>5</v>
      </c>
      <c r="Q1312" s="18">
        <v>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92000048</v>
      </c>
      <c r="AU1312" s="18">
        <v>0</v>
      </c>
      <c r="AV1312" s="18"/>
      <c r="AW1312" s="17" t="s">
        <v>199</v>
      </c>
      <c r="AX1312" s="18">
        <v>0</v>
      </c>
      <c r="AY1312" s="18">
        <v>0</v>
      </c>
      <c r="AZ1312" s="18">
        <v>0</v>
      </c>
      <c r="BA1312" s="19" t="s">
        <v>200</v>
      </c>
      <c r="BB1312" s="19">
        <v>0</v>
      </c>
      <c r="BC1312" s="27">
        <v>0</v>
      </c>
      <c r="BD1312" s="27">
        <v>0</v>
      </c>
      <c r="BE1312" s="44" t="s">
        <v>2833</v>
      </c>
      <c r="BF1312" s="44"/>
      <c r="BG1312" s="18">
        <v>0</v>
      </c>
      <c r="BH1312" s="16">
        <v>0</v>
      </c>
      <c r="BI1312" s="18">
        <v>0</v>
      </c>
      <c r="BJ1312" s="18">
        <v>0</v>
      </c>
      <c r="BK1312" s="18">
        <v>0</v>
      </c>
      <c r="BL1312" s="18">
        <v>0</v>
      </c>
      <c r="BM1312" s="15">
        <v>0</v>
      </c>
      <c r="BN1312" s="12">
        <v>1</v>
      </c>
      <c r="BO1312" s="12">
        <v>0</v>
      </c>
      <c r="BP1312" s="12">
        <v>0</v>
      </c>
      <c r="BQ1312" s="12">
        <v>0</v>
      </c>
      <c r="BR1312" s="12">
        <v>0</v>
      </c>
      <c r="BS1312" s="12">
        <v>0</v>
      </c>
      <c r="BT1312" s="12">
        <v>0</v>
      </c>
      <c r="BU1312" s="47">
        <v>0</v>
      </c>
      <c r="BV1312" s="47"/>
      <c r="BW1312" s="47"/>
    </row>
    <row r="1313" spans="3:75" ht="20.25" customHeight="1">
      <c r="C1313" s="18">
        <v>62000113</v>
      </c>
      <c r="D1313" s="19" t="s">
        <v>2834</v>
      </c>
      <c r="E1313" s="19" t="s">
        <v>2806</v>
      </c>
      <c r="F1313" s="18">
        <v>1</v>
      </c>
      <c r="G1313" s="18">
        <v>50042</v>
      </c>
      <c r="H1313" s="18">
        <v>0</v>
      </c>
      <c r="I1313" s="27">
        <v>0</v>
      </c>
      <c r="J1313" s="18">
        <v>1</v>
      </c>
      <c r="K1313" s="18">
        <v>0</v>
      </c>
      <c r="L1313" s="16">
        <v>0</v>
      </c>
      <c r="M1313" s="18">
        <v>0</v>
      </c>
      <c r="N1313" s="18">
        <v>0</v>
      </c>
      <c r="O1313" s="18">
        <v>1</v>
      </c>
      <c r="P1313" s="18">
        <v>0</v>
      </c>
      <c r="Q1313" s="18">
        <v>0</v>
      </c>
      <c r="R1313" s="18">
        <v>0</v>
      </c>
      <c r="S1313" s="12">
        <v>0</v>
      </c>
      <c r="T1313" s="27">
        <v>0</v>
      </c>
      <c r="U1313" s="16">
        <v>1</v>
      </c>
      <c r="V1313" s="18">
        <v>2</v>
      </c>
      <c r="W1313" s="18">
        <v>0</v>
      </c>
      <c r="X1313" s="18">
        <v>3.5</v>
      </c>
      <c r="Y1313" s="12">
        <v>0</v>
      </c>
      <c r="Z1313" s="18">
        <v>2500</v>
      </c>
      <c r="AA1313" s="18">
        <v>0</v>
      </c>
      <c r="AB1313" s="18">
        <v>0</v>
      </c>
      <c r="AC1313" s="18">
        <v>0</v>
      </c>
      <c r="AD1313" s="18">
        <v>0</v>
      </c>
      <c r="AE1313" s="18">
        <v>0</v>
      </c>
      <c r="AF1313" s="18">
        <v>20</v>
      </c>
      <c r="AG1313" s="18">
        <v>1</v>
      </c>
      <c r="AH1313" s="18">
        <v>4</v>
      </c>
      <c r="AI1313" s="12">
        <v>2</v>
      </c>
      <c r="AJ1313" s="12">
        <v>1</v>
      </c>
      <c r="AK1313" s="12">
        <v>0</v>
      </c>
      <c r="AL1313" s="12">
        <v>6</v>
      </c>
      <c r="AM1313" s="18">
        <v>0</v>
      </c>
      <c r="AN1313" s="18">
        <v>0</v>
      </c>
      <c r="AO1313" s="18">
        <v>0</v>
      </c>
      <c r="AP1313" s="18">
        <v>0.5</v>
      </c>
      <c r="AQ1313" s="18">
        <v>30000</v>
      </c>
      <c r="AR1313" s="18">
        <v>0</v>
      </c>
      <c r="AS1313" s="18">
        <v>0</v>
      </c>
      <c r="AT1313" s="12">
        <v>0</v>
      </c>
      <c r="AU1313" s="18">
        <v>92000050</v>
      </c>
      <c r="AV1313" s="18"/>
      <c r="AW1313" s="17" t="s">
        <v>199</v>
      </c>
      <c r="AX1313" s="18" t="s">
        <v>545</v>
      </c>
      <c r="AY1313" s="18">
        <v>10003002</v>
      </c>
      <c r="AZ1313" s="18">
        <v>21409001</v>
      </c>
      <c r="BA1313" s="19" t="s">
        <v>200</v>
      </c>
      <c r="BB1313" s="19">
        <v>0</v>
      </c>
      <c r="BC1313" s="27">
        <v>0</v>
      </c>
      <c r="BD1313" s="27">
        <v>0</v>
      </c>
      <c r="BE1313" s="44" t="s">
        <v>2835</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62000114</v>
      </c>
      <c r="D1314" s="19" t="s">
        <v>2836</v>
      </c>
      <c r="E1314" s="19" t="s">
        <v>2815</v>
      </c>
      <c r="F1314" s="18">
        <v>1</v>
      </c>
      <c r="G1314" s="18">
        <v>50052</v>
      </c>
      <c r="H1314" s="18">
        <v>0</v>
      </c>
      <c r="I1314" s="27">
        <v>0</v>
      </c>
      <c r="J1314" s="18">
        <v>1</v>
      </c>
      <c r="K1314" s="18">
        <v>0</v>
      </c>
      <c r="L1314" s="16">
        <v>0</v>
      </c>
      <c r="M1314" s="18">
        <v>0</v>
      </c>
      <c r="N1314" s="18">
        <v>0</v>
      </c>
      <c r="O1314" s="18">
        <v>2</v>
      </c>
      <c r="P1314" s="18">
        <v>2</v>
      </c>
      <c r="Q1314" s="18">
        <v>0.5</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35</v>
      </c>
      <c r="AG1314" s="18">
        <v>0</v>
      </c>
      <c r="AH1314" s="18">
        <v>0</v>
      </c>
      <c r="AI1314" s="12">
        <v>2</v>
      </c>
      <c r="AJ1314" s="12">
        <v>1</v>
      </c>
      <c r="AK1314" s="12">
        <v>0</v>
      </c>
      <c r="AL1314" s="12">
        <v>0</v>
      </c>
      <c r="AM1314" s="18">
        <v>0</v>
      </c>
      <c r="AN1314" s="18">
        <v>0</v>
      </c>
      <c r="AO1314" s="18">
        <v>0</v>
      </c>
      <c r="AP1314" s="18">
        <v>0</v>
      </c>
      <c r="AQ1314" s="18">
        <v>1000</v>
      </c>
      <c r="AR1314" s="18">
        <v>0</v>
      </c>
      <c r="AS1314" s="18">
        <v>0</v>
      </c>
      <c r="AT1314" s="12">
        <v>92000051</v>
      </c>
      <c r="AU1314" s="18" t="s">
        <v>198</v>
      </c>
      <c r="AV1314" s="18"/>
      <c r="AW1314" s="17" t="s">
        <v>199</v>
      </c>
      <c r="AX1314" s="18" t="s">
        <v>1837</v>
      </c>
      <c r="AY1314" s="18">
        <v>0</v>
      </c>
      <c r="AZ1314" s="18">
        <v>0</v>
      </c>
      <c r="BA1314" s="19" t="s">
        <v>200</v>
      </c>
      <c r="BB1314" s="19" t="s">
        <v>198</v>
      </c>
      <c r="BC1314" s="27">
        <v>0</v>
      </c>
      <c r="BD1314" s="27">
        <v>0</v>
      </c>
      <c r="BE1314" s="44" t="s">
        <v>2837</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row>
    <row r="1315" spans="3:75" ht="20.25" customHeight="1">
      <c r="C1315" s="18">
        <v>62000115</v>
      </c>
      <c r="D1315" s="19" t="s">
        <v>2838</v>
      </c>
      <c r="E1315" s="19" t="s">
        <v>2717</v>
      </c>
      <c r="F1315" s="18">
        <v>1</v>
      </c>
      <c r="G1315" s="18">
        <v>50053</v>
      </c>
      <c r="H1315" s="18">
        <v>0</v>
      </c>
      <c r="I1315" s="27">
        <v>0</v>
      </c>
      <c r="J1315" s="18">
        <v>1</v>
      </c>
      <c r="K1315" s="18">
        <v>0</v>
      </c>
      <c r="L1315" s="16">
        <v>0</v>
      </c>
      <c r="M1315" s="18">
        <v>0</v>
      </c>
      <c r="N1315" s="18">
        <v>0</v>
      </c>
      <c r="O1315" s="18">
        <v>2</v>
      </c>
      <c r="P1315" s="18">
        <v>17</v>
      </c>
      <c r="Q1315" s="18">
        <v>0.1</v>
      </c>
      <c r="R1315" s="18">
        <v>0</v>
      </c>
      <c r="S1315" s="12">
        <v>0</v>
      </c>
      <c r="T1315" s="27">
        <v>0</v>
      </c>
      <c r="U1315" s="16">
        <v>1</v>
      </c>
      <c r="V1315" s="18">
        <v>2</v>
      </c>
      <c r="W1315" s="18">
        <v>0</v>
      </c>
      <c r="X1315" s="18">
        <v>1</v>
      </c>
      <c r="Y1315" s="12">
        <v>0</v>
      </c>
      <c r="Z1315" s="18">
        <v>0</v>
      </c>
      <c r="AA1315" s="18">
        <v>0</v>
      </c>
      <c r="AB1315" s="18">
        <v>0</v>
      </c>
      <c r="AC1315" s="18">
        <v>0</v>
      </c>
      <c r="AD1315" s="18">
        <v>1</v>
      </c>
      <c r="AE1315" s="18">
        <v>0</v>
      </c>
      <c r="AF1315" s="18">
        <v>1</v>
      </c>
      <c r="AG1315" s="18">
        <v>0</v>
      </c>
      <c r="AH1315" s="18">
        <v>0</v>
      </c>
      <c r="AI1315" s="12">
        <v>7</v>
      </c>
      <c r="AJ1315" s="12">
        <v>0</v>
      </c>
      <c r="AK1315" s="12">
        <v>0</v>
      </c>
      <c r="AL1315" s="12">
        <v>3</v>
      </c>
      <c r="AM1315" s="18">
        <v>0</v>
      </c>
      <c r="AN1315" s="18">
        <v>0</v>
      </c>
      <c r="AO1315" s="18">
        <v>0</v>
      </c>
      <c r="AP1315" s="18">
        <v>0</v>
      </c>
      <c r="AQ1315" s="18">
        <v>3000</v>
      </c>
      <c r="AR1315" s="18">
        <v>0.5</v>
      </c>
      <c r="AS1315" s="18">
        <v>0</v>
      </c>
      <c r="AT1315" s="12">
        <v>0</v>
      </c>
      <c r="AU1315" s="12">
        <v>92000057</v>
      </c>
      <c r="AV1315" s="18"/>
      <c r="AW1315" s="17" t="s">
        <v>199</v>
      </c>
      <c r="AX1315" s="18">
        <v>0</v>
      </c>
      <c r="AY1315" s="18">
        <v>0</v>
      </c>
      <c r="AZ1315" s="18">
        <v>0</v>
      </c>
      <c r="BA1315" s="19" t="s">
        <v>200</v>
      </c>
      <c r="BB1315" s="19">
        <v>0</v>
      </c>
      <c r="BC1315" s="27">
        <v>0</v>
      </c>
      <c r="BD1315" s="27">
        <v>0</v>
      </c>
      <c r="BE1315" s="44" t="s">
        <v>2839</v>
      </c>
      <c r="BF1315" s="44"/>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spans="3:75" ht="20.25" customHeight="1">
      <c r="C1316" s="18">
        <v>62000116</v>
      </c>
      <c r="D1316" s="19" t="s">
        <v>2840</v>
      </c>
      <c r="E1316" s="19" t="s">
        <v>2717</v>
      </c>
      <c r="F1316" s="18">
        <v>1</v>
      </c>
      <c r="G1316" s="18">
        <v>50061</v>
      </c>
      <c r="H1316" s="18">
        <v>0</v>
      </c>
      <c r="I1316" s="27">
        <v>0</v>
      </c>
      <c r="J1316" s="18">
        <v>1</v>
      </c>
      <c r="K1316" s="18">
        <v>0</v>
      </c>
      <c r="L1316" s="16">
        <v>0</v>
      </c>
      <c r="M1316" s="18">
        <v>0</v>
      </c>
      <c r="N1316" s="18">
        <v>0</v>
      </c>
      <c r="O1316" s="18">
        <v>2</v>
      </c>
      <c r="P1316" s="18">
        <v>17</v>
      </c>
      <c r="Q1316" s="18">
        <v>0.3</v>
      </c>
      <c r="R1316" s="18">
        <v>0</v>
      </c>
      <c r="S1316" s="12">
        <v>0</v>
      </c>
      <c r="T1316" s="27">
        <v>0</v>
      </c>
      <c r="U1316" s="16">
        <v>1</v>
      </c>
      <c r="V1316" s="18">
        <v>2</v>
      </c>
      <c r="W1316" s="18">
        <v>0</v>
      </c>
      <c r="X1316" s="18">
        <v>1</v>
      </c>
      <c r="Y1316" s="12">
        <v>0</v>
      </c>
      <c r="Z1316" s="18">
        <v>0</v>
      </c>
      <c r="AA1316" s="18">
        <v>0</v>
      </c>
      <c r="AB1316" s="18">
        <v>0</v>
      </c>
      <c r="AC1316" s="18">
        <v>0</v>
      </c>
      <c r="AD1316" s="18">
        <v>1</v>
      </c>
      <c r="AE1316" s="18">
        <v>0</v>
      </c>
      <c r="AF1316" s="18">
        <v>1</v>
      </c>
      <c r="AG1316" s="18">
        <v>0</v>
      </c>
      <c r="AH1316" s="18">
        <v>0</v>
      </c>
      <c r="AI1316" s="12">
        <v>7</v>
      </c>
      <c r="AJ1316" s="12">
        <v>0</v>
      </c>
      <c r="AK1316" s="12">
        <v>0</v>
      </c>
      <c r="AL1316" s="12">
        <v>3</v>
      </c>
      <c r="AM1316" s="18">
        <v>0</v>
      </c>
      <c r="AN1316" s="18">
        <v>0</v>
      </c>
      <c r="AO1316" s="18">
        <v>0</v>
      </c>
      <c r="AP1316" s="18">
        <v>0</v>
      </c>
      <c r="AQ1316" s="18">
        <v>3000</v>
      </c>
      <c r="AR1316" s="18">
        <v>0.5</v>
      </c>
      <c r="AS1316" s="18">
        <v>0</v>
      </c>
      <c r="AT1316" s="12">
        <v>0</v>
      </c>
      <c r="AU1316" s="18">
        <v>92000056</v>
      </c>
      <c r="AV1316" s="18"/>
      <c r="AW1316" s="17" t="s">
        <v>199</v>
      </c>
      <c r="AX1316" s="18">
        <v>0</v>
      </c>
      <c r="AY1316" s="18">
        <v>0</v>
      </c>
      <c r="AZ1316" s="18">
        <v>0</v>
      </c>
      <c r="BA1316" s="19" t="s">
        <v>200</v>
      </c>
      <c r="BB1316" s="19">
        <v>0</v>
      </c>
      <c r="BC1316" s="27">
        <v>0</v>
      </c>
      <c r="BD1316" s="27">
        <v>0</v>
      </c>
      <c r="BE1316" s="44" t="s">
        <v>2841</v>
      </c>
      <c r="BF1316" s="44"/>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row>
    <row r="1317" spans="3:75" ht="20.25" customHeight="1">
      <c r="C1317" s="18">
        <v>62000117</v>
      </c>
      <c r="D1317" s="19" t="s">
        <v>2842</v>
      </c>
      <c r="E1317" s="19" t="s">
        <v>2815</v>
      </c>
      <c r="F1317" s="18">
        <v>1</v>
      </c>
      <c r="G1317" s="18">
        <v>50062</v>
      </c>
      <c r="H1317" s="18">
        <v>0</v>
      </c>
      <c r="I1317" s="27">
        <v>0</v>
      </c>
      <c r="J1317" s="18">
        <v>1</v>
      </c>
      <c r="K1317" s="18">
        <v>0</v>
      </c>
      <c r="L1317" s="16">
        <v>0</v>
      </c>
      <c r="M1317" s="18">
        <v>0</v>
      </c>
      <c r="N1317" s="18">
        <v>0</v>
      </c>
      <c r="O1317" s="18">
        <v>2</v>
      </c>
      <c r="P1317" s="18">
        <v>2</v>
      </c>
      <c r="Q1317" s="18">
        <v>0.4</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30</v>
      </c>
      <c r="AG1317" s="18">
        <v>0</v>
      </c>
      <c r="AH1317" s="18">
        <v>0</v>
      </c>
      <c r="AI1317" s="12">
        <v>2</v>
      </c>
      <c r="AJ1317" s="12">
        <v>1</v>
      </c>
      <c r="AK1317" s="12">
        <v>0</v>
      </c>
      <c r="AL1317" s="12">
        <v>0</v>
      </c>
      <c r="AM1317" s="18">
        <v>0</v>
      </c>
      <c r="AN1317" s="18">
        <v>0</v>
      </c>
      <c r="AO1317" s="18">
        <v>0</v>
      </c>
      <c r="AP1317" s="18">
        <v>0</v>
      </c>
      <c r="AQ1317" s="18">
        <v>1000</v>
      </c>
      <c r="AR1317" s="18">
        <v>0</v>
      </c>
      <c r="AS1317" s="18">
        <v>0</v>
      </c>
      <c r="AT1317" s="341" t="s">
        <v>2843</v>
      </c>
      <c r="AU1317" s="18" t="s">
        <v>198</v>
      </c>
      <c r="AV1317" s="18"/>
      <c r="AW1317" s="17" t="s">
        <v>199</v>
      </c>
      <c r="AX1317" s="18" t="s">
        <v>1837</v>
      </c>
      <c r="AY1317" s="18">
        <v>0</v>
      </c>
      <c r="AZ1317" s="18">
        <v>0</v>
      </c>
      <c r="BA1317" s="19" t="s">
        <v>200</v>
      </c>
      <c r="BB1317" s="19" t="s">
        <v>198</v>
      </c>
      <c r="BC1317" s="27">
        <v>0</v>
      </c>
      <c r="BD1317" s="27">
        <v>0</v>
      </c>
      <c r="BE1317" s="44" t="s">
        <v>2844</v>
      </c>
      <c r="BF1317" s="44"/>
      <c r="BG1317" s="18">
        <v>0</v>
      </c>
      <c r="BH1317" s="16">
        <v>0</v>
      </c>
      <c r="BI1317" s="18">
        <v>0</v>
      </c>
      <c r="BJ1317" s="18">
        <v>0</v>
      </c>
      <c r="BK1317" s="18">
        <v>0</v>
      </c>
      <c r="BL1317" s="18">
        <v>0</v>
      </c>
      <c r="BM1317" s="15">
        <v>0</v>
      </c>
      <c r="BN1317" s="12">
        <v>0</v>
      </c>
      <c r="BO1317" s="12">
        <v>0</v>
      </c>
      <c r="BP1317" s="12">
        <v>0</v>
      </c>
      <c r="BQ1317" s="12">
        <v>0</v>
      </c>
      <c r="BR1317" s="12">
        <v>0</v>
      </c>
      <c r="BS1317" s="12">
        <v>0</v>
      </c>
      <c r="BT1317" s="12">
        <v>0</v>
      </c>
      <c r="BU1317" s="47">
        <v>0</v>
      </c>
      <c r="BV1317" s="47"/>
      <c r="BW1317" s="47"/>
    </row>
    <row r="1318" spans="3:75" ht="20.25" customHeight="1">
      <c r="C1318" s="18">
        <v>62000118</v>
      </c>
      <c r="D1318" s="19" t="s">
        <v>2752</v>
      </c>
      <c r="E1318" s="19" t="s">
        <v>2753</v>
      </c>
      <c r="F1318" s="18">
        <v>1</v>
      </c>
      <c r="G1318" s="18">
        <v>50063</v>
      </c>
      <c r="H1318" s="18">
        <v>0</v>
      </c>
      <c r="I1318" s="27">
        <v>0</v>
      </c>
      <c r="J1318" s="18">
        <v>1</v>
      </c>
      <c r="K1318" s="18">
        <v>0</v>
      </c>
      <c r="L1318" s="16">
        <v>0</v>
      </c>
      <c r="M1318" s="18">
        <v>0</v>
      </c>
      <c r="N1318" s="18">
        <v>0</v>
      </c>
      <c r="O1318" s="18">
        <v>2</v>
      </c>
      <c r="P1318" s="18">
        <v>1</v>
      </c>
      <c r="Q1318" s="18">
        <v>0.1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1</v>
      </c>
      <c r="AG1318" s="18">
        <v>0</v>
      </c>
      <c r="AH1318" s="18">
        <v>0</v>
      </c>
      <c r="AI1318" s="12">
        <v>7</v>
      </c>
      <c r="AJ1318" s="12">
        <v>0</v>
      </c>
      <c r="AK1318" s="12">
        <v>0</v>
      </c>
      <c r="AL1318" s="12">
        <v>0</v>
      </c>
      <c r="AM1318" s="18">
        <v>0</v>
      </c>
      <c r="AN1318" s="18">
        <v>0</v>
      </c>
      <c r="AO1318" s="18">
        <v>0</v>
      </c>
      <c r="AP1318" s="18">
        <v>0</v>
      </c>
      <c r="AQ1318" s="18">
        <v>1000</v>
      </c>
      <c r="AR1318" s="18">
        <v>0</v>
      </c>
      <c r="AS1318" s="18">
        <v>0</v>
      </c>
      <c r="AT1318" s="12">
        <v>0</v>
      </c>
      <c r="AU1318" s="18" t="s">
        <v>2845</v>
      </c>
      <c r="AV1318" s="18"/>
      <c r="AW1318" s="17" t="s">
        <v>199</v>
      </c>
      <c r="AX1318" s="18" t="s">
        <v>1837</v>
      </c>
      <c r="AY1318" s="18">
        <v>0</v>
      </c>
      <c r="AZ1318" s="18">
        <v>0</v>
      </c>
      <c r="BA1318" s="19" t="s">
        <v>200</v>
      </c>
      <c r="BB1318" s="19" t="s">
        <v>198</v>
      </c>
      <c r="BC1318" s="27">
        <v>0</v>
      </c>
      <c r="BD1318" s="27">
        <v>0</v>
      </c>
      <c r="BE1318" s="44" t="s">
        <v>2755</v>
      </c>
      <c r="BF1318" s="44" t="s">
        <v>2756</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row>
    <row r="1319" spans="3:75" ht="19.5" customHeight="1">
      <c r="C1319" s="18">
        <v>62000119</v>
      </c>
      <c r="D1319" s="19" t="s">
        <v>2431</v>
      </c>
      <c r="E1319" s="19" t="s">
        <v>1564</v>
      </c>
      <c r="F1319" s="16">
        <v>1</v>
      </c>
      <c r="G1319" s="12">
        <v>50023</v>
      </c>
      <c r="H1319" s="18">
        <v>0</v>
      </c>
      <c r="I1319" s="27">
        <v>0</v>
      </c>
      <c r="J1319" s="16">
        <v>1</v>
      </c>
      <c r="K1319" s="16">
        <v>0</v>
      </c>
      <c r="L1319" s="16">
        <v>0</v>
      </c>
      <c r="M1319" s="18">
        <v>0</v>
      </c>
      <c r="N1319" s="18">
        <v>0</v>
      </c>
      <c r="O1319" s="18">
        <v>2</v>
      </c>
      <c r="P1319" s="18">
        <v>1</v>
      </c>
      <c r="Q1319" s="18">
        <v>0.1</v>
      </c>
      <c r="R1319" s="18">
        <v>0</v>
      </c>
      <c r="S1319" s="12">
        <v>0</v>
      </c>
      <c r="T1319" s="27">
        <v>0</v>
      </c>
      <c r="U1319" s="16">
        <v>1</v>
      </c>
      <c r="V1319" s="18">
        <v>2</v>
      </c>
      <c r="W1319" s="18">
        <v>0</v>
      </c>
      <c r="X1319" s="18">
        <v>3</v>
      </c>
      <c r="Y1319" s="12">
        <v>0</v>
      </c>
      <c r="Z1319" s="18">
        <v>1500</v>
      </c>
      <c r="AA1319" s="18">
        <v>0</v>
      </c>
      <c r="AB1319" s="18">
        <v>0</v>
      </c>
      <c r="AC1319" s="18">
        <v>0</v>
      </c>
      <c r="AD1319" s="18">
        <v>0</v>
      </c>
      <c r="AE1319" s="18">
        <v>0</v>
      </c>
      <c r="AF1319" s="18">
        <v>10</v>
      </c>
      <c r="AG1319" s="18">
        <v>2</v>
      </c>
      <c r="AH1319" s="18" t="s">
        <v>801</v>
      </c>
      <c r="AI1319" s="12">
        <v>2</v>
      </c>
      <c r="AJ1319" s="12">
        <v>3</v>
      </c>
      <c r="AK1319" s="12">
        <v>0</v>
      </c>
      <c r="AL1319" s="12">
        <v>2</v>
      </c>
      <c r="AM1319" s="18">
        <v>0</v>
      </c>
      <c r="AN1319" s="18">
        <v>0</v>
      </c>
      <c r="AO1319" s="18">
        <v>0</v>
      </c>
      <c r="AP1319" s="18">
        <v>0.25</v>
      </c>
      <c r="AQ1319" s="18">
        <v>3000</v>
      </c>
      <c r="AR1319" s="18">
        <v>0.1</v>
      </c>
      <c r="AS1319" s="18">
        <v>0</v>
      </c>
      <c r="AT1319" s="12">
        <v>0</v>
      </c>
      <c r="AU1319" s="349" t="s">
        <v>2433</v>
      </c>
      <c r="AV1319" s="18"/>
      <c r="AW1319" s="19" t="s">
        <v>256</v>
      </c>
      <c r="AX1319" s="18" t="s">
        <v>545</v>
      </c>
      <c r="AY1319" s="18">
        <v>10001007</v>
      </c>
      <c r="AZ1319" s="18">
        <v>21401010</v>
      </c>
      <c r="BA1319" s="19" t="s">
        <v>200</v>
      </c>
      <c r="BB1319" s="19">
        <v>0</v>
      </c>
      <c r="BC1319" s="27">
        <v>0</v>
      </c>
      <c r="BD1319" s="27">
        <v>0</v>
      </c>
      <c r="BE1319" s="183" t="str">
        <f t="shared" ref="BE1319" si="147">"立即对前方范围内的敌人造成"&amp;X1319*100&amp;"%攻击伤害+"&amp;Z1319&amp;"点固定伤害,并将其置空1秒"</f>
        <v>立即对前方范围内的敌人造成300%攻击伤害+1500点固定伤害,并将其置空1秒</v>
      </c>
      <c r="BF1319" s="183" t="s">
        <v>1568</v>
      </c>
      <c r="BG1319" s="18">
        <v>0</v>
      </c>
      <c r="BH1319" s="16">
        <v>0</v>
      </c>
      <c r="BI1319" s="18">
        <v>0</v>
      </c>
      <c r="BJ1319" s="18">
        <v>0</v>
      </c>
      <c r="BK1319" s="18">
        <v>0</v>
      </c>
      <c r="BL1319" s="18">
        <v>0</v>
      </c>
      <c r="BM1319" s="15">
        <v>0</v>
      </c>
      <c r="BN1319" s="12">
        <v>0</v>
      </c>
      <c r="BO1319" s="12">
        <v>0</v>
      </c>
      <c r="BP1319" s="12">
        <v>0</v>
      </c>
      <c r="BQ1319" s="12">
        <v>0</v>
      </c>
      <c r="BR1319" s="12">
        <v>0</v>
      </c>
      <c r="BS1319" s="12">
        <v>0</v>
      </c>
      <c r="BT1319" s="12">
        <v>0</v>
      </c>
      <c r="BU1319" s="47">
        <v>0</v>
      </c>
      <c r="BV1319" s="47"/>
      <c r="BW1319" s="47"/>
    </row>
    <row r="1320" spans="3:75" ht="19.5" customHeight="1">
      <c r="C1320" s="180">
        <v>62000120</v>
      </c>
      <c r="D1320" s="236" t="s">
        <v>2846</v>
      </c>
      <c r="E1320" s="236" t="s">
        <v>2737</v>
      </c>
      <c r="F1320" s="18">
        <v>1</v>
      </c>
      <c r="G1320" s="16">
        <v>60010100</v>
      </c>
      <c r="H1320" s="18">
        <v>0</v>
      </c>
      <c r="I1320" s="27">
        <v>0</v>
      </c>
      <c r="J1320" s="18">
        <v>1</v>
      </c>
      <c r="K1320" s="18">
        <v>0</v>
      </c>
      <c r="L1320" s="18">
        <v>0</v>
      </c>
      <c r="M1320" s="16">
        <v>0</v>
      </c>
      <c r="N1320" s="16">
        <v>0</v>
      </c>
      <c r="O1320" s="16">
        <v>2</v>
      </c>
      <c r="P1320" s="16">
        <v>1</v>
      </c>
      <c r="Q1320" s="16">
        <v>1</v>
      </c>
      <c r="R1320" s="16">
        <v>0</v>
      </c>
      <c r="S1320" s="12">
        <v>0</v>
      </c>
      <c r="T1320" s="16">
        <v>0</v>
      </c>
      <c r="U1320" s="16">
        <v>1</v>
      </c>
      <c r="V1320" s="16">
        <v>2</v>
      </c>
      <c r="W1320" s="16">
        <v>0</v>
      </c>
      <c r="X1320" s="16">
        <v>3.5</v>
      </c>
      <c r="Y1320" s="12">
        <v>0</v>
      </c>
      <c r="Z1320" s="16">
        <v>0</v>
      </c>
      <c r="AA1320" s="16">
        <v>0</v>
      </c>
      <c r="AB1320" s="16">
        <v>0</v>
      </c>
      <c r="AC1320" s="16">
        <v>0</v>
      </c>
      <c r="AD1320" s="16">
        <v>0</v>
      </c>
      <c r="AE1320" s="16">
        <v>0</v>
      </c>
      <c r="AF1320" s="16">
        <v>1</v>
      </c>
      <c r="AG1320" s="16">
        <v>1</v>
      </c>
      <c r="AH1320" s="16">
        <v>3</v>
      </c>
      <c r="AI1320" s="12">
        <v>1</v>
      </c>
      <c r="AJ1320" s="12">
        <v>0</v>
      </c>
      <c r="AK1320" s="12">
        <v>0</v>
      </c>
      <c r="AL1320" s="12">
        <v>0</v>
      </c>
      <c r="AM1320" s="16">
        <v>0</v>
      </c>
      <c r="AN1320" s="16">
        <v>0</v>
      </c>
      <c r="AO1320" s="16">
        <v>0</v>
      </c>
      <c r="AP1320" s="16">
        <v>0</v>
      </c>
      <c r="AQ1320" s="16">
        <v>5000</v>
      </c>
      <c r="AR1320" s="16">
        <v>0</v>
      </c>
      <c r="AS1320" s="16">
        <v>0</v>
      </c>
      <c r="AT1320" s="12">
        <v>0</v>
      </c>
      <c r="AU1320" s="18">
        <v>92000050</v>
      </c>
      <c r="AV1320" s="16"/>
      <c r="AW1320" s="19" t="s">
        <v>256</v>
      </c>
      <c r="AX1320" s="16" t="s">
        <v>534</v>
      </c>
      <c r="AY1320" s="18">
        <v>10000007</v>
      </c>
      <c r="AZ1320" s="18">
        <v>70403005</v>
      </c>
      <c r="BA1320" s="17" t="s">
        <v>200</v>
      </c>
      <c r="BB1320" s="16">
        <v>0</v>
      </c>
      <c r="BC1320" s="27">
        <v>0</v>
      </c>
      <c r="BD1320" s="27">
        <v>0</v>
      </c>
      <c r="BE1320" s="44" t="s">
        <v>2738</v>
      </c>
      <c r="BF1320" s="44" t="s">
        <v>2739</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25" customHeight="1">
      <c r="C1321" s="16">
        <v>63001001</v>
      </c>
      <c r="D1321" s="19" t="s">
        <v>2847</v>
      </c>
      <c r="E1321" s="19" t="s">
        <v>2848</v>
      </c>
      <c r="F1321" s="18">
        <v>1</v>
      </c>
      <c r="G1321" s="18">
        <v>63001001</v>
      </c>
      <c r="H1321" s="18">
        <v>0</v>
      </c>
      <c r="I1321" s="27">
        <v>0</v>
      </c>
      <c r="J1321" s="18">
        <v>1</v>
      </c>
      <c r="K1321" s="18">
        <v>0</v>
      </c>
      <c r="L1321" s="16">
        <v>0</v>
      </c>
      <c r="M1321" s="18">
        <v>0</v>
      </c>
      <c r="N1321" s="18">
        <v>0</v>
      </c>
      <c r="O1321" s="18">
        <v>2</v>
      </c>
      <c r="P1321" s="18">
        <v>12</v>
      </c>
      <c r="Q1321" s="18">
        <v>1</v>
      </c>
      <c r="R1321" s="18">
        <v>0</v>
      </c>
      <c r="S1321" s="12">
        <v>0</v>
      </c>
      <c r="T1321" s="27">
        <v>0</v>
      </c>
      <c r="U1321" s="16">
        <v>1</v>
      </c>
      <c r="V1321" s="18">
        <v>2</v>
      </c>
      <c r="W1321" s="18">
        <v>0</v>
      </c>
      <c r="X1321" s="18">
        <v>0</v>
      </c>
      <c r="Y1321" s="12">
        <v>0</v>
      </c>
      <c r="Z1321" s="18">
        <v>0</v>
      </c>
      <c r="AA1321" s="18">
        <v>0</v>
      </c>
      <c r="AB1321" s="18">
        <v>0</v>
      </c>
      <c r="AC1321" s="18">
        <v>0</v>
      </c>
      <c r="AD1321" s="18">
        <v>1</v>
      </c>
      <c r="AE1321" s="18">
        <v>0</v>
      </c>
      <c r="AF1321" s="18">
        <v>60</v>
      </c>
      <c r="AG1321" s="18">
        <v>1</v>
      </c>
      <c r="AH1321" s="18" t="s">
        <v>607</v>
      </c>
      <c r="AI1321" s="12">
        <v>0</v>
      </c>
      <c r="AJ1321" s="12">
        <v>0</v>
      </c>
      <c r="AK1321" s="12">
        <v>0</v>
      </c>
      <c r="AL1321" s="12">
        <v>0</v>
      </c>
      <c r="AM1321" s="18">
        <v>0</v>
      </c>
      <c r="AN1321" s="18">
        <v>0</v>
      </c>
      <c r="AO1321" s="18">
        <v>0</v>
      </c>
      <c r="AP1321" s="18">
        <v>0</v>
      </c>
      <c r="AQ1321" s="18">
        <v>50000</v>
      </c>
      <c r="AR1321" s="18">
        <v>0</v>
      </c>
      <c r="AS1321" s="18">
        <v>0</v>
      </c>
      <c r="AT1321" s="12">
        <v>0</v>
      </c>
      <c r="AU1321" s="18">
        <v>90501001</v>
      </c>
      <c r="AV1321" s="18"/>
      <c r="AW1321" s="17" t="s">
        <v>198</v>
      </c>
      <c r="AX1321" s="18">
        <v>0</v>
      </c>
      <c r="AY1321" s="18">
        <v>0</v>
      </c>
      <c r="AZ1321" s="18">
        <v>0</v>
      </c>
      <c r="BA1321" s="19" t="s">
        <v>2849</v>
      </c>
      <c r="BB1321" s="19">
        <v>0</v>
      </c>
      <c r="BC1321" s="27">
        <v>0</v>
      </c>
      <c r="BD1321" s="27">
        <v>0</v>
      </c>
      <c r="BE1321" s="44" t="s">
        <v>2850</v>
      </c>
      <c r="BF1321" s="44" t="s">
        <v>2851</v>
      </c>
      <c r="BG1321" s="18">
        <v>0</v>
      </c>
      <c r="BH1321" s="16">
        <v>0</v>
      </c>
      <c r="BI1321" s="18">
        <v>0</v>
      </c>
      <c r="BJ1321" s="18">
        <v>0</v>
      </c>
      <c r="BK1321" s="18">
        <v>0</v>
      </c>
      <c r="BL1321" s="18">
        <v>0</v>
      </c>
      <c r="BM1321" s="15">
        <v>0</v>
      </c>
      <c r="BN1321" s="12">
        <v>1</v>
      </c>
      <c r="BO1321" s="12">
        <v>0</v>
      </c>
      <c r="BP1321" s="12">
        <v>0</v>
      </c>
      <c r="BQ1321" s="12">
        <v>0</v>
      </c>
      <c r="BR1321" s="12">
        <v>0</v>
      </c>
      <c r="BS1321" s="12">
        <v>0</v>
      </c>
      <c r="BT1321" s="12">
        <v>0</v>
      </c>
      <c r="BU1321" s="47">
        <v>0</v>
      </c>
      <c r="BV1321" s="47"/>
      <c r="BW1321" s="47"/>
    </row>
    <row r="1322" spans="3:75" ht="20.100000000000001" customHeight="1">
      <c r="C1322" s="16">
        <v>63001002</v>
      </c>
      <c r="D1322" s="17" t="s">
        <v>2852</v>
      </c>
      <c r="E1322" s="17" t="s">
        <v>2853</v>
      </c>
      <c r="F1322" s="16">
        <v>1</v>
      </c>
      <c r="G1322" s="16">
        <v>63001002</v>
      </c>
      <c r="H1322" s="18">
        <v>0</v>
      </c>
      <c r="I1322" s="27">
        <v>0</v>
      </c>
      <c r="J1322" s="18">
        <v>1</v>
      </c>
      <c r="K1322" s="18">
        <v>0</v>
      </c>
      <c r="L1322" s="16">
        <v>0</v>
      </c>
      <c r="M1322" s="16">
        <v>0</v>
      </c>
      <c r="N1322" s="16">
        <v>0</v>
      </c>
      <c r="O1322" s="16">
        <v>8</v>
      </c>
      <c r="P1322" s="16">
        <v>0</v>
      </c>
      <c r="Q1322" s="16">
        <v>0</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0</v>
      </c>
      <c r="AG1322" s="16">
        <v>2</v>
      </c>
      <c r="AH1322" s="16" t="s">
        <v>213</v>
      </c>
      <c r="AI1322" s="12">
        <v>2</v>
      </c>
      <c r="AJ1322" s="12">
        <v>2</v>
      </c>
      <c r="AK1322" s="12">
        <v>0</v>
      </c>
      <c r="AL1322" s="12">
        <v>1.5</v>
      </c>
      <c r="AM1322" s="16">
        <v>0</v>
      </c>
      <c r="AN1322" s="16">
        <v>0</v>
      </c>
      <c r="AO1322" s="16">
        <v>0</v>
      </c>
      <c r="AP1322" s="16">
        <v>0</v>
      </c>
      <c r="AQ1322" s="16">
        <v>3000</v>
      </c>
      <c r="AR1322" s="16">
        <v>0</v>
      </c>
      <c r="AS1322" s="16">
        <v>0</v>
      </c>
      <c r="AT1322" s="12">
        <v>0</v>
      </c>
      <c r="AU1322" s="16" t="s">
        <v>198</v>
      </c>
      <c r="AV1322" s="16"/>
      <c r="AW1322" s="17" t="s">
        <v>198</v>
      </c>
      <c r="AX1322" s="16">
        <v>0</v>
      </c>
      <c r="AY1322" s="18">
        <v>0</v>
      </c>
      <c r="AZ1322" s="18">
        <v>0</v>
      </c>
      <c r="BA1322" s="17" t="s">
        <v>200</v>
      </c>
      <c r="BB1322" s="16" t="s">
        <v>2854</v>
      </c>
      <c r="BC1322" s="27">
        <v>0</v>
      </c>
      <c r="BD1322" s="27">
        <v>0</v>
      </c>
      <c r="BE1322" s="44" t="s">
        <v>2855</v>
      </c>
      <c r="BF1322" s="44" t="s">
        <v>2856</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63001003</v>
      </c>
      <c r="D1323" s="17" t="s">
        <v>2857</v>
      </c>
      <c r="E1323" s="17" t="s">
        <v>2858</v>
      </c>
      <c r="F1323" s="16">
        <v>1</v>
      </c>
      <c r="G1323" s="16">
        <v>63003001</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2859</v>
      </c>
      <c r="BF1323" s="44" t="s">
        <v>2860</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19.5" customHeight="1">
      <c r="C1324" s="16">
        <v>63001004</v>
      </c>
      <c r="D1324" s="236" t="s">
        <v>2861</v>
      </c>
      <c r="E1324" s="236" t="s">
        <v>2862</v>
      </c>
      <c r="F1324" s="180">
        <v>1</v>
      </c>
      <c r="G1324" s="180">
        <v>63001004</v>
      </c>
      <c r="H1324" s="180">
        <v>0</v>
      </c>
      <c r="I1324" s="180">
        <v>0</v>
      </c>
      <c r="J1324" s="18">
        <v>1</v>
      </c>
      <c r="K1324" s="18">
        <v>0</v>
      </c>
      <c r="L1324" s="16">
        <v>0</v>
      </c>
      <c r="M1324" s="180">
        <v>0</v>
      </c>
      <c r="N1324" s="180">
        <v>0</v>
      </c>
      <c r="O1324" s="180">
        <v>2</v>
      </c>
      <c r="P1324" s="180">
        <v>17</v>
      </c>
      <c r="Q1324" s="180">
        <v>0.2</v>
      </c>
      <c r="R1324" s="180">
        <v>0</v>
      </c>
      <c r="S1324" s="12">
        <v>0</v>
      </c>
      <c r="T1324" s="180">
        <v>0</v>
      </c>
      <c r="U1324" s="180">
        <v>1</v>
      </c>
      <c r="V1324" s="180">
        <v>2</v>
      </c>
      <c r="W1324" s="180">
        <v>0</v>
      </c>
      <c r="X1324" s="180">
        <v>0</v>
      </c>
      <c r="Y1324" s="12">
        <v>0</v>
      </c>
      <c r="Z1324" s="180">
        <v>0</v>
      </c>
      <c r="AA1324" s="180">
        <v>0</v>
      </c>
      <c r="AB1324" s="180">
        <v>0</v>
      </c>
      <c r="AC1324" s="180">
        <v>0</v>
      </c>
      <c r="AD1324" s="16">
        <v>1</v>
      </c>
      <c r="AE1324" s="180">
        <v>0</v>
      </c>
      <c r="AF1324" s="180">
        <v>15</v>
      </c>
      <c r="AG1324" s="180">
        <v>2</v>
      </c>
      <c r="AH1324" s="180" t="s">
        <v>213</v>
      </c>
      <c r="AI1324" s="180">
        <v>2</v>
      </c>
      <c r="AJ1324" s="180">
        <v>3</v>
      </c>
      <c r="AK1324" s="12">
        <v>0</v>
      </c>
      <c r="AL1324" s="180">
        <v>1.5</v>
      </c>
      <c r="AM1324" s="180">
        <v>0</v>
      </c>
      <c r="AN1324" s="180">
        <v>0</v>
      </c>
      <c r="AO1324" s="180">
        <v>0</v>
      </c>
      <c r="AP1324" s="180">
        <v>0</v>
      </c>
      <c r="AQ1324" s="180">
        <v>3000</v>
      </c>
      <c r="AR1324" s="180">
        <v>0.5</v>
      </c>
      <c r="AS1324" s="180">
        <v>0</v>
      </c>
      <c r="AT1324" s="180">
        <v>0</v>
      </c>
      <c r="AU1324" s="180">
        <v>0</v>
      </c>
      <c r="AV1324" s="180"/>
      <c r="AW1324" s="236" t="s">
        <v>198</v>
      </c>
      <c r="AX1324" s="180">
        <v>0</v>
      </c>
      <c r="AY1324" s="180">
        <v>0</v>
      </c>
      <c r="AZ1324" s="180">
        <v>0</v>
      </c>
      <c r="BA1324" s="236" t="s">
        <v>200</v>
      </c>
      <c r="BB1324" s="236">
        <v>0</v>
      </c>
      <c r="BC1324" s="180">
        <v>0</v>
      </c>
      <c r="BD1324" s="180">
        <v>0</v>
      </c>
      <c r="BE1324" s="244" t="str">
        <f>"普通攻击和释放技能都有20%概率向目标施放元素法球技能"</f>
        <v>普通攻击和释放技能都有20%概率向目标施放元素法球技能</v>
      </c>
      <c r="BF1324" s="244" t="s">
        <v>2863</v>
      </c>
      <c r="BG1324" s="180">
        <v>0</v>
      </c>
      <c r="BH1324" s="16">
        <v>0</v>
      </c>
      <c r="BI1324" s="180">
        <v>0</v>
      </c>
      <c r="BJ1324" s="180">
        <v>0</v>
      </c>
      <c r="BK1324" s="180">
        <v>0</v>
      </c>
      <c r="BL1324" s="180">
        <v>0</v>
      </c>
      <c r="BM1324" s="362" t="s">
        <v>2864</v>
      </c>
      <c r="BN1324" s="12">
        <v>0</v>
      </c>
      <c r="BO1324" s="12">
        <v>0</v>
      </c>
      <c r="BP1324" s="12">
        <v>0</v>
      </c>
      <c r="BQ1324" s="12">
        <v>0</v>
      </c>
      <c r="BR1324" s="12">
        <v>0</v>
      </c>
      <c r="BS1324" s="12">
        <v>0</v>
      </c>
      <c r="BT1324" s="12">
        <v>0</v>
      </c>
      <c r="BU1324" s="47">
        <v>0</v>
      </c>
      <c r="BV1324" s="47"/>
      <c r="BW1324" s="47"/>
    </row>
    <row r="1325" spans="3:75" ht="20.100000000000001" customHeight="1">
      <c r="C1325" s="30">
        <v>63001005</v>
      </c>
      <c r="D1325" s="38" t="s">
        <v>2865</v>
      </c>
      <c r="E1325" s="38" t="s">
        <v>2866</v>
      </c>
      <c r="F1325" s="30">
        <v>1</v>
      </c>
      <c r="G1325" s="30">
        <v>63001005</v>
      </c>
      <c r="H1325" s="30">
        <v>0</v>
      </c>
      <c r="I1325" s="30">
        <v>0</v>
      </c>
      <c r="J1325" s="30">
        <v>1</v>
      </c>
      <c r="K1325" s="30">
        <v>0</v>
      </c>
      <c r="L1325" s="30">
        <v>0</v>
      </c>
      <c r="M1325" s="30">
        <v>0</v>
      </c>
      <c r="N1325" s="30">
        <v>0</v>
      </c>
      <c r="O1325" s="30">
        <v>8</v>
      </c>
      <c r="P1325" s="30">
        <v>0</v>
      </c>
      <c r="Q1325" s="30">
        <v>0</v>
      </c>
      <c r="R1325" s="30">
        <v>0</v>
      </c>
      <c r="S1325" s="30">
        <v>0</v>
      </c>
      <c r="T1325" s="30">
        <v>0</v>
      </c>
      <c r="U1325" s="30">
        <v>1</v>
      </c>
      <c r="V1325" s="30">
        <v>2</v>
      </c>
      <c r="W1325" s="30">
        <v>0</v>
      </c>
      <c r="X1325" s="30">
        <v>0</v>
      </c>
      <c r="Y1325" s="12">
        <v>0</v>
      </c>
      <c r="Z1325" s="30">
        <v>0</v>
      </c>
      <c r="AA1325" s="30">
        <v>0</v>
      </c>
      <c r="AB1325" s="30">
        <v>0</v>
      </c>
      <c r="AC1325" s="30">
        <v>0</v>
      </c>
      <c r="AD1325" s="30">
        <v>1</v>
      </c>
      <c r="AE1325" s="30">
        <v>0</v>
      </c>
      <c r="AF1325" s="30">
        <v>0</v>
      </c>
      <c r="AG1325" s="30">
        <v>2</v>
      </c>
      <c r="AH1325" s="30" t="s">
        <v>213</v>
      </c>
      <c r="AI1325" s="30">
        <v>2</v>
      </c>
      <c r="AJ1325" s="30">
        <v>2</v>
      </c>
      <c r="AK1325" s="30">
        <v>0</v>
      </c>
      <c r="AL1325" s="30">
        <v>1.5</v>
      </c>
      <c r="AM1325" s="30">
        <v>0</v>
      </c>
      <c r="AN1325" s="30">
        <v>0</v>
      </c>
      <c r="AO1325" s="30">
        <v>0</v>
      </c>
      <c r="AP1325" s="30">
        <v>0</v>
      </c>
      <c r="AQ1325" s="30">
        <v>3000</v>
      </c>
      <c r="AR1325" s="30">
        <v>0</v>
      </c>
      <c r="AS1325" s="30">
        <v>0</v>
      </c>
      <c r="AT1325" s="30">
        <v>0</v>
      </c>
      <c r="AU1325" s="30" t="s">
        <v>198</v>
      </c>
      <c r="AV1325" s="30"/>
      <c r="AW1325" s="38" t="s">
        <v>198</v>
      </c>
      <c r="AX1325" s="30">
        <v>0</v>
      </c>
      <c r="AY1325" s="30">
        <v>0</v>
      </c>
      <c r="AZ1325" s="30">
        <v>0</v>
      </c>
      <c r="BA1325" s="38" t="s">
        <v>200</v>
      </c>
      <c r="BB1325" s="30" t="s">
        <v>2867</v>
      </c>
      <c r="BC1325" s="30">
        <v>0</v>
      </c>
      <c r="BD1325" s="30">
        <v>0</v>
      </c>
      <c r="BE1325" s="227" t="s">
        <v>2868</v>
      </c>
      <c r="BF1325" s="227" t="s">
        <v>2869</v>
      </c>
      <c r="BG1325" s="30">
        <v>0</v>
      </c>
      <c r="BH1325" s="30">
        <v>0</v>
      </c>
      <c r="BI1325" s="30">
        <v>0</v>
      </c>
      <c r="BJ1325" s="30">
        <v>0</v>
      </c>
      <c r="BK1325" s="30">
        <v>0</v>
      </c>
      <c r="BL1325" s="30">
        <v>0</v>
      </c>
      <c r="BM1325" s="21">
        <v>0</v>
      </c>
      <c r="BN1325" s="30">
        <v>0</v>
      </c>
      <c r="BO1325" s="30">
        <v>0</v>
      </c>
      <c r="BP1325" s="30">
        <v>0</v>
      </c>
      <c r="BQ1325" s="30">
        <v>0</v>
      </c>
      <c r="BR1325" s="30">
        <v>0</v>
      </c>
      <c r="BS1325" s="30">
        <v>0</v>
      </c>
      <c r="BT1325" s="12">
        <v>0</v>
      </c>
      <c r="BU1325" s="47">
        <v>0</v>
      </c>
      <c r="BV1325" s="47"/>
      <c r="BW1325" s="47"/>
    </row>
    <row r="1326" spans="3:75" ht="20.100000000000001" customHeight="1">
      <c r="C1326" s="16">
        <v>63002001</v>
      </c>
      <c r="D1326" s="17" t="s">
        <v>2870</v>
      </c>
      <c r="E1326" s="17" t="s">
        <v>2871</v>
      </c>
      <c r="F1326" s="16">
        <v>1</v>
      </c>
      <c r="G1326" s="16">
        <v>63002001</v>
      </c>
      <c r="H1326" s="16">
        <v>0</v>
      </c>
      <c r="I1326" s="27">
        <v>0</v>
      </c>
      <c r="J1326" s="18">
        <v>1</v>
      </c>
      <c r="K1326" s="18">
        <v>0</v>
      </c>
      <c r="L1326" s="16">
        <v>0</v>
      </c>
      <c r="M1326" s="16">
        <v>0</v>
      </c>
      <c r="N1326" s="16">
        <v>0</v>
      </c>
      <c r="O1326" s="16">
        <v>2</v>
      </c>
      <c r="P1326" s="16">
        <v>12</v>
      </c>
      <c r="Q1326" s="16">
        <v>1</v>
      </c>
      <c r="R1326" s="16">
        <v>0</v>
      </c>
      <c r="S1326" s="12">
        <v>0</v>
      </c>
      <c r="T1326" s="16">
        <v>0</v>
      </c>
      <c r="U1326" s="16">
        <v>1</v>
      </c>
      <c r="V1326" s="16">
        <v>2</v>
      </c>
      <c r="W1326" s="16">
        <v>0</v>
      </c>
      <c r="X1326" s="18">
        <v>0</v>
      </c>
      <c r="Y1326" s="12">
        <v>0</v>
      </c>
      <c r="Z1326" s="18">
        <v>0</v>
      </c>
      <c r="AA1326" s="16">
        <v>0</v>
      </c>
      <c r="AB1326" s="16">
        <v>0</v>
      </c>
      <c r="AC1326" s="16">
        <v>0</v>
      </c>
      <c r="AD1326" s="16">
        <v>1</v>
      </c>
      <c r="AE1326" s="16">
        <v>0</v>
      </c>
      <c r="AF1326" s="16">
        <v>60</v>
      </c>
      <c r="AG1326" s="16">
        <v>1</v>
      </c>
      <c r="AH1326" s="16" t="s">
        <v>607</v>
      </c>
      <c r="AI1326" s="12">
        <v>0</v>
      </c>
      <c r="AJ1326" s="12">
        <v>0</v>
      </c>
      <c r="AK1326" s="12">
        <v>0</v>
      </c>
      <c r="AL1326" s="12">
        <v>0</v>
      </c>
      <c r="AM1326" s="16">
        <v>0</v>
      </c>
      <c r="AN1326" s="16">
        <v>0</v>
      </c>
      <c r="AO1326" s="16">
        <v>0</v>
      </c>
      <c r="AP1326" s="16">
        <v>0</v>
      </c>
      <c r="AQ1326" s="16">
        <v>50000</v>
      </c>
      <c r="AR1326" s="16">
        <v>0</v>
      </c>
      <c r="AS1326" s="16">
        <v>0</v>
      </c>
      <c r="AT1326" s="12">
        <v>0</v>
      </c>
      <c r="AU1326" s="16">
        <v>90502001</v>
      </c>
      <c r="AV1326" s="16"/>
      <c r="AW1326" s="17" t="s">
        <v>198</v>
      </c>
      <c r="AX1326" s="16">
        <v>0</v>
      </c>
      <c r="AY1326" s="18">
        <v>0</v>
      </c>
      <c r="AZ1326" s="18">
        <v>0</v>
      </c>
      <c r="BA1326" s="17" t="s">
        <v>2849</v>
      </c>
      <c r="BB1326" s="16">
        <v>0</v>
      </c>
      <c r="BC1326" s="27">
        <v>0</v>
      </c>
      <c r="BD1326" s="27">
        <v>0</v>
      </c>
      <c r="BE1326" s="44" t="s">
        <v>2872</v>
      </c>
      <c r="BF1326" s="44" t="s">
        <v>2873</v>
      </c>
      <c r="BG1326" s="16">
        <v>0</v>
      </c>
      <c r="BH1326" s="16">
        <v>0</v>
      </c>
      <c r="BI1326" s="16">
        <v>0</v>
      </c>
      <c r="BJ1326" s="16">
        <v>0</v>
      </c>
      <c r="BK1326" s="16">
        <v>0</v>
      </c>
      <c r="BL1326" s="16">
        <v>0</v>
      </c>
      <c r="BM1326" s="15">
        <v>0</v>
      </c>
      <c r="BN1326" s="12">
        <v>1</v>
      </c>
      <c r="BO1326" s="12">
        <v>0</v>
      </c>
      <c r="BP1326" s="12">
        <v>0</v>
      </c>
      <c r="BQ1326" s="12">
        <v>0</v>
      </c>
      <c r="BR1326" s="12">
        <v>0</v>
      </c>
      <c r="BS1326" s="12">
        <v>0</v>
      </c>
      <c r="BT1326" s="12">
        <v>0</v>
      </c>
      <c r="BU1326" s="47">
        <v>0</v>
      </c>
      <c r="BV1326" s="47"/>
      <c r="BW1326" s="47"/>
    </row>
    <row r="1327" spans="3:75" ht="20.100000000000001" customHeight="1">
      <c r="C1327" s="16">
        <v>63002002</v>
      </c>
      <c r="D1327" s="17" t="s">
        <v>2857</v>
      </c>
      <c r="E1327" s="17" t="s">
        <v>2858</v>
      </c>
      <c r="F1327" s="16">
        <v>1</v>
      </c>
      <c r="G1327" s="16">
        <v>63002002</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2859</v>
      </c>
      <c r="BF1327" s="44" t="s">
        <v>2860</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63002003</v>
      </c>
      <c r="D1328" s="17" t="s">
        <v>2874</v>
      </c>
      <c r="E1328" s="17" t="s">
        <v>2875</v>
      </c>
      <c r="F1328" s="16">
        <v>1</v>
      </c>
      <c r="G1328" s="16">
        <v>1000001</v>
      </c>
      <c r="H1328" s="16">
        <v>0</v>
      </c>
      <c r="I1328" s="27">
        <v>0</v>
      </c>
      <c r="J1328" s="18">
        <v>1</v>
      </c>
      <c r="K1328" s="18">
        <v>0</v>
      </c>
      <c r="L1328" s="16">
        <v>0</v>
      </c>
      <c r="M1328" s="16">
        <v>0</v>
      </c>
      <c r="N1328" s="16">
        <v>0</v>
      </c>
      <c r="O1328" s="16">
        <v>8</v>
      </c>
      <c r="P1328" s="16">
        <v>8</v>
      </c>
      <c r="Q1328" s="16">
        <v>1</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t="s">
        <v>2876</v>
      </c>
      <c r="BC1328" s="27"/>
      <c r="BD1328" s="27">
        <v>0</v>
      </c>
      <c r="BE1328" s="44" t="s">
        <v>2877</v>
      </c>
      <c r="BF1328" s="44" t="s">
        <v>2878</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19.5" customHeight="1">
      <c r="C1329" s="180">
        <v>63002004</v>
      </c>
      <c r="D1329" s="236" t="s">
        <v>2861</v>
      </c>
      <c r="E1329" s="236" t="s">
        <v>2879</v>
      </c>
      <c r="F1329" s="16">
        <v>1</v>
      </c>
      <c r="G1329" s="238">
        <v>63001004</v>
      </c>
      <c r="H1329" s="18">
        <v>0</v>
      </c>
      <c r="I1329" s="27">
        <v>0</v>
      </c>
      <c r="J1329" s="16">
        <v>1</v>
      </c>
      <c r="K1329" s="18">
        <v>0</v>
      </c>
      <c r="L1329" s="16">
        <v>0</v>
      </c>
      <c r="M1329" s="18">
        <v>0</v>
      </c>
      <c r="N1329" s="18">
        <v>0</v>
      </c>
      <c r="O1329" s="18">
        <v>2</v>
      </c>
      <c r="P1329" s="18">
        <v>1</v>
      </c>
      <c r="Q1329" s="18">
        <v>0.2</v>
      </c>
      <c r="R1329" s="18">
        <v>0</v>
      </c>
      <c r="S1329" s="12">
        <v>0</v>
      </c>
      <c r="T1329" s="27">
        <v>0</v>
      </c>
      <c r="U1329" s="16">
        <v>1</v>
      </c>
      <c r="V1329" s="18">
        <v>2</v>
      </c>
      <c r="W1329" s="18">
        <v>0</v>
      </c>
      <c r="X1329" s="18">
        <v>3.5</v>
      </c>
      <c r="Y1329" s="12">
        <v>0</v>
      </c>
      <c r="Z1329" s="18">
        <v>0</v>
      </c>
      <c r="AA1329" s="18">
        <v>0</v>
      </c>
      <c r="AB1329" s="18">
        <v>0</v>
      </c>
      <c r="AC1329" s="18">
        <v>0</v>
      </c>
      <c r="AD1329" s="18">
        <v>1</v>
      </c>
      <c r="AE1329" s="18">
        <v>0</v>
      </c>
      <c r="AF1329" s="18">
        <v>5</v>
      </c>
      <c r="AG1329" s="18">
        <v>1</v>
      </c>
      <c r="AH1329" s="18">
        <v>3.5</v>
      </c>
      <c r="AI1329" s="12">
        <v>1</v>
      </c>
      <c r="AJ1329" s="12">
        <v>1</v>
      </c>
      <c r="AK1329" s="12">
        <v>0</v>
      </c>
      <c r="AL1329" s="12">
        <v>6</v>
      </c>
      <c r="AM1329" s="18">
        <v>0</v>
      </c>
      <c r="AN1329" s="18">
        <v>0</v>
      </c>
      <c r="AO1329" s="18">
        <v>0</v>
      </c>
      <c r="AP1329" s="18">
        <v>0.25</v>
      </c>
      <c r="AQ1329" s="18">
        <v>3000</v>
      </c>
      <c r="AR1329" s="18">
        <v>2</v>
      </c>
      <c r="AS1329" s="18">
        <v>0</v>
      </c>
      <c r="AT1329" s="12">
        <v>0</v>
      </c>
      <c r="AU1329" s="341" t="s">
        <v>2880</v>
      </c>
      <c r="AV1329" s="12"/>
      <c r="AW1329" s="19" t="s">
        <v>199</v>
      </c>
      <c r="AX1329" s="18" t="s">
        <v>1869</v>
      </c>
      <c r="AY1329" s="18">
        <v>10003002</v>
      </c>
      <c r="AZ1329" s="18">
        <v>21020101</v>
      </c>
      <c r="BA1329" s="19" t="s">
        <v>200</v>
      </c>
      <c r="BB1329" s="19">
        <v>0</v>
      </c>
      <c r="BC1329" s="27">
        <v>0</v>
      </c>
      <c r="BD1329" s="27">
        <v>0</v>
      </c>
      <c r="BE1329" s="183" t="str">
        <f>"每次攻击有20%概率释放驭剑之击对目标范围内的怪物造成"&amp;X1329*100&amp;"%攻击伤害,并使目标眩晕1秒"</f>
        <v>每次攻击有20%概率释放驭剑之击对目标范围内的怪物造成350%攻击伤害,并使目标眩晕1秒</v>
      </c>
      <c r="BF1329" s="183" t="s">
        <v>2881</v>
      </c>
      <c r="BG1329" s="18">
        <v>0</v>
      </c>
      <c r="BH1329" s="16">
        <v>0</v>
      </c>
      <c r="BI1329" s="18">
        <v>0</v>
      </c>
      <c r="BJ1329" s="18">
        <v>0</v>
      </c>
      <c r="BK1329" s="18">
        <v>0</v>
      </c>
      <c r="BL1329" s="18">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63002005</v>
      </c>
      <c r="D1330" s="17" t="s">
        <v>2882</v>
      </c>
      <c r="E1330" s="17" t="s">
        <v>2883</v>
      </c>
      <c r="F1330" s="16">
        <v>1</v>
      </c>
      <c r="G1330" s="16">
        <v>61012101</v>
      </c>
      <c r="H1330" s="16">
        <v>0</v>
      </c>
      <c r="I1330" s="27">
        <v>0</v>
      </c>
      <c r="J1330" s="16">
        <v>1</v>
      </c>
      <c r="K1330" s="16">
        <v>0</v>
      </c>
      <c r="L1330" s="16">
        <v>0</v>
      </c>
      <c r="M1330" s="16">
        <v>0</v>
      </c>
      <c r="N1330" s="16">
        <v>0</v>
      </c>
      <c r="O1330" s="16">
        <v>2</v>
      </c>
      <c r="P1330" s="16">
        <v>1</v>
      </c>
      <c r="Q1330" s="16">
        <v>0.4</v>
      </c>
      <c r="R1330" s="16">
        <v>0</v>
      </c>
      <c r="S1330" s="12">
        <v>0</v>
      </c>
      <c r="T1330" s="16">
        <v>0</v>
      </c>
      <c r="U1330" s="16">
        <v>1</v>
      </c>
      <c r="V1330" s="16">
        <v>1</v>
      </c>
      <c r="W1330" s="16">
        <v>0</v>
      </c>
      <c r="X1330" s="16">
        <v>2</v>
      </c>
      <c r="Y1330" s="12">
        <v>0</v>
      </c>
      <c r="Z1330" s="16">
        <v>500</v>
      </c>
      <c r="AA1330" s="16">
        <v>0</v>
      </c>
      <c r="AB1330" s="16">
        <v>0</v>
      </c>
      <c r="AC1330" s="16">
        <v>0</v>
      </c>
      <c r="AD1330" s="16">
        <v>1</v>
      </c>
      <c r="AE1330" s="16">
        <v>0</v>
      </c>
      <c r="AF1330" s="16">
        <v>3</v>
      </c>
      <c r="AG1330" s="16">
        <v>2</v>
      </c>
      <c r="AH1330" s="16" t="s">
        <v>1497</v>
      </c>
      <c r="AI1330" s="12">
        <v>2</v>
      </c>
      <c r="AJ1330" s="12">
        <v>0</v>
      </c>
      <c r="AK1330" s="12">
        <v>0</v>
      </c>
      <c r="AL1330" s="12">
        <v>1.5</v>
      </c>
      <c r="AM1330" s="16">
        <v>0</v>
      </c>
      <c r="AN1330" s="16">
        <v>0</v>
      </c>
      <c r="AO1330" s="16">
        <v>0</v>
      </c>
      <c r="AP1330" s="16">
        <v>0</v>
      </c>
      <c r="AQ1330" s="16">
        <v>3000</v>
      </c>
      <c r="AR1330" s="16">
        <v>0</v>
      </c>
      <c r="AS1330" s="16">
        <v>0</v>
      </c>
      <c r="AT1330" s="12">
        <v>0</v>
      </c>
      <c r="AU1330" s="16">
        <v>0</v>
      </c>
      <c r="AV1330" s="16"/>
      <c r="AW1330" s="17" t="s">
        <v>287</v>
      </c>
      <c r="AX1330" s="16" t="s">
        <v>1498</v>
      </c>
      <c r="AY1330" s="18">
        <v>10001007</v>
      </c>
      <c r="AZ1330" s="18">
        <v>21000010</v>
      </c>
      <c r="BA1330" s="17" t="s">
        <v>200</v>
      </c>
      <c r="BB1330" s="16">
        <v>0</v>
      </c>
      <c r="BC1330" s="27">
        <v>0</v>
      </c>
      <c r="BD1330" s="27">
        <v>0</v>
      </c>
      <c r="BE1330" s="170" t="str">
        <f>"每次攻击有40%概率立即对目标范围内的怪物造成"&amp;X1330*100&amp;"%攻击伤害+"&amp;Z1330&amp;"点固定伤害"</f>
        <v>每次攻击有40%概率立即对目标范围内的怪物造成200%攻击伤害+500点固定伤害</v>
      </c>
      <c r="BF1330" s="170" t="s">
        <v>2884</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63003001</v>
      </c>
      <c r="D1331" s="17" t="s">
        <v>2885</v>
      </c>
      <c r="E1331" s="17" t="s">
        <v>2886</v>
      </c>
      <c r="F1331" s="16">
        <v>1</v>
      </c>
      <c r="G1331" s="16">
        <v>63003001</v>
      </c>
      <c r="H1331" s="16">
        <v>0</v>
      </c>
      <c r="I1331" s="27">
        <v>0</v>
      </c>
      <c r="J1331" s="18">
        <v>1</v>
      </c>
      <c r="K1331" s="18">
        <v>0</v>
      </c>
      <c r="L1331" s="16">
        <v>0</v>
      </c>
      <c r="M1331" s="16">
        <v>0</v>
      </c>
      <c r="N1331" s="16">
        <v>0</v>
      </c>
      <c r="O1331" s="16">
        <v>2</v>
      </c>
      <c r="P1331" s="16">
        <v>12</v>
      </c>
      <c r="Q1331" s="16">
        <v>1</v>
      </c>
      <c r="R1331" s="16">
        <v>0</v>
      </c>
      <c r="S1331" s="12">
        <v>0</v>
      </c>
      <c r="T1331" s="16">
        <v>0</v>
      </c>
      <c r="U1331" s="16">
        <v>1</v>
      </c>
      <c r="V1331" s="16">
        <v>2</v>
      </c>
      <c r="W1331" s="16">
        <v>0</v>
      </c>
      <c r="X1331" s="18">
        <v>0</v>
      </c>
      <c r="Y1331" s="12">
        <v>0</v>
      </c>
      <c r="Z1331" s="18">
        <v>0</v>
      </c>
      <c r="AA1331" s="16">
        <v>0</v>
      </c>
      <c r="AB1331" s="16">
        <v>0</v>
      </c>
      <c r="AC1331" s="16">
        <v>0</v>
      </c>
      <c r="AD1331" s="16">
        <v>1</v>
      </c>
      <c r="AE1331" s="16">
        <v>0</v>
      </c>
      <c r="AF1331" s="16">
        <v>60</v>
      </c>
      <c r="AG1331" s="16">
        <v>1</v>
      </c>
      <c r="AH1331" s="16">
        <v>10</v>
      </c>
      <c r="AI1331" s="12">
        <v>0</v>
      </c>
      <c r="AJ1331" s="12">
        <v>0</v>
      </c>
      <c r="AK1331" s="12">
        <v>0</v>
      </c>
      <c r="AL1331" s="12">
        <v>0</v>
      </c>
      <c r="AM1331" s="16">
        <v>0</v>
      </c>
      <c r="AN1331" s="16">
        <v>0</v>
      </c>
      <c r="AO1331" s="16">
        <v>0</v>
      </c>
      <c r="AP1331" s="16">
        <v>0</v>
      </c>
      <c r="AQ1331" s="16">
        <v>50000</v>
      </c>
      <c r="AR1331" s="16">
        <v>0</v>
      </c>
      <c r="AS1331" s="16">
        <v>0</v>
      </c>
      <c r="AT1331" s="12">
        <v>90503001</v>
      </c>
      <c r="AU1331" s="16">
        <v>90503001</v>
      </c>
      <c r="AV1331" s="16"/>
      <c r="AW1331" s="17" t="s">
        <v>198</v>
      </c>
      <c r="AX1331" s="16">
        <v>0</v>
      </c>
      <c r="AY1331" s="18">
        <v>0</v>
      </c>
      <c r="AZ1331" s="18">
        <v>0</v>
      </c>
      <c r="BA1331" s="17" t="s">
        <v>2849</v>
      </c>
      <c r="BB1331" s="16">
        <v>0</v>
      </c>
      <c r="BC1331" s="27">
        <v>0</v>
      </c>
      <c r="BD1331" s="27">
        <v>0</v>
      </c>
      <c r="BE1331" s="44" t="s">
        <v>2887</v>
      </c>
      <c r="BF1331" s="44" t="s">
        <v>2888</v>
      </c>
      <c r="BG1331" s="16">
        <v>0</v>
      </c>
      <c r="BH1331" s="16">
        <v>0</v>
      </c>
      <c r="BI1331" s="16">
        <v>0</v>
      </c>
      <c r="BJ1331" s="16">
        <v>0</v>
      </c>
      <c r="BK1331" s="16">
        <v>0</v>
      </c>
      <c r="BL1331" s="16">
        <v>0</v>
      </c>
      <c r="BM1331" s="15">
        <v>0</v>
      </c>
      <c r="BN1331" s="12">
        <v>1</v>
      </c>
      <c r="BO1331" s="12">
        <v>0</v>
      </c>
      <c r="BP1331" s="12">
        <v>0</v>
      </c>
      <c r="BQ1331" s="12">
        <v>0</v>
      </c>
      <c r="BR1331" s="12">
        <v>0</v>
      </c>
      <c r="BS1331" s="12">
        <v>0</v>
      </c>
      <c r="BT1331" s="12">
        <v>0</v>
      </c>
      <c r="BU1331" s="47">
        <v>0</v>
      </c>
      <c r="BV1331" s="47"/>
      <c r="BW1331" s="47"/>
    </row>
    <row r="1332" spans="3:75" ht="20.100000000000001" customHeight="1">
      <c r="C1332" s="16">
        <v>63003002</v>
      </c>
      <c r="D1332" s="17" t="s">
        <v>2889</v>
      </c>
      <c r="E1332" s="17" t="s">
        <v>2890</v>
      </c>
      <c r="F1332" s="16">
        <v>1</v>
      </c>
      <c r="G1332" s="16">
        <v>63003002</v>
      </c>
      <c r="H1332" s="16">
        <v>0</v>
      </c>
      <c r="I1332" s="27">
        <v>0</v>
      </c>
      <c r="J1332" s="18">
        <v>1</v>
      </c>
      <c r="K1332" s="18">
        <v>0</v>
      </c>
      <c r="L1332" s="16">
        <v>0</v>
      </c>
      <c r="M1332" s="16">
        <v>0</v>
      </c>
      <c r="N1332" s="16">
        <v>0</v>
      </c>
      <c r="O1332" s="16">
        <v>2</v>
      </c>
      <c r="P1332" s="16">
        <v>0</v>
      </c>
      <c r="Q1332" s="16">
        <v>0</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198</v>
      </c>
      <c r="AI1332" s="12">
        <v>0</v>
      </c>
      <c r="AJ1332" s="12">
        <v>0</v>
      </c>
      <c r="AK1332" s="12">
        <v>0</v>
      </c>
      <c r="AL1332" s="12">
        <v>0</v>
      </c>
      <c r="AM1332" s="16">
        <v>0</v>
      </c>
      <c r="AN1332" s="16">
        <v>0</v>
      </c>
      <c r="AO1332" s="16">
        <v>0</v>
      </c>
      <c r="AP1332" s="16">
        <v>0</v>
      </c>
      <c r="AQ1332" s="16">
        <v>0</v>
      </c>
      <c r="AR1332" s="16">
        <v>0</v>
      </c>
      <c r="AS1332" s="16">
        <v>0</v>
      </c>
      <c r="AT1332" s="12">
        <v>0</v>
      </c>
      <c r="AU1332" s="16" t="s">
        <v>198</v>
      </c>
      <c r="AV1332" s="16"/>
      <c r="AW1332" s="17" t="s">
        <v>198</v>
      </c>
      <c r="AX1332" s="16">
        <v>0</v>
      </c>
      <c r="AY1332" s="18">
        <v>0</v>
      </c>
      <c r="AZ1332" s="18">
        <v>0</v>
      </c>
      <c r="BA1332" s="17" t="s">
        <v>198</v>
      </c>
      <c r="BB1332" s="16">
        <v>0</v>
      </c>
      <c r="BC1332" s="27"/>
      <c r="BD1332" s="27">
        <v>0</v>
      </c>
      <c r="BE1332" s="44" t="s">
        <v>2891</v>
      </c>
      <c r="BF1332" s="44" t="s">
        <v>2892</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row>
    <row r="1333" spans="3:75" ht="20.100000000000001" customHeight="1">
      <c r="C1333" s="16">
        <v>63003003</v>
      </c>
      <c r="D1333" s="17" t="s">
        <v>2893</v>
      </c>
      <c r="E1333" s="17" t="s">
        <v>2875</v>
      </c>
      <c r="F1333" s="16">
        <v>1</v>
      </c>
      <c r="G1333" s="16">
        <v>1000002</v>
      </c>
      <c r="H1333" s="16">
        <v>0</v>
      </c>
      <c r="I1333" s="27">
        <v>0</v>
      </c>
      <c r="J1333" s="18">
        <v>1</v>
      </c>
      <c r="K1333" s="18">
        <v>0</v>
      </c>
      <c r="L1333" s="16">
        <v>0</v>
      </c>
      <c r="M1333" s="16">
        <v>0</v>
      </c>
      <c r="N1333" s="16">
        <v>0</v>
      </c>
      <c r="O1333" s="16">
        <v>8</v>
      </c>
      <c r="P1333" s="16">
        <v>8</v>
      </c>
      <c r="Q1333" s="16">
        <v>2</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2894</v>
      </c>
      <c r="BC1333" s="27"/>
      <c r="BD1333" s="27">
        <v>0</v>
      </c>
      <c r="BE1333" s="44" t="s">
        <v>2895</v>
      </c>
      <c r="BF1333" s="44" t="s">
        <v>2896</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spans="3:75" ht="20.100000000000001" customHeight="1">
      <c r="C1334" s="16">
        <v>63003004</v>
      </c>
      <c r="D1334" s="236" t="s">
        <v>2861</v>
      </c>
      <c r="E1334" s="236" t="s">
        <v>2897</v>
      </c>
      <c r="F1334" s="180">
        <v>1</v>
      </c>
      <c r="G1334" s="180">
        <v>63001004</v>
      </c>
      <c r="H1334" s="180">
        <v>0</v>
      </c>
      <c r="I1334" s="180">
        <v>0</v>
      </c>
      <c r="J1334" s="18">
        <v>1</v>
      </c>
      <c r="K1334" s="18">
        <v>0</v>
      </c>
      <c r="L1334" s="16">
        <v>0</v>
      </c>
      <c r="M1334" s="180">
        <v>0</v>
      </c>
      <c r="N1334" s="180">
        <v>0</v>
      </c>
      <c r="O1334" s="180">
        <v>2</v>
      </c>
      <c r="P1334" s="180">
        <v>5</v>
      </c>
      <c r="Q1334" s="180">
        <v>0.15</v>
      </c>
      <c r="R1334" s="180">
        <v>0</v>
      </c>
      <c r="S1334" s="12">
        <v>0</v>
      </c>
      <c r="T1334" s="180">
        <v>0</v>
      </c>
      <c r="U1334" s="180">
        <v>1</v>
      </c>
      <c r="V1334" s="180">
        <v>2</v>
      </c>
      <c r="W1334" s="180">
        <v>0</v>
      </c>
      <c r="X1334" s="180">
        <v>0</v>
      </c>
      <c r="Y1334" s="12">
        <v>0</v>
      </c>
      <c r="Z1334" s="180">
        <v>0</v>
      </c>
      <c r="AA1334" s="180">
        <v>0</v>
      </c>
      <c r="AB1334" s="180">
        <v>0</v>
      </c>
      <c r="AC1334" s="180">
        <v>0</v>
      </c>
      <c r="AD1334" s="16">
        <v>1</v>
      </c>
      <c r="AE1334" s="180">
        <v>0</v>
      </c>
      <c r="AF1334" s="180">
        <v>6</v>
      </c>
      <c r="AG1334" s="180">
        <v>1</v>
      </c>
      <c r="AH1334" s="180">
        <v>1</v>
      </c>
      <c r="AI1334" s="180">
        <v>2</v>
      </c>
      <c r="AJ1334" s="180">
        <v>0</v>
      </c>
      <c r="AK1334" s="12">
        <v>0</v>
      </c>
      <c r="AL1334" s="180">
        <v>2</v>
      </c>
      <c r="AM1334" s="180">
        <v>0</v>
      </c>
      <c r="AN1334" s="180">
        <v>0</v>
      </c>
      <c r="AO1334" s="180">
        <v>0</v>
      </c>
      <c r="AP1334" s="16">
        <v>0</v>
      </c>
      <c r="AQ1334" s="180">
        <v>10000</v>
      </c>
      <c r="AR1334" s="180">
        <v>0.5</v>
      </c>
      <c r="AS1334" s="180">
        <v>0</v>
      </c>
      <c r="AT1334" s="180">
        <v>0</v>
      </c>
      <c r="AU1334" s="180" t="s">
        <v>198</v>
      </c>
      <c r="AV1334" s="180"/>
      <c r="AW1334" s="236" t="s">
        <v>199</v>
      </c>
      <c r="AX1334" s="180">
        <v>0</v>
      </c>
      <c r="AY1334" s="180">
        <v>0</v>
      </c>
      <c r="AZ1334" s="180">
        <v>0</v>
      </c>
      <c r="BA1334" s="236" t="s">
        <v>200</v>
      </c>
      <c r="BB1334" s="236" t="s">
        <v>198</v>
      </c>
      <c r="BC1334" s="180">
        <v>0</v>
      </c>
      <c r="BD1334" s="180">
        <v>0</v>
      </c>
      <c r="BE1334" s="244" t="s">
        <v>2898</v>
      </c>
      <c r="BF1334" s="244" t="s">
        <v>2899</v>
      </c>
      <c r="BG1334" s="180">
        <v>0</v>
      </c>
      <c r="BH1334" s="16">
        <v>0</v>
      </c>
      <c r="BI1334" s="180">
        <v>0</v>
      </c>
      <c r="BJ1334" s="180">
        <v>0</v>
      </c>
      <c r="BK1334" s="180">
        <v>0</v>
      </c>
      <c r="BL1334" s="180">
        <v>0</v>
      </c>
      <c r="BM1334" s="363" t="s">
        <v>2900</v>
      </c>
      <c r="BN1334" s="12">
        <v>1</v>
      </c>
      <c r="BO1334" s="12">
        <v>0</v>
      </c>
      <c r="BP1334" s="12">
        <v>0</v>
      </c>
      <c r="BQ1334" s="12">
        <v>0</v>
      </c>
      <c r="BR1334" s="12">
        <v>0</v>
      </c>
      <c r="BS1334" s="12">
        <v>0</v>
      </c>
      <c r="BT1334" s="12">
        <v>0</v>
      </c>
      <c r="BU1334" s="47">
        <v>0</v>
      </c>
      <c r="BV1334" s="47"/>
      <c r="BW1334" s="47"/>
    </row>
    <row r="1335" spans="3:75" ht="20.100000000000001" customHeight="1">
      <c r="C1335" s="16">
        <v>63003005</v>
      </c>
      <c r="D1335" s="17" t="s">
        <v>2901</v>
      </c>
      <c r="E1335" s="17" t="s">
        <v>2902</v>
      </c>
      <c r="F1335" s="16">
        <v>1</v>
      </c>
      <c r="G1335" s="16">
        <v>1000003</v>
      </c>
      <c r="H1335" s="16">
        <v>0</v>
      </c>
      <c r="I1335" s="27">
        <v>0</v>
      </c>
      <c r="J1335" s="18">
        <v>1</v>
      </c>
      <c r="K1335" s="18">
        <v>0</v>
      </c>
      <c r="L1335" s="16">
        <v>0</v>
      </c>
      <c r="M1335" s="16">
        <v>0</v>
      </c>
      <c r="N1335" s="16">
        <v>0</v>
      </c>
      <c r="O1335" s="16">
        <v>8</v>
      </c>
      <c r="P1335" s="16">
        <v>8</v>
      </c>
      <c r="Q1335" s="16">
        <v>3</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v>0</v>
      </c>
      <c r="BC1335" s="27"/>
      <c r="BD1335" s="27">
        <v>1</v>
      </c>
      <c r="BE1335" s="44" t="s">
        <v>2903</v>
      </c>
      <c r="BF1335" s="44" t="s">
        <v>2904</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63101001</v>
      </c>
      <c r="D1336" s="17" t="s">
        <v>2905</v>
      </c>
      <c r="E1336" s="17" t="s">
        <v>2906</v>
      </c>
      <c r="F1336" s="16">
        <v>1</v>
      </c>
      <c r="G1336" s="16">
        <v>63001001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90511003</v>
      </c>
      <c r="AV1336" s="16"/>
      <c r="AW1336" s="17" t="s">
        <v>198</v>
      </c>
      <c r="AX1336" s="16">
        <v>0</v>
      </c>
      <c r="AY1336" s="18">
        <v>0</v>
      </c>
      <c r="AZ1336" s="18">
        <v>0</v>
      </c>
      <c r="BA1336" s="17" t="s">
        <v>2849</v>
      </c>
      <c r="BB1336" s="16">
        <v>0</v>
      </c>
      <c r="BC1336" s="27">
        <v>0</v>
      </c>
      <c r="BD1336" s="27">
        <v>0</v>
      </c>
      <c r="BE1336" s="44" t="s">
        <v>2907</v>
      </c>
      <c r="BF1336" s="44" t="s">
        <v>2908</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spans="3:75" ht="20.100000000000001" customHeight="1">
      <c r="C1337" s="16">
        <v>63101002</v>
      </c>
      <c r="D1337" s="17" t="s">
        <v>2909</v>
      </c>
      <c r="E1337" s="17" t="s">
        <v>2910</v>
      </c>
      <c r="F1337" s="16">
        <v>1</v>
      </c>
      <c r="G1337" s="16">
        <v>1000003</v>
      </c>
      <c r="H1337" s="16">
        <v>0</v>
      </c>
      <c r="I1337" s="27">
        <v>0</v>
      </c>
      <c r="J1337" s="18">
        <v>1</v>
      </c>
      <c r="K1337" s="18">
        <v>0</v>
      </c>
      <c r="L1337" s="16">
        <v>0</v>
      </c>
      <c r="M1337" s="16">
        <v>0</v>
      </c>
      <c r="N1337" s="16">
        <v>0</v>
      </c>
      <c r="O1337" s="16">
        <v>8</v>
      </c>
      <c r="P1337" s="16">
        <v>8</v>
      </c>
      <c r="Q1337" s="16">
        <v>3</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t="s">
        <v>2911</v>
      </c>
      <c r="BC1337" s="27"/>
      <c r="BD1337" s="27">
        <v>0</v>
      </c>
      <c r="BE1337" s="44" t="s">
        <v>2912</v>
      </c>
      <c r="BF1337" s="44" t="s">
        <v>2913</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spans="3:75" ht="20.100000000000001" customHeight="1">
      <c r="C1338" s="16">
        <v>63101003</v>
      </c>
      <c r="D1338" s="17" t="s">
        <v>2914</v>
      </c>
      <c r="E1338" s="17" t="s">
        <v>2915</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c r="BD1338" s="27">
        <v>0</v>
      </c>
      <c r="BE1338" s="44" t="s">
        <v>2916</v>
      </c>
      <c r="BF1338" s="44" t="s">
        <v>2917</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63101004</v>
      </c>
      <c r="D1339" s="236" t="s">
        <v>2861</v>
      </c>
      <c r="E1339" s="236" t="s">
        <v>2918</v>
      </c>
      <c r="F1339" s="180">
        <v>1</v>
      </c>
      <c r="G1339" s="180">
        <v>63001004</v>
      </c>
      <c r="H1339" s="180">
        <v>0</v>
      </c>
      <c r="I1339" s="180">
        <v>0</v>
      </c>
      <c r="J1339" s="18">
        <v>1</v>
      </c>
      <c r="K1339" s="18">
        <v>0</v>
      </c>
      <c r="L1339" s="16">
        <v>0</v>
      </c>
      <c r="M1339" s="180">
        <v>0</v>
      </c>
      <c r="N1339" s="180">
        <v>0</v>
      </c>
      <c r="O1339" s="180">
        <v>2</v>
      </c>
      <c r="P1339" s="180">
        <v>17</v>
      </c>
      <c r="Q1339" s="180">
        <v>0.15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15</v>
      </c>
      <c r="AG1339" s="180">
        <v>1</v>
      </c>
      <c r="AH1339" s="180">
        <v>1</v>
      </c>
      <c r="AI1339" s="180">
        <v>2</v>
      </c>
      <c r="AJ1339" s="180">
        <v>0</v>
      </c>
      <c r="AK1339" s="12">
        <v>0</v>
      </c>
      <c r="AL1339" s="180">
        <v>2</v>
      </c>
      <c r="AM1339" s="180">
        <v>0</v>
      </c>
      <c r="AN1339" s="180">
        <v>0</v>
      </c>
      <c r="AO1339" s="180">
        <v>0</v>
      </c>
      <c r="AP1339" s="16">
        <v>0</v>
      </c>
      <c r="AQ1339" s="180">
        <v>10000</v>
      </c>
      <c r="AR1339" s="180">
        <v>0.5</v>
      </c>
      <c r="AS1339" s="180">
        <v>0</v>
      </c>
      <c r="AT1339" s="180">
        <v>0</v>
      </c>
      <c r="AU1339" s="180" t="s">
        <v>198</v>
      </c>
      <c r="AV1339" s="180"/>
      <c r="AW1339" s="236"/>
      <c r="AX1339" s="180">
        <v>0</v>
      </c>
      <c r="AY1339" s="180">
        <v>0</v>
      </c>
      <c r="AZ1339" s="180">
        <v>0</v>
      </c>
      <c r="BA1339" s="236" t="s">
        <v>200</v>
      </c>
      <c r="BB1339" s="236" t="s">
        <v>198</v>
      </c>
      <c r="BC1339" s="180">
        <v>0</v>
      </c>
      <c r="BD1339" s="180">
        <v>0</v>
      </c>
      <c r="BE1339" s="244" t="s">
        <v>2919</v>
      </c>
      <c r="BF1339" s="244" t="s">
        <v>2920</v>
      </c>
      <c r="BG1339" s="180">
        <v>0</v>
      </c>
      <c r="BH1339" s="16">
        <v>0</v>
      </c>
      <c r="BI1339" s="180">
        <v>0</v>
      </c>
      <c r="BJ1339" s="180">
        <v>0</v>
      </c>
      <c r="BK1339" s="180">
        <v>0</v>
      </c>
      <c r="BL1339" s="180">
        <v>0</v>
      </c>
      <c r="BM1339" s="363" t="s">
        <v>2921</v>
      </c>
      <c r="BN1339" s="12">
        <v>0</v>
      </c>
      <c r="BO1339" s="12">
        <v>0</v>
      </c>
      <c r="BP1339" s="12">
        <v>0</v>
      </c>
      <c r="BQ1339" s="12">
        <v>0</v>
      </c>
      <c r="BR1339" s="12">
        <v>0</v>
      </c>
      <c r="BS1339" s="12">
        <v>0</v>
      </c>
      <c r="BT1339" s="12">
        <v>0</v>
      </c>
      <c r="BU1339" s="47">
        <v>0</v>
      </c>
      <c r="BV1339" s="47"/>
      <c r="BW1339" s="47"/>
    </row>
    <row r="1340" spans="3:75" ht="20.100000000000001" customHeight="1">
      <c r="C1340" s="16">
        <v>63102001</v>
      </c>
      <c r="D1340" s="17" t="s">
        <v>2922</v>
      </c>
      <c r="E1340" s="17" t="s">
        <v>2923</v>
      </c>
      <c r="F1340" s="16">
        <v>1</v>
      </c>
      <c r="G1340" s="16">
        <v>63002001</v>
      </c>
      <c r="H1340" s="16">
        <v>0</v>
      </c>
      <c r="I1340" s="27">
        <v>0</v>
      </c>
      <c r="J1340" s="18">
        <v>1</v>
      </c>
      <c r="K1340" s="18">
        <v>0</v>
      </c>
      <c r="L1340" s="16">
        <v>0</v>
      </c>
      <c r="M1340" s="16">
        <v>0</v>
      </c>
      <c r="N1340" s="16">
        <v>0</v>
      </c>
      <c r="O1340" s="16">
        <v>2</v>
      </c>
      <c r="P1340" s="16">
        <v>12</v>
      </c>
      <c r="Q1340" s="16">
        <v>1</v>
      </c>
      <c r="R1340" s="16">
        <v>0</v>
      </c>
      <c r="S1340" s="12">
        <v>0</v>
      </c>
      <c r="T1340" s="16">
        <v>0</v>
      </c>
      <c r="U1340" s="16">
        <v>1</v>
      </c>
      <c r="V1340" s="16">
        <v>2</v>
      </c>
      <c r="W1340" s="16">
        <v>0</v>
      </c>
      <c r="X1340" s="18">
        <v>0</v>
      </c>
      <c r="Y1340" s="12">
        <v>0</v>
      </c>
      <c r="Z1340" s="18">
        <v>0</v>
      </c>
      <c r="AA1340" s="16">
        <v>0</v>
      </c>
      <c r="AB1340" s="16">
        <v>0</v>
      </c>
      <c r="AC1340" s="16">
        <v>0</v>
      </c>
      <c r="AD1340" s="16">
        <v>1</v>
      </c>
      <c r="AE1340" s="16">
        <v>0</v>
      </c>
      <c r="AF1340" s="16">
        <v>60</v>
      </c>
      <c r="AG1340" s="16">
        <v>1</v>
      </c>
      <c r="AH1340" s="16">
        <v>10</v>
      </c>
      <c r="AI1340" s="12">
        <v>0</v>
      </c>
      <c r="AJ1340" s="12">
        <v>0</v>
      </c>
      <c r="AK1340" s="12">
        <v>0</v>
      </c>
      <c r="AL1340" s="12">
        <v>0</v>
      </c>
      <c r="AM1340" s="16">
        <v>0</v>
      </c>
      <c r="AN1340" s="16">
        <v>0</v>
      </c>
      <c r="AO1340" s="16">
        <v>0</v>
      </c>
      <c r="AP1340" s="16">
        <v>0</v>
      </c>
      <c r="AQ1340" s="16">
        <v>50000</v>
      </c>
      <c r="AR1340" s="16">
        <v>0</v>
      </c>
      <c r="AS1340" s="16">
        <v>0</v>
      </c>
      <c r="AT1340" s="12">
        <v>0</v>
      </c>
      <c r="AU1340" s="16">
        <v>90512001</v>
      </c>
      <c r="AV1340" s="16"/>
      <c r="AW1340" s="17" t="s">
        <v>198</v>
      </c>
      <c r="AX1340" s="16">
        <v>0</v>
      </c>
      <c r="AY1340" s="18">
        <v>0</v>
      </c>
      <c r="AZ1340" s="18">
        <v>0</v>
      </c>
      <c r="BA1340" s="17" t="s">
        <v>2849</v>
      </c>
      <c r="BB1340" s="16">
        <v>0</v>
      </c>
      <c r="BC1340" s="27">
        <v>0</v>
      </c>
      <c r="BD1340" s="27">
        <v>0</v>
      </c>
      <c r="BE1340" s="44" t="s">
        <v>2924</v>
      </c>
      <c r="BF1340" s="44" t="s">
        <v>2925</v>
      </c>
      <c r="BG1340" s="16">
        <v>0</v>
      </c>
      <c r="BH1340" s="16">
        <v>0</v>
      </c>
      <c r="BI1340" s="16">
        <v>0</v>
      </c>
      <c r="BJ1340" s="16">
        <v>0</v>
      </c>
      <c r="BK1340" s="16">
        <v>0</v>
      </c>
      <c r="BL1340" s="16">
        <v>0</v>
      </c>
      <c r="BM1340" s="15">
        <v>0</v>
      </c>
      <c r="BN1340" s="12">
        <v>1</v>
      </c>
      <c r="BO1340" s="12">
        <v>0</v>
      </c>
      <c r="BP1340" s="12">
        <v>0</v>
      </c>
      <c r="BQ1340" s="12">
        <v>0</v>
      </c>
      <c r="BR1340" s="12">
        <v>0</v>
      </c>
      <c r="BS1340" s="12">
        <v>0</v>
      </c>
      <c r="BT1340" s="12">
        <v>0</v>
      </c>
      <c r="BU1340" s="47">
        <v>0</v>
      </c>
      <c r="BV1340" s="47"/>
      <c r="BW1340" s="47"/>
    </row>
    <row r="1341" spans="3:75" ht="20.100000000000001" customHeight="1">
      <c r="C1341" s="16">
        <v>63102002</v>
      </c>
      <c r="D1341" s="17" t="s">
        <v>2914</v>
      </c>
      <c r="E1341" s="17" t="s">
        <v>2915</v>
      </c>
      <c r="F1341" s="16">
        <v>1</v>
      </c>
      <c r="G1341" s="16">
        <v>63001003</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c r="BD1341" s="27">
        <v>0</v>
      </c>
      <c r="BE1341" s="44" t="s">
        <v>2916</v>
      </c>
      <c r="BF1341" s="44" t="s">
        <v>2917</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spans="3:75" ht="20.100000000000001" customHeight="1">
      <c r="C1342" s="16">
        <v>63102003</v>
      </c>
      <c r="D1342" s="17" t="s">
        <v>2926</v>
      </c>
      <c r="E1342" s="17" t="s">
        <v>2927</v>
      </c>
      <c r="F1342" s="16">
        <v>1</v>
      </c>
      <c r="G1342" s="16">
        <v>1000004</v>
      </c>
      <c r="H1342" s="16">
        <v>0</v>
      </c>
      <c r="I1342" s="27">
        <v>0</v>
      </c>
      <c r="J1342" s="18">
        <v>1</v>
      </c>
      <c r="K1342" s="18">
        <v>0</v>
      </c>
      <c r="L1342" s="16">
        <v>0</v>
      </c>
      <c r="M1342" s="16">
        <v>0</v>
      </c>
      <c r="N1342" s="16">
        <v>0</v>
      </c>
      <c r="O1342" s="16">
        <v>8</v>
      </c>
      <c r="P1342" s="16">
        <v>8</v>
      </c>
      <c r="Q1342" s="16">
        <v>4</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2928</v>
      </c>
      <c r="BC1342" s="27"/>
      <c r="BD1342" s="27">
        <v>0</v>
      </c>
      <c r="BE1342" s="44" t="s">
        <v>2929</v>
      </c>
      <c r="BF1342" s="44" t="s">
        <v>2930</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63102004</v>
      </c>
      <c r="D1343" s="236" t="s">
        <v>2861</v>
      </c>
      <c r="E1343" s="236" t="s">
        <v>2931</v>
      </c>
      <c r="F1343" s="180">
        <v>1</v>
      </c>
      <c r="G1343" s="180">
        <v>63001004</v>
      </c>
      <c r="H1343" s="180">
        <v>0</v>
      </c>
      <c r="I1343" s="180">
        <v>0</v>
      </c>
      <c r="J1343" s="18">
        <v>1</v>
      </c>
      <c r="K1343" s="18">
        <v>0</v>
      </c>
      <c r="L1343" s="16">
        <v>0</v>
      </c>
      <c r="M1343" s="180">
        <v>0</v>
      </c>
      <c r="N1343" s="180">
        <v>0</v>
      </c>
      <c r="O1343" s="180">
        <v>2</v>
      </c>
      <c r="P1343" s="180">
        <v>4</v>
      </c>
      <c r="Q1343" s="180">
        <v>0.35</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3</v>
      </c>
      <c r="AG1343" s="180">
        <v>1</v>
      </c>
      <c r="AH1343" s="180">
        <v>1</v>
      </c>
      <c r="AI1343" s="180">
        <v>2</v>
      </c>
      <c r="AJ1343" s="180">
        <v>0</v>
      </c>
      <c r="AK1343" s="12">
        <v>0</v>
      </c>
      <c r="AL1343" s="180">
        <v>2</v>
      </c>
      <c r="AM1343" s="180">
        <v>0</v>
      </c>
      <c r="AN1343" s="180">
        <v>0</v>
      </c>
      <c r="AO1343" s="180">
        <v>0</v>
      </c>
      <c r="AP1343" s="16">
        <v>0</v>
      </c>
      <c r="AQ1343" s="180">
        <v>1000</v>
      </c>
      <c r="AR1343" s="180">
        <v>0.5</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4" t="s">
        <v>2932</v>
      </c>
      <c r="BF1343" s="244" t="s">
        <v>2933</v>
      </c>
      <c r="BG1343" s="180">
        <v>0</v>
      </c>
      <c r="BH1343" s="16">
        <v>0</v>
      </c>
      <c r="BI1343" s="180">
        <v>0</v>
      </c>
      <c r="BJ1343" s="180">
        <v>0</v>
      </c>
      <c r="BK1343" s="180">
        <v>0</v>
      </c>
      <c r="BL1343" s="180">
        <v>0</v>
      </c>
      <c r="BM1343" s="363" t="s">
        <v>2934</v>
      </c>
      <c r="BN1343" s="12">
        <v>0</v>
      </c>
      <c r="BO1343" s="12">
        <v>0</v>
      </c>
      <c r="BP1343" s="12">
        <v>0</v>
      </c>
      <c r="BQ1343" s="12">
        <v>0</v>
      </c>
      <c r="BR1343" s="12">
        <v>0</v>
      </c>
      <c r="BS1343" s="12">
        <v>0</v>
      </c>
      <c r="BT1343" s="12">
        <v>0</v>
      </c>
      <c r="BU1343" s="47">
        <v>0</v>
      </c>
      <c r="BV1343" s="47"/>
      <c r="BW1343" s="47"/>
    </row>
    <row r="1344" spans="3:75" ht="20.100000000000001" customHeight="1">
      <c r="C1344" s="16">
        <v>63103001</v>
      </c>
      <c r="D1344" s="17" t="s">
        <v>2935</v>
      </c>
      <c r="E1344" s="17" t="s">
        <v>2936</v>
      </c>
      <c r="F1344" s="180">
        <v>1</v>
      </c>
      <c r="G1344" s="180">
        <v>63001004</v>
      </c>
      <c r="H1344" s="180">
        <v>0</v>
      </c>
      <c r="I1344" s="180">
        <v>0</v>
      </c>
      <c r="J1344" s="180">
        <v>1</v>
      </c>
      <c r="K1344" s="180">
        <v>0</v>
      </c>
      <c r="L1344" s="180">
        <v>0</v>
      </c>
      <c r="M1344" s="180">
        <v>0</v>
      </c>
      <c r="N1344" s="180">
        <v>0</v>
      </c>
      <c r="O1344" s="180">
        <v>2</v>
      </c>
      <c r="P1344" s="180">
        <v>10</v>
      </c>
      <c r="Q1344" s="180">
        <v>1</v>
      </c>
      <c r="R1344" s="180">
        <v>0</v>
      </c>
      <c r="S1344" s="180">
        <v>0</v>
      </c>
      <c r="T1344" s="180">
        <v>0</v>
      </c>
      <c r="U1344" s="180">
        <v>1</v>
      </c>
      <c r="V1344" s="180">
        <v>2</v>
      </c>
      <c r="W1344" s="180">
        <v>0</v>
      </c>
      <c r="X1344" s="180">
        <v>0</v>
      </c>
      <c r="Y1344" s="12">
        <v>0</v>
      </c>
      <c r="Z1344" s="180">
        <v>0</v>
      </c>
      <c r="AA1344" s="180">
        <v>0</v>
      </c>
      <c r="AB1344" s="180">
        <v>0</v>
      </c>
      <c r="AC1344" s="180">
        <v>0</v>
      </c>
      <c r="AD1344" s="16">
        <v>1</v>
      </c>
      <c r="AE1344" s="180">
        <v>0</v>
      </c>
      <c r="AF1344" s="180">
        <v>30</v>
      </c>
      <c r="AG1344" s="180">
        <v>0</v>
      </c>
      <c r="AH1344" s="180">
        <v>0</v>
      </c>
      <c r="AI1344" s="180">
        <v>7</v>
      </c>
      <c r="AJ1344" s="180">
        <v>0</v>
      </c>
      <c r="AK1344" s="180">
        <v>0</v>
      </c>
      <c r="AL1344" s="180">
        <v>3</v>
      </c>
      <c r="AM1344" s="180">
        <v>0</v>
      </c>
      <c r="AN1344" s="180">
        <v>0</v>
      </c>
      <c r="AO1344" s="180">
        <v>0</v>
      </c>
      <c r="AP1344" s="180">
        <v>0</v>
      </c>
      <c r="AQ1344" s="180">
        <v>2000</v>
      </c>
      <c r="AR1344" s="180">
        <v>0</v>
      </c>
      <c r="AS1344" s="180">
        <v>0</v>
      </c>
      <c r="AT1344" s="180">
        <v>0</v>
      </c>
      <c r="AU1344" s="180">
        <v>90513001</v>
      </c>
      <c r="AV1344" s="180"/>
      <c r="AW1344" s="236" t="s">
        <v>198</v>
      </c>
      <c r="AX1344" s="180">
        <v>0</v>
      </c>
      <c r="AY1344" s="180">
        <v>0</v>
      </c>
      <c r="AZ1344" s="180">
        <v>0</v>
      </c>
      <c r="BA1344" s="236" t="s">
        <v>200</v>
      </c>
      <c r="BB1344" s="236">
        <v>0</v>
      </c>
      <c r="BC1344" s="180">
        <v>0</v>
      </c>
      <c r="BD1344" s="180">
        <v>0</v>
      </c>
      <c r="BE1344" s="44" t="s">
        <v>2937</v>
      </c>
      <c r="BF1344" s="44" t="s">
        <v>2938</v>
      </c>
      <c r="BG1344" s="180">
        <v>0</v>
      </c>
      <c r="BH1344" s="180">
        <v>0</v>
      </c>
      <c r="BI1344" s="180">
        <v>0</v>
      </c>
      <c r="BJ1344" s="180">
        <v>0</v>
      </c>
      <c r="BK1344" s="180">
        <v>0</v>
      </c>
      <c r="BL1344" s="180">
        <v>0</v>
      </c>
      <c r="BM1344" s="245">
        <v>0</v>
      </c>
      <c r="BN1344" s="180">
        <v>0</v>
      </c>
      <c r="BO1344" s="12">
        <v>0</v>
      </c>
      <c r="BP1344" s="12">
        <v>0</v>
      </c>
      <c r="BQ1344" s="12">
        <v>0</v>
      </c>
      <c r="BR1344" s="12">
        <v>0</v>
      </c>
      <c r="BS1344" s="12">
        <v>0</v>
      </c>
      <c r="BT1344" s="12">
        <v>0</v>
      </c>
      <c r="BU1344" s="47">
        <v>0</v>
      </c>
      <c r="BV1344" s="47"/>
      <c r="BW1344" s="47"/>
    </row>
    <row r="1345" spans="3:75" ht="20.100000000000001" customHeight="1">
      <c r="C1345" s="16">
        <v>63103002</v>
      </c>
      <c r="D1345" s="17" t="s">
        <v>2889</v>
      </c>
      <c r="E1345" s="17" t="s">
        <v>2890</v>
      </c>
      <c r="F1345" s="16">
        <v>1</v>
      </c>
      <c r="G1345" s="16">
        <v>63003002</v>
      </c>
      <c r="H1345" s="16">
        <v>0</v>
      </c>
      <c r="I1345" s="27">
        <v>0</v>
      </c>
      <c r="J1345" s="18">
        <v>1</v>
      </c>
      <c r="K1345" s="18">
        <v>0</v>
      </c>
      <c r="L1345" s="16">
        <v>0</v>
      </c>
      <c r="M1345" s="16">
        <v>0</v>
      </c>
      <c r="N1345" s="16">
        <v>0</v>
      </c>
      <c r="O1345" s="16">
        <v>2</v>
      </c>
      <c r="P1345" s="16">
        <v>0</v>
      </c>
      <c r="Q1345" s="16">
        <v>0</v>
      </c>
      <c r="R1345" s="16">
        <v>0</v>
      </c>
      <c r="S1345" s="12">
        <v>0</v>
      </c>
      <c r="T1345" s="16">
        <v>0</v>
      </c>
      <c r="U1345" s="16">
        <v>1</v>
      </c>
      <c r="V1345" s="16">
        <v>0</v>
      </c>
      <c r="W1345" s="16">
        <v>0</v>
      </c>
      <c r="X1345" s="18">
        <v>0</v>
      </c>
      <c r="Y1345" s="12">
        <v>0</v>
      </c>
      <c r="Z1345" s="18">
        <v>0</v>
      </c>
      <c r="AA1345" s="16">
        <v>0</v>
      </c>
      <c r="AB1345" s="16">
        <v>0</v>
      </c>
      <c r="AC1345" s="16">
        <v>0</v>
      </c>
      <c r="AD1345" s="16">
        <v>1</v>
      </c>
      <c r="AE1345" s="16">
        <v>0</v>
      </c>
      <c r="AF1345" s="16">
        <v>0</v>
      </c>
      <c r="AG1345" s="16">
        <v>0</v>
      </c>
      <c r="AH1345" s="16" t="s">
        <v>198</v>
      </c>
      <c r="AI1345" s="12">
        <v>0</v>
      </c>
      <c r="AJ1345" s="12">
        <v>0</v>
      </c>
      <c r="AK1345" s="12">
        <v>0</v>
      </c>
      <c r="AL1345" s="12">
        <v>0</v>
      </c>
      <c r="AM1345" s="16">
        <v>0</v>
      </c>
      <c r="AN1345" s="16">
        <v>0</v>
      </c>
      <c r="AO1345" s="16">
        <v>0</v>
      </c>
      <c r="AP1345" s="16">
        <v>0</v>
      </c>
      <c r="AQ1345" s="16">
        <v>0</v>
      </c>
      <c r="AR1345" s="16">
        <v>0</v>
      </c>
      <c r="AS1345" s="16">
        <v>0</v>
      </c>
      <c r="AT1345" s="12">
        <v>0</v>
      </c>
      <c r="AU1345" s="16" t="s">
        <v>198</v>
      </c>
      <c r="AV1345" s="16"/>
      <c r="AW1345" s="17" t="s">
        <v>198</v>
      </c>
      <c r="AX1345" s="16">
        <v>0</v>
      </c>
      <c r="AY1345" s="18">
        <v>0</v>
      </c>
      <c r="AZ1345" s="18">
        <v>0</v>
      </c>
      <c r="BA1345" s="17" t="s">
        <v>198</v>
      </c>
      <c r="BB1345" s="16">
        <v>0</v>
      </c>
      <c r="BC1345" s="27">
        <v>0</v>
      </c>
      <c r="BD1345" s="27">
        <v>0</v>
      </c>
      <c r="BE1345" s="44" t="s">
        <v>2891</v>
      </c>
      <c r="BF1345" s="44" t="s">
        <v>2892</v>
      </c>
      <c r="BG1345" s="16">
        <v>0</v>
      </c>
      <c r="BH1345" s="16">
        <v>0</v>
      </c>
      <c r="BI1345" s="16">
        <v>0</v>
      </c>
      <c r="BJ1345" s="16">
        <v>0</v>
      </c>
      <c r="BK1345" s="16">
        <v>0</v>
      </c>
      <c r="BL1345" s="16">
        <v>0</v>
      </c>
      <c r="BM1345" s="15">
        <v>0</v>
      </c>
      <c r="BN1345" s="12">
        <v>0</v>
      </c>
      <c r="BO1345" s="12">
        <v>0</v>
      </c>
      <c r="BP1345" s="12">
        <v>0</v>
      </c>
      <c r="BQ1345" s="12">
        <v>0</v>
      </c>
      <c r="BR1345" s="12">
        <v>0</v>
      </c>
      <c r="BS1345" s="12">
        <v>0</v>
      </c>
      <c r="BT1345" s="12">
        <v>0</v>
      </c>
      <c r="BU1345" s="47">
        <v>0</v>
      </c>
      <c r="BV1345" s="47"/>
      <c r="BW1345" s="47"/>
    </row>
    <row r="1346" spans="3:75" ht="20.100000000000001" customHeight="1">
      <c r="C1346" s="16">
        <v>63103003</v>
      </c>
      <c r="D1346" s="17" t="s">
        <v>2939</v>
      </c>
      <c r="E1346" s="17" t="s">
        <v>2940</v>
      </c>
      <c r="F1346" s="16">
        <v>1</v>
      </c>
      <c r="G1346" s="16">
        <v>63003003</v>
      </c>
      <c r="H1346" s="16">
        <v>0</v>
      </c>
      <c r="I1346" s="27">
        <v>0</v>
      </c>
      <c r="J1346" s="18">
        <v>1</v>
      </c>
      <c r="K1346" s="18">
        <v>0</v>
      </c>
      <c r="L1346" s="16">
        <v>0</v>
      </c>
      <c r="M1346" s="16">
        <v>0</v>
      </c>
      <c r="N1346" s="16">
        <v>0</v>
      </c>
      <c r="O1346" s="16">
        <v>8</v>
      </c>
      <c r="P1346" s="16">
        <v>0</v>
      </c>
      <c r="Q1346" s="16">
        <v>0</v>
      </c>
      <c r="R1346" s="16">
        <v>0</v>
      </c>
      <c r="S1346" s="12">
        <v>0</v>
      </c>
      <c r="T1346" s="16">
        <v>0</v>
      </c>
      <c r="U1346" s="16">
        <v>1</v>
      </c>
      <c r="V1346" s="16">
        <v>0</v>
      </c>
      <c r="W1346" s="16">
        <v>0</v>
      </c>
      <c r="X1346" s="18">
        <v>0</v>
      </c>
      <c r="Y1346" s="12">
        <v>0</v>
      </c>
      <c r="Z1346" s="18">
        <v>0</v>
      </c>
      <c r="AA1346" s="16">
        <v>0</v>
      </c>
      <c r="AB1346" s="16">
        <v>0</v>
      </c>
      <c r="AC1346" s="16">
        <v>0</v>
      </c>
      <c r="AD1346" s="16">
        <v>1</v>
      </c>
      <c r="AE1346" s="16">
        <v>0</v>
      </c>
      <c r="AF1346" s="16">
        <v>0</v>
      </c>
      <c r="AG1346" s="16">
        <v>0</v>
      </c>
      <c r="AH1346" s="16" t="s">
        <v>198</v>
      </c>
      <c r="AI1346" s="12">
        <v>0</v>
      </c>
      <c r="AJ1346" s="12">
        <v>0</v>
      </c>
      <c r="AK1346" s="12">
        <v>0</v>
      </c>
      <c r="AL1346" s="12">
        <v>0</v>
      </c>
      <c r="AM1346" s="16">
        <v>0</v>
      </c>
      <c r="AN1346" s="16">
        <v>0</v>
      </c>
      <c r="AO1346" s="16">
        <v>0</v>
      </c>
      <c r="AP1346" s="16">
        <v>0</v>
      </c>
      <c r="AQ1346" s="16">
        <v>0</v>
      </c>
      <c r="AR1346" s="16">
        <v>0</v>
      </c>
      <c r="AS1346" s="16">
        <v>0</v>
      </c>
      <c r="AT1346" s="12">
        <v>0</v>
      </c>
      <c r="AU1346" s="16" t="s">
        <v>198</v>
      </c>
      <c r="AV1346" s="16"/>
      <c r="AW1346" s="17" t="s">
        <v>198</v>
      </c>
      <c r="AX1346" s="16">
        <v>0</v>
      </c>
      <c r="AY1346" s="18">
        <v>0</v>
      </c>
      <c r="AZ1346" s="18">
        <v>0</v>
      </c>
      <c r="BA1346" s="17" t="s">
        <v>198</v>
      </c>
      <c r="BB1346" s="16" t="s">
        <v>2941</v>
      </c>
      <c r="BC1346" s="27">
        <v>0</v>
      </c>
      <c r="BD1346" s="27">
        <v>0</v>
      </c>
      <c r="BE1346" s="44" t="s">
        <v>2942</v>
      </c>
      <c r="BF1346" s="44" t="s">
        <v>2943</v>
      </c>
      <c r="BG1346" s="16">
        <v>0</v>
      </c>
      <c r="BH1346" s="16">
        <v>0</v>
      </c>
      <c r="BI1346" s="16">
        <v>0</v>
      </c>
      <c r="BJ1346" s="16">
        <v>0</v>
      </c>
      <c r="BK1346" s="16">
        <v>0</v>
      </c>
      <c r="BL1346" s="16">
        <v>0</v>
      </c>
      <c r="BM1346" s="15">
        <v>0</v>
      </c>
      <c r="BN1346" s="12">
        <v>0</v>
      </c>
      <c r="BO1346" s="12">
        <v>0</v>
      </c>
      <c r="BP1346" s="12">
        <v>0</v>
      </c>
      <c r="BQ1346" s="12">
        <v>0</v>
      </c>
      <c r="BR1346" s="12">
        <v>0</v>
      </c>
      <c r="BS1346" s="12">
        <v>0</v>
      </c>
      <c r="BT1346" s="12">
        <v>0</v>
      </c>
      <c r="BU1346" s="47">
        <v>0</v>
      </c>
      <c r="BV1346" s="47"/>
      <c r="BW1346" s="47"/>
    </row>
    <row r="1347" spans="3:75" ht="20.100000000000001" customHeight="1">
      <c r="C1347" s="16">
        <v>63103004</v>
      </c>
      <c r="D1347" s="236" t="s">
        <v>2861</v>
      </c>
      <c r="E1347" s="236" t="s">
        <v>2944</v>
      </c>
      <c r="F1347" s="180">
        <v>1</v>
      </c>
      <c r="G1347" s="180">
        <v>63001004</v>
      </c>
      <c r="H1347" s="180">
        <v>0</v>
      </c>
      <c r="I1347" s="180">
        <v>0</v>
      </c>
      <c r="J1347" s="18">
        <v>1</v>
      </c>
      <c r="K1347" s="18">
        <v>0</v>
      </c>
      <c r="L1347" s="16">
        <v>0</v>
      </c>
      <c r="M1347" s="180">
        <v>0</v>
      </c>
      <c r="N1347" s="180">
        <v>0</v>
      </c>
      <c r="O1347" s="180">
        <v>2</v>
      </c>
      <c r="P1347" s="180">
        <v>10</v>
      </c>
      <c r="Q1347" s="180">
        <v>0.1</v>
      </c>
      <c r="R1347" s="180">
        <v>0</v>
      </c>
      <c r="S1347" s="12">
        <v>0</v>
      </c>
      <c r="T1347" s="180">
        <v>0</v>
      </c>
      <c r="U1347" s="180">
        <v>1</v>
      </c>
      <c r="V1347" s="180">
        <v>2</v>
      </c>
      <c r="W1347" s="180">
        <v>0</v>
      </c>
      <c r="X1347" s="180">
        <v>0</v>
      </c>
      <c r="Y1347" s="12">
        <v>0</v>
      </c>
      <c r="Z1347" s="180">
        <v>0</v>
      </c>
      <c r="AA1347" s="180">
        <v>0</v>
      </c>
      <c r="AB1347" s="180">
        <v>0</v>
      </c>
      <c r="AC1347" s="180">
        <v>0</v>
      </c>
      <c r="AD1347" s="16">
        <v>1</v>
      </c>
      <c r="AE1347" s="180">
        <v>0</v>
      </c>
      <c r="AF1347" s="180">
        <v>15</v>
      </c>
      <c r="AG1347" s="180">
        <v>1</v>
      </c>
      <c r="AH1347" s="180">
        <v>1</v>
      </c>
      <c r="AI1347" s="180">
        <v>2</v>
      </c>
      <c r="AJ1347" s="180">
        <v>0</v>
      </c>
      <c r="AK1347" s="12">
        <v>0</v>
      </c>
      <c r="AL1347" s="180">
        <v>2</v>
      </c>
      <c r="AM1347" s="180">
        <v>0</v>
      </c>
      <c r="AN1347" s="180">
        <v>0</v>
      </c>
      <c r="AO1347" s="180">
        <v>0</v>
      </c>
      <c r="AP1347" s="16">
        <v>0</v>
      </c>
      <c r="AQ1347" s="180">
        <v>10000</v>
      </c>
      <c r="AR1347" s="180">
        <v>0</v>
      </c>
      <c r="AS1347" s="180">
        <v>0</v>
      </c>
      <c r="AT1347" s="180">
        <v>0</v>
      </c>
      <c r="AU1347" s="180" t="s">
        <v>198</v>
      </c>
      <c r="AV1347" s="180"/>
      <c r="AW1347" s="236" t="s">
        <v>199</v>
      </c>
      <c r="AX1347" s="180">
        <v>0</v>
      </c>
      <c r="AY1347" s="180">
        <v>0</v>
      </c>
      <c r="AZ1347" s="180">
        <v>0</v>
      </c>
      <c r="BA1347" s="236" t="s">
        <v>200</v>
      </c>
      <c r="BB1347" s="236" t="s">
        <v>198</v>
      </c>
      <c r="BC1347" s="180">
        <v>0</v>
      </c>
      <c r="BD1347" s="180">
        <v>0</v>
      </c>
      <c r="BE1347" s="244" t="s">
        <v>2945</v>
      </c>
      <c r="BF1347" s="244" t="s">
        <v>2946</v>
      </c>
      <c r="BG1347" s="180">
        <v>0</v>
      </c>
      <c r="BH1347" s="16">
        <v>0</v>
      </c>
      <c r="BI1347" s="180">
        <v>0</v>
      </c>
      <c r="BJ1347" s="180">
        <v>0</v>
      </c>
      <c r="BK1347" s="180">
        <v>0</v>
      </c>
      <c r="BL1347" s="180">
        <v>0</v>
      </c>
      <c r="BM1347" s="363" t="s">
        <v>2947</v>
      </c>
      <c r="BN1347" s="12">
        <v>1</v>
      </c>
      <c r="BO1347" s="12">
        <v>0</v>
      </c>
      <c r="BP1347" s="12">
        <v>0</v>
      </c>
      <c r="BQ1347" s="12">
        <v>0</v>
      </c>
      <c r="BR1347" s="12">
        <v>0</v>
      </c>
      <c r="BS1347" s="12">
        <v>0</v>
      </c>
      <c r="BT1347" s="12">
        <v>0</v>
      </c>
      <c r="BU1347" s="47">
        <v>0</v>
      </c>
      <c r="BV1347" s="47"/>
      <c r="BW1347" s="47"/>
    </row>
    <row r="1348" spans="3:75" ht="20.100000000000001" customHeight="1">
      <c r="C1348" s="30">
        <v>63103098</v>
      </c>
      <c r="D1348" s="38" t="s">
        <v>2948</v>
      </c>
      <c r="E1348" s="38" t="s">
        <v>2949</v>
      </c>
      <c r="F1348" s="30">
        <v>1</v>
      </c>
      <c r="G1348" s="30">
        <v>63001004</v>
      </c>
      <c r="H1348" s="30">
        <v>0</v>
      </c>
      <c r="I1348" s="30">
        <v>0</v>
      </c>
      <c r="J1348" s="30">
        <v>1</v>
      </c>
      <c r="K1348" s="30">
        <v>0</v>
      </c>
      <c r="L1348" s="30">
        <v>0</v>
      </c>
      <c r="M1348" s="30">
        <v>0</v>
      </c>
      <c r="N1348" s="30">
        <v>0</v>
      </c>
      <c r="O1348" s="30">
        <v>2</v>
      </c>
      <c r="P1348" s="30">
        <v>3</v>
      </c>
      <c r="Q1348" s="30">
        <v>0.1</v>
      </c>
      <c r="R1348" s="30">
        <v>0</v>
      </c>
      <c r="S1348" s="30">
        <v>0</v>
      </c>
      <c r="T1348" s="30">
        <v>0</v>
      </c>
      <c r="U1348" s="30">
        <v>1</v>
      </c>
      <c r="V1348" s="30">
        <v>2</v>
      </c>
      <c r="W1348" s="30">
        <v>0</v>
      </c>
      <c r="X1348" s="30">
        <v>0</v>
      </c>
      <c r="Y1348" s="12">
        <v>0</v>
      </c>
      <c r="Z1348" s="30">
        <v>0</v>
      </c>
      <c r="AA1348" s="30">
        <v>0</v>
      </c>
      <c r="AB1348" s="30">
        <v>0</v>
      </c>
      <c r="AC1348" s="30">
        <v>0</v>
      </c>
      <c r="AD1348" s="30">
        <v>1</v>
      </c>
      <c r="AE1348" s="30">
        <v>0</v>
      </c>
      <c r="AF1348" s="30">
        <v>15</v>
      </c>
      <c r="AG1348" s="30">
        <v>1</v>
      </c>
      <c r="AH1348" s="30">
        <v>1</v>
      </c>
      <c r="AI1348" s="30">
        <v>2</v>
      </c>
      <c r="AJ1348" s="30">
        <v>0</v>
      </c>
      <c r="AK1348" s="30">
        <v>0</v>
      </c>
      <c r="AL1348" s="30">
        <v>2</v>
      </c>
      <c r="AM1348" s="30">
        <v>0</v>
      </c>
      <c r="AN1348" s="30">
        <v>0</v>
      </c>
      <c r="AO1348" s="30">
        <v>0</v>
      </c>
      <c r="AP1348" s="30">
        <v>0</v>
      </c>
      <c r="AQ1348" s="30">
        <v>10000</v>
      </c>
      <c r="AR1348" s="30">
        <v>0</v>
      </c>
      <c r="AS1348" s="30">
        <v>0</v>
      </c>
      <c r="AT1348" s="30">
        <v>0</v>
      </c>
      <c r="AU1348" s="30" t="s">
        <v>198</v>
      </c>
      <c r="AV1348" s="30"/>
      <c r="AW1348" s="38" t="s">
        <v>199</v>
      </c>
      <c r="AX1348" s="30">
        <v>0</v>
      </c>
      <c r="AY1348" s="30">
        <v>0</v>
      </c>
      <c r="AZ1348" s="30">
        <v>0</v>
      </c>
      <c r="BA1348" s="38" t="s">
        <v>200</v>
      </c>
      <c r="BB1348" s="38" t="s">
        <v>198</v>
      </c>
      <c r="BC1348" s="30">
        <v>0</v>
      </c>
      <c r="BD1348" s="30">
        <v>0</v>
      </c>
      <c r="BE1348" s="182" t="s">
        <v>2950</v>
      </c>
      <c r="BF1348" s="182" t="s">
        <v>2951</v>
      </c>
      <c r="BG1348" s="30">
        <v>0</v>
      </c>
      <c r="BH1348" s="30">
        <v>0</v>
      </c>
      <c r="BI1348" s="30">
        <v>0</v>
      </c>
      <c r="BJ1348" s="30">
        <v>0</v>
      </c>
      <c r="BK1348" s="30">
        <v>0</v>
      </c>
      <c r="BL1348" s="30">
        <v>0</v>
      </c>
      <c r="BM1348" s="364" t="s">
        <v>2952</v>
      </c>
      <c r="BN1348" s="30">
        <v>1</v>
      </c>
      <c r="BO1348" s="30">
        <v>0</v>
      </c>
      <c r="BP1348" s="30">
        <v>0</v>
      </c>
      <c r="BQ1348" s="30">
        <v>0</v>
      </c>
      <c r="BR1348" s="30">
        <v>0</v>
      </c>
      <c r="BS1348" s="30">
        <v>0</v>
      </c>
      <c r="BT1348" s="12">
        <v>0</v>
      </c>
      <c r="BU1348" s="47">
        <v>0</v>
      </c>
      <c r="BV1348" s="47"/>
      <c r="BW1348" s="47"/>
    </row>
    <row r="1349" spans="3:75" ht="20.100000000000001" customHeight="1">
      <c r="C1349" s="30">
        <v>63103099</v>
      </c>
      <c r="D1349" s="38" t="s">
        <v>2953</v>
      </c>
      <c r="E1349" s="38" t="s">
        <v>2954</v>
      </c>
      <c r="F1349" s="30">
        <v>1</v>
      </c>
      <c r="G1349" s="30">
        <v>63003001</v>
      </c>
      <c r="H1349" s="30">
        <v>0</v>
      </c>
      <c r="I1349" s="30">
        <v>0</v>
      </c>
      <c r="J1349" s="30">
        <v>1</v>
      </c>
      <c r="K1349" s="30">
        <v>0</v>
      </c>
      <c r="L1349" s="30">
        <v>0</v>
      </c>
      <c r="M1349" s="30">
        <v>0</v>
      </c>
      <c r="N1349" s="30">
        <v>0</v>
      </c>
      <c r="O1349" s="30">
        <v>2</v>
      </c>
      <c r="P1349" s="30">
        <v>2</v>
      </c>
      <c r="Q1349" s="30">
        <v>1</v>
      </c>
      <c r="R1349" s="30">
        <v>0</v>
      </c>
      <c r="S1349" s="30">
        <v>0</v>
      </c>
      <c r="T1349" s="30">
        <v>0</v>
      </c>
      <c r="U1349" s="30">
        <v>1</v>
      </c>
      <c r="V1349" s="30">
        <v>2</v>
      </c>
      <c r="W1349" s="30">
        <v>0</v>
      </c>
      <c r="X1349" s="30">
        <v>0</v>
      </c>
      <c r="Y1349" s="12">
        <v>0</v>
      </c>
      <c r="Z1349" s="30">
        <v>0</v>
      </c>
      <c r="AA1349" s="30">
        <v>0</v>
      </c>
      <c r="AB1349" s="30">
        <v>0</v>
      </c>
      <c r="AC1349" s="30">
        <v>0</v>
      </c>
      <c r="AD1349" s="30">
        <v>1</v>
      </c>
      <c r="AE1349" s="30">
        <v>0</v>
      </c>
      <c r="AF1349" s="30">
        <v>60</v>
      </c>
      <c r="AG1349" s="30">
        <v>1</v>
      </c>
      <c r="AH1349" s="30">
        <v>10</v>
      </c>
      <c r="AI1349" s="30">
        <v>0</v>
      </c>
      <c r="AJ1349" s="30">
        <v>0</v>
      </c>
      <c r="AK1349" s="30">
        <v>0</v>
      </c>
      <c r="AL1349" s="30">
        <v>0</v>
      </c>
      <c r="AM1349" s="30">
        <v>0</v>
      </c>
      <c r="AN1349" s="30">
        <v>0</v>
      </c>
      <c r="AO1349" s="30">
        <v>0</v>
      </c>
      <c r="AP1349" s="30">
        <v>0</v>
      </c>
      <c r="AQ1349" s="30">
        <v>50000</v>
      </c>
      <c r="AR1349" s="30">
        <v>0</v>
      </c>
      <c r="AS1349" s="30">
        <v>0</v>
      </c>
      <c r="AT1349" s="30">
        <v>0</v>
      </c>
      <c r="AU1349" s="30">
        <v>90513001</v>
      </c>
      <c r="AV1349" s="30"/>
      <c r="AW1349" s="38" t="s">
        <v>198</v>
      </c>
      <c r="AX1349" s="30">
        <v>0</v>
      </c>
      <c r="AY1349" s="30">
        <v>0</v>
      </c>
      <c r="AZ1349" s="30">
        <v>0</v>
      </c>
      <c r="BA1349" s="38" t="s">
        <v>2955</v>
      </c>
      <c r="BB1349" s="30">
        <v>0</v>
      </c>
      <c r="BC1349" s="30">
        <v>0</v>
      </c>
      <c r="BD1349" s="30">
        <v>0</v>
      </c>
      <c r="BE1349" s="227" t="s">
        <v>2956</v>
      </c>
      <c r="BF1349" s="227" t="s">
        <v>2957</v>
      </c>
      <c r="BG1349" s="30">
        <v>0</v>
      </c>
      <c r="BH1349" s="30">
        <v>0</v>
      </c>
      <c r="BI1349" s="30">
        <v>0</v>
      </c>
      <c r="BJ1349" s="30">
        <v>0</v>
      </c>
      <c r="BK1349" s="30">
        <v>0</v>
      </c>
      <c r="BL1349" s="30">
        <v>0</v>
      </c>
      <c r="BM1349" s="21">
        <v>0</v>
      </c>
      <c r="BN1349" s="30">
        <v>1</v>
      </c>
      <c r="BO1349" s="30">
        <v>0</v>
      </c>
      <c r="BP1349" s="30">
        <v>0</v>
      </c>
      <c r="BQ1349" s="30">
        <v>0</v>
      </c>
      <c r="BR1349" s="30">
        <v>0</v>
      </c>
      <c r="BS1349" s="30">
        <v>0</v>
      </c>
      <c r="BT1349" s="12">
        <v>0</v>
      </c>
      <c r="BU1349" s="47">
        <v>0</v>
      </c>
      <c r="BV1349" s="47"/>
      <c r="BW1349" s="47"/>
    </row>
    <row r="1350" spans="3:75" ht="20.100000000000001" customHeight="1">
      <c r="C1350" s="60">
        <v>63200101</v>
      </c>
      <c r="D1350" s="59" t="s">
        <v>2958</v>
      </c>
      <c r="E1350" s="59" t="s">
        <v>2959</v>
      </c>
      <c r="F1350" s="60">
        <v>1</v>
      </c>
      <c r="G1350" s="60">
        <v>63200101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2960</v>
      </c>
      <c r="BF1350" s="90" t="s">
        <v>2961</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spans="3:75" ht="20.100000000000001" customHeight="1">
      <c r="C1351" s="60">
        <v>63200102</v>
      </c>
      <c r="D1351" s="124" t="s">
        <v>2426</v>
      </c>
      <c r="E1351" s="124" t="s">
        <v>2962</v>
      </c>
      <c r="F1351" s="68">
        <v>1</v>
      </c>
      <c r="G1351" s="68">
        <v>10001</v>
      </c>
      <c r="H1351" s="68">
        <v>0</v>
      </c>
      <c r="I1351" s="68">
        <v>0</v>
      </c>
      <c r="J1351" s="68">
        <v>1</v>
      </c>
      <c r="K1351" s="68">
        <v>0</v>
      </c>
      <c r="L1351" s="60">
        <v>0</v>
      </c>
      <c r="M1351" s="68">
        <v>0</v>
      </c>
      <c r="N1351" s="68">
        <v>0</v>
      </c>
      <c r="O1351" s="68">
        <v>2</v>
      </c>
      <c r="P1351" s="68">
        <v>15</v>
      </c>
      <c r="Q1351" s="68">
        <v>1</v>
      </c>
      <c r="R1351" s="68">
        <v>0</v>
      </c>
      <c r="S1351" s="68">
        <v>0</v>
      </c>
      <c r="T1351" s="68">
        <v>0</v>
      </c>
      <c r="U1351" s="68">
        <v>1</v>
      </c>
      <c r="V1351" s="68">
        <v>2</v>
      </c>
      <c r="W1351" s="68">
        <v>0</v>
      </c>
      <c r="X1351" s="68">
        <v>0</v>
      </c>
      <c r="Y1351" s="12">
        <v>0</v>
      </c>
      <c r="Z1351" s="68">
        <v>0</v>
      </c>
      <c r="AA1351" s="68">
        <v>0</v>
      </c>
      <c r="AB1351" s="68">
        <v>0</v>
      </c>
      <c r="AC1351" s="68">
        <v>0</v>
      </c>
      <c r="AD1351" s="68">
        <v>0</v>
      </c>
      <c r="AE1351" s="68">
        <v>0</v>
      </c>
      <c r="AF1351" s="68">
        <v>25</v>
      </c>
      <c r="AG1351" s="68">
        <v>0</v>
      </c>
      <c r="AH1351" s="68">
        <v>0</v>
      </c>
      <c r="AI1351" s="68">
        <v>2</v>
      </c>
      <c r="AJ1351" s="68">
        <v>1</v>
      </c>
      <c r="AK1351" s="68">
        <v>0</v>
      </c>
      <c r="AL1351" s="68">
        <v>0</v>
      </c>
      <c r="AM1351" s="68">
        <v>0</v>
      </c>
      <c r="AN1351" s="68">
        <v>0</v>
      </c>
      <c r="AO1351" s="68">
        <v>0</v>
      </c>
      <c r="AP1351" s="68">
        <v>0</v>
      </c>
      <c r="AQ1351" s="68">
        <v>1000</v>
      </c>
      <c r="AR1351" s="68">
        <v>0</v>
      </c>
      <c r="AS1351" s="68">
        <v>0</v>
      </c>
      <c r="AT1351" s="342" t="s">
        <v>2963</v>
      </c>
      <c r="AU1351" s="68" t="s">
        <v>198</v>
      </c>
      <c r="AV1351" s="68"/>
      <c r="AW1351" s="124" t="s">
        <v>199</v>
      </c>
      <c r="AX1351" s="68" t="s">
        <v>1837</v>
      </c>
      <c r="AY1351" s="68">
        <v>0</v>
      </c>
      <c r="AZ1351" s="68">
        <v>40000003</v>
      </c>
      <c r="BA1351" s="124" t="s">
        <v>200</v>
      </c>
      <c r="BB1351" s="124" t="s">
        <v>198</v>
      </c>
      <c r="BC1351" s="68">
        <v>0</v>
      </c>
      <c r="BD1351" s="68">
        <v>1</v>
      </c>
      <c r="BE1351" s="240" t="s">
        <v>2964</v>
      </c>
      <c r="BF1351" s="240" t="s">
        <v>2965</v>
      </c>
      <c r="BG1351" s="68">
        <v>0</v>
      </c>
      <c r="BH1351" s="68">
        <v>0</v>
      </c>
      <c r="BI1351" s="68">
        <v>0</v>
      </c>
      <c r="BJ1351" s="68">
        <v>0</v>
      </c>
      <c r="BK1351" s="68">
        <v>0</v>
      </c>
      <c r="BL1351" s="68">
        <v>0</v>
      </c>
      <c r="BM1351" s="134">
        <v>0</v>
      </c>
      <c r="BN1351" s="68">
        <v>1</v>
      </c>
      <c r="BO1351" s="68">
        <v>0</v>
      </c>
      <c r="BP1351" s="68">
        <v>0</v>
      </c>
      <c r="BQ1351" s="68">
        <v>0</v>
      </c>
      <c r="BR1351" s="68">
        <v>0</v>
      </c>
      <c r="BS1351" s="68">
        <v>0</v>
      </c>
      <c r="BT1351" s="12">
        <v>0</v>
      </c>
      <c r="BU1351" s="47">
        <v>0</v>
      </c>
      <c r="BV1351" s="47"/>
      <c r="BW1351" s="47"/>
    </row>
    <row r="1352" spans="3:75" ht="20.100000000000001" customHeight="1">
      <c r="C1352" s="60">
        <v>63200103</v>
      </c>
      <c r="D1352" s="59" t="s">
        <v>2966</v>
      </c>
      <c r="E1352" s="59" t="s">
        <v>2967</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2968</v>
      </c>
      <c r="BC1352" s="66"/>
      <c r="BD1352" s="66">
        <v>1</v>
      </c>
      <c r="BE1352" s="90" t="s">
        <v>2969</v>
      </c>
      <c r="BF1352" s="90" t="s">
        <v>2970</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63200104</v>
      </c>
      <c r="D1353" s="237" t="s">
        <v>2426</v>
      </c>
      <c r="E1353" s="237" t="s">
        <v>2962</v>
      </c>
      <c r="F1353" s="238">
        <v>1</v>
      </c>
      <c r="G1353" s="238">
        <v>63001004</v>
      </c>
      <c r="H1353" s="238">
        <v>0</v>
      </c>
      <c r="I1353" s="238">
        <v>0</v>
      </c>
      <c r="J1353" s="238">
        <v>1</v>
      </c>
      <c r="K1353" s="238">
        <v>0</v>
      </c>
      <c r="L1353" s="238">
        <v>0</v>
      </c>
      <c r="M1353" s="238">
        <v>0</v>
      </c>
      <c r="N1353" s="238">
        <v>0</v>
      </c>
      <c r="O1353" s="238">
        <v>2</v>
      </c>
      <c r="P1353" s="238">
        <v>10</v>
      </c>
      <c r="Q1353" s="238">
        <v>0.1</v>
      </c>
      <c r="R1353" s="238">
        <v>0</v>
      </c>
      <c r="S1353" s="238">
        <v>0</v>
      </c>
      <c r="T1353" s="238">
        <v>0</v>
      </c>
      <c r="U1353" s="238">
        <v>1</v>
      </c>
      <c r="V1353" s="238">
        <v>2</v>
      </c>
      <c r="W1353" s="238">
        <v>0</v>
      </c>
      <c r="X1353" s="238">
        <v>0</v>
      </c>
      <c r="Y1353" s="12">
        <v>0</v>
      </c>
      <c r="Z1353" s="238">
        <v>0</v>
      </c>
      <c r="AA1353" s="238">
        <v>0</v>
      </c>
      <c r="AB1353" s="238">
        <v>0</v>
      </c>
      <c r="AC1353" s="238">
        <v>0</v>
      </c>
      <c r="AD1353" s="60">
        <v>0</v>
      </c>
      <c r="AE1353" s="238">
        <v>0</v>
      </c>
      <c r="AF1353" s="238">
        <v>5</v>
      </c>
      <c r="AG1353" s="238">
        <v>0</v>
      </c>
      <c r="AH1353" s="238">
        <v>0</v>
      </c>
      <c r="AI1353" s="238">
        <v>7</v>
      </c>
      <c r="AJ1353" s="238">
        <v>0</v>
      </c>
      <c r="AK1353" s="238">
        <v>0</v>
      </c>
      <c r="AL1353" s="238">
        <v>3</v>
      </c>
      <c r="AM1353" s="238">
        <v>0</v>
      </c>
      <c r="AN1353" s="238">
        <v>0</v>
      </c>
      <c r="AO1353" s="238">
        <v>0</v>
      </c>
      <c r="AP1353" s="238">
        <v>0</v>
      </c>
      <c r="AQ1353" s="238">
        <v>3000</v>
      </c>
      <c r="AR1353" s="238">
        <v>0.5</v>
      </c>
      <c r="AS1353" s="238">
        <v>0</v>
      </c>
      <c r="AT1353" s="238">
        <v>90503112</v>
      </c>
      <c r="AU1353" s="238">
        <v>0</v>
      </c>
      <c r="AV1353" s="238"/>
      <c r="AW1353" s="237" t="s">
        <v>198</v>
      </c>
      <c r="AX1353" s="238">
        <v>0</v>
      </c>
      <c r="AY1353" s="238">
        <v>0</v>
      </c>
      <c r="AZ1353" s="238">
        <v>0</v>
      </c>
      <c r="BA1353" s="237" t="s">
        <v>200</v>
      </c>
      <c r="BB1353" s="237">
        <v>0</v>
      </c>
      <c r="BC1353" s="238">
        <v>0</v>
      </c>
      <c r="BD1353" s="238">
        <v>1</v>
      </c>
      <c r="BE1353" s="246" t="s">
        <v>2971</v>
      </c>
      <c r="BF1353" s="246" t="s">
        <v>2972</v>
      </c>
      <c r="BG1353" s="238">
        <v>0</v>
      </c>
      <c r="BH1353" s="238">
        <v>0</v>
      </c>
      <c r="BI1353" s="238">
        <v>0</v>
      </c>
      <c r="BJ1353" s="238">
        <v>0</v>
      </c>
      <c r="BK1353" s="238">
        <v>0</v>
      </c>
      <c r="BL1353" s="238">
        <v>0</v>
      </c>
      <c r="BM1353" s="241">
        <v>0</v>
      </c>
      <c r="BN1353" s="238">
        <v>0</v>
      </c>
      <c r="BO1353" s="68">
        <v>0</v>
      </c>
      <c r="BP1353" s="68">
        <v>0</v>
      </c>
      <c r="BQ1353" s="68">
        <v>0</v>
      </c>
      <c r="BR1353" s="68">
        <v>0</v>
      </c>
      <c r="BS1353" s="68">
        <v>0</v>
      </c>
      <c r="BT1353" s="12">
        <v>0</v>
      </c>
      <c r="BU1353" s="47">
        <v>0</v>
      </c>
      <c r="BV1353" s="47"/>
      <c r="BW1353" s="47"/>
    </row>
    <row r="1354" spans="3:75" ht="20.100000000000001" customHeight="1">
      <c r="C1354" s="60">
        <v>63200201</v>
      </c>
      <c r="D1354" s="59" t="s">
        <v>2973</v>
      </c>
      <c r="E1354" s="59" t="s">
        <v>2974</v>
      </c>
      <c r="F1354" s="60">
        <v>1</v>
      </c>
      <c r="G1354" s="60">
        <v>63200201</v>
      </c>
      <c r="H1354" s="60">
        <v>0</v>
      </c>
      <c r="I1354" s="66">
        <v>0</v>
      </c>
      <c r="J1354" s="64">
        <v>1</v>
      </c>
      <c r="K1354" s="64">
        <v>0</v>
      </c>
      <c r="L1354" s="60">
        <v>0</v>
      </c>
      <c r="M1354" s="60">
        <v>0</v>
      </c>
      <c r="N1354" s="60">
        <v>0</v>
      </c>
      <c r="O1354" s="60">
        <v>2</v>
      </c>
      <c r="P1354" s="60">
        <v>1</v>
      </c>
      <c r="Q1354" s="60">
        <v>0.5</v>
      </c>
      <c r="R1354" s="60">
        <v>0</v>
      </c>
      <c r="S1354" s="68">
        <v>0</v>
      </c>
      <c r="T1354" s="60">
        <v>0</v>
      </c>
      <c r="U1354" s="60">
        <v>1</v>
      </c>
      <c r="V1354" s="60">
        <v>2</v>
      </c>
      <c r="W1354" s="60">
        <v>0</v>
      </c>
      <c r="X1354" s="64">
        <v>0</v>
      </c>
      <c r="Y1354" s="12">
        <v>0</v>
      </c>
      <c r="Z1354" s="64">
        <v>0</v>
      </c>
      <c r="AA1354" s="60">
        <v>0</v>
      </c>
      <c r="AB1354" s="60">
        <v>0</v>
      </c>
      <c r="AC1354" s="60">
        <v>0</v>
      </c>
      <c r="AD1354" s="60">
        <v>0</v>
      </c>
      <c r="AE1354" s="60">
        <v>0</v>
      </c>
      <c r="AF1354" s="60">
        <v>18</v>
      </c>
      <c r="AG1354" s="60">
        <v>0</v>
      </c>
      <c r="AH1354" s="60">
        <v>0</v>
      </c>
      <c r="AI1354" s="68">
        <v>2</v>
      </c>
      <c r="AJ1354" s="68">
        <v>0</v>
      </c>
      <c r="AK1354" s="68">
        <v>0</v>
      </c>
      <c r="AL1354" s="68">
        <v>0</v>
      </c>
      <c r="AM1354" s="60">
        <v>0</v>
      </c>
      <c r="AN1354" s="60">
        <v>0</v>
      </c>
      <c r="AO1354" s="60">
        <v>0</v>
      </c>
      <c r="AP1354" s="60">
        <v>0</v>
      </c>
      <c r="AQ1354" s="60">
        <v>1000</v>
      </c>
      <c r="AR1354" s="60">
        <v>0</v>
      </c>
      <c r="AS1354" s="60">
        <v>0</v>
      </c>
      <c r="AT1354" s="68"/>
      <c r="AU1354" s="60" t="s">
        <v>198</v>
      </c>
      <c r="AV1354" s="60"/>
      <c r="AW1354" s="59" t="s">
        <v>198</v>
      </c>
      <c r="AX1354" s="60" t="s">
        <v>1837</v>
      </c>
      <c r="AY1354" s="64">
        <v>0</v>
      </c>
      <c r="AZ1354" s="64">
        <v>0</v>
      </c>
      <c r="BA1354" s="59" t="s">
        <v>200</v>
      </c>
      <c r="BB1354" s="60" t="s">
        <v>198</v>
      </c>
      <c r="BC1354" s="66">
        <v>0</v>
      </c>
      <c r="BD1354" s="66">
        <v>0</v>
      </c>
      <c r="BE1354" s="90" t="s">
        <v>2975</v>
      </c>
      <c r="BF1354" s="90" t="s">
        <v>2976</v>
      </c>
      <c r="BG1354" s="60">
        <v>0</v>
      </c>
      <c r="BH1354" s="60">
        <v>0</v>
      </c>
      <c r="BI1354" s="60">
        <v>0</v>
      </c>
      <c r="BJ1354" s="60">
        <v>0</v>
      </c>
      <c r="BK1354" s="60">
        <v>0</v>
      </c>
      <c r="BL1354" s="60">
        <v>0</v>
      </c>
      <c r="BM1354" s="93">
        <v>0</v>
      </c>
      <c r="BN1354" s="68">
        <v>0</v>
      </c>
      <c r="BO1354" s="68">
        <v>0</v>
      </c>
      <c r="BP1354" s="68">
        <v>0</v>
      </c>
      <c r="BQ1354" s="68">
        <v>0</v>
      </c>
      <c r="BR1354" s="68">
        <v>0</v>
      </c>
      <c r="BS1354" s="68">
        <v>0</v>
      </c>
      <c r="BT1354" s="12">
        <v>0</v>
      </c>
      <c r="BU1354" s="47">
        <v>0</v>
      </c>
      <c r="BV1354" s="47"/>
      <c r="BW1354" s="47"/>
    </row>
    <row r="1355" spans="3:75" ht="20.100000000000001" customHeight="1">
      <c r="C1355" s="60">
        <v>63200202</v>
      </c>
      <c r="D1355" s="59" t="s">
        <v>2977</v>
      </c>
      <c r="E1355" s="59" t="s">
        <v>2978</v>
      </c>
      <c r="F1355" s="60">
        <v>1</v>
      </c>
      <c r="G1355" s="60">
        <v>1000004</v>
      </c>
      <c r="H1355" s="60">
        <v>0</v>
      </c>
      <c r="I1355" s="66">
        <v>0</v>
      </c>
      <c r="J1355" s="64">
        <v>1</v>
      </c>
      <c r="K1355" s="64">
        <v>0</v>
      </c>
      <c r="L1355" s="60">
        <v>0</v>
      </c>
      <c r="M1355" s="60">
        <v>0</v>
      </c>
      <c r="N1355" s="60">
        <v>0</v>
      </c>
      <c r="O1355" s="60">
        <v>8</v>
      </c>
      <c r="P1355" s="60">
        <v>8</v>
      </c>
      <c r="Q1355" s="60">
        <v>4</v>
      </c>
      <c r="R1355" s="60">
        <v>0</v>
      </c>
      <c r="S1355" s="68">
        <v>0</v>
      </c>
      <c r="T1355" s="60">
        <v>0</v>
      </c>
      <c r="U1355" s="60">
        <v>1</v>
      </c>
      <c r="V1355" s="60">
        <v>0</v>
      </c>
      <c r="W1355" s="60">
        <v>0</v>
      </c>
      <c r="X1355" s="64">
        <v>0</v>
      </c>
      <c r="Y1355" s="12">
        <v>0</v>
      </c>
      <c r="Z1355" s="64">
        <v>0</v>
      </c>
      <c r="AA1355" s="60">
        <v>0</v>
      </c>
      <c r="AB1355" s="60">
        <v>0</v>
      </c>
      <c r="AC1355" s="60">
        <v>0</v>
      </c>
      <c r="AD1355" s="60">
        <v>0</v>
      </c>
      <c r="AE1355" s="60">
        <v>0</v>
      </c>
      <c r="AF1355" s="60">
        <v>0</v>
      </c>
      <c r="AG1355" s="60">
        <v>0</v>
      </c>
      <c r="AH1355" s="60" t="s">
        <v>198</v>
      </c>
      <c r="AI1355" s="68">
        <v>0</v>
      </c>
      <c r="AJ1355" s="68">
        <v>0</v>
      </c>
      <c r="AK1355" s="68">
        <v>0</v>
      </c>
      <c r="AL1355" s="68">
        <v>0</v>
      </c>
      <c r="AM1355" s="60">
        <v>0</v>
      </c>
      <c r="AN1355" s="60">
        <v>0</v>
      </c>
      <c r="AO1355" s="60">
        <v>0</v>
      </c>
      <c r="AP1355" s="60">
        <v>0</v>
      </c>
      <c r="AQ1355" s="60">
        <v>0</v>
      </c>
      <c r="AR1355" s="60">
        <v>0</v>
      </c>
      <c r="AS1355" s="60">
        <v>0</v>
      </c>
      <c r="AT1355" s="68">
        <v>0</v>
      </c>
      <c r="AU1355" s="60" t="s">
        <v>198</v>
      </c>
      <c r="AV1355" s="60"/>
      <c r="AW1355" s="59" t="s">
        <v>198</v>
      </c>
      <c r="AX1355" s="60">
        <v>0</v>
      </c>
      <c r="AY1355" s="64">
        <v>0</v>
      </c>
      <c r="AZ1355" s="64">
        <v>0</v>
      </c>
      <c r="BA1355" s="59" t="s">
        <v>198</v>
      </c>
      <c r="BB1355" s="60" t="s">
        <v>2979</v>
      </c>
      <c r="BC1355" s="66"/>
      <c r="BD1355" s="66">
        <v>1</v>
      </c>
      <c r="BE1355" s="90" t="s">
        <v>2980</v>
      </c>
      <c r="BF1355" s="90" t="s">
        <v>2981</v>
      </c>
      <c r="BG1355" s="60">
        <v>0</v>
      </c>
      <c r="BH1355" s="60">
        <v>0</v>
      </c>
      <c r="BI1355" s="60">
        <v>0</v>
      </c>
      <c r="BJ1355" s="60">
        <v>0</v>
      </c>
      <c r="BK1355" s="60">
        <v>0</v>
      </c>
      <c r="BL1355" s="60">
        <v>0</v>
      </c>
      <c r="BM1355" s="93">
        <v>0</v>
      </c>
      <c r="BN1355" s="68">
        <v>0</v>
      </c>
      <c r="BO1355" s="68">
        <v>0</v>
      </c>
      <c r="BP1355" s="68">
        <v>0</v>
      </c>
      <c r="BQ1355" s="68">
        <v>0</v>
      </c>
      <c r="BR1355" s="68">
        <v>0</v>
      </c>
      <c r="BS1355" s="68">
        <v>0</v>
      </c>
      <c r="BT1355" s="12">
        <v>0</v>
      </c>
      <c r="BU1355" s="47">
        <v>0</v>
      </c>
      <c r="BV1355" s="47"/>
      <c r="BW1355" s="47"/>
    </row>
    <row r="1356" spans="3:75" ht="20.100000000000001" customHeight="1">
      <c r="C1356" s="60">
        <v>63200203</v>
      </c>
      <c r="D1356" s="59" t="s">
        <v>2982</v>
      </c>
      <c r="E1356" s="59" t="s">
        <v>2983</v>
      </c>
      <c r="F1356" s="60">
        <v>1</v>
      </c>
      <c r="G1356" s="60">
        <v>1000004</v>
      </c>
      <c r="H1356" s="60">
        <v>0</v>
      </c>
      <c r="I1356" s="66">
        <v>0</v>
      </c>
      <c r="J1356" s="64">
        <v>1</v>
      </c>
      <c r="K1356" s="64">
        <v>0</v>
      </c>
      <c r="L1356" s="60">
        <v>0</v>
      </c>
      <c r="M1356" s="60">
        <v>0</v>
      </c>
      <c r="N1356" s="60">
        <v>0</v>
      </c>
      <c r="O1356" s="60">
        <v>8</v>
      </c>
      <c r="P1356" s="60">
        <v>8</v>
      </c>
      <c r="Q1356" s="60">
        <v>4</v>
      </c>
      <c r="R1356" s="60">
        <v>0</v>
      </c>
      <c r="S1356" s="68">
        <v>0</v>
      </c>
      <c r="T1356" s="60">
        <v>0</v>
      </c>
      <c r="U1356" s="60">
        <v>1</v>
      </c>
      <c r="V1356" s="60">
        <v>0</v>
      </c>
      <c r="W1356" s="60">
        <v>0</v>
      </c>
      <c r="X1356" s="64">
        <v>0</v>
      </c>
      <c r="Y1356" s="12">
        <v>0</v>
      </c>
      <c r="Z1356" s="64">
        <v>0</v>
      </c>
      <c r="AA1356" s="60">
        <v>0</v>
      </c>
      <c r="AB1356" s="60">
        <v>0</v>
      </c>
      <c r="AC1356" s="60">
        <v>0</v>
      </c>
      <c r="AD1356" s="60">
        <v>0</v>
      </c>
      <c r="AE1356" s="60">
        <v>0</v>
      </c>
      <c r="AF1356" s="60">
        <v>0</v>
      </c>
      <c r="AG1356" s="60">
        <v>0</v>
      </c>
      <c r="AH1356" s="60" t="s">
        <v>198</v>
      </c>
      <c r="AI1356" s="68">
        <v>0</v>
      </c>
      <c r="AJ1356" s="68">
        <v>0</v>
      </c>
      <c r="AK1356" s="68">
        <v>0</v>
      </c>
      <c r="AL1356" s="68">
        <v>0</v>
      </c>
      <c r="AM1356" s="60">
        <v>0</v>
      </c>
      <c r="AN1356" s="60">
        <v>0</v>
      </c>
      <c r="AO1356" s="60">
        <v>0</v>
      </c>
      <c r="AP1356" s="60">
        <v>0</v>
      </c>
      <c r="AQ1356" s="60">
        <v>0</v>
      </c>
      <c r="AR1356" s="60">
        <v>0</v>
      </c>
      <c r="AS1356" s="60">
        <v>0</v>
      </c>
      <c r="AT1356" s="68">
        <v>0</v>
      </c>
      <c r="AU1356" s="60" t="s">
        <v>198</v>
      </c>
      <c r="AV1356" s="60"/>
      <c r="AW1356" s="59" t="s">
        <v>198</v>
      </c>
      <c r="AX1356" s="60">
        <v>0</v>
      </c>
      <c r="AY1356" s="64">
        <v>0</v>
      </c>
      <c r="AZ1356" s="64">
        <v>0</v>
      </c>
      <c r="BA1356" s="59" t="s">
        <v>198</v>
      </c>
      <c r="BB1356" s="60" t="s">
        <v>2984</v>
      </c>
      <c r="BC1356" s="66"/>
      <c r="BD1356" s="66">
        <v>1</v>
      </c>
      <c r="BE1356" s="90" t="s">
        <v>2985</v>
      </c>
      <c r="BF1356" s="90" t="s">
        <v>2986</v>
      </c>
      <c r="BG1356" s="60">
        <v>0</v>
      </c>
      <c r="BH1356" s="60">
        <v>0</v>
      </c>
      <c r="BI1356" s="60">
        <v>0</v>
      </c>
      <c r="BJ1356" s="60">
        <v>0</v>
      </c>
      <c r="BK1356" s="60">
        <v>0</v>
      </c>
      <c r="BL1356" s="60">
        <v>0</v>
      </c>
      <c r="BM1356" s="93">
        <v>0</v>
      </c>
      <c r="BN1356" s="68">
        <v>0</v>
      </c>
      <c r="BO1356" s="68">
        <v>0</v>
      </c>
      <c r="BP1356" s="68">
        <v>0</v>
      </c>
      <c r="BQ1356" s="68">
        <v>0</v>
      </c>
      <c r="BR1356" s="68">
        <v>0</v>
      </c>
      <c r="BS1356" s="68">
        <v>0</v>
      </c>
      <c r="BT1356" s="12">
        <v>0</v>
      </c>
      <c r="BU1356" s="47">
        <v>0</v>
      </c>
      <c r="BV1356" s="47"/>
      <c r="BW1356" s="47"/>
    </row>
    <row r="1357" spans="3:75" ht="20.100000000000001" customHeight="1">
      <c r="C1357" s="60">
        <v>63200204</v>
      </c>
      <c r="D1357" s="63" t="s">
        <v>1391</v>
      </c>
      <c r="E1357" s="63" t="s">
        <v>1392</v>
      </c>
      <c r="F1357" s="60">
        <v>1</v>
      </c>
      <c r="G1357" s="64">
        <v>62012201</v>
      </c>
      <c r="H1357" s="64">
        <v>0</v>
      </c>
      <c r="I1357" s="66">
        <v>0</v>
      </c>
      <c r="J1357" s="60">
        <v>3</v>
      </c>
      <c r="K1357" s="60">
        <v>2</v>
      </c>
      <c r="L1357" s="60">
        <v>0</v>
      </c>
      <c r="M1357" s="64">
        <v>0</v>
      </c>
      <c r="N1357" s="64">
        <v>0</v>
      </c>
      <c r="O1357" s="64">
        <v>2</v>
      </c>
      <c r="P1357" s="64">
        <v>15</v>
      </c>
      <c r="Q1357" s="64">
        <v>1</v>
      </c>
      <c r="R1357" s="64">
        <v>0</v>
      </c>
      <c r="S1357" s="68">
        <v>0</v>
      </c>
      <c r="T1357" s="66">
        <v>0</v>
      </c>
      <c r="U1357" s="60">
        <v>1</v>
      </c>
      <c r="V1357" s="64">
        <v>2</v>
      </c>
      <c r="W1357" s="64">
        <v>0</v>
      </c>
      <c r="X1357" s="64">
        <v>2</v>
      </c>
      <c r="Y1357" s="12">
        <v>0</v>
      </c>
      <c r="Z1357" s="64">
        <v>750</v>
      </c>
      <c r="AA1357" s="64">
        <v>0</v>
      </c>
      <c r="AB1357" s="64">
        <v>0</v>
      </c>
      <c r="AC1357" s="64">
        <v>0</v>
      </c>
      <c r="AD1357" s="64">
        <v>0</v>
      </c>
      <c r="AE1357" s="64">
        <v>0</v>
      </c>
      <c r="AF1357" s="64">
        <v>12</v>
      </c>
      <c r="AG1357" s="64">
        <v>1</v>
      </c>
      <c r="AH1357" s="64">
        <v>3.5</v>
      </c>
      <c r="AI1357" s="68">
        <v>0</v>
      </c>
      <c r="AJ1357" s="68">
        <v>0</v>
      </c>
      <c r="AK1357" s="68">
        <v>0</v>
      </c>
      <c r="AL1357" s="68">
        <v>4</v>
      </c>
      <c r="AM1357" s="64">
        <v>0</v>
      </c>
      <c r="AN1357" s="64">
        <v>0</v>
      </c>
      <c r="AO1357" s="64">
        <v>0</v>
      </c>
      <c r="AP1357" s="64">
        <v>0.25</v>
      </c>
      <c r="AQ1357" s="64">
        <v>2000</v>
      </c>
      <c r="AR1357" s="64">
        <v>0</v>
      </c>
      <c r="AS1357" s="64">
        <v>0</v>
      </c>
      <c r="AT1357" s="68">
        <v>0</v>
      </c>
      <c r="AU1357" s="64">
        <v>90503131</v>
      </c>
      <c r="AV1357" s="64"/>
      <c r="AW1357" s="63" t="s">
        <v>199</v>
      </c>
      <c r="AX1357" s="64" t="s">
        <v>534</v>
      </c>
      <c r="AY1357" s="64">
        <v>10000009</v>
      </c>
      <c r="AZ1357" s="64">
        <v>21100050</v>
      </c>
      <c r="BA1357" s="63" t="s">
        <v>200</v>
      </c>
      <c r="BB1357" s="63">
        <v>0</v>
      </c>
      <c r="BC1357" s="66">
        <v>0</v>
      </c>
      <c r="BD1357" s="66">
        <v>1</v>
      </c>
      <c r="BE1357" s="207" t="s">
        <v>2987</v>
      </c>
      <c r="BF1357" s="207" t="s">
        <v>2988</v>
      </c>
      <c r="BG1357" s="64">
        <v>0</v>
      </c>
      <c r="BH1357" s="60">
        <v>0</v>
      </c>
      <c r="BI1357" s="64">
        <v>0</v>
      </c>
      <c r="BJ1357" s="64">
        <v>0</v>
      </c>
      <c r="BK1357" s="64">
        <v>0</v>
      </c>
      <c r="BL1357" s="64">
        <v>0</v>
      </c>
      <c r="BM1357" s="93">
        <v>0</v>
      </c>
      <c r="BN1357" s="68">
        <v>1</v>
      </c>
      <c r="BO1357" s="68">
        <v>0</v>
      </c>
      <c r="BP1357" s="68">
        <v>0</v>
      </c>
      <c r="BQ1357" s="68">
        <v>0</v>
      </c>
      <c r="BR1357" s="68">
        <v>0</v>
      </c>
      <c r="BS1357" s="68">
        <v>0</v>
      </c>
      <c r="BT1357" s="12">
        <v>0</v>
      </c>
      <c r="BU1357" s="47">
        <v>0</v>
      </c>
      <c r="BV1357" s="47"/>
      <c r="BW1357" s="47"/>
    </row>
    <row r="1358" spans="3:75" ht="20.100000000000001" customHeight="1">
      <c r="C1358" s="172">
        <v>63200205</v>
      </c>
      <c r="D1358" s="236" t="s">
        <v>2861</v>
      </c>
      <c r="E1358" s="236" t="s">
        <v>2897</v>
      </c>
      <c r="F1358" s="180">
        <v>1</v>
      </c>
      <c r="G1358" s="180">
        <v>63001004</v>
      </c>
      <c r="H1358" s="180">
        <v>0</v>
      </c>
      <c r="I1358" s="180">
        <v>0</v>
      </c>
      <c r="J1358" s="18">
        <v>1</v>
      </c>
      <c r="K1358" s="18">
        <v>0</v>
      </c>
      <c r="L1358" s="16">
        <v>0</v>
      </c>
      <c r="M1358" s="180">
        <v>0</v>
      </c>
      <c r="N1358" s="180">
        <v>0</v>
      </c>
      <c r="O1358" s="180">
        <v>2</v>
      </c>
      <c r="P1358" s="180">
        <v>5</v>
      </c>
      <c r="Q1358" s="180">
        <v>0.3</v>
      </c>
      <c r="R1358" s="180">
        <v>0</v>
      </c>
      <c r="S1358" s="12">
        <v>0</v>
      </c>
      <c r="T1358" s="180">
        <v>0</v>
      </c>
      <c r="U1358" s="180">
        <v>1</v>
      </c>
      <c r="V1358" s="180">
        <v>2</v>
      </c>
      <c r="W1358" s="180">
        <v>0</v>
      </c>
      <c r="X1358" s="180">
        <v>0</v>
      </c>
      <c r="Y1358" s="12">
        <v>0</v>
      </c>
      <c r="Z1358" s="180">
        <v>0</v>
      </c>
      <c r="AA1358" s="180">
        <v>0</v>
      </c>
      <c r="AB1358" s="180">
        <v>0</v>
      </c>
      <c r="AC1358" s="180">
        <v>0</v>
      </c>
      <c r="AD1358" s="16">
        <v>0</v>
      </c>
      <c r="AE1358" s="180">
        <v>0</v>
      </c>
      <c r="AF1358" s="180">
        <v>0</v>
      </c>
      <c r="AG1358" s="180">
        <v>0</v>
      </c>
      <c r="AH1358" s="180">
        <v>0</v>
      </c>
      <c r="AI1358" s="180">
        <v>0</v>
      </c>
      <c r="AJ1358" s="180">
        <v>0</v>
      </c>
      <c r="AK1358" s="12">
        <v>0</v>
      </c>
      <c r="AL1358" s="180">
        <v>0</v>
      </c>
      <c r="AM1358" s="180">
        <v>0</v>
      </c>
      <c r="AN1358" s="180">
        <v>0</v>
      </c>
      <c r="AO1358" s="180">
        <v>0</v>
      </c>
      <c r="AP1358" s="16">
        <v>0</v>
      </c>
      <c r="AQ1358" s="180">
        <v>1000</v>
      </c>
      <c r="AR1358" s="180">
        <v>0</v>
      </c>
      <c r="AS1358" s="180">
        <v>0</v>
      </c>
      <c r="AT1358" s="180">
        <v>90503121</v>
      </c>
      <c r="AU1358" s="180" t="s">
        <v>198</v>
      </c>
      <c r="AV1358" s="180"/>
      <c r="AW1358" s="236" t="s">
        <v>198</v>
      </c>
      <c r="AX1358" s="172" t="s">
        <v>1837</v>
      </c>
      <c r="AY1358" s="180">
        <v>0</v>
      </c>
      <c r="AZ1358" s="180">
        <v>0</v>
      </c>
      <c r="BA1358" s="236" t="s">
        <v>200</v>
      </c>
      <c r="BB1358" s="236" t="s">
        <v>198</v>
      </c>
      <c r="BC1358" s="180">
        <v>0</v>
      </c>
      <c r="BD1358" s="180">
        <v>1</v>
      </c>
      <c r="BE1358" s="244" t="s">
        <v>2989</v>
      </c>
      <c r="BF1358" s="244" t="s">
        <v>2990</v>
      </c>
      <c r="BG1358" s="180">
        <v>0</v>
      </c>
      <c r="BH1358" s="16">
        <v>0</v>
      </c>
      <c r="BI1358" s="180">
        <v>0</v>
      </c>
      <c r="BJ1358" s="180">
        <v>0</v>
      </c>
      <c r="BK1358" s="180">
        <v>0</v>
      </c>
      <c r="BL1358" s="180">
        <v>0</v>
      </c>
      <c r="BM1358" s="15">
        <v>0</v>
      </c>
      <c r="BN1358" s="12">
        <v>1</v>
      </c>
      <c r="BO1358" s="12">
        <v>0</v>
      </c>
      <c r="BP1358" s="12">
        <v>0</v>
      </c>
      <c r="BQ1358" s="12">
        <v>0</v>
      </c>
      <c r="BR1358" s="12">
        <v>0</v>
      </c>
      <c r="BS1358" s="12">
        <v>0</v>
      </c>
      <c r="BT1358" s="12">
        <v>0</v>
      </c>
      <c r="BU1358" s="47">
        <v>0</v>
      </c>
      <c r="BV1358" s="47"/>
      <c r="BW1358" s="47"/>
    </row>
    <row r="1359" spans="3:75" ht="20.100000000000001" customHeight="1">
      <c r="C1359" s="172">
        <v>63201001</v>
      </c>
      <c r="D1359" s="173" t="s">
        <v>2991</v>
      </c>
      <c r="E1359" s="173" t="s">
        <v>2992</v>
      </c>
      <c r="F1359" s="172">
        <v>1</v>
      </c>
      <c r="G1359" s="172">
        <v>63003001</v>
      </c>
      <c r="H1359" s="172">
        <v>0</v>
      </c>
      <c r="I1359" s="174">
        <v>0</v>
      </c>
      <c r="J1359" s="176">
        <v>1</v>
      </c>
      <c r="K1359" s="176">
        <v>0</v>
      </c>
      <c r="L1359" s="172">
        <v>0</v>
      </c>
      <c r="M1359" s="172">
        <v>0</v>
      </c>
      <c r="N1359" s="172">
        <v>0</v>
      </c>
      <c r="O1359" s="172">
        <v>2</v>
      </c>
      <c r="P1359" s="172">
        <v>12</v>
      </c>
      <c r="Q1359" s="172">
        <v>1</v>
      </c>
      <c r="R1359" s="172">
        <v>0</v>
      </c>
      <c r="S1359" s="175">
        <v>0</v>
      </c>
      <c r="T1359" s="172">
        <v>0</v>
      </c>
      <c r="U1359" s="172">
        <v>1</v>
      </c>
      <c r="V1359" s="172">
        <v>2</v>
      </c>
      <c r="W1359" s="172">
        <v>0</v>
      </c>
      <c r="X1359" s="176">
        <v>0</v>
      </c>
      <c r="Y1359" s="12">
        <v>0</v>
      </c>
      <c r="Z1359" s="176">
        <v>0</v>
      </c>
      <c r="AA1359" s="172">
        <v>0</v>
      </c>
      <c r="AB1359" s="172">
        <v>0</v>
      </c>
      <c r="AC1359" s="172">
        <v>0</v>
      </c>
      <c r="AD1359" s="172">
        <v>1</v>
      </c>
      <c r="AE1359" s="172">
        <v>0</v>
      </c>
      <c r="AF1359" s="172">
        <v>60</v>
      </c>
      <c r="AG1359" s="172">
        <v>1</v>
      </c>
      <c r="AH1359" s="172">
        <v>10</v>
      </c>
      <c r="AI1359" s="175">
        <v>0</v>
      </c>
      <c r="AJ1359" s="175">
        <v>0</v>
      </c>
      <c r="AK1359" s="175">
        <v>0</v>
      </c>
      <c r="AL1359" s="175">
        <v>0</v>
      </c>
      <c r="AM1359" s="172">
        <v>0</v>
      </c>
      <c r="AN1359" s="172">
        <v>0</v>
      </c>
      <c r="AO1359" s="172">
        <v>0</v>
      </c>
      <c r="AP1359" s="172">
        <v>0</v>
      </c>
      <c r="AQ1359" s="172">
        <v>50000</v>
      </c>
      <c r="AR1359" s="172">
        <v>0</v>
      </c>
      <c r="AS1359" s="172">
        <v>0</v>
      </c>
      <c r="AT1359" s="175">
        <v>90503003</v>
      </c>
      <c r="AU1359" s="172">
        <v>90503003</v>
      </c>
      <c r="AV1359" s="172"/>
      <c r="AW1359" s="173" t="s">
        <v>198</v>
      </c>
      <c r="AX1359" s="172">
        <v>0</v>
      </c>
      <c r="AY1359" s="176">
        <v>0</v>
      </c>
      <c r="AZ1359" s="176">
        <v>0</v>
      </c>
      <c r="BA1359" s="173" t="s">
        <v>2849</v>
      </c>
      <c r="BB1359" s="172">
        <v>0</v>
      </c>
      <c r="BC1359" s="174">
        <v>0</v>
      </c>
      <c r="BD1359" s="174">
        <v>0</v>
      </c>
      <c r="BE1359" s="206" t="s">
        <v>2993</v>
      </c>
      <c r="BF1359" s="206" t="s">
        <v>2994</v>
      </c>
      <c r="BG1359" s="172">
        <v>0</v>
      </c>
      <c r="BH1359" s="172">
        <v>0</v>
      </c>
      <c r="BI1359" s="172">
        <v>0</v>
      </c>
      <c r="BJ1359" s="172">
        <v>0</v>
      </c>
      <c r="BK1359" s="172">
        <v>0</v>
      </c>
      <c r="BL1359" s="172">
        <v>0</v>
      </c>
      <c r="BM1359" s="178">
        <v>0</v>
      </c>
      <c r="BN1359" s="175">
        <v>1</v>
      </c>
      <c r="BO1359" s="175">
        <v>0</v>
      </c>
      <c r="BP1359" s="175">
        <v>0</v>
      </c>
      <c r="BQ1359" s="175">
        <v>0</v>
      </c>
      <c r="BR1359" s="175">
        <v>0</v>
      </c>
      <c r="BS1359" s="175">
        <v>0</v>
      </c>
      <c r="BT1359" s="12">
        <v>0</v>
      </c>
      <c r="BU1359" s="47">
        <v>0</v>
      </c>
      <c r="BV1359" s="47"/>
      <c r="BW1359" s="47"/>
    </row>
    <row r="1360" spans="3:75" ht="20.100000000000001" customHeight="1">
      <c r="C1360" s="172">
        <v>63201002</v>
      </c>
      <c r="D1360" s="173" t="s">
        <v>2914</v>
      </c>
      <c r="E1360" s="173" t="s">
        <v>2915</v>
      </c>
      <c r="F1360" s="172">
        <v>1</v>
      </c>
      <c r="G1360" s="172">
        <v>63001003</v>
      </c>
      <c r="H1360" s="172">
        <v>0</v>
      </c>
      <c r="I1360" s="174">
        <v>0</v>
      </c>
      <c r="J1360" s="176">
        <v>1</v>
      </c>
      <c r="K1360" s="176">
        <v>0</v>
      </c>
      <c r="L1360" s="172">
        <v>0</v>
      </c>
      <c r="M1360" s="172">
        <v>0</v>
      </c>
      <c r="N1360" s="172">
        <v>0</v>
      </c>
      <c r="O1360" s="172">
        <v>2</v>
      </c>
      <c r="P1360" s="172">
        <v>0</v>
      </c>
      <c r="Q1360" s="172">
        <v>0</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0</v>
      </c>
      <c r="AU1360" s="172" t="s">
        <v>198</v>
      </c>
      <c r="AV1360" s="172"/>
      <c r="AW1360" s="173" t="s">
        <v>198</v>
      </c>
      <c r="AX1360" s="172">
        <v>0</v>
      </c>
      <c r="AY1360" s="176">
        <v>0</v>
      </c>
      <c r="AZ1360" s="176">
        <v>0</v>
      </c>
      <c r="BA1360" s="173" t="s">
        <v>198</v>
      </c>
      <c r="BB1360" s="172">
        <v>0</v>
      </c>
      <c r="BC1360" s="174"/>
      <c r="BD1360" s="174"/>
      <c r="BE1360" s="206" t="s">
        <v>2916</v>
      </c>
      <c r="BF1360" s="206" t="s">
        <v>2917</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spans="1:75" ht="20.100000000000001" customHeight="1">
      <c r="C1361" s="172">
        <v>63201003</v>
      </c>
      <c r="D1361" s="173" t="s">
        <v>2995</v>
      </c>
      <c r="E1361" s="173" t="s">
        <v>2996</v>
      </c>
      <c r="F1361" s="172">
        <v>1</v>
      </c>
      <c r="G1361" s="172">
        <v>1000005</v>
      </c>
      <c r="H1361" s="172">
        <v>0</v>
      </c>
      <c r="I1361" s="174">
        <v>0</v>
      </c>
      <c r="J1361" s="176">
        <v>1</v>
      </c>
      <c r="K1361" s="176">
        <v>0</v>
      </c>
      <c r="L1361" s="172">
        <v>0</v>
      </c>
      <c r="M1361" s="172">
        <v>0</v>
      </c>
      <c r="N1361" s="172">
        <v>0</v>
      </c>
      <c r="O1361" s="172">
        <v>8</v>
      </c>
      <c r="P1361" s="172">
        <v>8</v>
      </c>
      <c r="Q1361" s="172">
        <v>2</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90000006</v>
      </c>
      <c r="AU1361" s="172" t="s">
        <v>198</v>
      </c>
      <c r="AV1361" s="172"/>
      <c r="AW1361" s="173" t="s">
        <v>198</v>
      </c>
      <c r="AX1361" s="172">
        <v>0</v>
      </c>
      <c r="AY1361" s="176">
        <v>0</v>
      </c>
      <c r="AZ1361" s="176">
        <v>0</v>
      </c>
      <c r="BA1361" s="173" t="s">
        <v>198</v>
      </c>
      <c r="BB1361" s="172" t="s">
        <v>2997</v>
      </c>
      <c r="BC1361" s="174"/>
      <c r="BD1361" s="174"/>
      <c r="BE1361" s="206" t="s">
        <v>2998</v>
      </c>
      <c r="BF1361" s="206" t="s">
        <v>2999</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spans="1:75" ht="20.100000000000001" customHeight="1">
      <c r="C1362" s="172">
        <v>63201004</v>
      </c>
      <c r="D1362" s="210" t="s">
        <v>2861</v>
      </c>
      <c r="E1362" s="210" t="s">
        <v>3000</v>
      </c>
      <c r="F1362" s="64">
        <v>1</v>
      </c>
      <c r="G1362" s="204">
        <v>63001004</v>
      </c>
      <c r="H1362" s="64">
        <v>0</v>
      </c>
      <c r="I1362" s="66">
        <v>0</v>
      </c>
      <c r="J1362" s="64">
        <v>1</v>
      </c>
      <c r="K1362" s="64">
        <v>0</v>
      </c>
      <c r="L1362" s="64">
        <v>0</v>
      </c>
      <c r="M1362" s="60">
        <v>0</v>
      </c>
      <c r="N1362" s="60">
        <v>0</v>
      </c>
      <c r="O1362" s="60">
        <v>2</v>
      </c>
      <c r="P1362" s="60">
        <v>10</v>
      </c>
      <c r="Q1362" s="60">
        <v>0.2</v>
      </c>
      <c r="R1362" s="60">
        <v>0</v>
      </c>
      <c r="S1362" s="68">
        <v>0</v>
      </c>
      <c r="T1362" s="60">
        <v>0</v>
      </c>
      <c r="U1362" s="60">
        <v>1</v>
      </c>
      <c r="V1362" s="60">
        <v>2</v>
      </c>
      <c r="W1362" s="60">
        <v>0</v>
      </c>
      <c r="X1362" s="60">
        <v>0</v>
      </c>
      <c r="Y1362" s="12">
        <v>0</v>
      </c>
      <c r="Z1362" s="60">
        <v>0</v>
      </c>
      <c r="AA1362" s="60">
        <v>0</v>
      </c>
      <c r="AB1362" s="60">
        <v>0</v>
      </c>
      <c r="AC1362" s="60">
        <v>0</v>
      </c>
      <c r="AD1362" s="60">
        <v>1</v>
      </c>
      <c r="AE1362" s="60">
        <v>0</v>
      </c>
      <c r="AF1362" s="60">
        <v>2</v>
      </c>
      <c r="AG1362" s="60">
        <v>0</v>
      </c>
      <c r="AH1362" s="60">
        <v>0</v>
      </c>
      <c r="AI1362" s="68">
        <v>1</v>
      </c>
      <c r="AJ1362" s="68">
        <v>0</v>
      </c>
      <c r="AK1362" s="12">
        <v>0</v>
      </c>
      <c r="AL1362" s="68">
        <v>3</v>
      </c>
      <c r="AM1362" s="60">
        <v>0</v>
      </c>
      <c r="AN1362" s="60">
        <v>0</v>
      </c>
      <c r="AO1362" s="60">
        <v>0</v>
      </c>
      <c r="AP1362" s="64">
        <v>0</v>
      </c>
      <c r="AQ1362" s="60">
        <v>3000</v>
      </c>
      <c r="AR1362" s="60">
        <v>0</v>
      </c>
      <c r="AS1362" s="60">
        <v>0</v>
      </c>
      <c r="AT1362" s="68">
        <v>0</v>
      </c>
      <c r="AU1362" s="60" t="s">
        <v>198</v>
      </c>
      <c r="AV1362" s="60"/>
      <c r="AW1362" s="59" t="s">
        <v>199</v>
      </c>
      <c r="AX1362" s="60" t="s">
        <v>1041</v>
      </c>
      <c r="AY1362" s="64">
        <v>0</v>
      </c>
      <c r="AZ1362" s="64">
        <v>21101051</v>
      </c>
      <c r="BA1362" s="59" t="s">
        <v>1174</v>
      </c>
      <c r="BB1362" s="365" t="s">
        <v>3001</v>
      </c>
      <c r="BC1362" s="66">
        <v>0</v>
      </c>
      <c r="BD1362" s="66">
        <v>0</v>
      </c>
      <c r="BE1362" s="211" t="s">
        <v>3002</v>
      </c>
      <c r="BF1362" s="211" t="s">
        <v>3003</v>
      </c>
      <c r="BG1362" s="60">
        <v>0</v>
      </c>
      <c r="BH1362" s="60">
        <v>0</v>
      </c>
      <c r="BI1362" s="60">
        <v>0</v>
      </c>
      <c r="BJ1362" s="60">
        <v>0</v>
      </c>
      <c r="BK1362" s="60">
        <v>0</v>
      </c>
      <c r="BL1362" s="60">
        <v>0</v>
      </c>
      <c r="BM1362" s="93">
        <v>0</v>
      </c>
      <c r="BN1362" s="12">
        <v>0</v>
      </c>
      <c r="BO1362" s="12">
        <v>0</v>
      </c>
      <c r="BP1362" s="12">
        <v>0</v>
      </c>
      <c r="BQ1362" s="12">
        <v>0</v>
      </c>
      <c r="BR1362" s="12">
        <v>0</v>
      </c>
      <c r="BS1362" s="12">
        <v>0</v>
      </c>
      <c r="BT1362" s="12">
        <v>0</v>
      </c>
      <c r="BU1362" s="47">
        <v>0</v>
      </c>
      <c r="BV1362" s="47"/>
      <c r="BW1362" s="47"/>
    </row>
    <row r="1363" spans="1:75" ht="20.100000000000001" customHeight="1">
      <c r="C1363" s="172">
        <v>63201005</v>
      </c>
      <c r="D1363" s="210" t="s">
        <v>2861</v>
      </c>
      <c r="E1363" s="210" t="s">
        <v>3000</v>
      </c>
      <c r="F1363" s="204">
        <v>1</v>
      </c>
      <c r="G1363" s="204">
        <v>63001004</v>
      </c>
      <c r="H1363" s="204">
        <v>0</v>
      </c>
      <c r="I1363" s="204">
        <v>0</v>
      </c>
      <c r="J1363" s="176">
        <v>1</v>
      </c>
      <c r="K1363" s="176">
        <v>0</v>
      </c>
      <c r="L1363" s="172">
        <v>0</v>
      </c>
      <c r="M1363" s="204">
        <v>0</v>
      </c>
      <c r="N1363" s="204">
        <v>0</v>
      </c>
      <c r="O1363" s="204">
        <v>2</v>
      </c>
      <c r="P1363" s="204">
        <v>1</v>
      </c>
      <c r="Q1363" s="204">
        <v>0.15</v>
      </c>
      <c r="R1363" s="204">
        <v>0</v>
      </c>
      <c r="S1363" s="175">
        <v>0</v>
      </c>
      <c r="T1363" s="204">
        <v>0</v>
      </c>
      <c r="U1363" s="204">
        <v>1</v>
      </c>
      <c r="V1363" s="204">
        <v>2</v>
      </c>
      <c r="W1363" s="204">
        <v>0</v>
      </c>
      <c r="X1363" s="204">
        <v>0</v>
      </c>
      <c r="Y1363" s="12">
        <v>0</v>
      </c>
      <c r="Z1363" s="204">
        <v>0</v>
      </c>
      <c r="AA1363" s="204">
        <v>0</v>
      </c>
      <c r="AB1363" s="204">
        <v>0</v>
      </c>
      <c r="AC1363" s="204">
        <v>0</v>
      </c>
      <c r="AD1363" s="172">
        <v>1</v>
      </c>
      <c r="AE1363" s="204">
        <v>0</v>
      </c>
      <c r="AF1363" s="204">
        <v>15</v>
      </c>
      <c r="AG1363" s="204">
        <v>1</v>
      </c>
      <c r="AH1363" s="204">
        <v>1</v>
      </c>
      <c r="AI1363" s="204">
        <v>2</v>
      </c>
      <c r="AJ1363" s="204">
        <v>0</v>
      </c>
      <c r="AK1363" s="175">
        <v>0</v>
      </c>
      <c r="AL1363" s="204">
        <v>2</v>
      </c>
      <c r="AM1363" s="204">
        <v>0</v>
      </c>
      <c r="AN1363" s="204">
        <v>0</v>
      </c>
      <c r="AO1363" s="204">
        <v>0</v>
      </c>
      <c r="AP1363" s="172">
        <v>0</v>
      </c>
      <c r="AQ1363" s="204">
        <v>10000</v>
      </c>
      <c r="AR1363" s="204">
        <v>0.5</v>
      </c>
      <c r="AS1363" s="204">
        <v>0</v>
      </c>
      <c r="AT1363" s="204">
        <v>0</v>
      </c>
      <c r="AU1363" s="204" t="s">
        <v>198</v>
      </c>
      <c r="AV1363" s="204"/>
      <c r="AW1363" s="210"/>
      <c r="AX1363" s="204">
        <v>0</v>
      </c>
      <c r="AY1363" s="204">
        <v>0</v>
      </c>
      <c r="AZ1363" s="204">
        <v>0</v>
      </c>
      <c r="BA1363" s="210" t="s">
        <v>200</v>
      </c>
      <c r="BB1363" s="210" t="s">
        <v>198</v>
      </c>
      <c r="BC1363" s="204">
        <v>0</v>
      </c>
      <c r="BD1363" s="204">
        <v>0</v>
      </c>
      <c r="BE1363" s="211" t="s">
        <v>3004</v>
      </c>
      <c r="BF1363" s="211" t="s">
        <v>3005</v>
      </c>
      <c r="BG1363" s="204">
        <v>0</v>
      </c>
      <c r="BH1363" s="172">
        <v>0</v>
      </c>
      <c r="BI1363" s="204">
        <v>0</v>
      </c>
      <c r="BJ1363" s="204">
        <v>0</v>
      </c>
      <c r="BK1363" s="204">
        <v>0</v>
      </c>
      <c r="BL1363" s="204">
        <v>0</v>
      </c>
      <c r="BM1363" s="366" t="s">
        <v>3006</v>
      </c>
      <c r="BN1363" s="175">
        <v>0</v>
      </c>
      <c r="BO1363" s="175">
        <v>0</v>
      </c>
      <c r="BP1363" s="175">
        <v>0</v>
      </c>
      <c r="BQ1363" s="175">
        <v>0</v>
      </c>
      <c r="BR1363" s="175">
        <v>0</v>
      </c>
      <c r="BS1363" s="175">
        <v>0</v>
      </c>
      <c r="BT1363" s="12">
        <v>0</v>
      </c>
      <c r="BU1363" s="47">
        <v>0</v>
      </c>
      <c r="BV1363" s="47"/>
      <c r="BW1363" s="47"/>
    </row>
    <row r="1364" spans="1:75" ht="20.100000000000001" customHeight="1">
      <c r="C1364" s="172">
        <v>63202001</v>
      </c>
      <c r="D1364" s="173" t="s">
        <v>3007</v>
      </c>
      <c r="E1364" s="173" t="s">
        <v>3008</v>
      </c>
      <c r="F1364" s="172">
        <v>1</v>
      </c>
      <c r="G1364" s="172">
        <v>63003001</v>
      </c>
      <c r="H1364" s="172">
        <v>0</v>
      </c>
      <c r="I1364" s="174">
        <v>0</v>
      </c>
      <c r="J1364" s="176">
        <v>1</v>
      </c>
      <c r="K1364" s="176">
        <v>0</v>
      </c>
      <c r="L1364" s="172">
        <v>0</v>
      </c>
      <c r="M1364" s="172">
        <v>0</v>
      </c>
      <c r="N1364" s="172">
        <v>0</v>
      </c>
      <c r="O1364" s="172">
        <v>2</v>
      </c>
      <c r="P1364" s="172">
        <v>12</v>
      </c>
      <c r="Q1364" s="172">
        <v>1</v>
      </c>
      <c r="R1364" s="172">
        <v>0</v>
      </c>
      <c r="S1364" s="175">
        <v>0</v>
      </c>
      <c r="T1364" s="172">
        <v>0</v>
      </c>
      <c r="U1364" s="172">
        <v>1</v>
      </c>
      <c r="V1364" s="172">
        <v>2</v>
      </c>
      <c r="W1364" s="172">
        <v>0</v>
      </c>
      <c r="X1364" s="176">
        <v>0</v>
      </c>
      <c r="Y1364" s="12">
        <v>0</v>
      </c>
      <c r="Z1364" s="176">
        <v>0</v>
      </c>
      <c r="AA1364" s="172">
        <v>0</v>
      </c>
      <c r="AB1364" s="172">
        <v>0</v>
      </c>
      <c r="AC1364" s="172">
        <v>0</v>
      </c>
      <c r="AD1364" s="172">
        <v>1</v>
      </c>
      <c r="AE1364" s="172">
        <v>0</v>
      </c>
      <c r="AF1364" s="172">
        <v>60</v>
      </c>
      <c r="AG1364" s="172">
        <v>1</v>
      </c>
      <c r="AH1364" s="172">
        <v>10</v>
      </c>
      <c r="AI1364" s="175">
        <v>0</v>
      </c>
      <c r="AJ1364" s="175">
        <v>0</v>
      </c>
      <c r="AK1364" s="175">
        <v>0</v>
      </c>
      <c r="AL1364" s="175">
        <v>0</v>
      </c>
      <c r="AM1364" s="172">
        <v>0</v>
      </c>
      <c r="AN1364" s="172">
        <v>0</v>
      </c>
      <c r="AO1364" s="172">
        <v>0</v>
      </c>
      <c r="AP1364" s="172">
        <v>0</v>
      </c>
      <c r="AQ1364" s="172">
        <v>50000</v>
      </c>
      <c r="AR1364" s="172">
        <v>0</v>
      </c>
      <c r="AS1364" s="172">
        <v>0</v>
      </c>
      <c r="AT1364" s="175">
        <v>90503004</v>
      </c>
      <c r="AU1364" s="172">
        <v>90503004</v>
      </c>
      <c r="AV1364" s="172"/>
      <c r="AW1364" s="173" t="s">
        <v>198</v>
      </c>
      <c r="AX1364" s="172">
        <v>0</v>
      </c>
      <c r="AY1364" s="176">
        <v>0</v>
      </c>
      <c r="AZ1364" s="176">
        <v>0</v>
      </c>
      <c r="BA1364" s="173" t="s">
        <v>2849</v>
      </c>
      <c r="BB1364" s="172">
        <v>0</v>
      </c>
      <c r="BC1364" s="174">
        <v>0</v>
      </c>
      <c r="BD1364" s="174">
        <v>0</v>
      </c>
      <c r="BE1364" s="206" t="s">
        <v>3009</v>
      </c>
      <c r="BF1364" s="206" t="s">
        <v>3010</v>
      </c>
      <c r="BG1364" s="172">
        <v>0</v>
      </c>
      <c r="BH1364" s="172">
        <v>0</v>
      </c>
      <c r="BI1364" s="172">
        <v>0</v>
      </c>
      <c r="BJ1364" s="172">
        <v>0</v>
      </c>
      <c r="BK1364" s="172">
        <v>0</v>
      </c>
      <c r="BL1364" s="172">
        <v>0</v>
      </c>
      <c r="BM1364" s="178">
        <v>0</v>
      </c>
      <c r="BN1364" s="175">
        <v>1</v>
      </c>
      <c r="BO1364" s="175">
        <v>0</v>
      </c>
      <c r="BP1364" s="175">
        <v>0</v>
      </c>
      <c r="BQ1364" s="175">
        <v>0</v>
      </c>
      <c r="BR1364" s="175">
        <v>0</v>
      </c>
      <c r="BS1364" s="175">
        <v>0</v>
      </c>
      <c r="BT1364" s="12">
        <v>0</v>
      </c>
      <c r="BU1364" s="47">
        <v>0</v>
      </c>
      <c r="BV1364" s="47"/>
      <c r="BW1364" s="47"/>
    </row>
    <row r="1365" spans="1:75" ht="20.100000000000001" customHeight="1">
      <c r="C1365" s="172">
        <v>63202002</v>
      </c>
      <c r="D1365" s="173" t="s">
        <v>2857</v>
      </c>
      <c r="E1365" s="173" t="s">
        <v>2858</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2859</v>
      </c>
      <c r="BF1365" s="206" t="s">
        <v>2860</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spans="1:75" ht="20.100000000000001" customHeight="1">
      <c r="C1366" s="172">
        <v>63202003</v>
      </c>
      <c r="D1366" s="173" t="s">
        <v>2995</v>
      </c>
      <c r="E1366" s="173" t="s">
        <v>2996</v>
      </c>
      <c r="F1366" s="172">
        <v>1</v>
      </c>
      <c r="G1366" s="172">
        <v>1000005</v>
      </c>
      <c r="H1366" s="172">
        <v>0</v>
      </c>
      <c r="I1366" s="174">
        <v>0</v>
      </c>
      <c r="J1366" s="176">
        <v>1</v>
      </c>
      <c r="K1366" s="176">
        <v>0</v>
      </c>
      <c r="L1366" s="172">
        <v>0</v>
      </c>
      <c r="M1366" s="172">
        <v>0</v>
      </c>
      <c r="N1366" s="172">
        <v>0</v>
      </c>
      <c r="O1366" s="172">
        <v>8</v>
      </c>
      <c r="P1366" s="172">
        <v>8</v>
      </c>
      <c r="Q1366" s="172">
        <v>2</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90000006</v>
      </c>
      <c r="AU1366" s="172" t="s">
        <v>198</v>
      </c>
      <c r="AV1366" s="172"/>
      <c r="AW1366" s="173" t="s">
        <v>198</v>
      </c>
      <c r="AX1366" s="172">
        <v>0</v>
      </c>
      <c r="AY1366" s="176">
        <v>0</v>
      </c>
      <c r="AZ1366" s="176">
        <v>0</v>
      </c>
      <c r="BA1366" s="173" t="s">
        <v>198</v>
      </c>
      <c r="BB1366" s="172" t="s">
        <v>3011</v>
      </c>
      <c r="BC1366" s="174"/>
      <c r="BD1366" s="174"/>
      <c r="BE1366" s="206" t="s">
        <v>3012</v>
      </c>
      <c r="BF1366" s="206" t="s">
        <v>3013</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spans="1:75" ht="20.100000000000001" customHeight="1">
      <c r="C1367" s="172">
        <v>63202004</v>
      </c>
      <c r="D1367" s="210" t="s">
        <v>2861</v>
      </c>
      <c r="E1367" s="210" t="s">
        <v>3014</v>
      </c>
      <c r="F1367" s="204">
        <v>1</v>
      </c>
      <c r="G1367" s="204">
        <v>63001004</v>
      </c>
      <c r="H1367" s="204">
        <v>0</v>
      </c>
      <c r="I1367" s="204">
        <v>0</v>
      </c>
      <c r="J1367" s="204">
        <v>1</v>
      </c>
      <c r="K1367" s="204">
        <v>0</v>
      </c>
      <c r="L1367" s="204">
        <v>0</v>
      </c>
      <c r="M1367" s="204">
        <v>0</v>
      </c>
      <c r="N1367" s="204">
        <v>0</v>
      </c>
      <c r="O1367" s="204">
        <v>2</v>
      </c>
      <c r="P1367" s="204">
        <v>1</v>
      </c>
      <c r="Q1367" s="204">
        <v>0.2</v>
      </c>
      <c r="R1367" s="204">
        <v>0</v>
      </c>
      <c r="S1367" s="204">
        <v>0</v>
      </c>
      <c r="T1367" s="204">
        <v>0</v>
      </c>
      <c r="U1367" s="204">
        <v>1</v>
      </c>
      <c r="V1367" s="204">
        <v>2</v>
      </c>
      <c r="W1367" s="204">
        <v>0</v>
      </c>
      <c r="X1367" s="204">
        <v>0</v>
      </c>
      <c r="Y1367" s="12">
        <v>0</v>
      </c>
      <c r="Z1367" s="204">
        <v>0</v>
      </c>
      <c r="AA1367" s="204">
        <v>0</v>
      </c>
      <c r="AB1367" s="204">
        <v>0</v>
      </c>
      <c r="AC1367" s="204">
        <v>0</v>
      </c>
      <c r="AD1367" s="172">
        <v>1</v>
      </c>
      <c r="AE1367" s="204">
        <v>0</v>
      </c>
      <c r="AF1367" s="204">
        <v>6</v>
      </c>
      <c r="AG1367" s="204">
        <v>0</v>
      </c>
      <c r="AH1367" s="204">
        <v>0</v>
      </c>
      <c r="AI1367" s="204">
        <v>7</v>
      </c>
      <c r="AJ1367" s="204">
        <v>0</v>
      </c>
      <c r="AK1367" s="204">
        <v>0</v>
      </c>
      <c r="AL1367" s="204">
        <v>3</v>
      </c>
      <c r="AM1367" s="204">
        <v>0</v>
      </c>
      <c r="AN1367" s="204">
        <v>0</v>
      </c>
      <c r="AO1367" s="204">
        <v>0</v>
      </c>
      <c r="AP1367" s="204">
        <v>0</v>
      </c>
      <c r="AQ1367" s="204">
        <v>3000</v>
      </c>
      <c r="AR1367" s="204">
        <v>0.5</v>
      </c>
      <c r="AS1367" s="204">
        <v>0</v>
      </c>
      <c r="AT1367" s="204">
        <v>0</v>
      </c>
      <c r="AU1367" s="204">
        <v>90000009</v>
      </c>
      <c r="AV1367" s="204"/>
      <c r="AW1367" s="210" t="s">
        <v>198</v>
      </c>
      <c r="AX1367" s="204">
        <v>0</v>
      </c>
      <c r="AY1367" s="204">
        <v>0</v>
      </c>
      <c r="AZ1367" s="204">
        <v>0</v>
      </c>
      <c r="BA1367" s="210" t="s">
        <v>200</v>
      </c>
      <c r="BB1367" s="210">
        <v>0</v>
      </c>
      <c r="BC1367" s="204">
        <v>0</v>
      </c>
      <c r="BD1367" s="204">
        <v>0</v>
      </c>
      <c r="BE1367" s="201" t="s">
        <v>3015</v>
      </c>
      <c r="BF1367" s="201" t="s">
        <v>3016</v>
      </c>
      <c r="BG1367" s="204">
        <v>0</v>
      </c>
      <c r="BH1367" s="204">
        <v>0</v>
      </c>
      <c r="BI1367" s="204">
        <v>0</v>
      </c>
      <c r="BJ1367" s="204">
        <v>0</v>
      </c>
      <c r="BK1367" s="204">
        <v>0</v>
      </c>
      <c r="BL1367" s="204">
        <v>0</v>
      </c>
      <c r="BM1367" s="213">
        <v>0</v>
      </c>
      <c r="BN1367" s="204">
        <v>0</v>
      </c>
      <c r="BO1367" s="175">
        <v>0</v>
      </c>
      <c r="BP1367" s="175">
        <v>0</v>
      </c>
      <c r="BQ1367" s="175">
        <v>0</v>
      </c>
      <c r="BR1367" s="175">
        <v>0</v>
      </c>
      <c r="BS1367" s="175">
        <v>0</v>
      </c>
      <c r="BT1367" s="12">
        <v>0</v>
      </c>
      <c r="BU1367" s="47">
        <v>0</v>
      </c>
      <c r="BV1367" s="47"/>
      <c r="BW1367" s="47"/>
    </row>
    <row r="1368" spans="1:75" ht="20.100000000000001" customHeight="1">
      <c r="C1368" s="172">
        <v>63202005</v>
      </c>
      <c r="D1368" s="210" t="s">
        <v>2861</v>
      </c>
      <c r="E1368" s="210" t="s">
        <v>3014</v>
      </c>
      <c r="F1368" s="204">
        <v>1</v>
      </c>
      <c r="G1368" s="204">
        <v>63001004</v>
      </c>
      <c r="H1368" s="204">
        <v>0</v>
      </c>
      <c r="I1368" s="204">
        <v>0</v>
      </c>
      <c r="J1368" s="204">
        <v>1</v>
      </c>
      <c r="K1368" s="204">
        <v>0</v>
      </c>
      <c r="L1368" s="204">
        <v>0</v>
      </c>
      <c r="M1368" s="204">
        <v>0</v>
      </c>
      <c r="N1368" s="204">
        <v>0</v>
      </c>
      <c r="O1368" s="204">
        <v>2</v>
      </c>
      <c r="P1368" s="204">
        <v>1</v>
      </c>
      <c r="Q1368" s="204">
        <v>0.3</v>
      </c>
      <c r="R1368" s="204">
        <v>0</v>
      </c>
      <c r="S1368" s="204">
        <v>0</v>
      </c>
      <c r="T1368" s="204">
        <v>0</v>
      </c>
      <c r="U1368" s="204">
        <v>1</v>
      </c>
      <c r="V1368" s="204">
        <v>2</v>
      </c>
      <c r="W1368" s="204">
        <v>0</v>
      </c>
      <c r="X1368" s="204">
        <v>0</v>
      </c>
      <c r="Y1368" s="12">
        <v>0</v>
      </c>
      <c r="Z1368" s="204">
        <v>0</v>
      </c>
      <c r="AA1368" s="204">
        <v>0</v>
      </c>
      <c r="AB1368" s="204">
        <v>0</v>
      </c>
      <c r="AC1368" s="204">
        <v>0</v>
      </c>
      <c r="AD1368" s="172">
        <v>1</v>
      </c>
      <c r="AE1368" s="204">
        <v>0</v>
      </c>
      <c r="AF1368" s="204">
        <v>3</v>
      </c>
      <c r="AG1368" s="204">
        <v>0</v>
      </c>
      <c r="AH1368" s="204">
        <v>0</v>
      </c>
      <c r="AI1368" s="204">
        <v>7</v>
      </c>
      <c r="AJ1368" s="204">
        <v>0</v>
      </c>
      <c r="AK1368" s="204">
        <v>0</v>
      </c>
      <c r="AL1368" s="204">
        <v>3</v>
      </c>
      <c r="AM1368" s="204">
        <v>0</v>
      </c>
      <c r="AN1368" s="204">
        <v>0</v>
      </c>
      <c r="AO1368" s="204">
        <v>0</v>
      </c>
      <c r="AP1368" s="204">
        <v>0</v>
      </c>
      <c r="AQ1368" s="204">
        <v>3000</v>
      </c>
      <c r="AR1368" s="204">
        <v>0.5</v>
      </c>
      <c r="AS1368" s="204">
        <v>0</v>
      </c>
      <c r="AT1368" s="367" t="s">
        <v>3017</v>
      </c>
      <c r="AU1368" s="204">
        <v>90000015</v>
      </c>
      <c r="AV1368" s="204"/>
      <c r="AW1368" s="210" t="s">
        <v>198</v>
      </c>
      <c r="AX1368" s="204">
        <v>0</v>
      </c>
      <c r="AY1368" s="204">
        <v>0</v>
      </c>
      <c r="AZ1368" s="204">
        <v>0</v>
      </c>
      <c r="BA1368" s="210" t="s">
        <v>200</v>
      </c>
      <c r="BB1368" s="210">
        <v>0</v>
      </c>
      <c r="BC1368" s="204">
        <v>0</v>
      </c>
      <c r="BD1368" s="204">
        <v>1</v>
      </c>
      <c r="BE1368" s="211" t="s">
        <v>3018</v>
      </c>
      <c r="BF1368" s="211" t="s">
        <v>3019</v>
      </c>
      <c r="BG1368" s="204">
        <v>0</v>
      </c>
      <c r="BH1368" s="204">
        <v>0</v>
      </c>
      <c r="BI1368" s="204">
        <v>0</v>
      </c>
      <c r="BJ1368" s="204">
        <v>0</v>
      </c>
      <c r="BK1368" s="204">
        <v>0</v>
      </c>
      <c r="BL1368" s="204">
        <v>0</v>
      </c>
      <c r="BM1368" s="213">
        <v>0</v>
      </c>
      <c r="BN1368" s="204">
        <v>0</v>
      </c>
      <c r="BO1368" s="175">
        <v>0</v>
      </c>
      <c r="BP1368" s="175">
        <v>0</v>
      </c>
      <c r="BQ1368" s="175">
        <v>0</v>
      </c>
      <c r="BR1368" s="175">
        <v>0</v>
      </c>
      <c r="BS1368" s="175">
        <v>0</v>
      </c>
      <c r="BT1368" s="12">
        <v>0</v>
      </c>
      <c r="BU1368" s="47">
        <v>0</v>
      </c>
      <c r="BV1368" s="47"/>
      <c r="BW1368" s="47"/>
    </row>
    <row r="1369" spans="1:75" ht="20.100000000000001" customHeight="1">
      <c r="C1369" s="172">
        <v>63203001</v>
      </c>
      <c r="D1369" s="173" t="s">
        <v>3020</v>
      </c>
      <c r="E1369" s="173" t="s">
        <v>3021</v>
      </c>
      <c r="F1369" s="172">
        <v>1</v>
      </c>
      <c r="G1369" s="172">
        <v>63003001</v>
      </c>
      <c r="H1369" s="172">
        <v>0</v>
      </c>
      <c r="I1369" s="174">
        <v>0</v>
      </c>
      <c r="J1369" s="176">
        <v>1</v>
      </c>
      <c r="K1369" s="176">
        <v>0</v>
      </c>
      <c r="L1369" s="172">
        <v>0</v>
      </c>
      <c r="M1369" s="172">
        <v>0</v>
      </c>
      <c r="N1369" s="172">
        <v>0</v>
      </c>
      <c r="O1369" s="172">
        <v>2</v>
      </c>
      <c r="P1369" s="172">
        <v>12</v>
      </c>
      <c r="Q1369" s="172">
        <v>1</v>
      </c>
      <c r="R1369" s="172">
        <v>0</v>
      </c>
      <c r="S1369" s="175">
        <v>0</v>
      </c>
      <c r="T1369" s="172">
        <v>0</v>
      </c>
      <c r="U1369" s="172">
        <v>1</v>
      </c>
      <c r="V1369" s="172">
        <v>2</v>
      </c>
      <c r="W1369" s="172">
        <v>0</v>
      </c>
      <c r="X1369" s="176">
        <v>0</v>
      </c>
      <c r="Y1369" s="12">
        <v>0</v>
      </c>
      <c r="Z1369" s="176">
        <v>0</v>
      </c>
      <c r="AA1369" s="172">
        <v>0</v>
      </c>
      <c r="AB1369" s="172">
        <v>0</v>
      </c>
      <c r="AC1369" s="172">
        <v>0</v>
      </c>
      <c r="AD1369" s="172">
        <v>1</v>
      </c>
      <c r="AE1369" s="172">
        <v>0</v>
      </c>
      <c r="AF1369" s="172">
        <v>60</v>
      </c>
      <c r="AG1369" s="172">
        <v>1</v>
      </c>
      <c r="AH1369" s="172">
        <v>10</v>
      </c>
      <c r="AI1369" s="175">
        <v>0</v>
      </c>
      <c r="AJ1369" s="175">
        <v>0</v>
      </c>
      <c r="AK1369" s="175">
        <v>0</v>
      </c>
      <c r="AL1369" s="175">
        <v>0</v>
      </c>
      <c r="AM1369" s="172">
        <v>0</v>
      </c>
      <c r="AN1369" s="172">
        <v>0</v>
      </c>
      <c r="AO1369" s="172">
        <v>0</v>
      </c>
      <c r="AP1369" s="172">
        <v>0</v>
      </c>
      <c r="AQ1369" s="172">
        <v>50000</v>
      </c>
      <c r="AR1369" s="172">
        <v>0</v>
      </c>
      <c r="AS1369" s="172">
        <v>0</v>
      </c>
      <c r="AT1369" s="175">
        <v>90503005</v>
      </c>
      <c r="AU1369" s="172">
        <v>90503005</v>
      </c>
      <c r="AV1369" s="172"/>
      <c r="AW1369" s="173" t="s">
        <v>198</v>
      </c>
      <c r="AX1369" s="172">
        <v>0</v>
      </c>
      <c r="AY1369" s="176">
        <v>0</v>
      </c>
      <c r="AZ1369" s="176">
        <v>0</v>
      </c>
      <c r="BA1369" s="173" t="s">
        <v>2849</v>
      </c>
      <c r="BB1369" s="172">
        <v>0</v>
      </c>
      <c r="BC1369" s="174">
        <v>0</v>
      </c>
      <c r="BD1369" s="174">
        <v>0</v>
      </c>
      <c r="BE1369" s="206" t="s">
        <v>3022</v>
      </c>
      <c r="BF1369" s="206" t="s">
        <v>3023</v>
      </c>
      <c r="BG1369" s="172">
        <v>0</v>
      </c>
      <c r="BH1369" s="172">
        <v>0</v>
      </c>
      <c r="BI1369" s="172">
        <v>0</v>
      </c>
      <c r="BJ1369" s="172">
        <v>0</v>
      </c>
      <c r="BK1369" s="172">
        <v>0</v>
      </c>
      <c r="BL1369" s="172">
        <v>0</v>
      </c>
      <c r="BM1369" s="178">
        <v>0</v>
      </c>
      <c r="BN1369" s="175">
        <v>1</v>
      </c>
      <c r="BO1369" s="175">
        <v>0</v>
      </c>
      <c r="BP1369" s="175">
        <v>0</v>
      </c>
      <c r="BQ1369" s="175">
        <v>0</v>
      </c>
      <c r="BR1369" s="175">
        <v>0</v>
      </c>
      <c r="BS1369" s="175">
        <v>0</v>
      </c>
      <c r="BT1369" s="12">
        <v>0</v>
      </c>
      <c r="BU1369" s="47">
        <v>0</v>
      </c>
      <c r="BV1369" s="47"/>
      <c r="BW1369" s="47"/>
    </row>
    <row r="1370" spans="1:75" ht="20.100000000000001" customHeight="1">
      <c r="C1370" s="172">
        <v>63203002</v>
      </c>
      <c r="D1370" s="173" t="s">
        <v>2889</v>
      </c>
      <c r="E1370" s="173" t="s">
        <v>2890</v>
      </c>
      <c r="F1370" s="172">
        <v>1</v>
      </c>
      <c r="G1370" s="172">
        <v>63003002</v>
      </c>
      <c r="H1370" s="172">
        <v>0</v>
      </c>
      <c r="I1370" s="174">
        <v>0</v>
      </c>
      <c r="J1370" s="176">
        <v>1</v>
      </c>
      <c r="K1370" s="176">
        <v>0</v>
      </c>
      <c r="L1370" s="172">
        <v>0</v>
      </c>
      <c r="M1370" s="172">
        <v>0</v>
      </c>
      <c r="N1370" s="172">
        <v>0</v>
      </c>
      <c r="O1370" s="172">
        <v>2</v>
      </c>
      <c r="P1370" s="172">
        <v>0</v>
      </c>
      <c r="Q1370" s="172">
        <v>0</v>
      </c>
      <c r="R1370" s="172">
        <v>0</v>
      </c>
      <c r="S1370" s="175">
        <v>0</v>
      </c>
      <c r="T1370" s="172">
        <v>0</v>
      </c>
      <c r="U1370" s="172">
        <v>1</v>
      </c>
      <c r="V1370" s="172">
        <v>0</v>
      </c>
      <c r="W1370" s="172">
        <v>0</v>
      </c>
      <c r="X1370" s="176">
        <v>0</v>
      </c>
      <c r="Y1370" s="12">
        <v>0</v>
      </c>
      <c r="Z1370" s="176">
        <v>0</v>
      </c>
      <c r="AA1370" s="172">
        <v>0</v>
      </c>
      <c r="AB1370" s="172">
        <v>0</v>
      </c>
      <c r="AC1370" s="172">
        <v>0</v>
      </c>
      <c r="AD1370" s="172">
        <v>1</v>
      </c>
      <c r="AE1370" s="172">
        <v>0</v>
      </c>
      <c r="AF1370" s="172">
        <v>0</v>
      </c>
      <c r="AG1370" s="172">
        <v>0</v>
      </c>
      <c r="AH1370" s="172" t="s">
        <v>198</v>
      </c>
      <c r="AI1370" s="175">
        <v>0</v>
      </c>
      <c r="AJ1370" s="175">
        <v>0</v>
      </c>
      <c r="AK1370" s="175">
        <v>0</v>
      </c>
      <c r="AL1370" s="175">
        <v>0</v>
      </c>
      <c r="AM1370" s="172">
        <v>0</v>
      </c>
      <c r="AN1370" s="172">
        <v>0</v>
      </c>
      <c r="AO1370" s="172">
        <v>0</v>
      </c>
      <c r="AP1370" s="172">
        <v>0</v>
      </c>
      <c r="AQ1370" s="172">
        <v>0</v>
      </c>
      <c r="AR1370" s="172">
        <v>0</v>
      </c>
      <c r="AS1370" s="172">
        <v>0</v>
      </c>
      <c r="AT1370" s="175">
        <v>0</v>
      </c>
      <c r="AU1370" s="172" t="s">
        <v>198</v>
      </c>
      <c r="AV1370" s="172"/>
      <c r="AW1370" s="173" t="s">
        <v>198</v>
      </c>
      <c r="AX1370" s="172">
        <v>0</v>
      </c>
      <c r="AY1370" s="176">
        <v>0</v>
      </c>
      <c r="AZ1370" s="176">
        <v>0</v>
      </c>
      <c r="BA1370" s="173" t="s">
        <v>198</v>
      </c>
      <c r="BB1370" s="172">
        <v>0</v>
      </c>
      <c r="BC1370" s="174"/>
      <c r="BD1370" s="174"/>
      <c r="BE1370" s="206" t="s">
        <v>2891</v>
      </c>
      <c r="BF1370" s="206" t="s">
        <v>2892</v>
      </c>
      <c r="BG1370" s="172">
        <v>0</v>
      </c>
      <c r="BH1370" s="172">
        <v>0</v>
      </c>
      <c r="BI1370" s="172">
        <v>0</v>
      </c>
      <c r="BJ1370" s="172">
        <v>0</v>
      </c>
      <c r="BK1370" s="172">
        <v>0</v>
      </c>
      <c r="BL1370" s="172">
        <v>0</v>
      </c>
      <c r="BM1370" s="178">
        <v>0</v>
      </c>
      <c r="BN1370" s="175">
        <v>0</v>
      </c>
      <c r="BO1370" s="175">
        <v>0</v>
      </c>
      <c r="BP1370" s="175">
        <v>0</v>
      </c>
      <c r="BQ1370" s="175">
        <v>0</v>
      </c>
      <c r="BR1370" s="175">
        <v>0</v>
      </c>
      <c r="BS1370" s="175">
        <v>0</v>
      </c>
      <c r="BT1370" s="12">
        <v>0</v>
      </c>
      <c r="BU1370" s="47">
        <v>0</v>
      </c>
      <c r="BV1370" s="47"/>
      <c r="BW1370" s="47"/>
    </row>
    <row r="1371" spans="1:75" ht="20.100000000000001" customHeight="1">
      <c r="C1371" s="172">
        <v>63203003</v>
      </c>
      <c r="D1371" s="173" t="s">
        <v>2995</v>
      </c>
      <c r="E1371" s="173" t="s">
        <v>2996</v>
      </c>
      <c r="F1371" s="172">
        <v>1</v>
      </c>
      <c r="G1371" s="172">
        <v>1000005</v>
      </c>
      <c r="H1371" s="172">
        <v>0</v>
      </c>
      <c r="I1371" s="174">
        <v>0</v>
      </c>
      <c r="J1371" s="176">
        <v>1</v>
      </c>
      <c r="K1371" s="176">
        <v>0</v>
      </c>
      <c r="L1371" s="172">
        <v>0</v>
      </c>
      <c r="M1371" s="172">
        <v>0</v>
      </c>
      <c r="N1371" s="172">
        <v>0</v>
      </c>
      <c r="O1371" s="172">
        <v>8</v>
      </c>
      <c r="P1371" s="172">
        <v>8</v>
      </c>
      <c r="Q1371" s="172">
        <v>2</v>
      </c>
      <c r="R1371" s="172">
        <v>0</v>
      </c>
      <c r="S1371" s="175">
        <v>0</v>
      </c>
      <c r="T1371" s="172">
        <v>0</v>
      </c>
      <c r="U1371" s="172">
        <v>1</v>
      </c>
      <c r="V1371" s="172">
        <v>0</v>
      </c>
      <c r="W1371" s="172">
        <v>0</v>
      </c>
      <c r="X1371" s="176">
        <v>0</v>
      </c>
      <c r="Y1371" s="12">
        <v>0</v>
      </c>
      <c r="Z1371" s="176">
        <v>0</v>
      </c>
      <c r="AA1371" s="172">
        <v>0</v>
      </c>
      <c r="AB1371" s="172">
        <v>0</v>
      </c>
      <c r="AC1371" s="172">
        <v>0</v>
      </c>
      <c r="AD1371" s="172">
        <v>1</v>
      </c>
      <c r="AE1371" s="172">
        <v>0</v>
      </c>
      <c r="AF1371" s="172">
        <v>0</v>
      </c>
      <c r="AG1371" s="172">
        <v>0</v>
      </c>
      <c r="AH1371" s="172" t="s">
        <v>198</v>
      </c>
      <c r="AI1371" s="175">
        <v>0</v>
      </c>
      <c r="AJ1371" s="175">
        <v>0</v>
      </c>
      <c r="AK1371" s="175">
        <v>0</v>
      </c>
      <c r="AL1371" s="175">
        <v>0</v>
      </c>
      <c r="AM1371" s="172">
        <v>0</v>
      </c>
      <c r="AN1371" s="172">
        <v>0</v>
      </c>
      <c r="AO1371" s="172">
        <v>0</v>
      </c>
      <c r="AP1371" s="172">
        <v>0</v>
      </c>
      <c r="AQ1371" s="172">
        <v>0</v>
      </c>
      <c r="AR1371" s="172">
        <v>0</v>
      </c>
      <c r="AS1371" s="172">
        <v>0</v>
      </c>
      <c r="AT1371" s="175">
        <v>90000006</v>
      </c>
      <c r="AU1371" s="172" t="s">
        <v>198</v>
      </c>
      <c r="AV1371" s="172"/>
      <c r="AW1371" s="173" t="s">
        <v>198</v>
      </c>
      <c r="AX1371" s="172">
        <v>0</v>
      </c>
      <c r="AY1371" s="176">
        <v>0</v>
      </c>
      <c r="AZ1371" s="176">
        <v>0</v>
      </c>
      <c r="BA1371" s="173" t="s">
        <v>198</v>
      </c>
      <c r="BB1371" s="172" t="s">
        <v>2997</v>
      </c>
      <c r="BC1371" s="174"/>
      <c r="BD1371" s="174"/>
      <c r="BE1371" s="206" t="s">
        <v>2998</v>
      </c>
      <c r="BF1371" s="206" t="s">
        <v>2999</v>
      </c>
      <c r="BG1371" s="172">
        <v>0</v>
      </c>
      <c r="BH1371" s="172">
        <v>0</v>
      </c>
      <c r="BI1371" s="172">
        <v>0</v>
      </c>
      <c r="BJ1371" s="172">
        <v>0</v>
      </c>
      <c r="BK1371" s="172">
        <v>0</v>
      </c>
      <c r="BL1371" s="172">
        <v>0</v>
      </c>
      <c r="BM1371" s="178">
        <v>0</v>
      </c>
      <c r="BN1371" s="175">
        <v>0</v>
      </c>
      <c r="BO1371" s="175">
        <v>0</v>
      </c>
      <c r="BP1371" s="175">
        <v>0</v>
      </c>
      <c r="BQ1371" s="175">
        <v>0</v>
      </c>
      <c r="BR1371" s="175">
        <v>0</v>
      </c>
      <c r="BS1371" s="175">
        <v>0</v>
      </c>
      <c r="BT1371" s="12">
        <v>0</v>
      </c>
      <c r="BU1371" s="47">
        <v>0</v>
      </c>
      <c r="BV1371" s="47"/>
      <c r="BW1371" s="47"/>
    </row>
    <row r="1372" spans="1:75" ht="20.100000000000001" customHeight="1">
      <c r="C1372" s="172">
        <v>63203004</v>
      </c>
      <c r="D1372" s="210" t="s">
        <v>2861</v>
      </c>
      <c r="E1372" s="210" t="s">
        <v>3024</v>
      </c>
      <c r="F1372" s="16">
        <v>1</v>
      </c>
      <c r="G1372" s="16">
        <v>63002003</v>
      </c>
      <c r="H1372" s="16">
        <v>0</v>
      </c>
      <c r="I1372" s="27">
        <v>0</v>
      </c>
      <c r="J1372" s="18">
        <v>1</v>
      </c>
      <c r="K1372" s="18">
        <v>0</v>
      </c>
      <c r="L1372" s="16">
        <v>0</v>
      </c>
      <c r="M1372" s="16">
        <v>0</v>
      </c>
      <c r="N1372" s="16">
        <v>0</v>
      </c>
      <c r="O1372" s="16">
        <v>8</v>
      </c>
      <c r="P1372" s="16">
        <v>8</v>
      </c>
      <c r="Q1372" s="16">
        <v>1</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90000006</v>
      </c>
      <c r="AU1372" s="16" t="s">
        <v>198</v>
      </c>
      <c r="AV1372" s="16"/>
      <c r="AW1372" s="17" t="s">
        <v>198</v>
      </c>
      <c r="AX1372" s="16">
        <v>0</v>
      </c>
      <c r="AY1372" s="18">
        <v>0</v>
      </c>
      <c r="AZ1372" s="18">
        <v>0</v>
      </c>
      <c r="BA1372" s="17" t="s">
        <v>198</v>
      </c>
      <c r="BB1372" s="16" t="s">
        <v>3025</v>
      </c>
      <c r="BC1372" s="27"/>
      <c r="BD1372" s="27"/>
      <c r="BE1372" s="206" t="s">
        <v>3026</v>
      </c>
      <c r="BF1372" s="44" t="s">
        <v>3027</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s="1" customFormat="1" ht="20.100000000000001" customHeight="1">
      <c r="A1373" s="215"/>
      <c r="B1373" s="215"/>
      <c r="C1373" s="64">
        <v>63301001</v>
      </c>
      <c r="D1373" s="59" t="s">
        <v>2861</v>
      </c>
      <c r="E1373" s="147" t="s">
        <v>3028</v>
      </c>
      <c r="F1373" s="93">
        <v>1</v>
      </c>
      <c r="G1373" s="64">
        <v>63301001</v>
      </c>
      <c r="H1373" s="64">
        <v>0</v>
      </c>
      <c r="I1373" s="66">
        <v>0</v>
      </c>
      <c r="J1373" s="64">
        <v>1</v>
      </c>
      <c r="K1373" s="60">
        <v>0</v>
      </c>
      <c r="L1373" s="64">
        <v>0</v>
      </c>
      <c r="M1373" s="60">
        <v>0</v>
      </c>
      <c r="N1373" s="60">
        <v>0</v>
      </c>
      <c r="O1373" s="60">
        <v>2</v>
      </c>
      <c r="P1373" s="60">
        <v>7</v>
      </c>
      <c r="Q1373" s="60">
        <v>0.15</v>
      </c>
      <c r="R1373" s="60">
        <v>0</v>
      </c>
      <c r="S1373" s="68">
        <v>0</v>
      </c>
      <c r="T1373" s="60">
        <v>0</v>
      </c>
      <c r="U1373" s="60">
        <v>1</v>
      </c>
      <c r="V1373" s="60">
        <v>1</v>
      </c>
      <c r="W1373" s="60">
        <v>0</v>
      </c>
      <c r="X1373" s="60">
        <v>0</v>
      </c>
      <c r="Y1373" s="12">
        <v>0</v>
      </c>
      <c r="Z1373" s="60">
        <v>0</v>
      </c>
      <c r="AA1373" s="60">
        <v>0</v>
      </c>
      <c r="AB1373" s="60">
        <v>0</v>
      </c>
      <c r="AC1373" s="60">
        <v>0</v>
      </c>
      <c r="AD1373" s="60">
        <v>0</v>
      </c>
      <c r="AE1373" s="60">
        <v>0</v>
      </c>
      <c r="AF1373" s="60">
        <v>0</v>
      </c>
      <c r="AG1373" s="60">
        <v>0</v>
      </c>
      <c r="AH1373" s="60">
        <v>0</v>
      </c>
      <c r="AI1373" s="68">
        <v>0</v>
      </c>
      <c r="AJ1373" s="68">
        <v>0</v>
      </c>
      <c r="AK1373" s="68">
        <v>0</v>
      </c>
      <c r="AL1373" s="68">
        <v>1.5</v>
      </c>
      <c r="AM1373" s="60">
        <v>0</v>
      </c>
      <c r="AN1373" s="60">
        <v>0</v>
      </c>
      <c r="AO1373" s="60">
        <v>0</v>
      </c>
      <c r="AP1373" s="64">
        <v>0</v>
      </c>
      <c r="AQ1373" s="60">
        <v>3000</v>
      </c>
      <c r="AR1373" s="60">
        <v>0.1</v>
      </c>
      <c r="AS1373" s="60">
        <v>0</v>
      </c>
      <c r="AT1373" s="68">
        <v>0</v>
      </c>
      <c r="AU1373" s="60" t="s">
        <v>198</v>
      </c>
      <c r="AV1373" s="60"/>
      <c r="AW1373" s="59" t="s">
        <v>198</v>
      </c>
      <c r="AX1373" s="60" t="s">
        <v>545</v>
      </c>
      <c r="AY1373" s="64">
        <v>0</v>
      </c>
      <c r="AZ1373" s="64">
        <v>0</v>
      </c>
      <c r="BA1373" s="59" t="s">
        <v>2386</v>
      </c>
      <c r="BB1373" s="355" t="s">
        <v>3029</v>
      </c>
      <c r="BC1373" s="66">
        <v>0</v>
      </c>
      <c r="BD1373" s="66">
        <v>0</v>
      </c>
      <c r="BE1373" s="90" t="s">
        <v>3030</v>
      </c>
      <c r="BF1373" s="90" t="s">
        <v>3031</v>
      </c>
      <c r="BG1373" s="60">
        <v>0</v>
      </c>
      <c r="BH1373" s="60">
        <v>0</v>
      </c>
      <c r="BI1373" s="60">
        <v>0</v>
      </c>
      <c r="BJ1373" s="60">
        <v>0</v>
      </c>
      <c r="BK1373" s="60">
        <v>0</v>
      </c>
      <c r="BL1373" s="60">
        <v>0</v>
      </c>
      <c r="BM1373" s="93">
        <v>0</v>
      </c>
      <c r="BN1373" s="68">
        <v>0</v>
      </c>
      <c r="BO1373" s="68">
        <v>0</v>
      </c>
      <c r="BP1373" s="68">
        <v>0</v>
      </c>
      <c r="BQ1373" s="68">
        <v>0</v>
      </c>
      <c r="BR1373" s="68">
        <v>0</v>
      </c>
      <c r="BS1373" s="68">
        <v>0</v>
      </c>
      <c r="BT1373" s="68">
        <v>0</v>
      </c>
      <c r="BU1373" s="68">
        <v>0</v>
      </c>
      <c r="BV1373" s="47"/>
      <c r="BW1373" s="47"/>
    </row>
    <row r="1374" spans="1:75" s="1" customFormat="1" ht="20.100000000000001" customHeight="1">
      <c r="C1374" s="64">
        <v>63301002</v>
      </c>
      <c r="D1374" s="59" t="s">
        <v>760</v>
      </c>
      <c r="E1374" s="147" t="s">
        <v>761</v>
      </c>
      <c r="F1374" s="93">
        <v>1</v>
      </c>
      <c r="G1374" s="93">
        <v>0</v>
      </c>
      <c r="H1374" s="60">
        <v>0</v>
      </c>
      <c r="I1374" s="66">
        <v>0</v>
      </c>
      <c r="J1374" s="64">
        <v>1</v>
      </c>
      <c r="K1374" s="64">
        <v>0</v>
      </c>
      <c r="L1374" s="64">
        <v>0</v>
      </c>
      <c r="M1374" s="60">
        <v>0</v>
      </c>
      <c r="N1374" s="60">
        <v>0</v>
      </c>
      <c r="O1374" s="60">
        <v>2</v>
      </c>
      <c r="P1374" s="60">
        <v>1</v>
      </c>
      <c r="Q1374" s="60">
        <v>0.2</v>
      </c>
      <c r="R1374" s="60">
        <v>0</v>
      </c>
      <c r="S1374" s="68">
        <v>0</v>
      </c>
      <c r="T1374" s="60">
        <v>0</v>
      </c>
      <c r="U1374" s="60">
        <v>1</v>
      </c>
      <c r="V1374" s="93">
        <v>1</v>
      </c>
      <c r="W1374" s="60">
        <v>0</v>
      </c>
      <c r="X1374" s="60">
        <v>2.5</v>
      </c>
      <c r="Y1374" s="12">
        <v>0</v>
      </c>
      <c r="Z1374" s="60">
        <v>150</v>
      </c>
      <c r="AA1374" s="60">
        <v>1</v>
      </c>
      <c r="AB1374" s="60">
        <v>0</v>
      </c>
      <c r="AC1374" s="60">
        <v>0</v>
      </c>
      <c r="AD1374" s="60">
        <v>0</v>
      </c>
      <c r="AE1374" s="60">
        <v>1</v>
      </c>
      <c r="AF1374" s="60">
        <v>10</v>
      </c>
      <c r="AG1374" s="60">
        <v>2</v>
      </c>
      <c r="AH1374" s="60" t="s">
        <v>213</v>
      </c>
      <c r="AI1374" s="68">
        <v>0</v>
      </c>
      <c r="AJ1374" s="68">
        <v>2</v>
      </c>
      <c r="AK1374" s="68">
        <v>0</v>
      </c>
      <c r="AL1374" s="68">
        <v>1.5</v>
      </c>
      <c r="AM1374" s="60">
        <v>0</v>
      </c>
      <c r="AN1374" s="60">
        <v>0</v>
      </c>
      <c r="AO1374" s="60">
        <v>0</v>
      </c>
      <c r="AP1374" s="64">
        <v>0</v>
      </c>
      <c r="AQ1374" s="60">
        <v>1600</v>
      </c>
      <c r="AR1374" s="60">
        <v>1</v>
      </c>
      <c r="AS1374" s="60">
        <v>15</v>
      </c>
      <c r="AT1374" s="68">
        <v>0</v>
      </c>
      <c r="AU1374" s="334" t="s">
        <v>2265</v>
      </c>
      <c r="AV1374" s="79"/>
      <c r="AW1374" s="59" t="s">
        <v>199</v>
      </c>
      <c r="AX1374" s="60" t="s">
        <v>215</v>
      </c>
      <c r="AY1374" s="64">
        <v>10000011</v>
      </c>
      <c r="AZ1374" s="64">
        <v>77005105</v>
      </c>
      <c r="BA1374" s="59" t="s">
        <v>216</v>
      </c>
      <c r="BB1374" s="60">
        <v>0</v>
      </c>
      <c r="BC1374" s="66">
        <v>0</v>
      </c>
      <c r="BD1374" s="66">
        <v>0</v>
      </c>
      <c r="BE1374" s="90" t="s">
        <v>3032</v>
      </c>
      <c r="BF1374" s="90" t="s">
        <v>3033</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spans="1:75" ht="20.100000000000001" customHeight="1">
      <c r="C1375" s="64">
        <v>63301003</v>
      </c>
      <c r="D1375" s="17" t="s">
        <v>2909</v>
      </c>
      <c r="E1375" s="17" t="s">
        <v>2910</v>
      </c>
      <c r="F1375" s="16">
        <v>1</v>
      </c>
      <c r="G1375" s="16">
        <v>1000003</v>
      </c>
      <c r="H1375" s="16">
        <v>0</v>
      </c>
      <c r="I1375" s="27">
        <v>0</v>
      </c>
      <c r="J1375" s="18">
        <v>1</v>
      </c>
      <c r="K1375" s="18">
        <v>0</v>
      </c>
      <c r="L1375" s="16">
        <v>0</v>
      </c>
      <c r="M1375" s="16">
        <v>0</v>
      </c>
      <c r="N1375" s="16">
        <v>0</v>
      </c>
      <c r="O1375" s="16">
        <v>8</v>
      </c>
      <c r="P1375" s="16">
        <v>8</v>
      </c>
      <c r="Q1375" s="16">
        <v>3</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2911</v>
      </c>
      <c r="BC1375" s="27"/>
      <c r="BD1375" s="27">
        <v>0</v>
      </c>
      <c r="BE1375" s="44" t="s">
        <v>2912</v>
      </c>
      <c r="BF1375" s="44" t="s">
        <v>2913</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spans="1:75" ht="20.100000000000001" customHeight="1">
      <c r="C1376" s="64">
        <v>63301004</v>
      </c>
      <c r="D1376" s="173" t="s">
        <v>2857</v>
      </c>
      <c r="E1376" s="173" t="s">
        <v>2858</v>
      </c>
      <c r="F1376" s="172">
        <v>1</v>
      </c>
      <c r="G1376" s="172">
        <v>63002002</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2859</v>
      </c>
      <c r="BF1376" s="206" t="s">
        <v>2860</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spans="1:75" ht="20.100000000000001" customHeight="1">
      <c r="C1377" s="64">
        <v>63301005</v>
      </c>
      <c r="D1377" s="173" t="s">
        <v>3034</v>
      </c>
      <c r="E1377" s="173" t="s">
        <v>3035</v>
      </c>
      <c r="F1377" s="172">
        <v>1</v>
      </c>
      <c r="G1377" s="172">
        <v>63301005</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90503007</v>
      </c>
      <c r="AU1377" s="175">
        <v>90503007</v>
      </c>
      <c r="AV1377" s="172"/>
      <c r="AW1377" s="173" t="s">
        <v>198</v>
      </c>
      <c r="AX1377" s="172">
        <v>0</v>
      </c>
      <c r="AY1377" s="176">
        <v>0</v>
      </c>
      <c r="AZ1377" s="176">
        <v>0</v>
      </c>
      <c r="BA1377" s="173" t="s">
        <v>2849</v>
      </c>
      <c r="BB1377" s="172">
        <v>0</v>
      </c>
      <c r="BC1377" s="174">
        <v>0</v>
      </c>
      <c r="BD1377" s="174">
        <v>0</v>
      </c>
      <c r="BE1377" s="206" t="s">
        <v>3036</v>
      </c>
      <c r="BF1377" s="247" t="s">
        <v>3037</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pans="1:75" s="1" customFormat="1" ht="19.5" customHeight="1">
      <c r="A1378" s="215"/>
      <c r="B1378" s="215"/>
      <c r="C1378" s="64">
        <v>63302001</v>
      </c>
      <c r="D1378" s="59" t="s">
        <v>2861</v>
      </c>
      <c r="E1378" s="59" t="s">
        <v>3038</v>
      </c>
      <c r="F1378" s="64">
        <v>1</v>
      </c>
      <c r="G1378" s="64">
        <v>63302001</v>
      </c>
      <c r="H1378" s="64">
        <v>0</v>
      </c>
      <c r="I1378" s="66">
        <v>0</v>
      </c>
      <c r="J1378" s="64">
        <v>1</v>
      </c>
      <c r="K1378" s="64">
        <v>0</v>
      </c>
      <c r="L1378" s="64">
        <v>0</v>
      </c>
      <c r="M1378" s="60">
        <v>0</v>
      </c>
      <c r="N1378" s="60">
        <v>0</v>
      </c>
      <c r="O1378" s="60">
        <v>2</v>
      </c>
      <c r="P1378" s="60">
        <v>16</v>
      </c>
      <c r="Q1378" s="60">
        <v>3</v>
      </c>
      <c r="R1378" s="60">
        <v>0</v>
      </c>
      <c r="S1378" s="68">
        <v>0</v>
      </c>
      <c r="T1378" s="60">
        <v>0</v>
      </c>
      <c r="U1378" s="60">
        <v>1</v>
      </c>
      <c r="V1378" s="60">
        <v>2</v>
      </c>
      <c r="W1378" s="60">
        <v>0</v>
      </c>
      <c r="X1378" s="60">
        <v>0</v>
      </c>
      <c r="Y1378" s="12">
        <v>0</v>
      </c>
      <c r="Z1378" s="60">
        <v>0</v>
      </c>
      <c r="AA1378" s="60">
        <v>1</v>
      </c>
      <c r="AB1378" s="60">
        <v>0</v>
      </c>
      <c r="AC1378" s="60">
        <v>0</v>
      </c>
      <c r="AD1378" s="60">
        <v>0</v>
      </c>
      <c r="AE1378" s="60">
        <v>0</v>
      </c>
      <c r="AF1378" s="60">
        <v>0</v>
      </c>
      <c r="AG1378" s="60">
        <v>1</v>
      </c>
      <c r="AH1378" s="60">
        <v>1</v>
      </c>
      <c r="AI1378" s="68">
        <v>7</v>
      </c>
      <c r="AJ1378" s="68">
        <v>1</v>
      </c>
      <c r="AK1378" s="68">
        <v>0</v>
      </c>
      <c r="AL1378" s="68">
        <v>3</v>
      </c>
      <c r="AM1378" s="60">
        <v>0</v>
      </c>
      <c r="AN1378" s="60">
        <v>0</v>
      </c>
      <c r="AO1378" s="60">
        <v>0</v>
      </c>
      <c r="AP1378" s="64">
        <v>0</v>
      </c>
      <c r="AQ1378" s="60">
        <v>500</v>
      </c>
      <c r="AR1378" s="60">
        <v>0.1</v>
      </c>
      <c r="AS1378" s="60">
        <v>0</v>
      </c>
      <c r="AT1378" s="68">
        <v>0</v>
      </c>
      <c r="AU1378" s="334" t="s">
        <v>2291</v>
      </c>
      <c r="AV1378" s="79"/>
      <c r="AW1378" s="63" t="s">
        <v>198</v>
      </c>
      <c r="AX1378" s="60" t="s">
        <v>534</v>
      </c>
      <c r="AY1378" s="64">
        <v>0</v>
      </c>
      <c r="AZ1378" s="64">
        <v>0</v>
      </c>
      <c r="BA1378" s="59" t="s">
        <v>200</v>
      </c>
      <c r="BB1378" s="60">
        <v>0</v>
      </c>
      <c r="BC1378" s="66">
        <v>0</v>
      </c>
      <c r="BD1378" s="66">
        <v>0</v>
      </c>
      <c r="BE1378" s="90" t="s">
        <v>3039</v>
      </c>
      <c r="BF1378" s="90" t="s">
        <v>3040</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ht="20.100000000000001" customHeight="1">
      <c r="C1379" s="64">
        <v>63302002</v>
      </c>
      <c r="D1379" s="17" t="s">
        <v>2926</v>
      </c>
      <c r="E1379" s="17" t="s">
        <v>2927</v>
      </c>
      <c r="F1379" s="16">
        <v>1</v>
      </c>
      <c r="G1379" s="16">
        <v>1000004</v>
      </c>
      <c r="H1379" s="16">
        <v>0</v>
      </c>
      <c r="I1379" s="27">
        <v>0</v>
      </c>
      <c r="J1379" s="18">
        <v>1</v>
      </c>
      <c r="K1379" s="18">
        <v>0</v>
      </c>
      <c r="L1379" s="16">
        <v>0</v>
      </c>
      <c r="M1379" s="16">
        <v>0</v>
      </c>
      <c r="N1379" s="16">
        <v>0</v>
      </c>
      <c r="O1379" s="16">
        <v>8</v>
      </c>
      <c r="P1379" s="16">
        <v>8</v>
      </c>
      <c r="Q1379" s="16">
        <v>4</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2928</v>
      </c>
      <c r="BC1379" s="27"/>
      <c r="BD1379" s="27">
        <v>0</v>
      </c>
      <c r="BE1379" s="44" t="s">
        <v>2929</v>
      </c>
      <c r="BF1379" s="44" t="s">
        <v>2930</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spans="1:75" ht="20.100000000000001" customHeight="1">
      <c r="C1380" s="64">
        <v>63302003</v>
      </c>
      <c r="D1380" s="173" t="s">
        <v>2914</v>
      </c>
      <c r="E1380" s="173" t="s">
        <v>2915</v>
      </c>
      <c r="F1380" s="172">
        <v>1</v>
      </c>
      <c r="G1380" s="172">
        <v>63001003</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2916</v>
      </c>
      <c r="BF1380" s="206" t="s">
        <v>2917</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spans="1:75" ht="20.100000000000001" customHeight="1">
      <c r="C1381" s="64">
        <v>63302004</v>
      </c>
      <c r="D1381" s="173" t="s">
        <v>3041</v>
      </c>
      <c r="E1381" s="173" t="s">
        <v>3042</v>
      </c>
      <c r="F1381" s="172">
        <v>1</v>
      </c>
      <c r="G1381" s="172">
        <v>63302004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90503008</v>
      </c>
      <c r="AU1381" s="172">
        <v>90503008</v>
      </c>
      <c r="AV1381" s="172"/>
      <c r="AW1381" s="173" t="s">
        <v>198</v>
      </c>
      <c r="AX1381" s="172">
        <v>0</v>
      </c>
      <c r="AY1381" s="176">
        <v>0</v>
      </c>
      <c r="AZ1381" s="176">
        <v>0</v>
      </c>
      <c r="BA1381" s="173" t="s">
        <v>2849</v>
      </c>
      <c r="BB1381" s="172">
        <v>0</v>
      </c>
      <c r="BC1381" s="174">
        <v>0</v>
      </c>
      <c r="BD1381" s="174">
        <v>0</v>
      </c>
      <c r="BE1381" s="206" t="s">
        <v>3043</v>
      </c>
      <c r="BF1381" s="206" t="s">
        <v>3044</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pans="1:75" s="1" customFormat="1" ht="20.100000000000001" customHeight="1">
      <c r="A1382" s="215"/>
      <c r="B1382" s="215"/>
      <c r="C1382" s="64">
        <v>63303001</v>
      </c>
      <c r="D1382" s="59" t="s">
        <v>2861</v>
      </c>
      <c r="E1382" s="147" t="s">
        <v>3045</v>
      </c>
      <c r="F1382" s="93">
        <v>1</v>
      </c>
      <c r="G1382" s="64">
        <v>63303001</v>
      </c>
      <c r="H1382" s="64">
        <v>0</v>
      </c>
      <c r="I1382" s="66">
        <v>0</v>
      </c>
      <c r="J1382" s="64">
        <v>1</v>
      </c>
      <c r="K1382" s="60">
        <v>0</v>
      </c>
      <c r="L1382" s="64">
        <v>0</v>
      </c>
      <c r="M1382" s="60">
        <v>0</v>
      </c>
      <c r="N1382" s="60">
        <v>0</v>
      </c>
      <c r="O1382" s="60">
        <v>2</v>
      </c>
      <c r="P1382" s="60">
        <v>1</v>
      </c>
      <c r="Q1382" s="60">
        <v>0.15</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18</v>
      </c>
      <c r="AG1382" s="60">
        <v>0</v>
      </c>
      <c r="AH1382" s="60">
        <v>0</v>
      </c>
      <c r="AI1382" s="68">
        <v>0</v>
      </c>
      <c r="AJ1382" s="68">
        <v>0</v>
      </c>
      <c r="AK1382" s="68">
        <v>0</v>
      </c>
      <c r="AL1382" s="68">
        <v>1.5</v>
      </c>
      <c r="AM1382" s="60">
        <v>0</v>
      </c>
      <c r="AN1382" s="60">
        <v>0</v>
      </c>
      <c r="AO1382" s="60">
        <v>0</v>
      </c>
      <c r="AP1382" s="64">
        <v>0</v>
      </c>
      <c r="AQ1382" s="60">
        <v>3000</v>
      </c>
      <c r="AR1382" s="60">
        <v>0.15</v>
      </c>
      <c r="AS1382" s="60">
        <v>0</v>
      </c>
      <c r="AT1382" s="68">
        <v>0</v>
      </c>
      <c r="AU1382" s="60" t="s">
        <v>198</v>
      </c>
      <c r="AV1382" s="60"/>
      <c r="AW1382" s="59" t="s">
        <v>198</v>
      </c>
      <c r="AX1382" s="60" t="s">
        <v>545</v>
      </c>
      <c r="AY1382" s="64">
        <v>0</v>
      </c>
      <c r="AZ1382" s="64">
        <v>0</v>
      </c>
      <c r="BA1382" s="59" t="s">
        <v>2386</v>
      </c>
      <c r="BB1382" s="355" t="s">
        <v>3046</v>
      </c>
      <c r="BC1382" s="66">
        <v>0</v>
      </c>
      <c r="BD1382" s="66">
        <v>0</v>
      </c>
      <c r="BE1382" s="90" t="s">
        <v>3047</v>
      </c>
      <c r="BF1382" s="90" t="s">
        <v>3048</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ht="20.100000000000001" customHeight="1">
      <c r="C1383" s="64">
        <v>63303002</v>
      </c>
      <c r="D1383" s="17" t="s">
        <v>2939</v>
      </c>
      <c r="E1383" s="17" t="s">
        <v>2940</v>
      </c>
      <c r="F1383" s="16">
        <v>1</v>
      </c>
      <c r="G1383" s="16">
        <v>63003003</v>
      </c>
      <c r="H1383" s="16">
        <v>0</v>
      </c>
      <c r="I1383" s="27">
        <v>0</v>
      </c>
      <c r="J1383" s="18">
        <v>1</v>
      </c>
      <c r="K1383" s="18">
        <v>0</v>
      </c>
      <c r="L1383" s="16">
        <v>0</v>
      </c>
      <c r="M1383" s="16">
        <v>0</v>
      </c>
      <c r="N1383" s="16">
        <v>0</v>
      </c>
      <c r="O1383" s="16">
        <v>8</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t="s">
        <v>2941</v>
      </c>
      <c r="BC1383" s="27">
        <v>0</v>
      </c>
      <c r="BD1383" s="27">
        <v>0</v>
      </c>
      <c r="BE1383" s="44" t="s">
        <v>2942</v>
      </c>
      <c r="BF1383" s="44" t="s">
        <v>2943</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spans="1:75" ht="20.100000000000001" customHeight="1">
      <c r="C1384" s="64">
        <v>63303003</v>
      </c>
      <c r="D1384" s="173" t="s">
        <v>2889</v>
      </c>
      <c r="E1384" s="173" t="s">
        <v>2890</v>
      </c>
      <c r="F1384" s="172">
        <v>1</v>
      </c>
      <c r="G1384" s="172">
        <v>63003002</v>
      </c>
      <c r="H1384" s="172">
        <v>0</v>
      </c>
      <c r="I1384" s="174">
        <v>0</v>
      </c>
      <c r="J1384" s="176">
        <v>1</v>
      </c>
      <c r="K1384" s="176">
        <v>0</v>
      </c>
      <c r="L1384" s="172">
        <v>0</v>
      </c>
      <c r="M1384" s="172">
        <v>0</v>
      </c>
      <c r="N1384" s="172">
        <v>0</v>
      </c>
      <c r="O1384" s="172">
        <v>2</v>
      </c>
      <c r="P1384" s="172">
        <v>0</v>
      </c>
      <c r="Q1384" s="172">
        <v>0</v>
      </c>
      <c r="R1384" s="172">
        <v>0</v>
      </c>
      <c r="S1384" s="175">
        <v>0</v>
      </c>
      <c r="T1384" s="172">
        <v>0</v>
      </c>
      <c r="U1384" s="172">
        <v>1</v>
      </c>
      <c r="V1384" s="172">
        <v>0</v>
      </c>
      <c r="W1384" s="172">
        <v>0</v>
      </c>
      <c r="X1384" s="176">
        <v>0</v>
      </c>
      <c r="Y1384" s="12">
        <v>0</v>
      </c>
      <c r="Z1384" s="176">
        <v>0</v>
      </c>
      <c r="AA1384" s="172">
        <v>0</v>
      </c>
      <c r="AB1384" s="172">
        <v>0</v>
      </c>
      <c r="AC1384" s="172">
        <v>0</v>
      </c>
      <c r="AD1384" s="172">
        <v>1</v>
      </c>
      <c r="AE1384" s="172">
        <v>0</v>
      </c>
      <c r="AF1384" s="172">
        <v>0</v>
      </c>
      <c r="AG1384" s="172">
        <v>0</v>
      </c>
      <c r="AH1384" s="172" t="s">
        <v>198</v>
      </c>
      <c r="AI1384" s="175">
        <v>0</v>
      </c>
      <c r="AJ1384" s="175">
        <v>0</v>
      </c>
      <c r="AK1384" s="175">
        <v>0</v>
      </c>
      <c r="AL1384" s="175">
        <v>0</v>
      </c>
      <c r="AM1384" s="172">
        <v>0</v>
      </c>
      <c r="AN1384" s="172">
        <v>0</v>
      </c>
      <c r="AO1384" s="172">
        <v>0</v>
      </c>
      <c r="AP1384" s="172">
        <v>0</v>
      </c>
      <c r="AQ1384" s="172">
        <v>0</v>
      </c>
      <c r="AR1384" s="172">
        <v>0</v>
      </c>
      <c r="AS1384" s="172">
        <v>0</v>
      </c>
      <c r="AT1384" s="175">
        <v>0</v>
      </c>
      <c r="AU1384" s="172" t="s">
        <v>198</v>
      </c>
      <c r="AV1384" s="172"/>
      <c r="AW1384" s="173" t="s">
        <v>198</v>
      </c>
      <c r="AX1384" s="172">
        <v>0</v>
      </c>
      <c r="AY1384" s="176">
        <v>0</v>
      </c>
      <c r="AZ1384" s="176">
        <v>0</v>
      </c>
      <c r="BA1384" s="173" t="s">
        <v>198</v>
      </c>
      <c r="BB1384" s="172">
        <v>0</v>
      </c>
      <c r="BC1384" s="174"/>
      <c r="BD1384" s="174"/>
      <c r="BE1384" s="206" t="s">
        <v>2891</v>
      </c>
      <c r="BF1384" s="206" t="s">
        <v>2892</v>
      </c>
      <c r="BG1384" s="172">
        <v>0</v>
      </c>
      <c r="BH1384" s="172">
        <v>0</v>
      </c>
      <c r="BI1384" s="172">
        <v>0</v>
      </c>
      <c r="BJ1384" s="172">
        <v>0</v>
      </c>
      <c r="BK1384" s="172">
        <v>0</v>
      </c>
      <c r="BL1384" s="172">
        <v>0</v>
      </c>
      <c r="BM1384" s="178">
        <v>0</v>
      </c>
      <c r="BN1384" s="175">
        <v>0</v>
      </c>
      <c r="BO1384" s="175">
        <v>0</v>
      </c>
      <c r="BP1384" s="175">
        <v>0</v>
      </c>
      <c r="BQ1384" s="175">
        <v>0</v>
      </c>
      <c r="BR1384" s="175">
        <v>0</v>
      </c>
      <c r="BS1384" s="175">
        <v>0</v>
      </c>
      <c r="BT1384" s="12">
        <v>0</v>
      </c>
      <c r="BU1384" s="47">
        <v>0</v>
      </c>
      <c r="BV1384" s="47"/>
      <c r="BW1384" s="47"/>
    </row>
    <row r="1385" spans="1:75" ht="20.100000000000001" customHeight="1">
      <c r="C1385" s="64">
        <v>63303004</v>
      </c>
      <c r="D1385" s="173" t="s">
        <v>3049</v>
      </c>
      <c r="E1385" s="173" t="s">
        <v>3050</v>
      </c>
      <c r="F1385" s="172">
        <v>1</v>
      </c>
      <c r="G1385" s="172">
        <v>63303004</v>
      </c>
      <c r="H1385" s="172">
        <v>0</v>
      </c>
      <c r="I1385" s="174">
        <v>0</v>
      </c>
      <c r="J1385" s="176">
        <v>1</v>
      </c>
      <c r="K1385" s="176">
        <v>0</v>
      </c>
      <c r="L1385" s="172">
        <v>0</v>
      </c>
      <c r="M1385" s="172">
        <v>0</v>
      </c>
      <c r="N1385" s="172">
        <v>0</v>
      </c>
      <c r="O1385" s="172">
        <v>2</v>
      </c>
      <c r="P1385" s="172">
        <v>12</v>
      </c>
      <c r="Q1385" s="172">
        <v>1</v>
      </c>
      <c r="R1385" s="172">
        <v>0</v>
      </c>
      <c r="S1385" s="175">
        <v>0</v>
      </c>
      <c r="T1385" s="172">
        <v>0</v>
      </c>
      <c r="U1385" s="172">
        <v>1</v>
      </c>
      <c r="V1385" s="172">
        <v>2</v>
      </c>
      <c r="W1385" s="172">
        <v>0</v>
      </c>
      <c r="X1385" s="176">
        <v>0</v>
      </c>
      <c r="Y1385" s="12">
        <v>0</v>
      </c>
      <c r="Z1385" s="176">
        <v>0</v>
      </c>
      <c r="AA1385" s="172">
        <v>0</v>
      </c>
      <c r="AB1385" s="172">
        <v>0</v>
      </c>
      <c r="AC1385" s="172">
        <v>0</v>
      </c>
      <c r="AD1385" s="172">
        <v>1</v>
      </c>
      <c r="AE1385" s="172">
        <v>0</v>
      </c>
      <c r="AF1385" s="172">
        <v>60</v>
      </c>
      <c r="AG1385" s="172">
        <v>1</v>
      </c>
      <c r="AH1385" s="172">
        <v>10</v>
      </c>
      <c r="AI1385" s="175">
        <v>0</v>
      </c>
      <c r="AJ1385" s="175">
        <v>0</v>
      </c>
      <c r="AK1385" s="175">
        <v>0</v>
      </c>
      <c r="AL1385" s="175">
        <v>0</v>
      </c>
      <c r="AM1385" s="172">
        <v>0</v>
      </c>
      <c r="AN1385" s="172">
        <v>0</v>
      </c>
      <c r="AO1385" s="172">
        <v>0</v>
      </c>
      <c r="AP1385" s="172">
        <v>0</v>
      </c>
      <c r="AQ1385" s="172">
        <v>50000</v>
      </c>
      <c r="AR1385" s="172">
        <v>0</v>
      </c>
      <c r="AS1385" s="172">
        <v>0</v>
      </c>
      <c r="AT1385" s="175">
        <v>90503009</v>
      </c>
      <c r="AU1385" s="175">
        <v>90503009</v>
      </c>
      <c r="AV1385" s="172"/>
      <c r="AW1385" s="173" t="s">
        <v>198</v>
      </c>
      <c r="AX1385" s="172">
        <v>0</v>
      </c>
      <c r="AY1385" s="176">
        <v>0</v>
      </c>
      <c r="AZ1385" s="176">
        <v>0</v>
      </c>
      <c r="BA1385" s="173" t="s">
        <v>2849</v>
      </c>
      <c r="BB1385" s="172">
        <v>0</v>
      </c>
      <c r="BC1385" s="174">
        <v>0</v>
      </c>
      <c r="BD1385" s="174">
        <v>0</v>
      </c>
      <c r="BE1385" s="206" t="s">
        <v>3022</v>
      </c>
      <c r="BF1385" s="206" t="s">
        <v>3023</v>
      </c>
      <c r="BG1385" s="172">
        <v>0</v>
      </c>
      <c r="BH1385" s="172">
        <v>0</v>
      </c>
      <c r="BI1385" s="172">
        <v>0</v>
      </c>
      <c r="BJ1385" s="172">
        <v>0</v>
      </c>
      <c r="BK1385" s="172">
        <v>0</v>
      </c>
      <c r="BL1385" s="172">
        <v>0</v>
      </c>
      <c r="BM1385" s="178">
        <v>0</v>
      </c>
      <c r="BN1385" s="175">
        <v>1</v>
      </c>
      <c r="BO1385" s="175">
        <v>0</v>
      </c>
      <c r="BP1385" s="175">
        <v>0</v>
      </c>
      <c r="BQ1385" s="175">
        <v>0</v>
      </c>
      <c r="BR1385" s="175">
        <v>0</v>
      </c>
      <c r="BS1385" s="175">
        <v>0</v>
      </c>
      <c r="BT1385" s="12">
        <v>0</v>
      </c>
      <c r="BU1385" s="47">
        <v>0</v>
      </c>
      <c r="BV1385" s="47"/>
      <c r="BW1385" s="47"/>
    </row>
    <row r="1386" spans="1:75" s="1" customFormat="1" ht="20.100000000000001" customHeight="1">
      <c r="A1386" s="215"/>
      <c r="B1386" s="215"/>
      <c r="C1386" s="64">
        <v>63304001</v>
      </c>
      <c r="D1386" s="59" t="s">
        <v>3051</v>
      </c>
      <c r="E1386" s="147" t="s">
        <v>3052</v>
      </c>
      <c r="F1386" s="93">
        <v>1</v>
      </c>
      <c r="G1386" s="60">
        <v>0</v>
      </c>
      <c r="H1386" s="64">
        <v>0</v>
      </c>
      <c r="I1386" s="66">
        <v>0</v>
      </c>
      <c r="J1386" s="64">
        <v>1</v>
      </c>
      <c r="K1386" s="60">
        <v>0</v>
      </c>
      <c r="L1386" s="64">
        <v>0</v>
      </c>
      <c r="M1386" s="60">
        <v>0</v>
      </c>
      <c r="N1386" s="60">
        <v>0</v>
      </c>
      <c r="O1386" s="60">
        <v>2</v>
      </c>
      <c r="P1386" s="60">
        <v>1</v>
      </c>
      <c r="Q1386" s="60">
        <v>0.3</v>
      </c>
      <c r="R1386" s="60">
        <v>0</v>
      </c>
      <c r="S1386" s="68">
        <v>0</v>
      </c>
      <c r="T1386" s="60">
        <v>0</v>
      </c>
      <c r="U1386" s="60">
        <v>1</v>
      </c>
      <c r="V1386" s="60">
        <v>1</v>
      </c>
      <c r="W1386" s="60">
        <v>0</v>
      </c>
      <c r="X1386" s="60">
        <v>0</v>
      </c>
      <c r="Y1386" s="12">
        <v>0</v>
      </c>
      <c r="Z1386" s="60">
        <v>0</v>
      </c>
      <c r="AA1386" s="60">
        <v>0</v>
      </c>
      <c r="AB1386" s="60">
        <v>0</v>
      </c>
      <c r="AC1386" s="60">
        <v>0</v>
      </c>
      <c r="AD1386" s="60">
        <v>0</v>
      </c>
      <c r="AE1386" s="60">
        <v>0</v>
      </c>
      <c r="AF1386" s="60">
        <v>0</v>
      </c>
      <c r="AG1386" s="60">
        <v>0</v>
      </c>
      <c r="AH1386" s="60">
        <v>0</v>
      </c>
      <c r="AI1386" s="68">
        <v>0</v>
      </c>
      <c r="AJ1386" s="68">
        <v>0</v>
      </c>
      <c r="AK1386" s="68">
        <v>0</v>
      </c>
      <c r="AL1386" s="68">
        <v>1.5</v>
      </c>
      <c r="AM1386" s="60">
        <v>0</v>
      </c>
      <c r="AN1386" s="60">
        <v>0</v>
      </c>
      <c r="AO1386" s="60">
        <v>0</v>
      </c>
      <c r="AP1386" s="64">
        <v>0</v>
      </c>
      <c r="AQ1386" s="60">
        <v>1000</v>
      </c>
      <c r="AR1386" s="60">
        <v>0</v>
      </c>
      <c r="AS1386" s="60">
        <v>0</v>
      </c>
      <c r="AT1386" s="68">
        <v>95201001</v>
      </c>
      <c r="AU1386" s="60">
        <v>0</v>
      </c>
      <c r="AV1386" s="60"/>
      <c r="AW1386" s="59" t="s">
        <v>198</v>
      </c>
      <c r="AX1386" s="60" t="s">
        <v>545</v>
      </c>
      <c r="AY1386" s="64">
        <v>0</v>
      </c>
      <c r="AZ1386" s="64">
        <v>0</v>
      </c>
      <c r="BA1386" s="59" t="s">
        <v>200</v>
      </c>
      <c r="BB1386" s="60">
        <v>0</v>
      </c>
      <c r="BC1386" s="66">
        <v>0</v>
      </c>
      <c r="BD1386" s="66">
        <v>0</v>
      </c>
      <c r="BE1386" s="90" t="s">
        <v>3053</v>
      </c>
      <c r="BF1386" s="90" t="s">
        <v>3054</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20.100000000000001" customHeight="1">
      <c r="A1387" s="215"/>
      <c r="B1387" s="215"/>
      <c r="C1387" s="64">
        <v>63304002</v>
      </c>
      <c r="D1387" s="59" t="s">
        <v>3055</v>
      </c>
      <c r="E1387" s="147" t="s">
        <v>3056</v>
      </c>
      <c r="F1387" s="93">
        <v>1</v>
      </c>
      <c r="G1387" s="60">
        <v>0</v>
      </c>
      <c r="H1387" s="64">
        <v>0</v>
      </c>
      <c r="I1387" s="66">
        <v>0</v>
      </c>
      <c r="J1387" s="64">
        <v>1</v>
      </c>
      <c r="K1387" s="60">
        <v>0</v>
      </c>
      <c r="L1387" s="64">
        <v>0</v>
      </c>
      <c r="M1387" s="60">
        <v>0</v>
      </c>
      <c r="N1387" s="60">
        <v>0</v>
      </c>
      <c r="O1387" s="60">
        <v>2</v>
      </c>
      <c r="P1387" s="60">
        <v>16</v>
      </c>
      <c r="Q1387" s="60">
        <v>5</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7</v>
      </c>
      <c r="AJ1387" s="68">
        <v>1</v>
      </c>
      <c r="AK1387" s="68">
        <v>0</v>
      </c>
      <c r="AL1387" s="68">
        <v>1.5</v>
      </c>
      <c r="AM1387" s="60">
        <v>0</v>
      </c>
      <c r="AN1387" s="60">
        <v>0</v>
      </c>
      <c r="AO1387" s="60">
        <v>0</v>
      </c>
      <c r="AP1387" s="64">
        <v>0</v>
      </c>
      <c r="AQ1387" s="60">
        <v>1000</v>
      </c>
      <c r="AR1387" s="60">
        <v>0</v>
      </c>
      <c r="AS1387" s="60">
        <v>0</v>
      </c>
      <c r="AT1387" s="68">
        <v>0</v>
      </c>
      <c r="AU1387" s="60">
        <v>95201002</v>
      </c>
      <c r="AV1387" s="60"/>
      <c r="AW1387" s="59" t="s">
        <v>198</v>
      </c>
      <c r="AX1387" s="60" t="s">
        <v>545</v>
      </c>
      <c r="AY1387" s="64">
        <v>0</v>
      </c>
      <c r="AZ1387" s="64">
        <v>0</v>
      </c>
      <c r="BA1387" s="59" t="s">
        <v>200</v>
      </c>
      <c r="BB1387" s="60">
        <v>0</v>
      </c>
      <c r="BC1387" s="66">
        <v>0</v>
      </c>
      <c r="BD1387" s="66">
        <v>0</v>
      </c>
      <c r="BE1387" s="90" t="s">
        <v>3057</v>
      </c>
      <c r="BF1387" s="90" t="s">
        <v>3058</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s="1" customFormat="1" ht="19.5" customHeight="1">
      <c r="C1388" s="64">
        <v>63304003</v>
      </c>
      <c r="D1388" s="59" t="s">
        <v>731</v>
      </c>
      <c r="E1388" s="59" t="s">
        <v>674</v>
      </c>
      <c r="F1388" s="64">
        <v>1</v>
      </c>
      <c r="G1388" s="64">
        <v>0</v>
      </c>
      <c r="H1388" s="64">
        <v>0</v>
      </c>
      <c r="I1388" s="66">
        <v>0</v>
      </c>
      <c r="J1388" s="64">
        <v>1</v>
      </c>
      <c r="K1388" s="64">
        <v>0</v>
      </c>
      <c r="L1388" s="64">
        <v>0</v>
      </c>
      <c r="M1388" s="60">
        <v>0</v>
      </c>
      <c r="N1388" s="60">
        <v>0</v>
      </c>
      <c r="O1388" s="60">
        <v>2</v>
      </c>
      <c r="P1388" s="60">
        <v>3</v>
      </c>
      <c r="Q1388" s="60">
        <v>0.3</v>
      </c>
      <c r="R1388" s="60">
        <v>0</v>
      </c>
      <c r="S1388" s="68">
        <v>1</v>
      </c>
      <c r="T1388" s="60">
        <v>0</v>
      </c>
      <c r="U1388" s="60">
        <v>1</v>
      </c>
      <c r="V1388" s="60">
        <v>2</v>
      </c>
      <c r="W1388" s="60">
        <v>0</v>
      </c>
      <c r="X1388" s="60">
        <v>1.2</v>
      </c>
      <c r="Y1388" s="12">
        <v>0</v>
      </c>
      <c r="Z1388" s="60">
        <v>0</v>
      </c>
      <c r="AA1388" s="60">
        <v>1</v>
      </c>
      <c r="AB1388" s="60">
        <v>0</v>
      </c>
      <c r="AC1388" s="60">
        <v>0</v>
      </c>
      <c r="AD1388" s="60">
        <v>1</v>
      </c>
      <c r="AE1388" s="60">
        <v>1</v>
      </c>
      <c r="AF1388" s="60">
        <v>4</v>
      </c>
      <c r="AG1388" s="60">
        <v>1</v>
      </c>
      <c r="AH1388" s="60">
        <v>3</v>
      </c>
      <c r="AI1388" s="68">
        <v>0</v>
      </c>
      <c r="AJ1388" s="68">
        <v>1</v>
      </c>
      <c r="AK1388" s="68">
        <v>0</v>
      </c>
      <c r="AL1388" s="68">
        <v>3</v>
      </c>
      <c r="AM1388" s="60">
        <v>0</v>
      </c>
      <c r="AN1388" s="60">
        <v>0</v>
      </c>
      <c r="AO1388" s="60">
        <v>0</v>
      </c>
      <c r="AP1388" s="60">
        <v>0</v>
      </c>
      <c r="AQ1388" s="60">
        <v>500</v>
      </c>
      <c r="AR1388" s="60">
        <v>0.3</v>
      </c>
      <c r="AS1388" s="60">
        <v>0</v>
      </c>
      <c r="AT1388" s="68">
        <v>0</v>
      </c>
      <c r="AU1388" s="334" t="s">
        <v>3059</v>
      </c>
      <c r="AV1388" s="79"/>
      <c r="AW1388" s="63" t="s">
        <v>198</v>
      </c>
      <c r="AX1388" s="60" t="s">
        <v>534</v>
      </c>
      <c r="AY1388" s="64">
        <v>0</v>
      </c>
      <c r="AZ1388" s="64">
        <v>77005401</v>
      </c>
      <c r="BA1388" s="59" t="s">
        <v>200</v>
      </c>
      <c r="BB1388" s="60">
        <v>0</v>
      </c>
      <c r="BC1388" s="66">
        <v>0</v>
      </c>
      <c r="BD1388" s="66">
        <v>0</v>
      </c>
      <c r="BE1388" s="90" t="s">
        <v>3060</v>
      </c>
      <c r="BF1388" s="90" t="s">
        <v>3061</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row>
    <row r="1389" spans="1:75" s="1" customFormat="1" ht="19.5" customHeight="1">
      <c r="C1389" s="64">
        <v>63304004</v>
      </c>
      <c r="D1389" s="59" t="s">
        <v>3062</v>
      </c>
      <c r="E1389" s="59" t="s">
        <v>3063</v>
      </c>
      <c r="F1389" s="64">
        <v>1</v>
      </c>
      <c r="G1389" s="64">
        <v>0</v>
      </c>
      <c r="H1389" s="64">
        <v>0</v>
      </c>
      <c r="I1389" s="66">
        <v>0</v>
      </c>
      <c r="J1389" s="64">
        <v>1</v>
      </c>
      <c r="K1389" s="64">
        <v>0</v>
      </c>
      <c r="L1389" s="64">
        <v>0</v>
      </c>
      <c r="M1389" s="60">
        <v>0</v>
      </c>
      <c r="N1389" s="60">
        <v>0</v>
      </c>
      <c r="O1389" s="60">
        <v>2</v>
      </c>
      <c r="P1389" s="60">
        <v>3</v>
      </c>
      <c r="Q1389" s="60">
        <v>1</v>
      </c>
      <c r="R1389" s="60">
        <v>1</v>
      </c>
      <c r="S1389" s="68">
        <v>1</v>
      </c>
      <c r="T1389" s="60">
        <v>0</v>
      </c>
      <c r="U1389" s="60">
        <v>1</v>
      </c>
      <c r="V1389" s="60">
        <v>2</v>
      </c>
      <c r="W1389" s="60">
        <v>0</v>
      </c>
      <c r="X1389" s="60">
        <v>0</v>
      </c>
      <c r="Y1389" s="12">
        <v>0</v>
      </c>
      <c r="Z1389" s="60">
        <v>0</v>
      </c>
      <c r="AA1389" s="60">
        <v>1</v>
      </c>
      <c r="AB1389" s="60">
        <v>0</v>
      </c>
      <c r="AC1389" s="60">
        <v>0</v>
      </c>
      <c r="AD1389" s="60">
        <v>1</v>
      </c>
      <c r="AE1389" s="60">
        <v>1</v>
      </c>
      <c r="AF1389" s="60">
        <v>0</v>
      </c>
      <c r="AG1389" s="60">
        <v>1</v>
      </c>
      <c r="AH1389" s="60">
        <v>3</v>
      </c>
      <c r="AI1389" s="68">
        <v>0</v>
      </c>
      <c r="AJ1389" s="68">
        <v>1</v>
      </c>
      <c r="AK1389" s="68">
        <v>0</v>
      </c>
      <c r="AL1389" s="68">
        <v>3</v>
      </c>
      <c r="AM1389" s="60">
        <v>0</v>
      </c>
      <c r="AN1389" s="60">
        <v>0</v>
      </c>
      <c r="AO1389" s="60">
        <v>0</v>
      </c>
      <c r="AP1389" s="60">
        <v>0</v>
      </c>
      <c r="AQ1389" s="60">
        <v>500</v>
      </c>
      <c r="AR1389" s="60">
        <v>0</v>
      </c>
      <c r="AS1389" s="60">
        <v>0</v>
      </c>
      <c r="AT1389" s="68">
        <v>95201004</v>
      </c>
      <c r="AU1389" s="79">
        <v>0</v>
      </c>
      <c r="AV1389" s="79"/>
      <c r="AW1389" s="63" t="s">
        <v>198</v>
      </c>
      <c r="AX1389" s="60" t="s">
        <v>534</v>
      </c>
      <c r="AY1389" s="64">
        <v>0</v>
      </c>
      <c r="AZ1389" s="64">
        <v>0</v>
      </c>
      <c r="BA1389" s="59" t="s">
        <v>200</v>
      </c>
      <c r="BB1389" s="60">
        <v>0</v>
      </c>
      <c r="BC1389" s="66">
        <v>0</v>
      </c>
      <c r="BD1389" s="66">
        <v>0</v>
      </c>
      <c r="BE1389" s="90" t="s">
        <v>3064</v>
      </c>
      <c r="BF1389" s="90" t="s">
        <v>3065</v>
      </c>
      <c r="BG1389" s="60">
        <v>0</v>
      </c>
      <c r="BH1389" s="60">
        <v>0</v>
      </c>
      <c r="BI1389" s="60">
        <v>0</v>
      </c>
      <c r="BJ1389" s="60">
        <v>0</v>
      </c>
      <c r="BK1389" s="60">
        <v>0</v>
      </c>
      <c r="BL1389" s="60">
        <v>0</v>
      </c>
      <c r="BM1389" s="93">
        <v>0</v>
      </c>
      <c r="BN1389" s="68">
        <v>0</v>
      </c>
      <c r="BO1389" s="68">
        <v>0</v>
      </c>
      <c r="BP1389" s="68">
        <v>0</v>
      </c>
      <c r="BQ1389" s="68">
        <v>0</v>
      </c>
      <c r="BR1389" s="68">
        <v>0</v>
      </c>
      <c r="BS1389" s="68">
        <v>0</v>
      </c>
      <c r="BT1389" s="68">
        <v>0</v>
      </c>
      <c r="BU1389" s="68">
        <v>0</v>
      </c>
      <c r="BV1389" s="47"/>
      <c r="BW1389" s="47"/>
    </row>
    <row r="1390" spans="1:75" s="1" customFormat="1" ht="19.5" customHeight="1">
      <c r="C1390" s="64">
        <v>63304005</v>
      </c>
      <c r="D1390" s="59" t="s">
        <v>3066</v>
      </c>
      <c r="E1390" s="59" t="s">
        <v>3067</v>
      </c>
      <c r="F1390" s="64">
        <v>1</v>
      </c>
      <c r="G1390" s="64">
        <v>0</v>
      </c>
      <c r="H1390" s="64">
        <v>0</v>
      </c>
      <c r="I1390" s="66">
        <v>0</v>
      </c>
      <c r="J1390" s="64">
        <v>1</v>
      </c>
      <c r="K1390" s="64">
        <v>0</v>
      </c>
      <c r="L1390" s="64">
        <v>0</v>
      </c>
      <c r="M1390" s="60">
        <v>0</v>
      </c>
      <c r="N1390" s="60">
        <v>0</v>
      </c>
      <c r="O1390" s="60">
        <v>2</v>
      </c>
      <c r="P1390" s="60">
        <v>3</v>
      </c>
      <c r="Q1390" s="60">
        <v>1</v>
      </c>
      <c r="R1390" s="60">
        <v>1</v>
      </c>
      <c r="S1390" s="68">
        <v>1</v>
      </c>
      <c r="T1390" s="60">
        <v>0</v>
      </c>
      <c r="U1390" s="60">
        <v>1</v>
      </c>
      <c r="V1390" s="60">
        <v>2</v>
      </c>
      <c r="W1390" s="60">
        <v>0</v>
      </c>
      <c r="X1390" s="60">
        <v>0</v>
      </c>
      <c r="Y1390" s="12">
        <v>0</v>
      </c>
      <c r="Z1390" s="60">
        <v>0</v>
      </c>
      <c r="AA1390" s="60">
        <v>1</v>
      </c>
      <c r="AB1390" s="60">
        <v>0</v>
      </c>
      <c r="AC1390" s="60">
        <v>0</v>
      </c>
      <c r="AD1390" s="60">
        <v>1</v>
      </c>
      <c r="AE1390" s="60">
        <v>1</v>
      </c>
      <c r="AF1390" s="60">
        <v>0</v>
      </c>
      <c r="AG1390" s="60">
        <v>1</v>
      </c>
      <c r="AH1390" s="60">
        <v>3</v>
      </c>
      <c r="AI1390" s="68">
        <v>0</v>
      </c>
      <c r="AJ1390" s="68">
        <v>1</v>
      </c>
      <c r="AK1390" s="68">
        <v>0</v>
      </c>
      <c r="AL1390" s="68">
        <v>3</v>
      </c>
      <c r="AM1390" s="60">
        <v>0</v>
      </c>
      <c r="AN1390" s="60">
        <v>0</v>
      </c>
      <c r="AO1390" s="60">
        <v>0</v>
      </c>
      <c r="AP1390" s="60">
        <v>0</v>
      </c>
      <c r="AQ1390" s="60">
        <v>500</v>
      </c>
      <c r="AR1390" s="60">
        <v>0</v>
      </c>
      <c r="AS1390" s="60">
        <v>0</v>
      </c>
      <c r="AT1390" s="68">
        <v>95201005</v>
      </c>
      <c r="AU1390" s="79">
        <v>0</v>
      </c>
      <c r="AV1390" s="79"/>
      <c r="AW1390" s="63" t="s">
        <v>198</v>
      </c>
      <c r="AX1390" s="60" t="s">
        <v>534</v>
      </c>
      <c r="AY1390" s="64">
        <v>0</v>
      </c>
      <c r="AZ1390" s="64">
        <v>0</v>
      </c>
      <c r="BA1390" s="59" t="s">
        <v>200</v>
      </c>
      <c r="BB1390" s="60">
        <v>0</v>
      </c>
      <c r="BC1390" s="66">
        <v>0</v>
      </c>
      <c r="BD1390" s="66">
        <v>0</v>
      </c>
      <c r="BE1390" s="90" t="s">
        <v>3068</v>
      </c>
      <c r="BF1390" s="90" t="s">
        <v>3069</v>
      </c>
      <c r="BG1390" s="60">
        <v>0</v>
      </c>
      <c r="BH1390" s="60">
        <v>0</v>
      </c>
      <c r="BI1390" s="60">
        <v>0</v>
      </c>
      <c r="BJ1390" s="60">
        <v>0</v>
      </c>
      <c r="BK1390" s="60">
        <v>0</v>
      </c>
      <c r="BL1390" s="60">
        <v>0</v>
      </c>
      <c r="BM1390" s="93">
        <v>0</v>
      </c>
      <c r="BN1390" s="68">
        <v>0</v>
      </c>
      <c r="BO1390" s="68">
        <v>0</v>
      </c>
      <c r="BP1390" s="68">
        <v>0</v>
      </c>
      <c r="BQ1390" s="68">
        <v>0</v>
      </c>
      <c r="BR1390" s="68">
        <v>0</v>
      </c>
      <c r="BS1390" s="68">
        <v>0</v>
      </c>
      <c r="BT1390" s="68">
        <v>0</v>
      </c>
      <c r="BU1390" s="68">
        <v>0</v>
      </c>
      <c r="BV1390" s="47"/>
      <c r="BW1390" s="47"/>
    </row>
    <row r="1391" spans="1:75" s="1" customFormat="1" ht="20.100000000000001" customHeight="1">
      <c r="A1391" s="215"/>
      <c r="B1391" s="215"/>
      <c r="C1391" s="64">
        <v>63304006</v>
      </c>
      <c r="D1391" s="59" t="s">
        <v>3070</v>
      </c>
      <c r="E1391" s="147" t="s">
        <v>3071</v>
      </c>
      <c r="F1391" s="93">
        <v>1</v>
      </c>
      <c r="G1391" s="60">
        <v>0</v>
      </c>
      <c r="H1391" s="64">
        <v>0</v>
      </c>
      <c r="I1391" s="66">
        <v>0</v>
      </c>
      <c r="J1391" s="64">
        <v>1</v>
      </c>
      <c r="K1391" s="60">
        <v>0</v>
      </c>
      <c r="L1391" s="64">
        <v>0</v>
      </c>
      <c r="M1391" s="60">
        <v>0</v>
      </c>
      <c r="N1391" s="60">
        <v>0</v>
      </c>
      <c r="O1391" s="60">
        <v>2</v>
      </c>
      <c r="P1391" s="60">
        <v>1</v>
      </c>
      <c r="Q1391" s="60">
        <v>1</v>
      </c>
      <c r="R1391" s="60">
        <v>0</v>
      </c>
      <c r="S1391" s="68">
        <v>0</v>
      </c>
      <c r="T1391" s="60">
        <v>0</v>
      </c>
      <c r="U1391" s="60">
        <v>1</v>
      </c>
      <c r="V1391" s="60">
        <v>1</v>
      </c>
      <c r="W1391" s="60">
        <v>0</v>
      </c>
      <c r="X1391" s="60">
        <v>0</v>
      </c>
      <c r="Y1391" s="12">
        <v>0</v>
      </c>
      <c r="Z1391" s="60">
        <v>0</v>
      </c>
      <c r="AA1391" s="60">
        <v>0</v>
      </c>
      <c r="AB1391" s="60">
        <v>0</v>
      </c>
      <c r="AC1391" s="60">
        <v>0</v>
      </c>
      <c r="AD1391" s="60">
        <v>0</v>
      </c>
      <c r="AE1391" s="60">
        <v>0</v>
      </c>
      <c r="AF1391" s="60">
        <v>0</v>
      </c>
      <c r="AG1391" s="60">
        <v>1</v>
      </c>
      <c r="AH1391" s="60">
        <v>1</v>
      </c>
      <c r="AI1391" s="68">
        <v>0</v>
      </c>
      <c r="AJ1391" s="68">
        <v>1</v>
      </c>
      <c r="AK1391" s="68">
        <v>0</v>
      </c>
      <c r="AL1391" s="68">
        <v>1.5</v>
      </c>
      <c r="AM1391" s="60">
        <v>0</v>
      </c>
      <c r="AN1391" s="60">
        <v>0</v>
      </c>
      <c r="AO1391" s="60">
        <v>0</v>
      </c>
      <c r="AP1391" s="64">
        <v>0</v>
      </c>
      <c r="AQ1391" s="60">
        <v>500</v>
      </c>
      <c r="AR1391" s="60">
        <v>0</v>
      </c>
      <c r="AS1391" s="60">
        <v>0</v>
      </c>
      <c r="AT1391" s="342" t="s">
        <v>3072</v>
      </c>
      <c r="AU1391" s="60">
        <v>0</v>
      </c>
      <c r="AV1391" s="60"/>
      <c r="AW1391" s="59" t="s">
        <v>198</v>
      </c>
      <c r="AX1391" s="60" t="s">
        <v>545</v>
      </c>
      <c r="AY1391" s="64">
        <v>0</v>
      </c>
      <c r="AZ1391" s="64">
        <v>0</v>
      </c>
      <c r="BA1391" s="59" t="s">
        <v>200</v>
      </c>
      <c r="BB1391" s="60">
        <v>0</v>
      </c>
      <c r="BC1391" s="66">
        <v>0</v>
      </c>
      <c r="BD1391" s="66">
        <v>0</v>
      </c>
      <c r="BE1391" s="90" t="s">
        <v>3057</v>
      </c>
      <c r="BF1391" s="90" t="s">
        <v>3058</v>
      </c>
      <c r="BG1391" s="60">
        <v>0</v>
      </c>
      <c r="BH1391" s="60">
        <v>0</v>
      </c>
      <c r="BI1391" s="60">
        <v>0</v>
      </c>
      <c r="BJ1391" s="60">
        <v>0</v>
      </c>
      <c r="BK1391" s="60">
        <v>0</v>
      </c>
      <c r="BL1391" s="60">
        <v>0</v>
      </c>
      <c r="BM1391" s="93">
        <v>0</v>
      </c>
      <c r="BN1391" s="68">
        <v>0</v>
      </c>
      <c r="BO1391" s="68">
        <v>0</v>
      </c>
      <c r="BP1391" s="68">
        <v>0</v>
      </c>
      <c r="BQ1391" s="68">
        <v>0</v>
      </c>
      <c r="BR1391" s="68">
        <v>0</v>
      </c>
      <c r="BS1391" s="68">
        <v>0</v>
      </c>
      <c r="BT1391" s="68">
        <v>0</v>
      </c>
      <c r="BU1391" s="68">
        <v>0</v>
      </c>
      <c r="BV1391" s="47"/>
      <c r="BW1391" s="47"/>
    </row>
    <row r="1392" spans="1:75" ht="20.100000000000001" customHeight="1">
      <c r="C1392" s="16">
        <v>63401001</v>
      </c>
      <c r="D1392" s="17" t="s">
        <v>3073</v>
      </c>
      <c r="E1392" s="17"/>
      <c r="F1392" s="16">
        <v>1</v>
      </c>
      <c r="G1392" s="16">
        <v>63401001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350" t="s">
        <v>3074</v>
      </c>
      <c r="AV1392" s="16"/>
      <c r="AW1392" s="17" t="s">
        <v>198</v>
      </c>
      <c r="AX1392" s="16">
        <v>0</v>
      </c>
      <c r="AY1392" s="18">
        <v>0</v>
      </c>
      <c r="AZ1392" s="18">
        <v>0</v>
      </c>
      <c r="BA1392" s="17" t="s">
        <v>2849</v>
      </c>
      <c r="BB1392" s="16">
        <v>0</v>
      </c>
      <c r="BC1392" s="27">
        <v>0</v>
      </c>
      <c r="BD1392" s="27">
        <v>0</v>
      </c>
      <c r="BE1392" s="44" t="s">
        <v>3075</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spans="3:75" ht="20.100000000000001" customHeight="1">
      <c r="C1393" s="16">
        <v>63401002</v>
      </c>
      <c r="D1393" s="17" t="s">
        <v>2893</v>
      </c>
      <c r="E1393" s="17"/>
      <c r="F1393" s="16">
        <v>1</v>
      </c>
      <c r="G1393" s="16">
        <v>1000002</v>
      </c>
      <c r="H1393" s="16">
        <v>0</v>
      </c>
      <c r="I1393" s="27">
        <v>0</v>
      </c>
      <c r="J1393" s="18">
        <v>1</v>
      </c>
      <c r="K1393" s="18">
        <v>0</v>
      </c>
      <c r="L1393" s="16">
        <v>0</v>
      </c>
      <c r="M1393" s="16">
        <v>0</v>
      </c>
      <c r="N1393" s="16">
        <v>0</v>
      </c>
      <c r="O1393" s="16">
        <v>8</v>
      </c>
      <c r="P1393" s="16">
        <v>8</v>
      </c>
      <c r="Q1393" s="16">
        <v>2</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t="s">
        <v>2894</v>
      </c>
      <c r="BC1393" s="27">
        <v>0</v>
      </c>
      <c r="BD1393" s="27">
        <v>0</v>
      </c>
      <c r="BE1393" s="44" t="s">
        <v>2895</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6">
        <v>63401003</v>
      </c>
      <c r="D1394" s="17" t="s">
        <v>2889</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2891</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63401004</v>
      </c>
      <c r="D1395" s="236" t="s">
        <v>2861</v>
      </c>
      <c r="E1395" s="236"/>
      <c r="F1395" s="180">
        <v>1</v>
      </c>
      <c r="G1395" s="16">
        <v>63401004</v>
      </c>
      <c r="H1395" s="180">
        <v>0</v>
      </c>
      <c r="I1395" s="180">
        <v>0</v>
      </c>
      <c r="J1395" s="18">
        <v>1</v>
      </c>
      <c r="K1395" s="18">
        <v>0</v>
      </c>
      <c r="L1395" s="16">
        <v>0</v>
      </c>
      <c r="M1395" s="180">
        <v>0</v>
      </c>
      <c r="N1395" s="180">
        <v>0</v>
      </c>
      <c r="O1395" s="180">
        <v>2</v>
      </c>
      <c r="P1395" s="180">
        <v>21</v>
      </c>
      <c r="Q1395" s="180">
        <v>0.05</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7</v>
      </c>
      <c r="AJ1395" s="180">
        <v>0</v>
      </c>
      <c r="AK1395" s="12">
        <v>0</v>
      </c>
      <c r="AL1395" s="180">
        <v>2</v>
      </c>
      <c r="AM1395" s="180">
        <v>0</v>
      </c>
      <c r="AN1395" s="180">
        <v>0</v>
      </c>
      <c r="AO1395" s="180">
        <v>0</v>
      </c>
      <c r="AP1395" s="16">
        <v>0</v>
      </c>
      <c r="AQ1395" s="180">
        <v>10000</v>
      </c>
      <c r="AR1395" s="180">
        <v>0.5</v>
      </c>
      <c r="AS1395" s="180">
        <v>0</v>
      </c>
      <c r="AT1395" s="180">
        <v>0</v>
      </c>
      <c r="AU1395" s="180">
        <v>92041060</v>
      </c>
      <c r="AV1395" s="180"/>
      <c r="AW1395" s="236"/>
      <c r="AX1395" s="180">
        <v>0</v>
      </c>
      <c r="AY1395" s="180">
        <v>0</v>
      </c>
      <c r="AZ1395" s="180">
        <v>0</v>
      </c>
      <c r="BA1395" s="236" t="s">
        <v>200</v>
      </c>
      <c r="BB1395" s="236" t="s">
        <v>198</v>
      </c>
      <c r="BC1395" s="180">
        <v>0</v>
      </c>
      <c r="BD1395" s="180">
        <v>0</v>
      </c>
      <c r="BE1395" s="244" t="s">
        <v>3076</v>
      </c>
      <c r="BF1395" s="244"/>
      <c r="BG1395" s="180">
        <v>0</v>
      </c>
      <c r="BH1395" s="16">
        <v>0</v>
      </c>
      <c r="BI1395" s="180">
        <v>0</v>
      </c>
      <c r="BJ1395" s="180">
        <v>0</v>
      </c>
      <c r="BK1395" s="180">
        <v>0</v>
      </c>
      <c r="BL1395" s="180">
        <v>0</v>
      </c>
      <c r="BM1395" s="249">
        <v>0</v>
      </c>
      <c r="BN1395" s="12">
        <v>0</v>
      </c>
      <c r="BO1395" s="12">
        <v>0</v>
      </c>
      <c r="BP1395" s="12">
        <v>0</v>
      </c>
      <c r="BQ1395" s="12">
        <v>0</v>
      </c>
      <c r="BR1395" s="12">
        <v>0</v>
      </c>
      <c r="BS1395" s="12">
        <v>0</v>
      </c>
      <c r="BT1395" s="12">
        <v>0</v>
      </c>
      <c r="BU1395" s="250">
        <v>0</v>
      </c>
      <c r="BV1395" s="250"/>
      <c r="BW1395" s="250"/>
    </row>
    <row r="1396" spans="3:75" ht="20.100000000000001" customHeight="1">
      <c r="C1396" s="16">
        <v>63402001</v>
      </c>
      <c r="D1396" s="17" t="s">
        <v>2922</v>
      </c>
      <c r="E1396" s="17"/>
      <c r="F1396" s="16">
        <v>1</v>
      </c>
      <c r="G1396" s="16">
        <v>63402001</v>
      </c>
      <c r="H1396" s="16">
        <v>0</v>
      </c>
      <c r="I1396" s="27">
        <v>0</v>
      </c>
      <c r="J1396" s="18">
        <v>1</v>
      </c>
      <c r="K1396" s="18">
        <v>0</v>
      </c>
      <c r="L1396" s="16">
        <v>0</v>
      </c>
      <c r="M1396" s="16">
        <v>0</v>
      </c>
      <c r="N1396" s="16">
        <v>0</v>
      </c>
      <c r="O1396" s="16">
        <v>2</v>
      </c>
      <c r="P1396" s="16">
        <v>12</v>
      </c>
      <c r="Q1396" s="16">
        <v>1</v>
      </c>
      <c r="R1396" s="16">
        <v>0</v>
      </c>
      <c r="S1396" s="12">
        <v>0</v>
      </c>
      <c r="T1396" s="16">
        <v>0</v>
      </c>
      <c r="U1396" s="16">
        <v>1</v>
      </c>
      <c r="V1396" s="16">
        <v>2</v>
      </c>
      <c r="W1396" s="16">
        <v>0</v>
      </c>
      <c r="X1396" s="18">
        <v>0</v>
      </c>
      <c r="Y1396" s="12">
        <v>0</v>
      </c>
      <c r="Z1396" s="18">
        <v>0</v>
      </c>
      <c r="AA1396" s="16">
        <v>0</v>
      </c>
      <c r="AB1396" s="16">
        <v>0</v>
      </c>
      <c r="AC1396" s="16">
        <v>0</v>
      </c>
      <c r="AD1396" s="16">
        <v>1</v>
      </c>
      <c r="AE1396" s="16">
        <v>0</v>
      </c>
      <c r="AF1396" s="16">
        <v>60</v>
      </c>
      <c r="AG1396" s="16">
        <v>1</v>
      </c>
      <c r="AH1396" s="16">
        <v>10</v>
      </c>
      <c r="AI1396" s="12">
        <v>0</v>
      </c>
      <c r="AJ1396" s="12">
        <v>0</v>
      </c>
      <c r="AK1396" s="12">
        <v>0</v>
      </c>
      <c r="AL1396" s="12">
        <v>0</v>
      </c>
      <c r="AM1396" s="16">
        <v>0</v>
      </c>
      <c r="AN1396" s="16">
        <v>0</v>
      </c>
      <c r="AO1396" s="16">
        <v>0</v>
      </c>
      <c r="AP1396" s="16">
        <v>0</v>
      </c>
      <c r="AQ1396" s="16">
        <v>50000</v>
      </c>
      <c r="AR1396" s="16">
        <v>0</v>
      </c>
      <c r="AS1396" s="16">
        <v>0</v>
      </c>
      <c r="AT1396" s="12">
        <v>0</v>
      </c>
      <c r="AU1396" s="16">
        <v>90503231</v>
      </c>
      <c r="AV1396" s="16"/>
      <c r="AW1396" s="17" t="s">
        <v>198</v>
      </c>
      <c r="AX1396" s="16">
        <v>0</v>
      </c>
      <c r="AY1396" s="18">
        <v>0</v>
      </c>
      <c r="AZ1396" s="18">
        <v>0</v>
      </c>
      <c r="BA1396" s="17" t="s">
        <v>2849</v>
      </c>
      <c r="BB1396" s="16">
        <v>0</v>
      </c>
      <c r="BC1396" s="27">
        <v>0</v>
      </c>
      <c r="BD1396" s="27">
        <v>0</v>
      </c>
      <c r="BE1396" s="44" t="s">
        <v>2924</v>
      </c>
      <c r="BF1396" s="44"/>
      <c r="BG1396" s="16">
        <v>0</v>
      </c>
      <c r="BH1396" s="16">
        <v>0</v>
      </c>
      <c r="BI1396" s="16">
        <v>0</v>
      </c>
      <c r="BJ1396" s="16">
        <v>0</v>
      </c>
      <c r="BK1396" s="16">
        <v>0</v>
      </c>
      <c r="BL1396" s="16">
        <v>0</v>
      </c>
      <c r="BM1396" s="15">
        <v>0</v>
      </c>
      <c r="BN1396" s="12">
        <v>1</v>
      </c>
      <c r="BO1396" s="12">
        <v>0</v>
      </c>
      <c r="BP1396" s="12">
        <v>0</v>
      </c>
      <c r="BQ1396" s="12">
        <v>0</v>
      </c>
      <c r="BR1396" s="12">
        <v>0</v>
      </c>
      <c r="BS1396" s="12">
        <v>0</v>
      </c>
      <c r="BT1396" s="12">
        <v>0</v>
      </c>
      <c r="BU1396" s="47">
        <v>0</v>
      </c>
      <c r="BV1396" s="47"/>
      <c r="BW1396" s="47"/>
    </row>
    <row r="1397" spans="3:75" ht="20.100000000000001" customHeight="1">
      <c r="C1397" s="16">
        <v>63402002</v>
      </c>
      <c r="D1397" s="17" t="s">
        <v>2857</v>
      </c>
      <c r="E1397" s="17"/>
      <c r="F1397" s="16">
        <v>1</v>
      </c>
      <c r="G1397" s="16">
        <v>63002002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2859</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6">
        <v>63402003</v>
      </c>
      <c r="D1398" s="17" t="s">
        <v>2893</v>
      </c>
      <c r="E1398" s="17"/>
      <c r="F1398" s="16">
        <v>1</v>
      </c>
      <c r="G1398" s="16">
        <v>1000002</v>
      </c>
      <c r="H1398" s="16">
        <v>0</v>
      </c>
      <c r="I1398" s="27">
        <v>0</v>
      </c>
      <c r="J1398" s="18">
        <v>1</v>
      </c>
      <c r="K1398" s="18">
        <v>0</v>
      </c>
      <c r="L1398" s="16">
        <v>0</v>
      </c>
      <c r="M1398" s="16">
        <v>0</v>
      </c>
      <c r="N1398" s="16">
        <v>0</v>
      </c>
      <c r="O1398" s="16">
        <v>8</v>
      </c>
      <c r="P1398" s="16">
        <v>8</v>
      </c>
      <c r="Q1398" s="16">
        <v>2</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198</v>
      </c>
      <c r="AI1398" s="12">
        <v>0</v>
      </c>
      <c r="AJ1398" s="12">
        <v>0</v>
      </c>
      <c r="AK1398" s="12">
        <v>0</v>
      </c>
      <c r="AL1398" s="12">
        <v>0</v>
      </c>
      <c r="AM1398" s="16">
        <v>0</v>
      </c>
      <c r="AN1398" s="16">
        <v>0</v>
      </c>
      <c r="AO1398" s="16">
        <v>0</v>
      </c>
      <c r="AP1398" s="16">
        <v>0</v>
      </c>
      <c r="AQ1398" s="16">
        <v>0</v>
      </c>
      <c r="AR1398" s="16">
        <v>0</v>
      </c>
      <c r="AS1398" s="16">
        <v>0</v>
      </c>
      <c r="AT1398" s="12">
        <v>0</v>
      </c>
      <c r="AU1398" s="16" t="s">
        <v>198</v>
      </c>
      <c r="AV1398" s="16"/>
      <c r="AW1398" s="17" t="s">
        <v>198</v>
      </c>
      <c r="AX1398" s="16">
        <v>0</v>
      </c>
      <c r="AY1398" s="18">
        <v>0</v>
      </c>
      <c r="AZ1398" s="18">
        <v>0</v>
      </c>
      <c r="BA1398" s="17" t="s">
        <v>198</v>
      </c>
      <c r="BB1398" s="16" t="s">
        <v>2894</v>
      </c>
      <c r="BC1398" s="27">
        <v>0</v>
      </c>
      <c r="BD1398" s="27">
        <v>0</v>
      </c>
      <c r="BE1398" s="44" t="s">
        <v>2895</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6">
        <v>63402004</v>
      </c>
      <c r="D1399" s="236" t="s">
        <v>2861</v>
      </c>
      <c r="E1399" s="17" t="s">
        <v>2940</v>
      </c>
      <c r="F1399" s="16">
        <v>1</v>
      </c>
      <c r="G1399" s="16">
        <v>63402004</v>
      </c>
      <c r="H1399" s="16">
        <v>0</v>
      </c>
      <c r="I1399" s="27">
        <v>0</v>
      </c>
      <c r="J1399" s="18">
        <v>1</v>
      </c>
      <c r="K1399" s="18">
        <v>0</v>
      </c>
      <c r="L1399" s="16">
        <v>0</v>
      </c>
      <c r="M1399" s="16">
        <v>0</v>
      </c>
      <c r="N1399" s="16">
        <v>0</v>
      </c>
      <c r="O1399" s="16">
        <v>8</v>
      </c>
      <c r="P1399" s="16">
        <v>0</v>
      </c>
      <c r="Q1399" s="16">
        <v>0</v>
      </c>
      <c r="R1399" s="16">
        <v>0</v>
      </c>
      <c r="S1399" s="12">
        <v>0</v>
      </c>
      <c r="T1399" s="16">
        <v>0</v>
      </c>
      <c r="U1399" s="16">
        <v>1</v>
      </c>
      <c r="V1399" s="16">
        <v>0</v>
      </c>
      <c r="W1399" s="16">
        <v>0</v>
      </c>
      <c r="X1399" s="18">
        <v>0</v>
      </c>
      <c r="Y1399" s="12">
        <v>0</v>
      </c>
      <c r="Z1399" s="18">
        <v>0</v>
      </c>
      <c r="AA1399" s="16">
        <v>0</v>
      </c>
      <c r="AB1399" s="16">
        <v>0</v>
      </c>
      <c r="AC1399" s="16">
        <v>0</v>
      </c>
      <c r="AD1399" s="16">
        <v>1</v>
      </c>
      <c r="AE1399" s="16">
        <v>0</v>
      </c>
      <c r="AF1399" s="16">
        <v>0</v>
      </c>
      <c r="AG1399" s="16">
        <v>0</v>
      </c>
      <c r="AH1399" s="16" t="s">
        <v>198</v>
      </c>
      <c r="AI1399" s="12">
        <v>0</v>
      </c>
      <c r="AJ1399" s="12">
        <v>0</v>
      </c>
      <c r="AK1399" s="12">
        <v>0</v>
      </c>
      <c r="AL1399" s="12">
        <v>0</v>
      </c>
      <c r="AM1399" s="16">
        <v>0</v>
      </c>
      <c r="AN1399" s="16">
        <v>0</v>
      </c>
      <c r="AO1399" s="16">
        <v>0</v>
      </c>
      <c r="AP1399" s="16">
        <v>0</v>
      </c>
      <c r="AQ1399" s="16">
        <v>0</v>
      </c>
      <c r="AR1399" s="16">
        <v>0</v>
      </c>
      <c r="AS1399" s="16">
        <v>0</v>
      </c>
      <c r="AT1399" s="12">
        <v>0</v>
      </c>
      <c r="AU1399" s="16" t="s">
        <v>198</v>
      </c>
      <c r="AV1399" s="16"/>
      <c r="AW1399" s="17" t="s">
        <v>198</v>
      </c>
      <c r="AX1399" s="16">
        <v>0</v>
      </c>
      <c r="AY1399" s="18">
        <v>0</v>
      </c>
      <c r="AZ1399" s="18">
        <v>0</v>
      </c>
      <c r="BA1399" s="17" t="s">
        <v>198</v>
      </c>
      <c r="BB1399" s="16" t="s">
        <v>2941</v>
      </c>
      <c r="BC1399" s="27">
        <v>0</v>
      </c>
      <c r="BD1399" s="27">
        <v>0</v>
      </c>
      <c r="BE1399" s="44" t="s">
        <v>2942</v>
      </c>
      <c r="BF1399" s="44" t="s">
        <v>2943</v>
      </c>
      <c r="BG1399" s="16">
        <v>0</v>
      </c>
      <c r="BH1399" s="16">
        <v>0</v>
      </c>
      <c r="BI1399" s="16">
        <v>0</v>
      </c>
      <c r="BJ1399" s="16">
        <v>0</v>
      </c>
      <c r="BK1399" s="16">
        <v>0</v>
      </c>
      <c r="BL1399" s="16">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6">
        <v>63403001</v>
      </c>
      <c r="D1400" s="17" t="s">
        <v>2905</v>
      </c>
      <c r="E1400" s="17"/>
      <c r="F1400" s="180">
        <v>1</v>
      </c>
      <c r="G1400" s="16">
        <v>63403001</v>
      </c>
      <c r="H1400" s="180">
        <v>0</v>
      </c>
      <c r="I1400" s="180">
        <v>0</v>
      </c>
      <c r="J1400" s="180">
        <v>1</v>
      </c>
      <c r="K1400" s="180">
        <v>0</v>
      </c>
      <c r="L1400" s="180">
        <v>0</v>
      </c>
      <c r="M1400" s="180">
        <v>0</v>
      </c>
      <c r="N1400" s="180">
        <v>0</v>
      </c>
      <c r="O1400" s="180">
        <v>2</v>
      </c>
      <c r="P1400" s="180">
        <v>10</v>
      </c>
      <c r="Q1400" s="180">
        <v>1</v>
      </c>
      <c r="R1400" s="180">
        <v>0</v>
      </c>
      <c r="S1400" s="180">
        <v>0</v>
      </c>
      <c r="T1400" s="180">
        <v>0</v>
      </c>
      <c r="U1400" s="180">
        <v>1</v>
      </c>
      <c r="V1400" s="180">
        <v>2</v>
      </c>
      <c r="W1400" s="180">
        <v>0</v>
      </c>
      <c r="X1400" s="180">
        <v>0</v>
      </c>
      <c r="Y1400" s="12">
        <v>0</v>
      </c>
      <c r="Z1400" s="180">
        <v>0</v>
      </c>
      <c r="AA1400" s="180">
        <v>0</v>
      </c>
      <c r="AB1400" s="180">
        <v>0</v>
      </c>
      <c r="AC1400" s="180">
        <v>0</v>
      </c>
      <c r="AD1400" s="16">
        <v>1</v>
      </c>
      <c r="AE1400" s="180">
        <v>0</v>
      </c>
      <c r="AF1400" s="180">
        <v>30</v>
      </c>
      <c r="AG1400" s="180">
        <v>0</v>
      </c>
      <c r="AH1400" s="180">
        <v>0</v>
      </c>
      <c r="AI1400" s="180">
        <v>7</v>
      </c>
      <c r="AJ1400" s="180">
        <v>0</v>
      </c>
      <c r="AK1400" s="180">
        <v>0</v>
      </c>
      <c r="AL1400" s="180">
        <v>3</v>
      </c>
      <c r="AM1400" s="180">
        <v>0</v>
      </c>
      <c r="AN1400" s="180">
        <v>0</v>
      </c>
      <c r="AO1400" s="180">
        <v>0</v>
      </c>
      <c r="AP1400" s="180">
        <v>0</v>
      </c>
      <c r="AQ1400" s="180">
        <v>2000</v>
      </c>
      <c r="AR1400" s="180">
        <v>0</v>
      </c>
      <c r="AS1400" s="180">
        <v>0</v>
      </c>
      <c r="AT1400" s="180">
        <v>0</v>
      </c>
      <c r="AU1400" s="180">
        <v>90503221</v>
      </c>
      <c r="AV1400" s="180"/>
      <c r="AW1400" s="236" t="s">
        <v>198</v>
      </c>
      <c r="AX1400" s="180">
        <v>0</v>
      </c>
      <c r="AY1400" s="180">
        <v>0</v>
      </c>
      <c r="AZ1400" s="180">
        <v>0</v>
      </c>
      <c r="BA1400" s="236" t="s">
        <v>200</v>
      </c>
      <c r="BB1400" s="236">
        <v>0</v>
      </c>
      <c r="BC1400" s="180">
        <v>0</v>
      </c>
      <c r="BD1400" s="180">
        <v>0</v>
      </c>
      <c r="BE1400" s="44" t="s">
        <v>3077</v>
      </c>
      <c r="BF1400" s="44"/>
      <c r="BG1400" s="180">
        <v>0</v>
      </c>
      <c r="BH1400" s="180">
        <v>0</v>
      </c>
      <c r="BI1400" s="180">
        <v>0</v>
      </c>
      <c r="BJ1400" s="180">
        <v>0</v>
      </c>
      <c r="BK1400" s="180">
        <v>0</v>
      </c>
      <c r="BL1400" s="180">
        <v>0</v>
      </c>
      <c r="BM1400" s="245">
        <v>0</v>
      </c>
      <c r="BN1400" s="180">
        <v>0</v>
      </c>
      <c r="BO1400" s="12">
        <v>0</v>
      </c>
      <c r="BP1400" s="12">
        <v>0</v>
      </c>
      <c r="BQ1400" s="12">
        <v>0</v>
      </c>
      <c r="BR1400" s="12">
        <v>0</v>
      </c>
      <c r="BS1400" s="12">
        <v>0</v>
      </c>
      <c r="BT1400" s="12">
        <v>0</v>
      </c>
      <c r="BU1400" s="47">
        <v>0</v>
      </c>
      <c r="BV1400" s="47"/>
      <c r="BW1400" s="47"/>
    </row>
    <row r="1401" spans="3:75" ht="20.100000000000001" customHeight="1">
      <c r="C1401" s="16">
        <v>63403002</v>
      </c>
      <c r="D1401" s="17" t="s">
        <v>2889</v>
      </c>
      <c r="E1401" s="17"/>
      <c r="F1401" s="16">
        <v>1</v>
      </c>
      <c r="G1401" s="16">
        <v>63003002</v>
      </c>
      <c r="H1401" s="16">
        <v>0</v>
      </c>
      <c r="I1401" s="27">
        <v>0</v>
      </c>
      <c r="J1401" s="18">
        <v>1</v>
      </c>
      <c r="K1401" s="18">
        <v>0</v>
      </c>
      <c r="L1401" s="16">
        <v>0</v>
      </c>
      <c r="M1401" s="16">
        <v>0</v>
      </c>
      <c r="N1401" s="16">
        <v>0</v>
      </c>
      <c r="O1401" s="16">
        <v>2</v>
      </c>
      <c r="P1401" s="16">
        <v>0</v>
      </c>
      <c r="Q1401" s="16">
        <v>0</v>
      </c>
      <c r="R1401" s="16">
        <v>0</v>
      </c>
      <c r="S1401" s="12">
        <v>0</v>
      </c>
      <c r="T1401" s="16">
        <v>0</v>
      </c>
      <c r="U1401" s="16">
        <v>1</v>
      </c>
      <c r="V1401" s="16">
        <v>0</v>
      </c>
      <c r="W1401" s="16">
        <v>0</v>
      </c>
      <c r="X1401" s="18">
        <v>0</v>
      </c>
      <c r="Y1401" s="12">
        <v>0</v>
      </c>
      <c r="Z1401" s="18">
        <v>0</v>
      </c>
      <c r="AA1401" s="16">
        <v>0</v>
      </c>
      <c r="AB1401" s="16">
        <v>0</v>
      </c>
      <c r="AC1401" s="16">
        <v>0</v>
      </c>
      <c r="AD1401" s="16">
        <v>1</v>
      </c>
      <c r="AE1401" s="16">
        <v>0</v>
      </c>
      <c r="AF1401" s="16">
        <v>0</v>
      </c>
      <c r="AG1401" s="16">
        <v>0</v>
      </c>
      <c r="AH1401" s="16" t="s">
        <v>198</v>
      </c>
      <c r="AI1401" s="12">
        <v>0</v>
      </c>
      <c r="AJ1401" s="12">
        <v>0</v>
      </c>
      <c r="AK1401" s="12">
        <v>0</v>
      </c>
      <c r="AL1401" s="12">
        <v>0</v>
      </c>
      <c r="AM1401" s="16">
        <v>0</v>
      </c>
      <c r="AN1401" s="16">
        <v>0</v>
      </c>
      <c r="AO1401" s="16">
        <v>0</v>
      </c>
      <c r="AP1401" s="16">
        <v>0</v>
      </c>
      <c r="AQ1401" s="16">
        <v>0</v>
      </c>
      <c r="AR1401" s="16">
        <v>0</v>
      </c>
      <c r="AS1401" s="16">
        <v>0</v>
      </c>
      <c r="AT1401" s="12">
        <v>0</v>
      </c>
      <c r="AU1401" s="16" t="s">
        <v>198</v>
      </c>
      <c r="AV1401" s="16"/>
      <c r="AW1401" s="17" t="s">
        <v>198</v>
      </c>
      <c r="AX1401" s="16">
        <v>0</v>
      </c>
      <c r="AY1401" s="18">
        <v>0</v>
      </c>
      <c r="AZ1401" s="18">
        <v>0</v>
      </c>
      <c r="BA1401" s="17" t="s">
        <v>198</v>
      </c>
      <c r="BB1401" s="16">
        <v>0</v>
      </c>
      <c r="BC1401" s="27">
        <v>0</v>
      </c>
      <c r="BD1401" s="27">
        <v>0</v>
      </c>
      <c r="BE1401" s="44" t="s">
        <v>2891</v>
      </c>
      <c r="BF1401" s="44"/>
      <c r="BG1401" s="16">
        <v>0</v>
      </c>
      <c r="BH1401" s="16">
        <v>0</v>
      </c>
      <c r="BI1401" s="16">
        <v>0</v>
      </c>
      <c r="BJ1401" s="16">
        <v>0</v>
      </c>
      <c r="BK1401" s="16">
        <v>0</v>
      </c>
      <c r="BL1401" s="16">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63403003</v>
      </c>
      <c r="D1402" s="19" t="s">
        <v>3078</v>
      </c>
      <c r="E1402" s="19" t="s">
        <v>3079</v>
      </c>
      <c r="F1402" s="18">
        <v>1</v>
      </c>
      <c r="G1402" s="18">
        <v>68000015</v>
      </c>
      <c r="H1402" s="18">
        <v>0</v>
      </c>
      <c r="I1402" s="27">
        <v>0</v>
      </c>
      <c r="J1402" s="18">
        <v>1</v>
      </c>
      <c r="K1402" s="18">
        <v>0</v>
      </c>
      <c r="L1402" s="18">
        <v>0</v>
      </c>
      <c r="M1402" s="18">
        <v>0</v>
      </c>
      <c r="N1402" s="18">
        <v>0</v>
      </c>
      <c r="O1402" s="18">
        <v>8</v>
      </c>
      <c r="P1402" s="18">
        <v>0</v>
      </c>
      <c r="Q1402" s="18">
        <v>0</v>
      </c>
      <c r="R1402" s="18">
        <v>0</v>
      </c>
      <c r="S1402" s="12">
        <v>0</v>
      </c>
      <c r="T1402" s="27">
        <v>0</v>
      </c>
      <c r="U1402" s="16">
        <v>1</v>
      </c>
      <c r="V1402" s="18">
        <v>2</v>
      </c>
      <c r="W1402" s="18">
        <v>0</v>
      </c>
      <c r="X1402" s="18">
        <v>0</v>
      </c>
      <c r="Y1402" s="12">
        <v>0</v>
      </c>
      <c r="Z1402" s="18">
        <v>0</v>
      </c>
      <c r="AA1402" s="18">
        <v>0</v>
      </c>
      <c r="AB1402" s="18">
        <v>0</v>
      </c>
      <c r="AC1402" s="18">
        <v>0</v>
      </c>
      <c r="AD1402" s="18">
        <v>1</v>
      </c>
      <c r="AE1402" s="18">
        <v>0</v>
      </c>
      <c r="AF1402" s="18">
        <v>18</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c r="AU1402" s="18" t="s">
        <v>198</v>
      </c>
      <c r="AV1402" s="18"/>
      <c r="AW1402" s="19" t="s">
        <v>199</v>
      </c>
      <c r="AX1402" s="18">
        <v>0</v>
      </c>
      <c r="AY1402" s="18">
        <v>0</v>
      </c>
      <c r="AZ1402" s="18">
        <v>0</v>
      </c>
      <c r="BA1402" s="19" t="s">
        <v>200</v>
      </c>
      <c r="BB1402" s="19" t="s">
        <v>3080</v>
      </c>
      <c r="BC1402" s="27">
        <v>0</v>
      </c>
      <c r="BD1402" s="27">
        <v>1</v>
      </c>
      <c r="BE1402" s="248" t="s">
        <v>3081</v>
      </c>
      <c r="BF1402" s="87" t="s">
        <v>3082</v>
      </c>
      <c r="BG1402" s="18">
        <v>0</v>
      </c>
      <c r="BH1402" s="16">
        <v>0</v>
      </c>
      <c r="BI1402" s="18">
        <v>0</v>
      </c>
      <c r="BJ1402" s="18">
        <v>0</v>
      </c>
      <c r="BK1402" s="18">
        <v>0</v>
      </c>
      <c r="BL1402" s="18">
        <v>0</v>
      </c>
      <c r="BM1402" s="15">
        <v>0</v>
      </c>
      <c r="BN1402" s="12">
        <v>1</v>
      </c>
      <c r="BO1402" s="12">
        <v>0</v>
      </c>
      <c r="BP1402" s="12">
        <v>0</v>
      </c>
      <c r="BQ1402" s="12">
        <v>0</v>
      </c>
      <c r="BR1402" s="12">
        <v>0</v>
      </c>
      <c r="BS1402" s="12">
        <v>0</v>
      </c>
      <c r="BT1402" s="12">
        <v>0</v>
      </c>
      <c r="BU1402" s="47">
        <v>0</v>
      </c>
      <c r="BV1402" s="47"/>
      <c r="BW1402" s="47"/>
    </row>
    <row r="1403" spans="3:75" ht="20.100000000000001" customHeight="1">
      <c r="C1403" s="18">
        <v>63403004</v>
      </c>
      <c r="D1403" s="19" t="s">
        <v>2861</v>
      </c>
      <c r="E1403" s="19" t="s">
        <v>3014</v>
      </c>
      <c r="F1403" s="18">
        <v>1</v>
      </c>
      <c r="G1403" s="18">
        <v>63403004</v>
      </c>
      <c r="H1403" s="18">
        <v>0</v>
      </c>
      <c r="I1403" s="27">
        <v>0</v>
      </c>
      <c r="J1403" s="18">
        <v>1</v>
      </c>
      <c r="K1403" s="18">
        <v>0</v>
      </c>
      <c r="L1403" s="18">
        <v>0</v>
      </c>
      <c r="M1403" s="18">
        <v>0</v>
      </c>
      <c r="N1403" s="18">
        <v>0</v>
      </c>
      <c r="O1403" s="18">
        <v>2</v>
      </c>
      <c r="P1403" s="18">
        <v>1</v>
      </c>
      <c r="Q1403" s="18">
        <v>0.15</v>
      </c>
      <c r="R1403" s="18">
        <v>0</v>
      </c>
      <c r="S1403" s="12">
        <v>0</v>
      </c>
      <c r="T1403" s="27">
        <v>0</v>
      </c>
      <c r="U1403" s="16">
        <v>1</v>
      </c>
      <c r="V1403" s="18">
        <v>2</v>
      </c>
      <c r="W1403" s="18">
        <v>0</v>
      </c>
      <c r="X1403" s="18">
        <v>0</v>
      </c>
      <c r="Y1403" s="12">
        <v>0</v>
      </c>
      <c r="Z1403" s="18">
        <v>0</v>
      </c>
      <c r="AA1403" s="18">
        <v>0</v>
      </c>
      <c r="AB1403" s="18">
        <v>0</v>
      </c>
      <c r="AC1403" s="18">
        <v>0</v>
      </c>
      <c r="AD1403" s="18">
        <v>1</v>
      </c>
      <c r="AE1403" s="18">
        <v>0</v>
      </c>
      <c r="AF1403" s="18">
        <v>3</v>
      </c>
      <c r="AG1403" s="18">
        <v>0</v>
      </c>
      <c r="AH1403" s="18">
        <v>0</v>
      </c>
      <c r="AI1403" s="12">
        <v>7</v>
      </c>
      <c r="AJ1403" s="12">
        <v>0</v>
      </c>
      <c r="AK1403" s="12">
        <v>0</v>
      </c>
      <c r="AL1403" s="12">
        <v>3</v>
      </c>
      <c r="AM1403" s="18">
        <v>0</v>
      </c>
      <c r="AN1403" s="18">
        <v>0</v>
      </c>
      <c r="AO1403" s="18">
        <v>0</v>
      </c>
      <c r="AP1403" s="18">
        <v>0</v>
      </c>
      <c r="AQ1403" s="18">
        <v>3000</v>
      </c>
      <c r="AR1403" s="18">
        <v>0.5</v>
      </c>
      <c r="AS1403" s="18">
        <v>0</v>
      </c>
      <c r="AT1403" s="12" t="s">
        <v>3083</v>
      </c>
      <c r="AU1403" s="18">
        <v>0</v>
      </c>
      <c r="AV1403" s="18"/>
      <c r="AW1403" s="19" t="s">
        <v>198</v>
      </c>
      <c r="AX1403" s="18">
        <v>0</v>
      </c>
      <c r="AY1403" s="18">
        <v>0</v>
      </c>
      <c r="AZ1403" s="18">
        <v>0</v>
      </c>
      <c r="BA1403" s="19" t="s">
        <v>200</v>
      </c>
      <c r="BB1403" s="19">
        <v>0</v>
      </c>
      <c r="BC1403" s="27">
        <v>0</v>
      </c>
      <c r="BD1403" s="27">
        <v>1</v>
      </c>
      <c r="BE1403" s="248" t="s">
        <v>3084</v>
      </c>
      <c r="BF1403" s="87" t="s">
        <v>3019</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64000001</v>
      </c>
      <c r="D1404" s="19" t="s">
        <v>440</v>
      </c>
      <c r="E1404" s="19" t="s">
        <v>441</v>
      </c>
      <c r="F1404" s="18">
        <v>1</v>
      </c>
      <c r="G1404" s="18">
        <v>10041</v>
      </c>
      <c r="H1404" s="18">
        <v>0</v>
      </c>
      <c r="I1404" s="27">
        <v>0</v>
      </c>
      <c r="J1404" s="18">
        <v>1</v>
      </c>
      <c r="K1404" s="18">
        <v>0</v>
      </c>
      <c r="L1404" s="16">
        <v>0</v>
      </c>
      <c r="M1404" s="18">
        <v>0</v>
      </c>
      <c r="N1404" s="18">
        <v>0</v>
      </c>
      <c r="O1404" s="18">
        <v>2</v>
      </c>
      <c r="P1404" s="18">
        <v>1</v>
      </c>
      <c r="Q1404" s="18">
        <v>0.5</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8">
        <v>18</v>
      </c>
      <c r="AG1404" s="18">
        <v>0</v>
      </c>
      <c r="AH1404" s="18">
        <v>0</v>
      </c>
      <c r="AI1404" s="12">
        <v>2</v>
      </c>
      <c r="AJ1404" s="12">
        <v>0</v>
      </c>
      <c r="AK1404" s="12">
        <v>0</v>
      </c>
      <c r="AL1404" s="12">
        <v>0</v>
      </c>
      <c r="AM1404" s="18">
        <v>0</v>
      </c>
      <c r="AN1404" s="18">
        <v>0</v>
      </c>
      <c r="AO1404" s="18">
        <v>0</v>
      </c>
      <c r="AP1404" s="16">
        <v>0</v>
      </c>
      <c r="AQ1404" s="18">
        <v>1000</v>
      </c>
      <c r="AR1404" s="18">
        <v>0</v>
      </c>
      <c r="AS1404" s="18">
        <v>0</v>
      </c>
      <c r="AT1404" s="12">
        <v>90600010</v>
      </c>
      <c r="AU1404" s="18">
        <v>0</v>
      </c>
      <c r="AV1404" s="18"/>
      <c r="AW1404" s="19" t="s">
        <v>199</v>
      </c>
      <c r="AX1404" s="18" t="s">
        <v>1837</v>
      </c>
      <c r="AY1404" s="18">
        <v>0</v>
      </c>
      <c r="AZ1404" s="18">
        <v>40000003</v>
      </c>
      <c r="BA1404" s="19" t="s">
        <v>200</v>
      </c>
      <c r="BB1404" s="19" t="s">
        <v>198</v>
      </c>
      <c r="BC1404" s="27">
        <v>0</v>
      </c>
      <c r="BD1404" s="27">
        <v>0</v>
      </c>
      <c r="BE1404" s="87" t="s">
        <v>3085</v>
      </c>
      <c r="BF1404" s="87" t="s">
        <v>3086</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64000002</v>
      </c>
      <c r="D1405" s="19" t="s">
        <v>2681</v>
      </c>
      <c r="E1405" s="19" t="s">
        <v>2682</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6">
        <v>0</v>
      </c>
      <c r="AQ1405" s="18">
        <v>1000</v>
      </c>
      <c r="AR1405" s="18">
        <v>0</v>
      </c>
      <c r="AS1405" s="18">
        <v>0</v>
      </c>
      <c r="AT1405" s="12">
        <v>90600020</v>
      </c>
      <c r="AU1405" s="18">
        <v>0</v>
      </c>
      <c r="AV1405" s="18"/>
      <c r="AW1405" s="19" t="s">
        <v>199</v>
      </c>
      <c r="AX1405" s="18" t="s">
        <v>1837</v>
      </c>
      <c r="AY1405" s="18">
        <v>0</v>
      </c>
      <c r="AZ1405" s="18">
        <v>0</v>
      </c>
      <c r="BA1405" s="19" t="s">
        <v>200</v>
      </c>
      <c r="BB1405" s="19" t="s">
        <v>198</v>
      </c>
      <c r="BC1405" s="27">
        <v>0</v>
      </c>
      <c r="BD1405" s="27">
        <v>0</v>
      </c>
      <c r="BE1405" s="87" t="s">
        <v>3087</v>
      </c>
      <c r="BF1405" s="87" t="s">
        <v>3088</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64000003</v>
      </c>
      <c r="D1406" s="19" t="s">
        <v>3089</v>
      </c>
      <c r="E1406" s="19" t="s">
        <v>3090</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90600030</v>
      </c>
      <c r="AU1406" s="18">
        <v>0</v>
      </c>
      <c r="AV1406" s="18"/>
      <c r="AW1406" s="19" t="s">
        <v>199</v>
      </c>
      <c r="AX1406" s="18" t="s">
        <v>1837</v>
      </c>
      <c r="AY1406" s="18">
        <v>0</v>
      </c>
      <c r="AZ1406" s="18">
        <v>0</v>
      </c>
      <c r="BA1406" s="19" t="s">
        <v>200</v>
      </c>
      <c r="BB1406" s="19" t="s">
        <v>198</v>
      </c>
      <c r="BC1406" s="27">
        <v>0</v>
      </c>
      <c r="BD1406" s="27">
        <v>0</v>
      </c>
      <c r="BE1406" s="87" t="s">
        <v>3091</v>
      </c>
      <c r="BF1406" s="87" t="s">
        <v>3092</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64000004</v>
      </c>
      <c r="D1407" s="19" t="s">
        <v>3093</v>
      </c>
      <c r="E1407" s="19" t="s">
        <v>3094</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90600040</v>
      </c>
      <c r="AU1407" s="18">
        <v>0</v>
      </c>
      <c r="AV1407" s="18"/>
      <c r="AW1407" s="19" t="s">
        <v>199</v>
      </c>
      <c r="AX1407" s="18" t="s">
        <v>1837</v>
      </c>
      <c r="AY1407" s="18">
        <v>0</v>
      </c>
      <c r="AZ1407" s="18">
        <v>0</v>
      </c>
      <c r="BA1407" s="19" t="s">
        <v>200</v>
      </c>
      <c r="BB1407" s="19" t="s">
        <v>198</v>
      </c>
      <c r="BC1407" s="27">
        <v>0</v>
      </c>
      <c r="BD1407" s="27">
        <v>0</v>
      </c>
      <c r="BE1407" s="87" t="s">
        <v>3095</v>
      </c>
      <c r="BF1407" s="87" t="s">
        <v>3096</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64000005</v>
      </c>
      <c r="D1408" s="19" t="s">
        <v>567</v>
      </c>
      <c r="E1408" s="19" t="s">
        <v>568</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90600050</v>
      </c>
      <c r="AU1408" s="18">
        <v>0</v>
      </c>
      <c r="AV1408" s="18"/>
      <c r="AW1408" s="19" t="s">
        <v>199</v>
      </c>
      <c r="AX1408" s="18" t="s">
        <v>1837</v>
      </c>
      <c r="AY1408" s="18">
        <v>0</v>
      </c>
      <c r="AZ1408" s="18">
        <v>0</v>
      </c>
      <c r="BA1408" s="19" t="s">
        <v>200</v>
      </c>
      <c r="BB1408" s="19" t="s">
        <v>198</v>
      </c>
      <c r="BC1408" s="27">
        <v>0</v>
      </c>
      <c r="BD1408" s="27">
        <v>0</v>
      </c>
      <c r="BE1408" s="87" t="s">
        <v>3097</v>
      </c>
      <c r="BF1408" s="87" t="s">
        <v>3098</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64000006</v>
      </c>
      <c r="D1409" s="19" t="s">
        <v>3099</v>
      </c>
      <c r="E1409" s="19" t="s">
        <v>3100</v>
      </c>
      <c r="F1409" s="18">
        <v>1</v>
      </c>
      <c r="G1409" s="18">
        <v>60010500</v>
      </c>
      <c r="H1409" s="18">
        <v>0</v>
      </c>
      <c r="I1409" s="27">
        <v>0</v>
      </c>
      <c r="J1409" s="18">
        <v>1</v>
      </c>
      <c r="K1409" s="18">
        <v>0</v>
      </c>
      <c r="L1409" s="16">
        <v>0</v>
      </c>
      <c r="M1409" s="18">
        <v>0</v>
      </c>
      <c r="N1409" s="18">
        <v>0</v>
      </c>
      <c r="O1409" s="18">
        <v>2</v>
      </c>
      <c r="P1409" s="18">
        <v>2</v>
      </c>
      <c r="Q1409" s="18">
        <v>0.6</v>
      </c>
      <c r="R1409" s="18">
        <v>0</v>
      </c>
      <c r="S1409" s="12">
        <v>0</v>
      </c>
      <c r="T1409" s="27">
        <v>0</v>
      </c>
      <c r="U1409" s="16">
        <v>1</v>
      </c>
      <c r="V1409" s="18">
        <v>2</v>
      </c>
      <c r="W1409" s="18">
        <v>0</v>
      </c>
      <c r="X1409" s="18">
        <v>0</v>
      </c>
      <c r="Y1409" s="12">
        <v>0</v>
      </c>
      <c r="Z1409" s="18">
        <v>0</v>
      </c>
      <c r="AA1409" s="18">
        <v>0</v>
      </c>
      <c r="AB1409" s="18">
        <v>0</v>
      </c>
      <c r="AC1409" s="18">
        <v>0</v>
      </c>
      <c r="AD1409" s="16">
        <v>1</v>
      </c>
      <c r="AE1409" s="18">
        <v>0</v>
      </c>
      <c r="AF1409" s="16">
        <v>99999</v>
      </c>
      <c r="AG1409" s="18">
        <v>0</v>
      </c>
      <c r="AH1409" s="18">
        <v>0</v>
      </c>
      <c r="AI1409" s="12">
        <v>2</v>
      </c>
      <c r="AJ1409" s="12">
        <v>0</v>
      </c>
      <c r="AK1409" s="12">
        <v>0</v>
      </c>
      <c r="AL1409" s="12">
        <v>0</v>
      </c>
      <c r="AM1409" s="18">
        <v>0</v>
      </c>
      <c r="AN1409" s="18">
        <v>0</v>
      </c>
      <c r="AO1409" s="18">
        <v>0</v>
      </c>
      <c r="AP1409" s="18">
        <v>0</v>
      </c>
      <c r="AQ1409" s="18">
        <v>1000</v>
      </c>
      <c r="AR1409" s="18">
        <v>0</v>
      </c>
      <c r="AS1409" s="18">
        <v>0</v>
      </c>
      <c r="AT1409" s="12">
        <v>90600060</v>
      </c>
      <c r="AU1409" s="18">
        <v>0</v>
      </c>
      <c r="AV1409" s="18"/>
      <c r="AW1409" s="19" t="s">
        <v>199</v>
      </c>
      <c r="AX1409" s="18" t="s">
        <v>1837</v>
      </c>
      <c r="AY1409" s="18">
        <v>0</v>
      </c>
      <c r="AZ1409" s="18">
        <v>0</v>
      </c>
      <c r="BA1409" s="19" t="s">
        <v>200</v>
      </c>
      <c r="BB1409" s="19" t="s">
        <v>198</v>
      </c>
      <c r="BC1409" s="27">
        <v>0</v>
      </c>
      <c r="BD1409" s="27">
        <v>0</v>
      </c>
      <c r="BE1409" s="87" t="s">
        <v>3101</v>
      </c>
      <c r="BF1409" s="87" t="s">
        <v>3102</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64000007</v>
      </c>
      <c r="D1410" s="19" t="s">
        <v>3103</v>
      </c>
      <c r="E1410" s="19" t="s">
        <v>3104</v>
      </c>
      <c r="F1410" s="18">
        <v>1</v>
      </c>
      <c r="G1410" s="18">
        <v>60010500</v>
      </c>
      <c r="H1410" s="18">
        <v>0</v>
      </c>
      <c r="I1410" s="27">
        <v>0</v>
      </c>
      <c r="J1410" s="18">
        <v>1</v>
      </c>
      <c r="K1410" s="18">
        <v>0</v>
      </c>
      <c r="L1410" s="16">
        <v>0</v>
      </c>
      <c r="M1410" s="18">
        <v>0</v>
      </c>
      <c r="N1410" s="18">
        <v>0</v>
      </c>
      <c r="O1410" s="18">
        <v>2</v>
      </c>
      <c r="P1410" s="18">
        <v>2</v>
      </c>
      <c r="Q1410" s="18">
        <v>0.6</v>
      </c>
      <c r="R1410" s="18">
        <v>0</v>
      </c>
      <c r="S1410" s="12">
        <v>0</v>
      </c>
      <c r="T1410" s="27">
        <v>0</v>
      </c>
      <c r="U1410" s="16">
        <v>1</v>
      </c>
      <c r="V1410" s="18">
        <v>2</v>
      </c>
      <c r="W1410" s="18">
        <v>0</v>
      </c>
      <c r="X1410" s="18">
        <v>0</v>
      </c>
      <c r="Y1410" s="12">
        <v>0</v>
      </c>
      <c r="Z1410" s="18">
        <v>0</v>
      </c>
      <c r="AA1410" s="18">
        <v>0</v>
      </c>
      <c r="AB1410" s="18">
        <v>0</v>
      </c>
      <c r="AC1410" s="18">
        <v>0</v>
      </c>
      <c r="AD1410" s="16">
        <v>1</v>
      </c>
      <c r="AE1410" s="18">
        <v>0</v>
      </c>
      <c r="AF1410" s="16">
        <v>99999</v>
      </c>
      <c r="AG1410" s="18">
        <v>0</v>
      </c>
      <c r="AH1410" s="18">
        <v>0</v>
      </c>
      <c r="AI1410" s="12">
        <v>2</v>
      </c>
      <c r="AJ1410" s="12">
        <v>0</v>
      </c>
      <c r="AK1410" s="12">
        <v>0</v>
      </c>
      <c r="AL1410" s="12">
        <v>0</v>
      </c>
      <c r="AM1410" s="18">
        <v>0</v>
      </c>
      <c r="AN1410" s="18">
        <v>0</v>
      </c>
      <c r="AO1410" s="18">
        <v>0</v>
      </c>
      <c r="AP1410" s="18">
        <v>0</v>
      </c>
      <c r="AQ1410" s="18">
        <v>1000</v>
      </c>
      <c r="AR1410" s="18">
        <v>0</v>
      </c>
      <c r="AS1410" s="18">
        <v>0</v>
      </c>
      <c r="AT1410" s="12">
        <v>90600070</v>
      </c>
      <c r="AU1410" s="18">
        <v>0</v>
      </c>
      <c r="AV1410" s="18"/>
      <c r="AW1410" s="19" t="s">
        <v>199</v>
      </c>
      <c r="AX1410" s="18" t="s">
        <v>1837</v>
      </c>
      <c r="AY1410" s="18">
        <v>0</v>
      </c>
      <c r="AZ1410" s="18">
        <v>0</v>
      </c>
      <c r="BA1410" s="19" t="s">
        <v>200</v>
      </c>
      <c r="BB1410" s="19" t="s">
        <v>198</v>
      </c>
      <c r="BC1410" s="27">
        <v>0</v>
      </c>
      <c r="BD1410" s="27">
        <v>0</v>
      </c>
      <c r="BE1410" s="87" t="s">
        <v>3105</v>
      </c>
      <c r="BF1410" s="87" t="s">
        <v>3106</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64000008</v>
      </c>
      <c r="D1411" s="19" t="s">
        <v>621</v>
      </c>
      <c r="E1411" s="19" t="s">
        <v>622</v>
      </c>
      <c r="F1411" s="18">
        <v>1</v>
      </c>
      <c r="G1411" s="18">
        <v>60010500</v>
      </c>
      <c r="H1411" s="18">
        <v>0</v>
      </c>
      <c r="I1411" s="27">
        <v>0</v>
      </c>
      <c r="J1411" s="18">
        <v>1</v>
      </c>
      <c r="K1411" s="18">
        <v>0</v>
      </c>
      <c r="L1411" s="16">
        <v>0</v>
      </c>
      <c r="M1411" s="18">
        <v>0</v>
      </c>
      <c r="N1411" s="18">
        <v>0</v>
      </c>
      <c r="O1411" s="18">
        <v>2</v>
      </c>
      <c r="P1411" s="18">
        <v>2</v>
      </c>
      <c r="Q1411" s="18">
        <v>0.6</v>
      </c>
      <c r="R1411" s="18">
        <v>0</v>
      </c>
      <c r="S1411" s="12">
        <v>0</v>
      </c>
      <c r="T1411" s="27">
        <v>0</v>
      </c>
      <c r="U1411" s="16">
        <v>1</v>
      </c>
      <c r="V1411" s="18">
        <v>2</v>
      </c>
      <c r="W1411" s="18">
        <v>0</v>
      </c>
      <c r="X1411" s="18">
        <v>0</v>
      </c>
      <c r="Y1411" s="12">
        <v>0</v>
      </c>
      <c r="Z1411" s="18">
        <v>0</v>
      </c>
      <c r="AA1411" s="18">
        <v>0</v>
      </c>
      <c r="AB1411" s="18">
        <v>0</v>
      </c>
      <c r="AC1411" s="18">
        <v>0</v>
      </c>
      <c r="AD1411" s="16">
        <v>1</v>
      </c>
      <c r="AE1411" s="18">
        <v>0</v>
      </c>
      <c r="AF1411" s="16">
        <v>99999</v>
      </c>
      <c r="AG1411" s="18">
        <v>0</v>
      </c>
      <c r="AH1411" s="18">
        <v>0</v>
      </c>
      <c r="AI1411" s="12">
        <v>2</v>
      </c>
      <c r="AJ1411" s="12">
        <v>0</v>
      </c>
      <c r="AK1411" s="12">
        <v>0</v>
      </c>
      <c r="AL1411" s="12">
        <v>0</v>
      </c>
      <c r="AM1411" s="18">
        <v>0</v>
      </c>
      <c r="AN1411" s="18">
        <v>0</v>
      </c>
      <c r="AO1411" s="18">
        <v>0</v>
      </c>
      <c r="AP1411" s="18">
        <v>0</v>
      </c>
      <c r="AQ1411" s="18">
        <v>1000</v>
      </c>
      <c r="AR1411" s="18">
        <v>0</v>
      </c>
      <c r="AS1411" s="18">
        <v>0</v>
      </c>
      <c r="AT1411" s="12">
        <v>0</v>
      </c>
      <c r="AU1411" s="18" t="s">
        <v>198</v>
      </c>
      <c r="AV1411" s="18"/>
      <c r="AW1411" s="19" t="s">
        <v>199</v>
      </c>
      <c r="AX1411" s="18" t="s">
        <v>1837</v>
      </c>
      <c r="AY1411" s="18">
        <v>0</v>
      </c>
      <c r="AZ1411" s="18">
        <v>0</v>
      </c>
      <c r="BA1411" s="19" t="s">
        <v>200</v>
      </c>
      <c r="BB1411" s="19" t="s">
        <v>198</v>
      </c>
      <c r="BC1411" s="27">
        <v>0</v>
      </c>
      <c r="BD1411" s="27">
        <v>0</v>
      </c>
      <c r="BE1411" s="87" t="s">
        <v>3107</v>
      </c>
      <c r="BF1411" s="87" t="s">
        <v>3108</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64100001</v>
      </c>
      <c r="D1412" s="19" t="s">
        <v>3109</v>
      </c>
      <c r="E1412" s="19" t="s">
        <v>3110</v>
      </c>
      <c r="F1412" s="16">
        <v>1</v>
      </c>
      <c r="G1412" s="12">
        <v>0</v>
      </c>
      <c r="H1412" s="18">
        <v>0</v>
      </c>
      <c r="I1412" s="12">
        <v>0</v>
      </c>
      <c r="J1412" s="16">
        <v>0</v>
      </c>
      <c r="K1412" s="18">
        <v>0</v>
      </c>
      <c r="L1412" s="16">
        <v>0</v>
      </c>
      <c r="M1412" s="12">
        <v>0</v>
      </c>
      <c r="N1412" s="12">
        <v>0</v>
      </c>
      <c r="O1412" s="18">
        <v>2</v>
      </c>
      <c r="P1412" s="18">
        <v>3</v>
      </c>
      <c r="Q1412" s="18">
        <v>0.05</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1</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2">
        <v>0</v>
      </c>
      <c r="AU1412" s="18">
        <v>90610011</v>
      </c>
      <c r="AV1412" s="18"/>
      <c r="AW1412" s="13" t="s">
        <v>256</v>
      </c>
      <c r="AX1412" s="12" t="s">
        <v>1876</v>
      </c>
      <c r="AY1412" s="12" t="s">
        <v>198</v>
      </c>
      <c r="AZ1412" s="12">
        <v>0</v>
      </c>
      <c r="BA1412" s="13" t="s">
        <v>200</v>
      </c>
      <c r="BB1412" s="12">
        <v>0</v>
      </c>
      <c r="BC1412" s="12">
        <v>0</v>
      </c>
      <c r="BD1412" s="12">
        <v>0</v>
      </c>
      <c r="BE1412" s="42" t="s">
        <v>3111</v>
      </c>
      <c r="BF1412" s="42" t="s">
        <v>3112</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64100002</v>
      </c>
      <c r="D1413" s="19" t="s">
        <v>3113</v>
      </c>
      <c r="E1413" s="19" t="s">
        <v>3114</v>
      </c>
      <c r="F1413" s="16">
        <v>1</v>
      </c>
      <c r="G1413" s="12">
        <v>0</v>
      </c>
      <c r="H1413" s="18">
        <v>0</v>
      </c>
      <c r="I1413" s="12">
        <v>0</v>
      </c>
      <c r="J1413" s="16">
        <v>0</v>
      </c>
      <c r="K1413" s="18">
        <v>0</v>
      </c>
      <c r="L1413" s="16">
        <v>0</v>
      </c>
      <c r="M1413" s="12">
        <v>0</v>
      </c>
      <c r="N1413" s="12">
        <v>0</v>
      </c>
      <c r="O1413" s="18">
        <v>2</v>
      </c>
      <c r="P1413" s="18">
        <v>1</v>
      </c>
      <c r="Q1413" s="18">
        <v>1</v>
      </c>
      <c r="R1413" s="12">
        <v>0</v>
      </c>
      <c r="S1413" s="12">
        <v>0</v>
      </c>
      <c r="T1413" s="12">
        <v>0</v>
      </c>
      <c r="U1413" s="16">
        <v>1</v>
      </c>
      <c r="V1413" s="12">
        <v>2</v>
      </c>
      <c r="W1413" s="12">
        <v>0</v>
      </c>
      <c r="X1413" s="18">
        <v>0</v>
      </c>
      <c r="Y1413" s="12">
        <v>0</v>
      </c>
      <c r="Z1413" s="18">
        <v>0</v>
      </c>
      <c r="AA1413" s="12">
        <v>0</v>
      </c>
      <c r="AB1413" s="12">
        <v>0</v>
      </c>
      <c r="AC1413" s="12">
        <v>0</v>
      </c>
      <c r="AD1413" s="18">
        <v>0</v>
      </c>
      <c r="AE1413" s="12">
        <v>0</v>
      </c>
      <c r="AF1413" s="18">
        <v>30</v>
      </c>
      <c r="AG1413" s="12">
        <v>1</v>
      </c>
      <c r="AH1413" s="12">
        <v>3</v>
      </c>
      <c r="AI1413" s="12">
        <v>2</v>
      </c>
      <c r="AJ1413" s="12">
        <v>1</v>
      </c>
      <c r="AK1413" s="12">
        <v>1</v>
      </c>
      <c r="AL1413" s="12">
        <v>6</v>
      </c>
      <c r="AM1413" s="12">
        <v>0</v>
      </c>
      <c r="AN1413" s="12">
        <v>0</v>
      </c>
      <c r="AO1413" s="12">
        <v>0</v>
      </c>
      <c r="AP1413" s="18">
        <v>0</v>
      </c>
      <c r="AQ1413" s="12">
        <v>3000</v>
      </c>
      <c r="AR1413" s="12">
        <v>0.1</v>
      </c>
      <c r="AS1413" s="12">
        <v>0</v>
      </c>
      <c r="AT1413" s="12">
        <v>0</v>
      </c>
      <c r="AU1413" s="18">
        <v>90610021</v>
      </c>
      <c r="AV1413" s="18"/>
      <c r="AW1413" s="13" t="s">
        <v>256</v>
      </c>
      <c r="AX1413" s="12" t="s">
        <v>1876</v>
      </c>
      <c r="AY1413" s="12" t="s">
        <v>198</v>
      </c>
      <c r="AZ1413" s="12">
        <v>0</v>
      </c>
      <c r="BA1413" s="13" t="s">
        <v>200</v>
      </c>
      <c r="BB1413" s="12">
        <v>0</v>
      </c>
      <c r="BC1413" s="12">
        <v>0</v>
      </c>
      <c r="BD1413" s="12">
        <v>0</v>
      </c>
      <c r="BE1413" s="42" t="s">
        <v>3111</v>
      </c>
      <c r="BF1413" s="42" t="s">
        <v>3112</v>
      </c>
      <c r="BG1413" s="12">
        <v>0</v>
      </c>
      <c r="BH1413" s="16">
        <v>0</v>
      </c>
      <c r="BI1413" s="12">
        <v>0</v>
      </c>
      <c r="BJ1413" s="12">
        <v>0</v>
      </c>
      <c r="BK1413" s="12">
        <v>0</v>
      </c>
      <c r="BL1413" s="12">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64100003</v>
      </c>
      <c r="D1414" s="17" t="s">
        <v>3115</v>
      </c>
      <c r="E1414" s="17" t="s">
        <v>3116</v>
      </c>
      <c r="F1414" s="18">
        <v>1</v>
      </c>
      <c r="G1414" s="12">
        <v>0</v>
      </c>
      <c r="H1414" s="18">
        <v>0</v>
      </c>
      <c r="I1414" s="27">
        <v>0</v>
      </c>
      <c r="J1414" s="16">
        <v>0</v>
      </c>
      <c r="K1414" s="18">
        <v>0</v>
      </c>
      <c r="L1414" s="18">
        <v>0</v>
      </c>
      <c r="M1414" s="16">
        <v>0</v>
      </c>
      <c r="N1414" s="16">
        <v>0</v>
      </c>
      <c r="O1414" s="16">
        <v>2</v>
      </c>
      <c r="P1414" s="16">
        <v>3</v>
      </c>
      <c r="Q1414" s="16">
        <v>0.2</v>
      </c>
      <c r="R1414" s="16">
        <v>0</v>
      </c>
      <c r="S1414" s="12">
        <v>1</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10000007</v>
      </c>
      <c r="AZ1414" s="18">
        <v>70103003</v>
      </c>
      <c r="BA1414" s="17" t="s">
        <v>200</v>
      </c>
      <c r="BB1414" s="16" t="s">
        <v>3117</v>
      </c>
      <c r="BC1414" s="27">
        <v>0</v>
      </c>
      <c r="BD1414" s="27">
        <v>0</v>
      </c>
      <c r="BE1414" s="44" t="s">
        <v>3118</v>
      </c>
      <c r="BF1414" s="44" t="s">
        <v>3119</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spans="3:75" ht="20.100000000000001" customHeight="1">
      <c r="C1415" s="18">
        <v>64100004</v>
      </c>
      <c r="D1415" s="19" t="s">
        <v>3120</v>
      </c>
      <c r="E1415" s="19" t="s">
        <v>3121</v>
      </c>
      <c r="F1415" s="16">
        <v>1</v>
      </c>
      <c r="G1415" s="12">
        <v>0</v>
      </c>
      <c r="H1415" s="18">
        <v>0</v>
      </c>
      <c r="I1415" s="12">
        <v>0</v>
      </c>
      <c r="J1415" s="16">
        <v>0</v>
      </c>
      <c r="K1415" s="18">
        <v>0</v>
      </c>
      <c r="L1415" s="16">
        <v>0</v>
      </c>
      <c r="M1415" s="12">
        <v>0</v>
      </c>
      <c r="N1415" s="12">
        <v>0</v>
      </c>
      <c r="O1415" s="18">
        <v>2</v>
      </c>
      <c r="P1415" s="18">
        <v>1</v>
      </c>
      <c r="Q1415" s="18">
        <v>1</v>
      </c>
      <c r="R1415" s="12">
        <v>0</v>
      </c>
      <c r="S1415" s="12">
        <v>0</v>
      </c>
      <c r="T1415" s="12">
        <v>0</v>
      </c>
      <c r="U1415" s="16">
        <v>1</v>
      </c>
      <c r="V1415" s="12">
        <v>2</v>
      </c>
      <c r="W1415" s="12">
        <v>0</v>
      </c>
      <c r="X1415" s="18">
        <v>0</v>
      </c>
      <c r="Y1415" s="12">
        <v>0</v>
      </c>
      <c r="Z1415" s="18">
        <v>0</v>
      </c>
      <c r="AA1415" s="12">
        <v>0</v>
      </c>
      <c r="AB1415" s="12">
        <v>0</v>
      </c>
      <c r="AC1415" s="12">
        <v>0</v>
      </c>
      <c r="AD1415" s="18">
        <v>0</v>
      </c>
      <c r="AE1415" s="12">
        <v>0</v>
      </c>
      <c r="AF1415" s="18">
        <v>30</v>
      </c>
      <c r="AG1415" s="12">
        <v>1</v>
      </c>
      <c r="AH1415" s="12">
        <v>3</v>
      </c>
      <c r="AI1415" s="12">
        <v>2</v>
      </c>
      <c r="AJ1415" s="12">
        <v>1</v>
      </c>
      <c r="AK1415" s="12">
        <v>1</v>
      </c>
      <c r="AL1415" s="12">
        <v>6</v>
      </c>
      <c r="AM1415" s="12">
        <v>0</v>
      </c>
      <c r="AN1415" s="12">
        <v>0</v>
      </c>
      <c r="AO1415" s="12">
        <v>0</v>
      </c>
      <c r="AP1415" s="18">
        <v>0</v>
      </c>
      <c r="AQ1415" s="12">
        <v>3000</v>
      </c>
      <c r="AR1415" s="12">
        <v>0.1</v>
      </c>
      <c r="AS1415" s="12">
        <v>0</v>
      </c>
      <c r="AT1415" s="18">
        <v>90610041</v>
      </c>
      <c r="AU1415" s="18">
        <v>90610041</v>
      </c>
      <c r="AV1415" s="18"/>
      <c r="AW1415" s="13" t="s">
        <v>256</v>
      </c>
      <c r="AX1415" s="12" t="s">
        <v>1876</v>
      </c>
      <c r="AY1415" s="12" t="s">
        <v>198</v>
      </c>
      <c r="AZ1415" s="12">
        <v>0</v>
      </c>
      <c r="BA1415" s="13" t="s">
        <v>200</v>
      </c>
      <c r="BB1415" s="12">
        <v>0</v>
      </c>
      <c r="BC1415" s="12">
        <v>0</v>
      </c>
      <c r="BD1415" s="12">
        <v>0</v>
      </c>
      <c r="BE1415" s="42" t="s">
        <v>3111</v>
      </c>
      <c r="BF1415" s="42" t="s">
        <v>3112</v>
      </c>
      <c r="BG1415" s="12">
        <v>0</v>
      </c>
      <c r="BH1415" s="16">
        <v>0</v>
      </c>
      <c r="BI1415" s="12">
        <v>0</v>
      </c>
      <c r="BJ1415" s="12">
        <v>0</v>
      </c>
      <c r="BK1415" s="12">
        <v>0</v>
      </c>
      <c r="BL1415" s="12">
        <v>0</v>
      </c>
      <c r="BM1415" s="15">
        <v>0</v>
      </c>
      <c r="BN1415" s="12">
        <v>0</v>
      </c>
      <c r="BO1415" s="12">
        <v>0</v>
      </c>
      <c r="BP1415" s="12">
        <v>0</v>
      </c>
      <c r="BQ1415" s="12">
        <v>0</v>
      </c>
      <c r="BR1415" s="12">
        <v>0</v>
      </c>
      <c r="BS1415" s="12">
        <v>0</v>
      </c>
      <c r="BT1415" s="12">
        <v>0</v>
      </c>
      <c r="BU1415" s="47">
        <v>0</v>
      </c>
      <c r="BV1415" s="47"/>
      <c r="BW1415" s="47"/>
    </row>
    <row r="1416" spans="3:75" ht="20.25" customHeight="1">
      <c r="C1416" s="18">
        <v>64100005</v>
      </c>
      <c r="D1416" s="19" t="s">
        <v>2800</v>
      </c>
      <c r="E1416" s="19" t="s">
        <v>2801</v>
      </c>
      <c r="F1416" s="18">
        <v>1</v>
      </c>
      <c r="G1416" s="12">
        <v>0</v>
      </c>
      <c r="H1416" s="18">
        <v>0</v>
      </c>
      <c r="I1416" s="27">
        <v>0</v>
      </c>
      <c r="J1416" s="16">
        <v>0</v>
      </c>
      <c r="K1416" s="18">
        <v>0</v>
      </c>
      <c r="L1416" s="16">
        <v>0</v>
      </c>
      <c r="M1416" s="18">
        <v>0</v>
      </c>
      <c r="N1416" s="18">
        <v>0</v>
      </c>
      <c r="O1416" s="18">
        <v>2</v>
      </c>
      <c r="P1416" s="18">
        <v>2</v>
      </c>
      <c r="Q1416" s="18">
        <v>0.3</v>
      </c>
      <c r="R1416" s="18">
        <v>0</v>
      </c>
      <c r="S1416" s="12">
        <v>0</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1">
        <v>90610051</v>
      </c>
      <c r="AV1416" s="252"/>
      <c r="AW1416" s="17" t="s">
        <v>242</v>
      </c>
      <c r="AX1416" s="18" t="s">
        <v>1695</v>
      </c>
      <c r="AY1416" s="18">
        <v>10000011</v>
      </c>
      <c r="AZ1416" s="18">
        <v>20001010</v>
      </c>
      <c r="BA1416" s="19" t="s">
        <v>250</v>
      </c>
      <c r="BB1416" s="19" t="s">
        <v>198</v>
      </c>
      <c r="BC1416" s="27">
        <v>0</v>
      </c>
      <c r="BD1416" s="27">
        <v>0</v>
      </c>
      <c r="BE1416" s="44" t="s">
        <v>3122</v>
      </c>
      <c r="BF1416" s="44" t="s">
        <v>3123</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row>
    <row r="1417" spans="3:75" ht="20.100000000000001" customHeight="1">
      <c r="C1417" s="18">
        <v>64100006</v>
      </c>
      <c r="D1417" s="19" t="s">
        <v>1324</v>
      </c>
      <c r="E1417" s="19" t="s">
        <v>1325</v>
      </c>
      <c r="F1417" s="18">
        <v>1</v>
      </c>
      <c r="G1417" s="18">
        <v>60010500</v>
      </c>
      <c r="H1417" s="18">
        <v>0</v>
      </c>
      <c r="I1417" s="27">
        <v>0</v>
      </c>
      <c r="J1417" s="16">
        <v>0</v>
      </c>
      <c r="K1417" s="18">
        <v>0</v>
      </c>
      <c r="L1417" s="18">
        <v>0</v>
      </c>
      <c r="M1417" s="18">
        <v>0</v>
      </c>
      <c r="N1417" s="18">
        <v>0</v>
      </c>
      <c r="O1417" s="16">
        <v>2</v>
      </c>
      <c r="P1417" s="18">
        <v>7</v>
      </c>
      <c r="Q1417" s="18">
        <v>0.1</v>
      </c>
      <c r="R1417" s="18">
        <v>0</v>
      </c>
      <c r="S1417" s="12">
        <v>0</v>
      </c>
      <c r="T1417" s="27">
        <v>0</v>
      </c>
      <c r="U1417" s="16">
        <v>1</v>
      </c>
      <c r="V1417" s="18">
        <v>1</v>
      </c>
      <c r="W1417" s="18">
        <v>0</v>
      </c>
      <c r="X1417" s="18">
        <v>1</v>
      </c>
      <c r="Y1417" s="12">
        <v>0</v>
      </c>
      <c r="Z1417" s="18">
        <v>0</v>
      </c>
      <c r="AA1417" s="18">
        <v>0</v>
      </c>
      <c r="AB1417" s="18">
        <v>0</v>
      </c>
      <c r="AC1417" s="18">
        <v>0</v>
      </c>
      <c r="AD1417" s="16">
        <v>0</v>
      </c>
      <c r="AE1417" s="18">
        <v>0</v>
      </c>
      <c r="AF1417" s="18">
        <v>15</v>
      </c>
      <c r="AG1417" s="18">
        <v>0</v>
      </c>
      <c r="AH1417" s="18">
        <v>0</v>
      </c>
      <c r="AI1417" s="12">
        <v>7</v>
      </c>
      <c r="AJ1417" s="12">
        <v>0</v>
      </c>
      <c r="AK1417" s="12">
        <v>0</v>
      </c>
      <c r="AL1417" s="12">
        <v>0</v>
      </c>
      <c r="AM1417" s="18">
        <v>0</v>
      </c>
      <c r="AN1417" s="18">
        <v>0</v>
      </c>
      <c r="AO1417" s="18">
        <v>0</v>
      </c>
      <c r="AP1417" s="18">
        <v>0</v>
      </c>
      <c r="AQ1417" s="18">
        <v>1000</v>
      </c>
      <c r="AR1417" s="18">
        <v>0.5</v>
      </c>
      <c r="AS1417" s="18">
        <v>0</v>
      </c>
      <c r="AT1417" s="12">
        <v>0</v>
      </c>
      <c r="AU1417" s="12">
        <v>90202001</v>
      </c>
      <c r="AV1417" s="12"/>
      <c r="AW1417" s="19" t="s">
        <v>741</v>
      </c>
      <c r="AX1417" s="18">
        <v>0</v>
      </c>
      <c r="AY1417" s="18">
        <v>10007001</v>
      </c>
      <c r="AZ1417" s="18">
        <v>0</v>
      </c>
      <c r="BA1417" s="19" t="s">
        <v>200</v>
      </c>
      <c r="BB1417" s="19" t="s">
        <v>198</v>
      </c>
      <c r="BC1417" s="27">
        <v>0</v>
      </c>
      <c r="BD1417" s="27">
        <v>0</v>
      </c>
      <c r="BE1417" s="87" t="s">
        <v>3124</v>
      </c>
      <c r="BF1417" s="87" t="s">
        <v>3125</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spans="3:75" ht="20.100000000000001" customHeight="1">
      <c r="C1418" s="18">
        <v>64100007</v>
      </c>
      <c r="D1418" s="17" t="s">
        <v>3115</v>
      </c>
      <c r="E1418" s="17" t="s">
        <v>3116</v>
      </c>
      <c r="F1418" s="18">
        <v>1</v>
      </c>
      <c r="G1418" s="12">
        <v>0</v>
      </c>
      <c r="H1418" s="18">
        <v>0</v>
      </c>
      <c r="I1418" s="27">
        <v>0</v>
      </c>
      <c r="J1418" s="16">
        <v>0</v>
      </c>
      <c r="K1418" s="18">
        <v>0</v>
      </c>
      <c r="L1418" s="18">
        <v>0</v>
      </c>
      <c r="M1418" s="16">
        <v>0</v>
      </c>
      <c r="N1418" s="16">
        <v>0</v>
      </c>
      <c r="O1418" s="16">
        <v>2</v>
      </c>
      <c r="P1418" s="16">
        <v>3</v>
      </c>
      <c r="Q1418" s="16">
        <v>0.2</v>
      </c>
      <c r="R1418" s="16">
        <v>0</v>
      </c>
      <c r="S1418" s="12">
        <v>0</v>
      </c>
      <c r="T1418" s="16">
        <v>0</v>
      </c>
      <c r="U1418" s="16">
        <v>1</v>
      </c>
      <c r="V1418" s="16">
        <v>2</v>
      </c>
      <c r="W1418" s="16">
        <v>0</v>
      </c>
      <c r="X1418" s="16">
        <v>3</v>
      </c>
      <c r="Y1418" s="12">
        <v>0</v>
      </c>
      <c r="Z1418" s="16">
        <v>0</v>
      </c>
      <c r="AA1418" s="16">
        <v>1</v>
      </c>
      <c r="AB1418" s="16">
        <v>0</v>
      </c>
      <c r="AC1418" s="16">
        <v>0</v>
      </c>
      <c r="AD1418" s="16">
        <v>0</v>
      </c>
      <c r="AE1418" s="16">
        <v>0</v>
      </c>
      <c r="AF1418" s="16">
        <v>8</v>
      </c>
      <c r="AG1418" s="16">
        <v>1</v>
      </c>
      <c r="AH1418" s="16">
        <v>3</v>
      </c>
      <c r="AI1418" s="12">
        <v>1</v>
      </c>
      <c r="AJ1418" s="12">
        <v>1</v>
      </c>
      <c r="AK1418" s="12">
        <v>0</v>
      </c>
      <c r="AL1418" s="12">
        <v>1.5</v>
      </c>
      <c r="AM1418" s="16">
        <v>0</v>
      </c>
      <c r="AN1418" s="16">
        <v>0</v>
      </c>
      <c r="AO1418" s="16">
        <v>0</v>
      </c>
      <c r="AP1418" s="16">
        <v>0</v>
      </c>
      <c r="AQ1418" s="16">
        <v>5000</v>
      </c>
      <c r="AR1418" s="16">
        <v>3</v>
      </c>
      <c r="AS1418" s="16">
        <v>0</v>
      </c>
      <c r="AT1418" s="12">
        <v>0</v>
      </c>
      <c r="AU1418" s="16" t="s">
        <v>198</v>
      </c>
      <c r="AV1418" s="16"/>
      <c r="AW1418" s="19" t="s">
        <v>199</v>
      </c>
      <c r="AX1418" s="16" t="s">
        <v>534</v>
      </c>
      <c r="AY1418" s="18">
        <v>10000011</v>
      </c>
      <c r="AZ1418" s="18">
        <v>70204001</v>
      </c>
      <c r="BA1418" s="17" t="s">
        <v>200</v>
      </c>
      <c r="BB1418" s="16" t="s">
        <v>3126</v>
      </c>
      <c r="BC1418" s="27">
        <v>0</v>
      </c>
      <c r="BD1418" s="27">
        <v>0</v>
      </c>
      <c r="BE1418" s="44" t="s">
        <v>3118</v>
      </c>
      <c r="BF1418" s="44" t="s">
        <v>3119</v>
      </c>
      <c r="BG1418" s="16">
        <v>0</v>
      </c>
      <c r="BH1418" s="16">
        <v>0</v>
      </c>
      <c r="BI1418" s="16">
        <v>0</v>
      </c>
      <c r="BJ1418" s="16">
        <v>0</v>
      </c>
      <c r="BK1418" s="16">
        <v>0</v>
      </c>
      <c r="BL1418" s="16">
        <v>0</v>
      </c>
      <c r="BM1418" s="15">
        <v>0</v>
      </c>
      <c r="BN1418" s="12">
        <v>0</v>
      </c>
      <c r="BO1418" s="12">
        <v>0</v>
      </c>
      <c r="BP1418" s="12">
        <v>0</v>
      </c>
      <c r="BQ1418" s="12">
        <v>0</v>
      </c>
      <c r="BR1418" s="12">
        <v>0</v>
      </c>
      <c r="BS1418" s="12">
        <v>0</v>
      </c>
      <c r="BT1418" s="12">
        <v>0</v>
      </c>
      <c r="BU1418" s="47">
        <v>0</v>
      </c>
      <c r="BV1418" s="47"/>
      <c r="BW1418" s="47"/>
    </row>
    <row r="1419" spans="3:75" ht="20.25" customHeight="1">
      <c r="C1419" s="18">
        <v>641000071</v>
      </c>
      <c r="D1419" s="19" t="s">
        <v>2800</v>
      </c>
      <c r="E1419" s="19" t="s">
        <v>2801</v>
      </c>
      <c r="F1419" s="18">
        <v>1</v>
      </c>
      <c r="G1419" s="12">
        <v>0</v>
      </c>
      <c r="H1419" s="18">
        <v>0</v>
      </c>
      <c r="I1419" s="27">
        <v>0</v>
      </c>
      <c r="J1419" s="16">
        <v>0</v>
      </c>
      <c r="K1419" s="18">
        <v>0</v>
      </c>
      <c r="L1419" s="16">
        <v>0</v>
      </c>
      <c r="M1419" s="18">
        <v>0</v>
      </c>
      <c r="N1419" s="18">
        <v>0</v>
      </c>
      <c r="O1419" s="18">
        <v>2</v>
      </c>
      <c r="P1419" s="18">
        <v>3</v>
      </c>
      <c r="Q1419" s="18">
        <v>0.3</v>
      </c>
      <c r="R1419" s="18">
        <v>0</v>
      </c>
      <c r="S1419" s="12">
        <v>1</v>
      </c>
      <c r="T1419" s="27">
        <v>0</v>
      </c>
      <c r="U1419" s="16">
        <v>1</v>
      </c>
      <c r="V1419" s="18">
        <v>1</v>
      </c>
      <c r="W1419" s="18">
        <v>0</v>
      </c>
      <c r="X1419" s="18">
        <v>3</v>
      </c>
      <c r="Y1419" s="12">
        <v>0</v>
      </c>
      <c r="Z1419" s="18">
        <v>0</v>
      </c>
      <c r="AA1419" s="18">
        <v>0</v>
      </c>
      <c r="AB1419" s="18">
        <v>0</v>
      </c>
      <c r="AC1419" s="18">
        <v>0</v>
      </c>
      <c r="AD1419" s="18">
        <v>1</v>
      </c>
      <c r="AE1419" s="18">
        <v>0</v>
      </c>
      <c r="AF1419" s="18">
        <v>15</v>
      </c>
      <c r="AG1419" s="18">
        <v>0</v>
      </c>
      <c r="AH1419" s="18">
        <v>3</v>
      </c>
      <c r="AI1419" s="12">
        <v>7</v>
      </c>
      <c r="AJ1419" s="12">
        <v>0</v>
      </c>
      <c r="AK1419" s="12">
        <v>1</v>
      </c>
      <c r="AL1419" s="12">
        <v>6</v>
      </c>
      <c r="AM1419" s="18">
        <v>0</v>
      </c>
      <c r="AN1419" s="18">
        <v>0</v>
      </c>
      <c r="AO1419" s="18">
        <v>0</v>
      </c>
      <c r="AP1419" s="18">
        <v>0</v>
      </c>
      <c r="AQ1419" s="18">
        <v>3000</v>
      </c>
      <c r="AR1419" s="18">
        <v>0.5</v>
      </c>
      <c r="AS1419" s="18">
        <v>20</v>
      </c>
      <c r="AT1419" s="12">
        <v>0</v>
      </c>
      <c r="AU1419" s="251">
        <v>0</v>
      </c>
      <c r="AV1419" s="252"/>
      <c r="AW1419" s="17" t="s">
        <v>242</v>
      </c>
      <c r="AX1419" s="18" t="s">
        <v>1695</v>
      </c>
      <c r="AY1419" s="18">
        <v>10000011</v>
      </c>
      <c r="AZ1419" s="18">
        <v>70204001</v>
      </c>
      <c r="BA1419" s="19" t="s">
        <v>250</v>
      </c>
      <c r="BB1419" s="19" t="s">
        <v>198</v>
      </c>
      <c r="BC1419" s="27">
        <v>0</v>
      </c>
      <c r="BD1419" s="27">
        <v>0</v>
      </c>
      <c r="BE1419" s="44" t="s">
        <v>3122</v>
      </c>
      <c r="BF1419" s="44" t="s">
        <v>3123</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row>
    <row r="1420" spans="3:75" ht="20.100000000000001" customHeight="1">
      <c r="C1420" s="18">
        <v>64100008</v>
      </c>
      <c r="D1420" s="17" t="s">
        <v>3127</v>
      </c>
      <c r="E1420" s="17" t="s">
        <v>3128</v>
      </c>
      <c r="F1420" s="18">
        <v>1</v>
      </c>
      <c r="G1420" s="16">
        <v>62021501</v>
      </c>
      <c r="H1420" s="16">
        <v>0</v>
      </c>
      <c r="I1420" s="27">
        <v>0</v>
      </c>
      <c r="J1420" s="16">
        <v>0</v>
      </c>
      <c r="K1420" s="16">
        <v>0</v>
      </c>
      <c r="L1420" s="18">
        <v>0</v>
      </c>
      <c r="M1420" s="16">
        <v>0</v>
      </c>
      <c r="N1420" s="16">
        <v>0</v>
      </c>
      <c r="O1420" s="16">
        <v>2</v>
      </c>
      <c r="P1420" s="16">
        <v>1</v>
      </c>
      <c r="Q1420" s="16">
        <v>0.2</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30</v>
      </c>
      <c r="AG1420" s="16">
        <v>0</v>
      </c>
      <c r="AH1420" s="16">
        <v>0</v>
      </c>
      <c r="AI1420" s="12">
        <v>2</v>
      </c>
      <c r="AJ1420" s="12">
        <v>2</v>
      </c>
      <c r="AK1420" s="12">
        <v>0</v>
      </c>
      <c r="AL1420" s="12">
        <v>1.5</v>
      </c>
      <c r="AM1420" s="16">
        <v>0</v>
      </c>
      <c r="AN1420" s="16">
        <v>0</v>
      </c>
      <c r="AO1420" s="16">
        <v>0</v>
      </c>
      <c r="AP1420" s="18">
        <v>0</v>
      </c>
      <c r="AQ1420" s="16">
        <v>3000</v>
      </c>
      <c r="AR1420" s="16">
        <v>0</v>
      </c>
      <c r="AS1420" s="16">
        <v>0</v>
      </c>
      <c r="AT1420" s="12">
        <v>0</v>
      </c>
      <c r="AU1420" s="16" t="s">
        <v>198</v>
      </c>
      <c r="AV1420" s="16"/>
      <c r="AW1420" s="17" t="s">
        <v>199</v>
      </c>
      <c r="AX1420" s="16" t="s">
        <v>545</v>
      </c>
      <c r="AY1420" s="18">
        <v>0</v>
      </c>
      <c r="AZ1420" s="18">
        <v>21101051</v>
      </c>
      <c r="BA1420" s="17" t="s">
        <v>1174</v>
      </c>
      <c r="BB1420" s="352" t="s">
        <v>3129</v>
      </c>
      <c r="BC1420" s="27">
        <v>0</v>
      </c>
      <c r="BD1420" s="27">
        <v>0</v>
      </c>
      <c r="BE1420" s="44" t="s">
        <v>3130</v>
      </c>
      <c r="BF1420" s="44" t="s">
        <v>3131</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row>
    <row r="1421" spans="3:75" ht="19.5" customHeight="1">
      <c r="C1421" s="18">
        <v>64100009</v>
      </c>
      <c r="D1421" s="19" t="s">
        <v>1781</v>
      </c>
      <c r="E1421" s="19" t="s">
        <v>1782</v>
      </c>
      <c r="F1421" s="16">
        <v>1</v>
      </c>
      <c r="G1421" s="18">
        <v>62021301</v>
      </c>
      <c r="H1421" s="18">
        <v>0</v>
      </c>
      <c r="I1421" s="27">
        <v>0</v>
      </c>
      <c r="J1421" s="16">
        <v>1</v>
      </c>
      <c r="K1421" s="18">
        <v>0</v>
      </c>
      <c r="L1421" s="16">
        <v>0</v>
      </c>
      <c r="M1421" s="18">
        <v>0</v>
      </c>
      <c r="N1421" s="18">
        <v>0</v>
      </c>
      <c r="O1421" s="18">
        <v>2</v>
      </c>
      <c r="P1421" s="18">
        <v>10</v>
      </c>
      <c r="Q1421" s="18">
        <v>0.8</v>
      </c>
      <c r="R1421" s="18">
        <v>0</v>
      </c>
      <c r="S1421" s="12">
        <v>0</v>
      </c>
      <c r="T1421" s="27">
        <v>0</v>
      </c>
      <c r="U1421" s="16">
        <v>1</v>
      </c>
      <c r="V1421" s="18">
        <v>2</v>
      </c>
      <c r="W1421" s="18">
        <v>0</v>
      </c>
      <c r="X1421" s="18">
        <v>2.5</v>
      </c>
      <c r="Y1421" s="12">
        <v>0</v>
      </c>
      <c r="Z1421" s="18">
        <v>1500</v>
      </c>
      <c r="AA1421" s="18">
        <v>0</v>
      </c>
      <c r="AB1421" s="18">
        <v>0</v>
      </c>
      <c r="AC1421" s="18">
        <v>0</v>
      </c>
      <c r="AD1421" s="18">
        <v>0</v>
      </c>
      <c r="AE1421" s="18">
        <v>0</v>
      </c>
      <c r="AF1421" s="18">
        <v>5</v>
      </c>
      <c r="AG1421" s="18">
        <v>1</v>
      </c>
      <c r="AH1421" s="18">
        <v>2</v>
      </c>
      <c r="AI1421" s="12">
        <v>2</v>
      </c>
      <c r="AJ1421" s="12">
        <v>2</v>
      </c>
      <c r="AK1421" s="12">
        <v>0</v>
      </c>
      <c r="AL1421" s="12">
        <v>4</v>
      </c>
      <c r="AM1421" s="18">
        <v>0</v>
      </c>
      <c r="AN1421" s="18">
        <v>0</v>
      </c>
      <c r="AO1421" s="18">
        <v>0</v>
      </c>
      <c r="AP1421" s="18">
        <v>0</v>
      </c>
      <c r="AQ1421" s="18">
        <v>30000</v>
      </c>
      <c r="AR1421" s="18">
        <v>0.5</v>
      </c>
      <c r="AS1421" s="18">
        <v>10</v>
      </c>
      <c r="AT1421" s="12">
        <v>0</v>
      </c>
      <c r="AU1421" s="18">
        <v>92002001</v>
      </c>
      <c r="AV1421" s="18"/>
      <c r="AW1421" s="19" t="s">
        <v>199</v>
      </c>
      <c r="AX1421" s="18" t="s">
        <v>545</v>
      </c>
      <c r="AY1421" s="18">
        <v>10003002</v>
      </c>
      <c r="AZ1421" s="18">
        <v>70204006</v>
      </c>
      <c r="BA1421" s="19" t="s">
        <v>586</v>
      </c>
      <c r="BB1421" s="19">
        <v>0</v>
      </c>
      <c r="BC1421" s="27">
        <v>0</v>
      </c>
      <c r="BD1421" s="27">
        <v>0</v>
      </c>
      <c r="BE1421" s="183" t="str">
        <f t="shared" ref="BE1421" si="148">"立即对指定前方区域释放冲击波,冲击波对触碰的怪物造成"&amp;X1421*100&amp;"%攻击伤害+"&amp;Z1421&amp;"点固定伤害"</f>
        <v>立即对指定前方区域释放冲击波,冲击波对触碰的怪物造成250%攻击伤害+1500点固定伤害</v>
      </c>
      <c r="BF1421" s="183" t="s">
        <v>1783</v>
      </c>
      <c r="BG1421" s="18">
        <v>0</v>
      </c>
      <c r="BH1421" s="16">
        <v>0</v>
      </c>
      <c r="BI1421" s="18">
        <v>0</v>
      </c>
      <c r="BJ1421" s="18">
        <v>0</v>
      </c>
      <c r="BK1421" s="18">
        <v>0</v>
      </c>
      <c r="BL1421" s="18">
        <v>0</v>
      </c>
      <c r="BM1421" s="15">
        <v>0</v>
      </c>
      <c r="BN1421" s="12">
        <v>0</v>
      </c>
      <c r="BO1421" s="12">
        <v>0</v>
      </c>
      <c r="BP1421" s="12">
        <v>0</v>
      </c>
      <c r="BQ1421" s="12">
        <v>0</v>
      </c>
      <c r="BR1421" s="12">
        <v>0</v>
      </c>
      <c r="BS1421" s="12">
        <v>0</v>
      </c>
      <c r="BT1421" s="12">
        <v>0</v>
      </c>
      <c r="BU1421" s="47">
        <v>0</v>
      </c>
      <c r="BV1421" s="47"/>
      <c r="BW1421" s="47"/>
    </row>
    <row r="1422" spans="3:75" ht="19.5" customHeight="1">
      <c r="C1422" s="18">
        <v>64100010</v>
      </c>
      <c r="D1422" s="19" t="s">
        <v>1784</v>
      </c>
      <c r="E1422" s="19" t="s">
        <v>1785</v>
      </c>
      <c r="F1422" s="16">
        <v>1</v>
      </c>
      <c r="G1422" s="18">
        <v>62011101</v>
      </c>
      <c r="H1422" s="16">
        <v>0</v>
      </c>
      <c r="I1422" s="27">
        <v>0</v>
      </c>
      <c r="J1422" s="16">
        <v>1</v>
      </c>
      <c r="K1422" s="16">
        <v>0</v>
      </c>
      <c r="L1422" s="16">
        <v>0</v>
      </c>
      <c r="M1422" s="18">
        <v>0</v>
      </c>
      <c r="N1422" s="18">
        <v>0</v>
      </c>
      <c r="O1422" s="18">
        <v>2</v>
      </c>
      <c r="P1422" s="18">
        <v>10</v>
      </c>
      <c r="Q1422" s="18">
        <v>0.8</v>
      </c>
      <c r="R1422" s="18">
        <v>0</v>
      </c>
      <c r="S1422" s="12">
        <v>0</v>
      </c>
      <c r="T1422" s="27">
        <v>0</v>
      </c>
      <c r="U1422" s="16">
        <v>1</v>
      </c>
      <c r="V1422" s="18">
        <v>2</v>
      </c>
      <c r="W1422" s="18">
        <v>0</v>
      </c>
      <c r="X1422" s="18">
        <v>2.5</v>
      </c>
      <c r="Y1422" s="12">
        <v>0</v>
      </c>
      <c r="Z1422" s="18">
        <v>1000</v>
      </c>
      <c r="AA1422" s="18">
        <v>0</v>
      </c>
      <c r="AB1422" s="18">
        <v>0</v>
      </c>
      <c r="AC1422" s="18">
        <v>0</v>
      </c>
      <c r="AD1422" s="18">
        <v>0</v>
      </c>
      <c r="AE1422" s="18">
        <v>0</v>
      </c>
      <c r="AF1422" s="18">
        <v>8</v>
      </c>
      <c r="AG1422" s="18">
        <v>1</v>
      </c>
      <c r="AH1422" s="18">
        <v>3</v>
      </c>
      <c r="AI1422" s="12">
        <v>2</v>
      </c>
      <c r="AJ1422" s="12">
        <v>1</v>
      </c>
      <c r="AK1422" s="12">
        <v>0</v>
      </c>
      <c r="AL1422" s="12">
        <v>6</v>
      </c>
      <c r="AM1422" s="18">
        <v>0</v>
      </c>
      <c r="AN1422" s="18">
        <v>0</v>
      </c>
      <c r="AO1422" s="18">
        <v>0</v>
      </c>
      <c r="AP1422" s="18">
        <v>0.25</v>
      </c>
      <c r="AQ1422" s="18">
        <v>3000</v>
      </c>
      <c r="AR1422" s="18">
        <v>0.5</v>
      </c>
      <c r="AS1422" s="18">
        <v>0</v>
      </c>
      <c r="AT1422" s="12">
        <v>0</v>
      </c>
      <c r="AU1422" s="18">
        <v>0</v>
      </c>
      <c r="AV1422" s="18"/>
      <c r="AW1422" s="19" t="s">
        <v>199</v>
      </c>
      <c r="AX1422" s="18" t="s">
        <v>1695</v>
      </c>
      <c r="AY1422" s="18">
        <v>10000006</v>
      </c>
      <c r="AZ1422" s="18">
        <v>21100010</v>
      </c>
      <c r="BA1422" s="19" t="s">
        <v>200</v>
      </c>
      <c r="BB1422" s="19">
        <v>0</v>
      </c>
      <c r="BC1422" s="27">
        <v>0</v>
      </c>
      <c r="BD1422" s="27">
        <v>0</v>
      </c>
      <c r="BE1422" s="183" t="str">
        <f t="shared" ref="BE1422" si="149">"立即对目标范围内的怪物造成"&amp;X1422*100&amp;"%攻击伤害+"&amp;Z1422&amp;"点固定伤害"</f>
        <v>立即对目标范围内的怪物造成250%攻击伤害+1000点固定伤害</v>
      </c>
      <c r="BF1422" s="183" t="s">
        <v>3132</v>
      </c>
      <c r="BG1422" s="18">
        <v>0</v>
      </c>
      <c r="BH1422" s="16">
        <v>0</v>
      </c>
      <c r="BI1422" s="18">
        <v>0</v>
      </c>
      <c r="BJ1422" s="18">
        <v>0</v>
      </c>
      <c r="BK1422" s="18">
        <v>0</v>
      </c>
      <c r="BL1422" s="18">
        <v>0</v>
      </c>
      <c r="BM1422" s="15">
        <v>0</v>
      </c>
      <c r="BN1422" s="12">
        <v>0</v>
      </c>
      <c r="BO1422" s="12">
        <v>0</v>
      </c>
      <c r="BP1422" s="12">
        <v>0</v>
      </c>
      <c r="BQ1422" s="12">
        <v>0</v>
      </c>
      <c r="BR1422" s="12">
        <v>0</v>
      </c>
      <c r="BS1422" s="12">
        <v>0</v>
      </c>
      <c r="BT1422" s="12">
        <v>0</v>
      </c>
      <c r="BU1422" s="47">
        <v>0</v>
      </c>
      <c r="BV1422" s="47"/>
      <c r="BW1422" s="47"/>
    </row>
    <row r="1423" spans="3:75" ht="20.100000000000001" customHeight="1">
      <c r="C1423" s="18">
        <v>64100011</v>
      </c>
      <c r="D1423" s="17" t="s">
        <v>2055</v>
      </c>
      <c r="E1423" s="17" t="s">
        <v>2056</v>
      </c>
      <c r="F1423" s="16">
        <v>1</v>
      </c>
      <c r="G1423" s="16">
        <v>60010500</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213</v>
      </c>
      <c r="AI1423" s="12">
        <v>2</v>
      </c>
      <c r="AJ1423" s="12">
        <v>2</v>
      </c>
      <c r="AK1423" s="12">
        <v>0</v>
      </c>
      <c r="AL1423" s="12">
        <v>1.5</v>
      </c>
      <c r="AM1423" s="16">
        <v>0</v>
      </c>
      <c r="AN1423" s="16">
        <v>0</v>
      </c>
      <c r="AO1423" s="16">
        <v>0</v>
      </c>
      <c r="AP1423" s="16">
        <v>0</v>
      </c>
      <c r="AQ1423" s="16">
        <v>3000</v>
      </c>
      <c r="AR1423" s="16">
        <v>0.5</v>
      </c>
      <c r="AS1423" s="16">
        <v>0</v>
      </c>
      <c r="AT1423" s="12">
        <v>0</v>
      </c>
      <c r="AU1423" s="16" t="s">
        <v>198</v>
      </c>
      <c r="AV1423" s="16"/>
      <c r="AW1423" s="17" t="s">
        <v>199</v>
      </c>
      <c r="AX1423" s="16">
        <v>0</v>
      </c>
      <c r="AY1423" s="18">
        <v>0</v>
      </c>
      <c r="AZ1423" s="18">
        <v>0</v>
      </c>
      <c r="BA1423" s="17" t="s">
        <v>200</v>
      </c>
      <c r="BB1423" s="16" t="s">
        <v>2057</v>
      </c>
      <c r="BC1423" s="27">
        <v>0</v>
      </c>
      <c r="BD1423" s="27">
        <v>0</v>
      </c>
      <c r="BE1423" s="44" t="s">
        <v>2058</v>
      </c>
      <c r="BF1423" s="44" t="s">
        <v>2059</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row>
    <row r="1424" spans="3:75" ht="20.100000000000001" customHeight="1">
      <c r="C1424" s="18">
        <v>64100012</v>
      </c>
      <c r="D1424" s="17" t="s">
        <v>2060</v>
      </c>
      <c r="E1424" s="17" t="s">
        <v>2061</v>
      </c>
      <c r="F1424" s="16">
        <v>1</v>
      </c>
      <c r="G1424" s="16">
        <v>60010500</v>
      </c>
      <c r="H1424" s="18">
        <v>0</v>
      </c>
      <c r="I1424" s="27">
        <v>0</v>
      </c>
      <c r="J1424" s="18">
        <v>1</v>
      </c>
      <c r="K1424" s="18">
        <v>0</v>
      </c>
      <c r="L1424" s="18">
        <v>0</v>
      </c>
      <c r="M1424" s="16">
        <v>0</v>
      </c>
      <c r="N1424" s="16">
        <v>0</v>
      </c>
      <c r="O1424" s="16">
        <v>5</v>
      </c>
      <c r="P1424" s="16">
        <v>0</v>
      </c>
      <c r="Q1424" s="16">
        <v>0</v>
      </c>
      <c r="R1424" s="16">
        <v>0</v>
      </c>
      <c r="S1424" s="12">
        <v>0</v>
      </c>
      <c r="T1424" s="16">
        <v>0</v>
      </c>
      <c r="U1424" s="16">
        <v>1</v>
      </c>
      <c r="V1424" s="16">
        <v>2</v>
      </c>
      <c r="W1424" s="16">
        <v>0</v>
      </c>
      <c r="X1424" s="16">
        <v>0</v>
      </c>
      <c r="Y1424" s="12">
        <v>0</v>
      </c>
      <c r="Z1424" s="16">
        <v>0</v>
      </c>
      <c r="AA1424" s="16">
        <v>0</v>
      </c>
      <c r="AB1424" s="16">
        <v>0</v>
      </c>
      <c r="AC1424" s="16">
        <v>0</v>
      </c>
      <c r="AD1424" s="16">
        <v>0</v>
      </c>
      <c r="AE1424" s="16">
        <v>0</v>
      </c>
      <c r="AF1424" s="16">
        <v>9</v>
      </c>
      <c r="AG1424" s="16">
        <v>2</v>
      </c>
      <c r="AH1424" s="16" t="s">
        <v>213</v>
      </c>
      <c r="AI1424" s="12">
        <v>2</v>
      </c>
      <c r="AJ1424" s="12">
        <v>2</v>
      </c>
      <c r="AK1424" s="12">
        <v>0</v>
      </c>
      <c r="AL1424" s="12">
        <v>1.5</v>
      </c>
      <c r="AM1424" s="16">
        <v>0</v>
      </c>
      <c r="AN1424" s="16">
        <v>0</v>
      </c>
      <c r="AO1424" s="16">
        <v>0</v>
      </c>
      <c r="AP1424" s="16">
        <v>0</v>
      </c>
      <c r="AQ1424" s="16">
        <v>3000</v>
      </c>
      <c r="AR1424" s="16">
        <v>0.5</v>
      </c>
      <c r="AS1424" s="16">
        <v>0</v>
      </c>
      <c r="AT1424" s="12">
        <v>0</v>
      </c>
      <c r="AU1424" s="16" t="s">
        <v>198</v>
      </c>
      <c r="AV1424" s="16"/>
      <c r="AW1424" s="17" t="s">
        <v>199</v>
      </c>
      <c r="AX1424" s="16">
        <v>0</v>
      </c>
      <c r="AY1424" s="18">
        <v>0</v>
      </c>
      <c r="AZ1424" s="18">
        <v>0</v>
      </c>
      <c r="BA1424" s="17" t="s">
        <v>200</v>
      </c>
      <c r="BB1424" s="16" t="s">
        <v>2062</v>
      </c>
      <c r="BC1424" s="27">
        <v>0</v>
      </c>
      <c r="BD1424" s="27">
        <v>0</v>
      </c>
      <c r="BE1424" s="44" t="s">
        <v>2063</v>
      </c>
      <c r="BF1424" s="44" t="s">
        <v>2064</v>
      </c>
      <c r="BG1424" s="16"/>
      <c r="BH1424" s="16">
        <v>0</v>
      </c>
      <c r="BI1424" s="16"/>
      <c r="BJ1424" s="16"/>
      <c r="BK1424" s="16"/>
      <c r="BL1424" s="18"/>
      <c r="BM1424" s="16">
        <v>0</v>
      </c>
      <c r="BN1424" s="12">
        <v>0</v>
      </c>
      <c r="BO1424" s="12">
        <v>0</v>
      </c>
      <c r="BP1424" s="12">
        <v>0</v>
      </c>
      <c r="BQ1424" s="12">
        <v>0</v>
      </c>
      <c r="BR1424" s="12">
        <v>0</v>
      </c>
      <c r="BS1424" s="12">
        <v>0</v>
      </c>
      <c r="BT1424" s="12">
        <v>0</v>
      </c>
      <c r="BU1424" s="47">
        <v>0</v>
      </c>
      <c r="BV1424" s="47"/>
      <c r="BW1424" s="47"/>
    </row>
    <row r="1425" spans="3:75" ht="20.100000000000001" customHeight="1">
      <c r="C1425" s="18">
        <v>64100013</v>
      </c>
      <c r="D1425" s="17" t="s">
        <v>1787</v>
      </c>
      <c r="E1425" s="17" t="s">
        <v>1788</v>
      </c>
      <c r="F1425" s="16">
        <v>1</v>
      </c>
      <c r="G1425" s="16">
        <v>60010500</v>
      </c>
      <c r="H1425" s="18">
        <v>0</v>
      </c>
      <c r="I1425" s="27">
        <v>0</v>
      </c>
      <c r="J1425" s="18">
        <v>1</v>
      </c>
      <c r="K1425" s="18">
        <v>0</v>
      </c>
      <c r="L1425" s="18">
        <v>0</v>
      </c>
      <c r="M1425" s="16">
        <v>0</v>
      </c>
      <c r="N1425" s="16">
        <v>0</v>
      </c>
      <c r="O1425" s="16">
        <v>5</v>
      </c>
      <c r="P1425" s="16">
        <v>0</v>
      </c>
      <c r="Q1425" s="16">
        <v>0</v>
      </c>
      <c r="R1425" s="16">
        <v>0</v>
      </c>
      <c r="S1425" s="12">
        <v>0</v>
      </c>
      <c r="T1425" s="16">
        <v>0</v>
      </c>
      <c r="U1425" s="16">
        <v>1</v>
      </c>
      <c r="V1425" s="16">
        <v>2</v>
      </c>
      <c r="W1425" s="16">
        <v>0</v>
      </c>
      <c r="X1425" s="16">
        <v>0</v>
      </c>
      <c r="Y1425" s="12">
        <v>0</v>
      </c>
      <c r="Z1425" s="16">
        <v>0</v>
      </c>
      <c r="AA1425" s="16">
        <v>0</v>
      </c>
      <c r="AB1425" s="16">
        <v>0</v>
      </c>
      <c r="AC1425" s="16">
        <v>0</v>
      </c>
      <c r="AD1425" s="16">
        <v>0</v>
      </c>
      <c r="AE1425" s="16">
        <v>0</v>
      </c>
      <c r="AF1425" s="16">
        <v>9</v>
      </c>
      <c r="AG1425" s="16">
        <v>2</v>
      </c>
      <c r="AH1425" s="16" t="s">
        <v>213</v>
      </c>
      <c r="AI1425" s="12">
        <v>2</v>
      </c>
      <c r="AJ1425" s="12">
        <v>2</v>
      </c>
      <c r="AK1425" s="12">
        <v>0</v>
      </c>
      <c r="AL1425" s="12">
        <v>1.5</v>
      </c>
      <c r="AM1425" s="16">
        <v>0</v>
      </c>
      <c r="AN1425" s="16">
        <v>0</v>
      </c>
      <c r="AO1425" s="16">
        <v>0</v>
      </c>
      <c r="AP1425" s="16">
        <v>0</v>
      </c>
      <c r="AQ1425" s="16">
        <v>3000</v>
      </c>
      <c r="AR1425" s="16">
        <v>0</v>
      </c>
      <c r="AS1425" s="16">
        <v>0</v>
      </c>
      <c r="AT1425" s="12">
        <v>0</v>
      </c>
      <c r="AU1425" s="16" t="s">
        <v>198</v>
      </c>
      <c r="AV1425" s="16"/>
      <c r="AW1425" s="17" t="s">
        <v>199</v>
      </c>
      <c r="AX1425" s="16">
        <v>0</v>
      </c>
      <c r="AY1425" s="18">
        <v>0</v>
      </c>
      <c r="AZ1425" s="18">
        <v>0</v>
      </c>
      <c r="BA1425" s="17" t="s">
        <v>200</v>
      </c>
      <c r="BB1425" s="16" t="s">
        <v>3133</v>
      </c>
      <c r="BC1425" s="27">
        <v>0</v>
      </c>
      <c r="BD1425" s="27">
        <v>0</v>
      </c>
      <c r="BE1425" s="44" t="s">
        <v>1940</v>
      </c>
      <c r="BF1425" s="44" t="s">
        <v>1941</v>
      </c>
      <c r="BG1425" s="16"/>
      <c r="BH1425" s="16">
        <v>0</v>
      </c>
      <c r="BI1425" s="16"/>
      <c r="BJ1425" s="16"/>
      <c r="BK1425" s="16"/>
      <c r="BL1425" s="18"/>
      <c r="BM1425" s="16">
        <v>0</v>
      </c>
      <c r="BN1425" s="12">
        <v>0</v>
      </c>
      <c r="BO1425" s="12">
        <v>0</v>
      </c>
      <c r="BP1425" s="12">
        <v>0</v>
      </c>
      <c r="BQ1425" s="12">
        <v>0</v>
      </c>
      <c r="BR1425" s="12">
        <v>0</v>
      </c>
      <c r="BS1425" s="12">
        <v>0</v>
      </c>
      <c r="BT1425" s="12">
        <v>0</v>
      </c>
      <c r="BU1425" s="47">
        <v>0</v>
      </c>
      <c r="BV1425" s="47"/>
      <c r="BW1425" s="47"/>
    </row>
    <row r="1426" spans="3:75" ht="20.100000000000001" customHeight="1">
      <c r="C1426" s="18">
        <v>64100014</v>
      </c>
      <c r="D1426" s="17" t="s">
        <v>1787</v>
      </c>
      <c r="E1426" s="17" t="s">
        <v>1788</v>
      </c>
      <c r="F1426" s="16">
        <v>1</v>
      </c>
      <c r="G1426" s="16">
        <v>60011301</v>
      </c>
      <c r="H1426" s="18">
        <v>0</v>
      </c>
      <c r="I1426" s="27">
        <v>0</v>
      </c>
      <c r="J1426" s="18">
        <v>1</v>
      </c>
      <c r="K1426" s="18">
        <v>0</v>
      </c>
      <c r="L1426" s="18">
        <v>0</v>
      </c>
      <c r="M1426" s="16">
        <v>0</v>
      </c>
      <c r="N1426" s="16">
        <v>0</v>
      </c>
      <c r="O1426" s="16">
        <v>5</v>
      </c>
      <c r="P1426" s="16">
        <v>0</v>
      </c>
      <c r="Q1426" s="16">
        <v>0</v>
      </c>
      <c r="R1426" s="16">
        <v>0</v>
      </c>
      <c r="S1426" s="12">
        <v>0</v>
      </c>
      <c r="T1426" s="16">
        <v>0</v>
      </c>
      <c r="U1426" s="16">
        <v>1</v>
      </c>
      <c r="V1426" s="16">
        <v>2</v>
      </c>
      <c r="W1426" s="16">
        <v>0</v>
      </c>
      <c r="X1426" s="16">
        <v>0</v>
      </c>
      <c r="Y1426" s="12">
        <v>0</v>
      </c>
      <c r="Z1426" s="16">
        <v>0</v>
      </c>
      <c r="AA1426" s="16">
        <v>0</v>
      </c>
      <c r="AB1426" s="16">
        <v>0</v>
      </c>
      <c r="AC1426" s="16">
        <v>0</v>
      </c>
      <c r="AD1426" s="16">
        <v>0</v>
      </c>
      <c r="AE1426" s="16">
        <v>0</v>
      </c>
      <c r="AF1426" s="16">
        <v>9</v>
      </c>
      <c r="AG1426" s="16">
        <v>2</v>
      </c>
      <c r="AH1426" s="16" t="s">
        <v>213</v>
      </c>
      <c r="AI1426" s="12">
        <v>2</v>
      </c>
      <c r="AJ1426" s="12">
        <v>2</v>
      </c>
      <c r="AK1426" s="12">
        <v>0</v>
      </c>
      <c r="AL1426" s="12">
        <v>1.5</v>
      </c>
      <c r="AM1426" s="16">
        <v>0</v>
      </c>
      <c r="AN1426" s="16">
        <v>0</v>
      </c>
      <c r="AO1426" s="16">
        <v>0</v>
      </c>
      <c r="AP1426" s="16">
        <v>0</v>
      </c>
      <c r="AQ1426" s="16">
        <v>3000</v>
      </c>
      <c r="AR1426" s="16">
        <v>0</v>
      </c>
      <c r="AS1426" s="16">
        <v>0</v>
      </c>
      <c r="AT1426" s="12">
        <v>0</v>
      </c>
      <c r="AU1426" s="16" t="s">
        <v>198</v>
      </c>
      <c r="AV1426" s="16"/>
      <c r="AW1426" s="17" t="s">
        <v>199</v>
      </c>
      <c r="AX1426" s="16">
        <v>0</v>
      </c>
      <c r="AY1426" s="18">
        <v>0</v>
      </c>
      <c r="AZ1426" s="18">
        <v>0</v>
      </c>
      <c r="BA1426" s="17" t="s">
        <v>200</v>
      </c>
      <c r="BB1426" s="16" t="s">
        <v>3134</v>
      </c>
      <c r="BC1426" s="27">
        <v>0</v>
      </c>
      <c r="BD1426" s="27">
        <v>0</v>
      </c>
      <c r="BE1426" s="44" t="s">
        <v>2173</v>
      </c>
      <c r="BF1426" s="44" t="s">
        <v>2174</v>
      </c>
      <c r="BG1426" s="16"/>
      <c r="BH1426" s="16">
        <v>0</v>
      </c>
      <c r="BI1426" s="16"/>
      <c r="BJ1426" s="16"/>
      <c r="BK1426" s="16"/>
      <c r="BL1426" s="18"/>
      <c r="BM1426" s="16">
        <v>0</v>
      </c>
      <c r="BN1426" s="12">
        <v>0</v>
      </c>
      <c r="BO1426" s="12">
        <v>0</v>
      </c>
      <c r="BP1426" s="12">
        <v>0</v>
      </c>
      <c r="BQ1426" s="12">
        <v>0</v>
      </c>
      <c r="BR1426" s="12">
        <v>0</v>
      </c>
      <c r="BS1426" s="12">
        <v>0</v>
      </c>
      <c r="BT1426" s="12">
        <v>0</v>
      </c>
      <c r="BU1426" s="47">
        <v>0</v>
      </c>
      <c r="BV1426" s="47"/>
      <c r="BW1426" s="47"/>
    </row>
    <row r="1427" spans="3:75" ht="20.100000000000001" customHeight="1">
      <c r="C1427" s="30">
        <v>65000001</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95000001</v>
      </c>
      <c r="AU1427" s="30" t="s">
        <v>198</v>
      </c>
      <c r="AV1427" s="30"/>
      <c r="AW1427" s="38" t="s">
        <v>199</v>
      </c>
      <c r="AX1427" s="30" t="s">
        <v>3135</v>
      </c>
      <c r="AY1427" s="30">
        <v>0</v>
      </c>
      <c r="AZ1427" s="30">
        <v>40000003</v>
      </c>
      <c r="BA1427" s="38" t="s">
        <v>200</v>
      </c>
      <c r="BB1427" s="38" t="s">
        <v>198</v>
      </c>
      <c r="BC1427" s="30">
        <v>0</v>
      </c>
      <c r="BD1427" s="30">
        <v>0</v>
      </c>
      <c r="BE1427" s="227"/>
      <c r="BF1427" s="227"/>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30">
        <v>65000002</v>
      </c>
      <c r="D1428" s="38" t="s">
        <v>1466</v>
      </c>
      <c r="E1428" s="38" t="s">
        <v>1467</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95000002</v>
      </c>
      <c r="AU1428" s="30" t="s">
        <v>198</v>
      </c>
      <c r="AV1428" s="30"/>
      <c r="AW1428" s="38" t="s">
        <v>199</v>
      </c>
      <c r="AX1428" s="30" t="s">
        <v>3135</v>
      </c>
      <c r="AY1428" s="30">
        <v>0</v>
      </c>
      <c r="AZ1428" s="30">
        <v>40000003</v>
      </c>
      <c r="BA1428" s="38" t="s">
        <v>200</v>
      </c>
      <c r="BB1428" s="38" t="s">
        <v>198</v>
      </c>
      <c r="BC1428" s="30">
        <v>0</v>
      </c>
      <c r="BD1428" s="30">
        <v>0</v>
      </c>
      <c r="BE1428" s="227"/>
      <c r="BF1428" s="227"/>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row>
    <row r="1429" spans="3:75" ht="20.100000000000001" customHeight="1">
      <c r="C1429" s="30">
        <v>65000003</v>
      </c>
      <c r="D1429" s="38" t="s">
        <v>1466</v>
      </c>
      <c r="E1429" s="38" t="s">
        <v>1467</v>
      </c>
      <c r="F1429" s="30">
        <v>1</v>
      </c>
      <c r="G1429" s="30">
        <v>0</v>
      </c>
      <c r="H1429" s="30">
        <v>0</v>
      </c>
      <c r="I1429" s="30">
        <v>0</v>
      </c>
      <c r="J1429" s="30">
        <v>1</v>
      </c>
      <c r="K1429" s="30">
        <v>0</v>
      </c>
      <c r="L1429" s="30">
        <v>0</v>
      </c>
      <c r="M1429" s="30">
        <v>0</v>
      </c>
      <c r="N1429" s="30">
        <v>0</v>
      </c>
      <c r="O1429" s="30">
        <v>2</v>
      </c>
      <c r="P1429" s="30">
        <v>0</v>
      </c>
      <c r="Q1429" s="30">
        <v>0</v>
      </c>
      <c r="R1429" s="30">
        <v>0</v>
      </c>
      <c r="S1429" s="30">
        <v>0</v>
      </c>
      <c r="T1429" s="30">
        <v>0</v>
      </c>
      <c r="U1429" s="30">
        <v>1</v>
      </c>
      <c r="V1429" s="30">
        <v>2</v>
      </c>
      <c r="W1429" s="30">
        <v>0</v>
      </c>
      <c r="X1429" s="30">
        <v>0</v>
      </c>
      <c r="Y1429" s="12">
        <v>0</v>
      </c>
      <c r="Z1429" s="30">
        <v>0</v>
      </c>
      <c r="AA1429" s="30">
        <v>0</v>
      </c>
      <c r="AB1429" s="30">
        <v>0</v>
      </c>
      <c r="AC1429" s="30">
        <v>0</v>
      </c>
      <c r="AD1429" s="30">
        <v>1</v>
      </c>
      <c r="AE1429" s="30">
        <v>0</v>
      </c>
      <c r="AF1429" s="30">
        <v>18</v>
      </c>
      <c r="AG1429" s="30">
        <v>0</v>
      </c>
      <c r="AH1429" s="30">
        <v>0</v>
      </c>
      <c r="AI1429" s="30">
        <v>2</v>
      </c>
      <c r="AJ1429" s="30">
        <v>0</v>
      </c>
      <c r="AK1429" s="30">
        <v>0</v>
      </c>
      <c r="AL1429" s="30">
        <v>0</v>
      </c>
      <c r="AM1429" s="30">
        <v>0</v>
      </c>
      <c r="AN1429" s="30">
        <v>0</v>
      </c>
      <c r="AO1429" s="30">
        <v>0</v>
      </c>
      <c r="AP1429" s="30">
        <v>0</v>
      </c>
      <c r="AQ1429" s="30">
        <v>1000</v>
      </c>
      <c r="AR1429" s="30">
        <v>0</v>
      </c>
      <c r="AS1429" s="30">
        <v>0</v>
      </c>
      <c r="AT1429" s="30">
        <v>95000003</v>
      </c>
      <c r="AU1429" s="30" t="s">
        <v>198</v>
      </c>
      <c r="AV1429" s="30"/>
      <c r="AW1429" s="38" t="s">
        <v>199</v>
      </c>
      <c r="AX1429" s="30" t="s">
        <v>3135</v>
      </c>
      <c r="AY1429" s="30">
        <v>0</v>
      </c>
      <c r="AZ1429" s="30">
        <v>40000003</v>
      </c>
      <c r="BA1429" s="38" t="s">
        <v>200</v>
      </c>
      <c r="BB1429" s="38" t="s">
        <v>198</v>
      </c>
      <c r="BC1429" s="30">
        <v>0</v>
      </c>
      <c r="BD1429" s="30">
        <v>0</v>
      </c>
      <c r="BE1429" s="227"/>
      <c r="BF1429" s="227"/>
      <c r="BG1429" s="30">
        <v>0</v>
      </c>
      <c r="BH1429" s="30">
        <v>0</v>
      </c>
      <c r="BI1429" s="30">
        <v>0</v>
      </c>
      <c r="BJ1429" s="30">
        <v>0</v>
      </c>
      <c r="BK1429" s="30">
        <v>0</v>
      </c>
      <c r="BL1429" s="30">
        <v>0</v>
      </c>
      <c r="BM1429" s="21">
        <v>0</v>
      </c>
      <c r="BN1429" s="30">
        <v>0</v>
      </c>
      <c r="BO1429" s="12">
        <v>0</v>
      </c>
      <c r="BP1429" s="12">
        <v>0</v>
      </c>
      <c r="BQ1429" s="12">
        <v>0</v>
      </c>
      <c r="BR1429" s="12">
        <v>0</v>
      </c>
      <c r="BS1429" s="12">
        <v>0</v>
      </c>
      <c r="BT1429" s="12">
        <v>0</v>
      </c>
      <c r="BU1429" s="47">
        <v>0</v>
      </c>
      <c r="BV1429" s="47"/>
      <c r="BW1429" s="47"/>
    </row>
    <row r="1430" spans="3:75" ht="20.100000000000001" customHeight="1">
      <c r="C1430" s="30">
        <v>65000004</v>
      </c>
      <c r="D1430" s="38" t="s">
        <v>1466</v>
      </c>
      <c r="E1430" s="38" t="s">
        <v>1467</v>
      </c>
      <c r="F1430" s="30">
        <v>1</v>
      </c>
      <c r="G1430" s="30">
        <v>0</v>
      </c>
      <c r="H1430" s="30">
        <v>0</v>
      </c>
      <c r="I1430" s="30">
        <v>0</v>
      </c>
      <c r="J1430" s="30">
        <v>1</v>
      </c>
      <c r="K1430" s="30">
        <v>0</v>
      </c>
      <c r="L1430" s="30">
        <v>0</v>
      </c>
      <c r="M1430" s="30">
        <v>0</v>
      </c>
      <c r="N1430" s="30">
        <v>0</v>
      </c>
      <c r="O1430" s="30">
        <v>2</v>
      </c>
      <c r="P1430" s="30">
        <v>0</v>
      </c>
      <c r="Q1430" s="30">
        <v>0</v>
      </c>
      <c r="R1430" s="30">
        <v>0</v>
      </c>
      <c r="S1430" s="30">
        <v>0</v>
      </c>
      <c r="T1430" s="30">
        <v>0</v>
      </c>
      <c r="U1430" s="30">
        <v>1</v>
      </c>
      <c r="V1430" s="30">
        <v>2</v>
      </c>
      <c r="W1430" s="30">
        <v>0</v>
      </c>
      <c r="X1430" s="30">
        <v>0</v>
      </c>
      <c r="Y1430" s="12">
        <v>0</v>
      </c>
      <c r="Z1430" s="30">
        <v>0</v>
      </c>
      <c r="AA1430" s="30">
        <v>0</v>
      </c>
      <c r="AB1430" s="30">
        <v>0</v>
      </c>
      <c r="AC1430" s="30">
        <v>0</v>
      </c>
      <c r="AD1430" s="30">
        <v>1</v>
      </c>
      <c r="AE1430" s="30">
        <v>0</v>
      </c>
      <c r="AF1430" s="30">
        <v>18</v>
      </c>
      <c r="AG1430" s="30">
        <v>0</v>
      </c>
      <c r="AH1430" s="30">
        <v>0</v>
      </c>
      <c r="AI1430" s="30">
        <v>2</v>
      </c>
      <c r="AJ1430" s="30">
        <v>0</v>
      </c>
      <c r="AK1430" s="30">
        <v>0</v>
      </c>
      <c r="AL1430" s="30">
        <v>0</v>
      </c>
      <c r="AM1430" s="30">
        <v>0</v>
      </c>
      <c r="AN1430" s="30">
        <v>0</v>
      </c>
      <c r="AO1430" s="30">
        <v>0</v>
      </c>
      <c r="AP1430" s="30">
        <v>0</v>
      </c>
      <c r="AQ1430" s="30">
        <v>1000</v>
      </c>
      <c r="AR1430" s="30">
        <v>0</v>
      </c>
      <c r="AS1430" s="30">
        <v>0</v>
      </c>
      <c r="AT1430" s="30">
        <v>95000004</v>
      </c>
      <c r="AU1430" s="30" t="s">
        <v>198</v>
      </c>
      <c r="AV1430" s="30"/>
      <c r="AW1430" s="38" t="s">
        <v>199</v>
      </c>
      <c r="AX1430" s="30" t="s">
        <v>3135</v>
      </c>
      <c r="AY1430" s="30">
        <v>0</v>
      </c>
      <c r="AZ1430" s="30">
        <v>40000003</v>
      </c>
      <c r="BA1430" s="38" t="s">
        <v>200</v>
      </c>
      <c r="BB1430" s="38" t="s">
        <v>198</v>
      </c>
      <c r="BC1430" s="30">
        <v>0</v>
      </c>
      <c r="BD1430" s="30">
        <v>0</v>
      </c>
      <c r="BE1430" s="227"/>
      <c r="BF1430" s="227"/>
      <c r="BG1430" s="30">
        <v>0</v>
      </c>
      <c r="BH1430" s="30">
        <v>0</v>
      </c>
      <c r="BI1430" s="30">
        <v>0</v>
      </c>
      <c r="BJ1430" s="30">
        <v>0</v>
      </c>
      <c r="BK1430" s="30">
        <v>0</v>
      </c>
      <c r="BL1430" s="30">
        <v>0</v>
      </c>
      <c r="BM1430" s="21">
        <v>0</v>
      </c>
      <c r="BN1430" s="30">
        <v>0</v>
      </c>
      <c r="BO1430" s="12">
        <v>0</v>
      </c>
      <c r="BP1430" s="12">
        <v>0</v>
      </c>
      <c r="BQ1430" s="12">
        <v>0</v>
      </c>
      <c r="BR1430" s="12">
        <v>0</v>
      </c>
      <c r="BS1430" s="12">
        <v>0</v>
      </c>
      <c r="BT1430" s="12">
        <v>0</v>
      </c>
      <c r="BU1430" s="47">
        <v>0</v>
      </c>
      <c r="BV1430" s="47"/>
      <c r="BW1430" s="47"/>
    </row>
    <row r="1431" spans="3:75" ht="20.100000000000001" customHeight="1">
      <c r="C1431" s="30">
        <v>65000005</v>
      </c>
      <c r="D1431" s="38" t="s">
        <v>1466</v>
      </c>
      <c r="E1431" s="38" t="s">
        <v>1467</v>
      </c>
      <c r="F1431" s="30">
        <v>1</v>
      </c>
      <c r="G1431" s="30">
        <v>0</v>
      </c>
      <c r="H1431" s="30">
        <v>0</v>
      </c>
      <c r="I1431" s="30">
        <v>0</v>
      </c>
      <c r="J1431" s="30">
        <v>1</v>
      </c>
      <c r="K1431" s="30">
        <v>0</v>
      </c>
      <c r="L1431" s="30">
        <v>0</v>
      </c>
      <c r="M1431" s="30">
        <v>0</v>
      </c>
      <c r="N1431" s="30">
        <v>0</v>
      </c>
      <c r="O1431" s="30">
        <v>2</v>
      </c>
      <c r="P1431" s="30">
        <v>0</v>
      </c>
      <c r="Q1431" s="30">
        <v>0</v>
      </c>
      <c r="R1431" s="30">
        <v>0</v>
      </c>
      <c r="S1431" s="30">
        <v>0</v>
      </c>
      <c r="T1431" s="30">
        <v>0</v>
      </c>
      <c r="U1431" s="30">
        <v>1</v>
      </c>
      <c r="V1431" s="30">
        <v>2</v>
      </c>
      <c r="W1431" s="30">
        <v>0</v>
      </c>
      <c r="X1431" s="30">
        <v>0</v>
      </c>
      <c r="Y1431" s="12">
        <v>0</v>
      </c>
      <c r="Z1431" s="30">
        <v>0</v>
      </c>
      <c r="AA1431" s="30">
        <v>0</v>
      </c>
      <c r="AB1431" s="30">
        <v>0</v>
      </c>
      <c r="AC1431" s="30">
        <v>0</v>
      </c>
      <c r="AD1431" s="30">
        <v>1</v>
      </c>
      <c r="AE1431" s="30">
        <v>0</v>
      </c>
      <c r="AF1431" s="30">
        <v>18</v>
      </c>
      <c r="AG1431" s="30">
        <v>0</v>
      </c>
      <c r="AH1431" s="30">
        <v>0</v>
      </c>
      <c r="AI1431" s="30">
        <v>2</v>
      </c>
      <c r="AJ1431" s="30">
        <v>0</v>
      </c>
      <c r="AK1431" s="30">
        <v>0</v>
      </c>
      <c r="AL1431" s="30">
        <v>0</v>
      </c>
      <c r="AM1431" s="30">
        <v>0</v>
      </c>
      <c r="AN1431" s="30">
        <v>0</v>
      </c>
      <c r="AO1431" s="30">
        <v>0</v>
      </c>
      <c r="AP1431" s="30">
        <v>0</v>
      </c>
      <c r="AQ1431" s="30">
        <v>1000</v>
      </c>
      <c r="AR1431" s="30">
        <v>0</v>
      </c>
      <c r="AS1431" s="30">
        <v>0</v>
      </c>
      <c r="AT1431" s="30">
        <v>95000005</v>
      </c>
      <c r="AU1431" s="30" t="s">
        <v>198</v>
      </c>
      <c r="AV1431" s="30"/>
      <c r="AW1431" s="38" t="s">
        <v>199</v>
      </c>
      <c r="AX1431" s="30" t="s">
        <v>3135</v>
      </c>
      <c r="AY1431" s="30">
        <v>0</v>
      </c>
      <c r="AZ1431" s="30">
        <v>40000003</v>
      </c>
      <c r="BA1431" s="38" t="s">
        <v>200</v>
      </c>
      <c r="BB1431" s="38" t="s">
        <v>198</v>
      </c>
      <c r="BC1431" s="30">
        <v>0</v>
      </c>
      <c r="BD1431" s="30">
        <v>0</v>
      </c>
      <c r="BE1431" s="227"/>
      <c r="BF1431" s="227"/>
      <c r="BG1431" s="30">
        <v>0</v>
      </c>
      <c r="BH1431" s="30">
        <v>0</v>
      </c>
      <c r="BI1431" s="30">
        <v>0</v>
      </c>
      <c r="BJ1431" s="30">
        <v>0</v>
      </c>
      <c r="BK1431" s="30">
        <v>0</v>
      </c>
      <c r="BL1431" s="30">
        <v>0</v>
      </c>
      <c r="BM1431" s="21">
        <v>0</v>
      </c>
      <c r="BN1431" s="30">
        <v>0</v>
      </c>
      <c r="BO1431" s="12">
        <v>0</v>
      </c>
      <c r="BP1431" s="12">
        <v>0</v>
      </c>
      <c r="BQ1431" s="12">
        <v>0</v>
      </c>
      <c r="BR1431" s="12">
        <v>0</v>
      </c>
      <c r="BS1431" s="12">
        <v>0</v>
      </c>
      <c r="BT1431" s="12">
        <v>0</v>
      </c>
      <c r="BU1431" s="47">
        <v>0</v>
      </c>
      <c r="BV1431" s="47"/>
      <c r="BW1431" s="47"/>
    </row>
    <row r="1432" spans="3:75" ht="20.100000000000001" customHeight="1">
      <c r="C1432" s="18">
        <v>65001001</v>
      </c>
      <c r="D1432" s="19" t="s">
        <v>3136</v>
      </c>
      <c r="E1432" s="19" t="s">
        <v>3137</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41" t="s">
        <v>3138</v>
      </c>
      <c r="AU1432" s="18" t="s">
        <v>198</v>
      </c>
      <c r="AV1432" s="18"/>
      <c r="AW1432" s="19" t="s">
        <v>199</v>
      </c>
      <c r="AX1432" s="18" t="s">
        <v>3135</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65001002</v>
      </c>
      <c r="D1433" s="19" t="s">
        <v>3139</v>
      </c>
      <c r="E1433" s="19" t="s">
        <v>3140</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95001021</v>
      </c>
      <c r="AU1433" s="18" t="s">
        <v>198</v>
      </c>
      <c r="AV1433" s="18"/>
      <c r="AW1433" s="19" t="s">
        <v>199</v>
      </c>
      <c r="AX1433" s="18" t="s">
        <v>3135</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65001003</v>
      </c>
      <c r="D1434" s="19" t="s">
        <v>3141</v>
      </c>
      <c r="E1434" s="19" t="s">
        <v>3142</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3143</v>
      </c>
      <c r="AU1434" s="18" t="s">
        <v>198</v>
      </c>
      <c r="AV1434" s="18"/>
      <c r="AW1434" s="19" t="s">
        <v>199</v>
      </c>
      <c r="AX1434" s="18" t="s">
        <v>3135</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65001004</v>
      </c>
      <c r="D1435" s="19" t="s">
        <v>3144</v>
      </c>
      <c r="E1435" s="19" t="s">
        <v>3145</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95001041</v>
      </c>
      <c r="AU1435" s="18" t="s">
        <v>198</v>
      </c>
      <c r="AV1435" s="18"/>
      <c r="AW1435" s="19" t="s">
        <v>199</v>
      </c>
      <c r="AX1435" s="18" t="s">
        <v>3135</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65001005</v>
      </c>
      <c r="D1436" s="19" t="s">
        <v>3146</v>
      </c>
      <c r="E1436" s="19" t="s">
        <v>3140</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95001051</v>
      </c>
      <c r="AU1436" s="18" t="s">
        <v>198</v>
      </c>
      <c r="AV1436" s="18"/>
      <c r="AW1436" s="19" t="s">
        <v>199</v>
      </c>
      <c r="AX1436" s="18" t="s">
        <v>3135</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65001006</v>
      </c>
      <c r="D1437" s="19" t="s">
        <v>3147</v>
      </c>
      <c r="E1437" s="19" t="s">
        <v>3148</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3149</v>
      </c>
      <c r="AU1437" s="18" t="s">
        <v>198</v>
      </c>
      <c r="AV1437" s="18"/>
      <c r="AW1437" s="19" t="s">
        <v>199</v>
      </c>
      <c r="AX1437" s="18" t="s">
        <v>3135</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65001101</v>
      </c>
      <c r="D1438" s="19" t="s">
        <v>3150</v>
      </c>
      <c r="E1438" s="19" t="s">
        <v>3151</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95001101</v>
      </c>
      <c r="AU1438" s="18" t="s">
        <v>198</v>
      </c>
      <c r="AV1438" s="18"/>
      <c r="AW1438" s="19" t="s">
        <v>199</v>
      </c>
      <c r="AX1438" s="18" t="s">
        <v>3135</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65001102</v>
      </c>
      <c r="D1439" s="19" t="s">
        <v>3152</v>
      </c>
      <c r="E1439" s="19" t="s">
        <v>3153</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95001102</v>
      </c>
      <c r="AU1439" s="18" t="s">
        <v>198</v>
      </c>
      <c r="AV1439" s="18"/>
      <c r="AW1439" s="19" t="s">
        <v>199</v>
      </c>
      <c r="AX1439" s="18" t="s">
        <v>3135</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65001103</v>
      </c>
      <c r="D1440" s="19" t="s">
        <v>3154</v>
      </c>
      <c r="E1440" s="19" t="s">
        <v>3155</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95001103</v>
      </c>
      <c r="AU1440" s="18" t="s">
        <v>198</v>
      </c>
      <c r="AV1440" s="18"/>
      <c r="AW1440" s="19" t="s">
        <v>199</v>
      </c>
      <c r="AX1440" s="18" t="s">
        <v>3135</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65001104</v>
      </c>
      <c r="D1441" s="19" t="s">
        <v>3156</v>
      </c>
      <c r="E1441" s="19" t="s">
        <v>3157</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95001104</v>
      </c>
      <c r="AU1441" s="18" t="s">
        <v>198</v>
      </c>
      <c r="AV1441" s="18"/>
      <c r="AW1441" s="19" t="s">
        <v>199</v>
      </c>
      <c r="AX1441" s="18" t="s">
        <v>3135</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65001105</v>
      </c>
      <c r="D1442" s="19" t="s">
        <v>3158</v>
      </c>
      <c r="E1442" s="19" t="s">
        <v>3159</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95001105</v>
      </c>
      <c r="AU1442" s="18" t="s">
        <v>198</v>
      </c>
      <c r="AV1442" s="18"/>
      <c r="AW1442" s="19" t="s">
        <v>199</v>
      </c>
      <c r="AX1442" s="18" t="s">
        <v>3135</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65002001</v>
      </c>
      <c r="D1443" s="19" t="s">
        <v>3160</v>
      </c>
      <c r="E1443" s="19" t="s">
        <v>3161</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41" t="s">
        <v>3162</v>
      </c>
      <c r="AU1443" s="18" t="s">
        <v>198</v>
      </c>
      <c r="AV1443" s="18"/>
      <c r="AW1443" s="19" t="s">
        <v>199</v>
      </c>
      <c r="AX1443" s="18" t="s">
        <v>3135</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65002002</v>
      </c>
      <c r="D1444" s="19" t="s">
        <v>3163</v>
      </c>
      <c r="E1444" s="19" t="s">
        <v>3164</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95002021</v>
      </c>
      <c r="AU1444" s="18" t="s">
        <v>198</v>
      </c>
      <c r="AV1444" s="18"/>
      <c r="AW1444" s="19" t="s">
        <v>199</v>
      </c>
      <c r="AX1444" s="18" t="s">
        <v>3135</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65002003</v>
      </c>
      <c r="D1445" s="19" t="s">
        <v>3165</v>
      </c>
      <c r="E1445" s="19" t="s">
        <v>3166</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3167</v>
      </c>
      <c r="AU1445" s="18" t="s">
        <v>198</v>
      </c>
      <c r="AV1445" s="18"/>
      <c r="AW1445" s="19" t="s">
        <v>199</v>
      </c>
      <c r="AX1445" s="18" t="s">
        <v>3135</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65002004</v>
      </c>
      <c r="D1446" s="19" t="s">
        <v>3168</v>
      </c>
      <c r="E1446" s="19" t="s">
        <v>3169</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95002041</v>
      </c>
      <c r="AU1446" s="18" t="s">
        <v>198</v>
      </c>
      <c r="AV1446" s="18"/>
      <c r="AW1446" s="19" t="s">
        <v>199</v>
      </c>
      <c r="AX1446" s="18" t="s">
        <v>3135</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65002005</v>
      </c>
      <c r="D1447" s="19" t="s">
        <v>3170</v>
      </c>
      <c r="E1447" s="19" t="s">
        <v>3171</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95002051</v>
      </c>
      <c r="AU1447" s="18" t="s">
        <v>198</v>
      </c>
      <c r="AV1447" s="18"/>
      <c r="AW1447" s="19" t="s">
        <v>199</v>
      </c>
      <c r="AX1447" s="18" t="s">
        <v>3135</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65002006</v>
      </c>
      <c r="D1448" s="19" t="s">
        <v>3172</v>
      </c>
      <c r="E1448" s="19" t="s">
        <v>3173</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3174</v>
      </c>
      <c r="AU1448" s="18" t="s">
        <v>198</v>
      </c>
      <c r="AV1448" s="18"/>
      <c r="AW1448" s="19" t="s">
        <v>199</v>
      </c>
      <c r="AX1448" s="18" t="s">
        <v>3135</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65002101</v>
      </c>
      <c r="D1449" s="19" t="s">
        <v>3175</v>
      </c>
      <c r="E1449" s="19" t="s">
        <v>3176</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95002101</v>
      </c>
      <c r="AU1449" s="18" t="s">
        <v>198</v>
      </c>
      <c r="AV1449" s="18"/>
      <c r="AW1449" s="19" t="s">
        <v>199</v>
      </c>
      <c r="AX1449" s="18" t="s">
        <v>3135</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65002102</v>
      </c>
      <c r="D1450" s="19" t="s">
        <v>3177</v>
      </c>
      <c r="E1450" s="19" t="s">
        <v>3178</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95002102</v>
      </c>
      <c r="AU1450" s="18" t="s">
        <v>198</v>
      </c>
      <c r="AV1450" s="18"/>
      <c r="AW1450" s="19" t="s">
        <v>199</v>
      </c>
      <c r="AX1450" s="18" t="s">
        <v>3135</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65002103</v>
      </c>
      <c r="D1451" s="19" t="s">
        <v>3179</v>
      </c>
      <c r="E1451" s="19" t="s">
        <v>3180</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95002103</v>
      </c>
      <c r="AU1451" s="18" t="s">
        <v>198</v>
      </c>
      <c r="AV1451" s="18"/>
      <c r="AW1451" s="19" t="s">
        <v>199</v>
      </c>
      <c r="AX1451" s="18" t="s">
        <v>3135</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65002104</v>
      </c>
      <c r="D1452" s="19" t="s">
        <v>3181</v>
      </c>
      <c r="E1452" s="19" t="s">
        <v>3182</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95002104</v>
      </c>
      <c r="AU1452" s="18" t="s">
        <v>198</v>
      </c>
      <c r="AV1452" s="18"/>
      <c r="AW1452" s="19" t="s">
        <v>199</v>
      </c>
      <c r="AX1452" s="18" t="s">
        <v>3135</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65002105</v>
      </c>
      <c r="D1453" s="19" t="s">
        <v>3183</v>
      </c>
      <c r="E1453" s="19" t="s">
        <v>3184</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95002105</v>
      </c>
      <c r="AU1453" s="18" t="s">
        <v>198</v>
      </c>
      <c r="AV1453" s="18"/>
      <c r="AW1453" s="19" t="s">
        <v>199</v>
      </c>
      <c r="AX1453" s="18" t="s">
        <v>3135</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65003001</v>
      </c>
      <c r="D1454" s="19" t="s">
        <v>3185</v>
      </c>
      <c r="E1454" s="19" t="s">
        <v>3186</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41" t="s">
        <v>3187</v>
      </c>
      <c r="AU1454" s="18" t="s">
        <v>198</v>
      </c>
      <c r="AV1454" s="18"/>
      <c r="AW1454" s="19" t="s">
        <v>199</v>
      </c>
      <c r="AX1454" s="18" t="s">
        <v>3135</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65003002</v>
      </c>
      <c r="D1455" s="19" t="s">
        <v>3188</v>
      </c>
      <c r="E1455" s="19" t="s">
        <v>3189</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95003021</v>
      </c>
      <c r="AU1455" s="18" t="s">
        <v>198</v>
      </c>
      <c r="AV1455" s="18"/>
      <c r="AW1455" s="19" t="s">
        <v>199</v>
      </c>
      <c r="AX1455" s="18" t="s">
        <v>3135</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65003003</v>
      </c>
      <c r="D1456" s="19" t="s">
        <v>3190</v>
      </c>
      <c r="E1456" s="19" t="s">
        <v>3191</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3192</v>
      </c>
      <c r="AU1456" s="18" t="s">
        <v>198</v>
      </c>
      <c r="AV1456" s="18"/>
      <c r="AW1456" s="19" t="s">
        <v>199</v>
      </c>
      <c r="AX1456" s="18" t="s">
        <v>3135</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65003004</v>
      </c>
      <c r="D1457" s="19" t="s">
        <v>3193</v>
      </c>
      <c r="E1457" s="19" t="s">
        <v>3194</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95003041</v>
      </c>
      <c r="AU1457" s="18" t="s">
        <v>198</v>
      </c>
      <c r="AV1457" s="18"/>
      <c r="AW1457" s="19" t="s">
        <v>199</v>
      </c>
      <c r="AX1457" s="18" t="s">
        <v>3135</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65003005</v>
      </c>
      <c r="D1458" s="19" t="s">
        <v>3195</v>
      </c>
      <c r="E1458" s="19" t="s">
        <v>3196</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95003051</v>
      </c>
      <c r="AU1458" s="18" t="s">
        <v>198</v>
      </c>
      <c r="AV1458" s="18"/>
      <c r="AW1458" s="19" t="s">
        <v>199</v>
      </c>
      <c r="AX1458" s="18" t="s">
        <v>3135</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65003006</v>
      </c>
      <c r="D1459" s="19" t="s">
        <v>3197</v>
      </c>
      <c r="E1459" s="19" t="s">
        <v>3198</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3199</v>
      </c>
      <c r="AU1459" s="18" t="s">
        <v>198</v>
      </c>
      <c r="AV1459" s="18"/>
      <c r="AW1459" s="19" t="s">
        <v>199</v>
      </c>
      <c r="AX1459" s="18" t="s">
        <v>3135</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65003101</v>
      </c>
      <c r="D1460" s="19" t="s">
        <v>3200</v>
      </c>
      <c r="E1460" s="19" t="s">
        <v>3201</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95003101</v>
      </c>
      <c r="AU1460" s="18" t="s">
        <v>198</v>
      </c>
      <c r="AV1460" s="18"/>
      <c r="AW1460" s="19" t="s">
        <v>199</v>
      </c>
      <c r="AX1460" s="18" t="s">
        <v>3135</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65003102</v>
      </c>
      <c r="D1461" s="19" t="s">
        <v>3202</v>
      </c>
      <c r="E1461" s="19" t="s">
        <v>3203</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95003102</v>
      </c>
      <c r="AU1461" s="18" t="s">
        <v>198</v>
      </c>
      <c r="AV1461" s="18"/>
      <c r="AW1461" s="19" t="s">
        <v>199</v>
      </c>
      <c r="AX1461" s="18" t="s">
        <v>3135</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65003103</v>
      </c>
      <c r="D1462" s="19" t="s">
        <v>3204</v>
      </c>
      <c r="E1462" s="19" t="s">
        <v>3205</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95003103</v>
      </c>
      <c r="AU1462" s="18" t="s">
        <v>198</v>
      </c>
      <c r="AV1462" s="18"/>
      <c r="AW1462" s="19" t="s">
        <v>199</v>
      </c>
      <c r="AX1462" s="18" t="s">
        <v>3135</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65003104</v>
      </c>
      <c r="D1463" s="19" t="s">
        <v>3206</v>
      </c>
      <c r="E1463" s="19" t="s">
        <v>3207</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95003104</v>
      </c>
      <c r="AU1463" s="18" t="s">
        <v>198</v>
      </c>
      <c r="AV1463" s="18"/>
      <c r="AW1463" s="19" t="s">
        <v>199</v>
      </c>
      <c r="AX1463" s="18" t="s">
        <v>3135</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65003105</v>
      </c>
      <c r="D1464" s="19" t="s">
        <v>3208</v>
      </c>
      <c r="E1464" s="19" t="s">
        <v>3209</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95003105</v>
      </c>
      <c r="AU1464" s="18" t="s">
        <v>198</v>
      </c>
      <c r="AV1464" s="18"/>
      <c r="AW1464" s="19" t="s">
        <v>199</v>
      </c>
      <c r="AX1464" s="18" t="s">
        <v>3135</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65004001</v>
      </c>
      <c r="D1465" s="19" t="s">
        <v>3210</v>
      </c>
      <c r="E1465" s="19" t="s">
        <v>3211</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41" t="s">
        <v>3212</v>
      </c>
      <c r="AU1465" s="18" t="s">
        <v>198</v>
      </c>
      <c r="AV1465" s="18"/>
      <c r="AW1465" s="19" t="s">
        <v>199</v>
      </c>
      <c r="AX1465" s="18" t="s">
        <v>3135</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65004002</v>
      </c>
      <c r="D1466" s="19" t="s">
        <v>3213</v>
      </c>
      <c r="E1466" s="19" t="s">
        <v>3214</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95004021</v>
      </c>
      <c r="AU1466" s="18" t="s">
        <v>198</v>
      </c>
      <c r="AV1466" s="18"/>
      <c r="AW1466" s="19" t="s">
        <v>199</v>
      </c>
      <c r="AX1466" s="18" t="s">
        <v>3135</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65004003</v>
      </c>
      <c r="D1467" s="19" t="s">
        <v>3215</v>
      </c>
      <c r="E1467" s="19" t="s">
        <v>3216</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3217</v>
      </c>
      <c r="AU1467" s="18" t="s">
        <v>198</v>
      </c>
      <c r="AV1467" s="18"/>
      <c r="AW1467" s="19" t="s">
        <v>199</v>
      </c>
      <c r="AX1467" s="18" t="s">
        <v>3135</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65004004</v>
      </c>
      <c r="D1468" s="19" t="s">
        <v>3218</v>
      </c>
      <c r="E1468" s="19" t="s">
        <v>3219</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95004041</v>
      </c>
      <c r="AU1468" s="18" t="s">
        <v>198</v>
      </c>
      <c r="AV1468" s="18"/>
      <c r="AW1468" s="19" t="s">
        <v>199</v>
      </c>
      <c r="AX1468" s="18" t="s">
        <v>3135</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65004005</v>
      </c>
      <c r="D1469" s="19" t="s">
        <v>3220</v>
      </c>
      <c r="E1469" s="19" t="s">
        <v>3221</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95004051</v>
      </c>
      <c r="AU1469" s="18" t="s">
        <v>198</v>
      </c>
      <c r="AV1469" s="18"/>
      <c r="AW1469" s="19" t="s">
        <v>199</v>
      </c>
      <c r="AX1469" s="18" t="s">
        <v>3135</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65004006</v>
      </c>
      <c r="D1470" s="19" t="s">
        <v>3222</v>
      </c>
      <c r="E1470" s="19" t="s">
        <v>3223</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3224</v>
      </c>
      <c r="AU1470" s="18" t="s">
        <v>198</v>
      </c>
      <c r="AV1470" s="18"/>
      <c r="AW1470" s="19" t="s">
        <v>199</v>
      </c>
      <c r="AX1470" s="18" t="s">
        <v>3135</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65004101</v>
      </c>
      <c r="D1471" s="19" t="s">
        <v>3225</v>
      </c>
      <c r="E1471" s="19" t="s">
        <v>3226</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95004101</v>
      </c>
      <c r="AU1471" s="18" t="s">
        <v>198</v>
      </c>
      <c r="AV1471" s="18"/>
      <c r="AW1471" s="19" t="s">
        <v>199</v>
      </c>
      <c r="AX1471" s="18" t="s">
        <v>3135</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65004102</v>
      </c>
      <c r="D1472" s="19" t="s">
        <v>3227</v>
      </c>
      <c r="E1472" s="19" t="s">
        <v>3228</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95004102</v>
      </c>
      <c r="AU1472" s="18" t="s">
        <v>198</v>
      </c>
      <c r="AV1472" s="18"/>
      <c r="AW1472" s="19" t="s">
        <v>199</v>
      </c>
      <c r="AX1472" s="18" t="s">
        <v>3135</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65004103</v>
      </c>
      <c r="D1473" s="19" t="s">
        <v>3229</v>
      </c>
      <c r="E1473" s="19" t="s">
        <v>3205</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95004103</v>
      </c>
      <c r="AU1473" s="18" t="s">
        <v>198</v>
      </c>
      <c r="AV1473" s="18"/>
      <c r="AW1473" s="19" t="s">
        <v>199</v>
      </c>
      <c r="AX1473" s="18" t="s">
        <v>3135</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65004104</v>
      </c>
      <c r="D1474" s="19" t="s">
        <v>3230</v>
      </c>
      <c r="E1474" s="19" t="s">
        <v>3231</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95004104</v>
      </c>
      <c r="AU1474" s="18" t="s">
        <v>198</v>
      </c>
      <c r="AV1474" s="18"/>
      <c r="AW1474" s="19" t="s">
        <v>199</v>
      </c>
      <c r="AX1474" s="18" t="s">
        <v>3135</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65004105</v>
      </c>
      <c r="D1475" s="19" t="s">
        <v>3232</v>
      </c>
      <c r="E1475" s="19" t="s">
        <v>3233</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95004105</v>
      </c>
      <c r="AU1475" s="18" t="s">
        <v>198</v>
      </c>
      <c r="AV1475" s="18"/>
      <c r="AW1475" s="19" t="s">
        <v>199</v>
      </c>
      <c r="AX1475" s="18" t="s">
        <v>3135</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65005001</v>
      </c>
      <c r="D1476" s="19" t="s">
        <v>3234</v>
      </c>
      <c r="E1476" s="19" t="s">
        <v>3235</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41" t="s">
        <v>3236</v>
      </c>
      <c r="AU1476" s="18" t="s">
        <v>198</v>
      </c>
      <c r="AV1476" s="18"/>
      <c r="AW1476" s="19" t="s">
        <v>199</v>
      </c>
      <c r="AX1476" s="18" t="s">
        <v>3135</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65005002</v>
      </c>
      <c r="D1477" s="19" t="s">
        <v>3237</v>
      </c>
      <c r="E1477" s="19" t="s">
        <v>3238</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95005021</v>
      </c>
      <c r="AU1477" s="18" t="s">
        <v>198</v>
      </c>
      <c r="AV1477" s="18"/>
      <c r="AW1477" s="19" t="s">
        <v>199</v>
      </c>
      <c r="AX1477" s="18" t="s">
        <v>3135</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65005003</v>
      </c>
      <c r="D1478" s="19" t="s">
        <v>3239</v>
      </c>
      <c r="E1478" s="19" t="s">
        <v>3240</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3241</v>
      </c>
      <c r="AU1478" s="18" t="s">
        <v>198</v>
      </c>
      <c r="AV1478" s="18"/>
      <c r="AW1478" s="19" t="s">
        <v>199</v>
      </c>
      <c r="AX1478" s="18" t="s">
        <v>3135</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65005004</v>
      </c>
      <c r="D1479" s="19" t="s">
        <v>3242</v>
      </c>
      <c r="E1479" s="19" t="s">
        <v>3243</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95005041</v>
      </c>
      <c r="AU1479" s="18" t="s">
        <v>198</v>
      </c>
      <c r="AV1479" s="18"/>
      <c r="AW1479" s="19" t="s">
        <v>199</v>
      </c>
      <c r="AX1479" s="18" t="s">
        <v>3135</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65005005</v>
      </c>
      <c r="D1480" s="19" t="s">
        <v>3244</v>
      </c>
      <c r="E1480" s="19" t="s">
        <v>3245</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95005051</v>
      </c>
      <c r="AU1480" s="18" t="s">
        <v>198</v>
      </c>
      <c r="AV1480" s="18"/>
      <c r="AW1480" s="19" t="s">
        <v>199</v>
      </c>
      <c r="AX1480" s="18" t="s">
        <v>3135</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65005006</v>
      </c>
      <c r="D1481" s="19" t="s">
        <v>3246</v>
      </c>
      <c r="E1481" s="19" t="s">
        <v>3247</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t="s">
        <v>3248</v>
      </c>
      <c r="AU1481" s="18" t="s">
        <v>198</v>
      </c>
      <c r="AV1481" s="18"/>
      <c r="AW1481" s="19" t="s">
        <v>199</v>
      </c>
      <c r="AX1481" s="18" t="s">
        <v>3135</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65005101</v>
      </c>
      <c r="D1482" s="19" t="s">
        <v>3249</v>
      </c>
      <c r="E1482" s="19" t="s">
        <v>3250</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95005101</v>
      </c>
      <c r="AU1482" s="18" t="s">
        <v>198</v>
      </c>
      <c r="AV1482" s="18"/>
      <c r="AW1482" s="19" t="s">
        <v>199</v>
      </c>
      <c r="AX1482" s="18" t="s">
        <v>3135</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65005102</v>
      </c>
      <c r="D1483" s="19" t="s">
        <v>3251</v>
      </c>
      <c r="E1483" s="19" t="s">
        <v>3252</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95005102</v>
      </c>
      <c r="AU1483" s="18" t="s">
        <v>198</v>
      </c>
      <c r="AV1483" s="18"/>
      <c r="AW1483" s="19" t="s">
        <v>199</v>
      </c>
      <c r="AX1483" s="18" t="s">
        <v>3135</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65005103</v>
      </c>
      <c r="D1484" s="19" t="s">
        <v>3253</v>
      </c>
      <c r="E1484" s="19" t="s">
        <v>3254</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95005103</v>
      </c>
      <c r="AU1484" s="18" t="s">
        <v>198</v>
      </c>
      <c r="AV1484" s="18"/>
      <c r="AW1484" s="19" t="s">
        <v>199</v>
      </c>
      <c r="AX1484" s="18" t="s">
        <v>3135</v>
      </c>
      <c r="AY1484" s="18">
        <v>0</v>
      </c>
      <c r="AZ1484" s="18">
        <v>40000003</v>
      </c>
      <c r="BA1484" s="19" t="s">
        <v>200</v>
      </c>
      <c r="BB1484" s="19" t="s">
        <v>198</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65005104</v>
      </c>
      <c r="D1485" s="19" t="s">
        <v>3255</v>
      </c>
      <c r="E1485" s="19" t="s">
        <v>3256</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95005104</v>
      </c>
      <c r="AU1485" s="18" t="s">
        <v>198</v>
      </c>
      <c r="AV1485" s="18"/>
      <c r="AW1485" s="19" t="s">
        <v>199</v>
      </c>
      <c r="AX1485" s="18" t="s">
        <v>3135</v>
      </c>
      <c r="AY1485" s="18">
        <v>0</v>
      </c>
      <c r="AZ1485" s="18">
        <v>40000003</v>
      </c>
      <c r="BA1485" s="19" t="s">
        <v>200</v>
      </c>
      <c r="BB1485" s="19" t="s">
        <v>198</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20.100000000000001" customHeight="1">
      <c r="C1486" s="18">
        <v>65005105</v>
      </c>
      <c r="D1486" s="19" t="s">
        <v>3257</v>
      </c>
      <c r="E1486" s="19" t="s">
        <v>3258</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95005105</v>
      </c>
      <c r="AU1486" s="18" t="s">
        <v>198</v>
      </c>
      <c r="AV1486" s="18"/>
      <c r="AW1486" s="19" t="s">
        <v>199</v>
      </c>
      <c r="AX1486" s="18" t="s">
        <v>3135</v>
      </c>
      <c r="AY1486" s="18">
        <v>0</v>
      </c>
      <c r="AZ1486" s="18">
        <v>40000003</v>
      </c>
      <c r="BA1486" s="19" t="s">
        <v>200</v>
      </c>
      <c r="BB1486" s="19" t="s">
        <v>198</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65006001</v>
      </c>
      <c r="D1487" s="19" t="s">
        <v>3259</v>
      </c>
      <c r="E1487" s="19" t="s">
        <v>3260</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10</v>
      </c>
      <c r="AG1487" s="18">
        <v>0</v>
      </c>
      <c r="AH1487" s="18">
        <v>0</v>
      </c>
      <c r="AI1487" s="12">
        <v>2</v>
      </c>
      <c r="AJ1487" s="12">
        <v>0</v>
      </c>
      <c r="AK1487" s="12">
        <v>0</v>
      </c>
      <c r="AL1487" s="12">
        <v>0</v>
      </c>
      <c r="AM1487" s="18">
        <v>0</v>
      </c>
      <c r="AN1487" s="18">
        <v>0</v>
      </c>
      <c r="AO1487" s="18">
        <v>0</v>
      </c>
      <c r="AP1487" s="18">
        <v>0</v>
      </c>
      <c r="AQ1487" s="18">
        <v>1000</v>
      </c>
      <c r="AR1487" s="18">
        <v>0</v>
      </c>
      <c r="AS1487" s="18">
        <v>0</v>
      </c>
      <c r="AT1487" s="341" t="s">
        <v>3261</v>
      </c>
      <c r="AU1487" s="18" t="s">
        <v>198</v>
      </c>
      <c r="AV1487" s="18"/>
      <c r="AW1487" s="19" t="s">
        <v>199</v>
      </c>
      <c r="AX1487" s="18" t="s">
        <v>3135</v>
      </c>
      <c r="AY1487" s="18">
        <v>0</v>
      </c>
      <c r="AZ1487" s="18">
        <v>40000003</v>
      </c>
      <c r="BA1487" s="19" t="s">
        <v>200</v>
      </c>
      <c r="BB1487" s="19" t="s">
        <v>198</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65006002</v>
      </c>
      <c r="D1488" s="19" t="s">
        <v>3262</v>
      </c>
      <c r="E1488" s="19" t="s">
        <v>3263</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10</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95006021</v>
      </c>
      <c r="AU1488" s="18" t="s">
        <v>198</v>
      </c>
      <c r="AV1488" s="18"/>
      <c r="AW1488" s="19" t="s">
        <v>199</v>
      </c>
      <c r="AX1488" s="18" t="s">
        <v>3135</v>
      </c>
      <c r="AY1488" s="18">
        <v>0</v>
      </c>
      <c r="AZ1488" s="18">
        <v>40000003</v>
      </c>
      <c r="BA1488" s="19" t="s">
        <v>200</v>
      </c>
      <c r="BB1488" s="19" t="s">
        <v>198</v>
      </c>
      <c r="BC1488" s="27">
        <v>0</v>
      </c>
      <c r="BD1488" s="27">
        <v>0</v>
      </c>
      <c r="BE1488" s="87" t="s">
        <v>3264</v>
      </c>
      <c r="BF1488" s="87" t="s">
        <v>3265</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row>
    <row r="1489" spans="3:75" ht="19.5" customHeight="1">
      <c r="C1489" s="18">
        <v>65006003</v>
      </c>
      <c r="D1489" s="17" t="s">
        <v>3266</v>
      </c>
      <c r="E1489" s="17" t="s">
        <v>3267</v>
      </c>
      <c r="F1489" s="18">
        <v>1</v>
      </c>
      <c r="G1489" s="16">
        <v>60010100</v>
      </c>
      <c r="H1489" s="18">
        <v>0</v>
      </c>
      <c r="I1489" s="27">
        <v>0</v>
      </c>
      <c r="J1489" s="18">
        <v>1</v>
      </c>
      <c r="K1489" s="18">
        <v>0</v>
      </c>
      <c r="L1489" s="18">
        <v>0</v>
      </c>
      <c r="M1489" s="16">
        <v>0</v>
      </c>
      <c r="N1489" s="16">
        <v>0</v>
      </c>
      <c r="O1489" s="16">
        <v>1</v>
      </c>
      <c r="P1489" s="16">
        <v>0</v>
      </c>
      <c r="Q1489" s="16">
        <v>0</v>
      </c>
      <c r="R1489" s="16">
        <v>0</v>
      </c>
      <c r="S1489" s="12">
        <v>0</v>
      </c>
      <c r="T1489" s="16">
        <v>0</v>
      </c>
      <c r="U1489" s="16">
        <v>1</v>
      </c>
      <c r="V1489" s="16">
        <v>2</v>
      </c>
      <c r="W1489" s="16">
        <v>0</v>
      </c>
      <c r="X1489" s="16">
        <v>2.5</v>
      </c>
      <c r="Y1489" s="12">
        <v>0</v>
      </c>
      <c r="Z1489" s="16">
        <v>0</v>
      </c>
      <c r="AA1489" s="16">
        <v>1</v>
      </c>
      <c r="AB1489" s="16">
        <v>0</v>
      </c>
      <c r="AC1489" s="16">
        <v>0</v>
      </c>
      <c r="AD1489" s="16">
        <v>0</v>
      </c>
      <c r="AE1489" s="16">
        <v>0</v>
      </c>
      <c r="AF1489" s="16">
        <v>10</v>
      </c>
      <c r="AG1489" s="16">
        <v>1</v>
      </c>
      <c r="AH1489" s="16">
        <v>3</v>
      </c>
      <c r="AI1489" s="12">
        <v>2</v>
      </c>
      <c r="AJ1489" s="12">
        <v>1</v>
      </c>
      <c r="AK1489" s="12">
        <v>0</v>
      </c>
      <c r="AL1489" s="12">
        <v>6</v>
      </c>
      <c r="AM1489" s="16">
        <v>0</v>
      </c>
      <c r="AN1489" s="16">
        <v>0</v>
      </c>
      <c r="AO1489" s="16">
        <v>0</v>
      </c>
      <c r="AP1489" s="16">
        <v>0</v>
      </c>
      <c r="AQ1489" s="16">
        <v>1000</v>
      </c>
      <c r="AR1489" s="16">
        <v>0.5</v>
      </c>
      <c r="AS1489" s="16">
        <v>0</v>
      </c>
      <c r="AT1489" s="12">
        <v>0</v>
      </c>
      <c r="AU1489" s="16">
        <v>0</v>
      </c>
      <c r="AV1489" s="16"/>
      <c r="AW1489" s="19" t="s">
        <v>199</v>
      </c>
      <c r="AX1489" s="60" t="s">
        <v>215</v>
      </c>
      <c r="AY1489" s="18">
        <v>10000007</v>
      </c>
      <c r="AZ1489" s="18">
        <v>70203006</v>
      </c>
      <c r="BA1489" s="17" t="s">
        <v>200</v>
      </c>
      <c r="BB1489" s="16">
        <v>0</v>
      </c>
      <c r="BC1489" s="27">
        <v>0</v>
      </c>
      <c r="BD1489" s="27">
        <v>0</v>
      </c>
      <c r="BE1489" s="44" t="s">
        <v>3268</v>
      </c>
      <c r="BF1489" s="44" t="s">
        <v>3269</v>
      </c>
      <c r="BG1489" s="16">
        <v>0</v>
      </c>
      <c r="BH1489" s="16">
        <v>0</v>
      </c>
      <c r="BI1489" s="16">
        <v>0</v>
      </c>
      <c r="BJ1489" s="16">
        <v>0</v>
      </c>
      <c r="BK1489" s="16">
        <v>0</v>
      </c>
      <c r="BL1489" s="16">
        <v>0</v>
      </c>
      <c r="BM1489" s="15">
        <v>0</v>
      </c>
      <c r="BN1489" s="12">
        <v>1</v>
      </c>
      <c r="BO1489" s="12">
        <v>0</v>
      </c>
      <c r="BP1489" s="12">
        <v>0</v>
      </c>
      <c r="BQ1489" s="12">
        <v>0</v>
      </c>
      <c r="BR1489" s="12">
        <v>0</v>
      </c>
      <c r="BS1489" s="12">
        <v>0</v>
      </c>
      <c r="BT1489" s="12">
        <v>0</v>
      </c>
      <c r="BU1489" s="47">
        <v>0</v>
      </c>
      <c r="BV1489" s="47"/>
      <c r="BW1489" s="47"/>
    </row>
    <row r="1490" spans="3:75" ht="19.5" customHeight="1">
      <c r="C1490" s="18">
        <v>65006004</v>
      </c>
      <c r="D1490" s="17" t="s">
        <v>3270</v>
      </c>
      <c r="E1490" s="17" t="s">
        <v>3271</v>
      </c>
      <c r="F1490" s="18">
        <v>1</v>
      </c>
      <c r="G1490" s="16">
        <v>60010100</v>
      </c>
      <c r="H1490" s="18">
        <v>0</v>
      </c>
      <c r="I1490" s="27">
        <v>0</v>
      </c>
      <c r="J1490" s="18">
        <v>1</v>
      </c>
      <c r="K1490" s="18">
        <v>0</v>
      </c>
      <c r="L1490" s="18">
        <v>0</v>
      </c>
      <c r="M1490" s="16">
        <v>0</v>
      </c>
      <c r="N1490" s="16">
        <v>0</v>
      </c>
      <c r="O1490" s="16">
        <v>1</v>
      </c>
      <c r="P1490" s="16">
        <v>0</v>
      </c>
      <c r="Q1490" s="16">
        <v>0</v>
      </c>
      <c r="R1490" s="16">
        <v>0</v>
      </c>
      <c r="S1490" s="12">
        <v>0</v>
      </c>
      <c r="T1490" s="16">
        <v>0</v>
      </c>
      <c r="U1490" s="16">
        <v>1</v>
      </c>
      <c r="V1490" s="16">
        <v>2</v>
      </c>
      <c r="W1490" s="16">
        <v>0</v>
      </c>
      <c r="X1490" s="16">
        <v>0.8</v>
      </c>
      <c r="Y1490" s="12">
        <v>0</v>
      </c>
      <c r="Z1490" s="16">
        <v>0</v>
      </c>
      <c r="AA1490" s="16">
        <v>1</v>
      </c>
      <c r="AB1490" s="16">
        <v>0</v>
      </c>
      <c r="AC1490" s="16">
        <v>0</v>
      </c>
      <c r="AD1490" s="16">
        <v>0</v>
      </c>
      <c r="AE1490" s="16">
        <v>0</v>
      </c>
      <c r="AF1490" s="16">
        <v>15</v>
      </c>
      <c r="AG1490" s="16">
        <v>1</v>
      </c>
      <c r="AH1490" s="16">
        <v>3</v>
      </c>
      <c r="AI1490" s="12">
        <v>2</v>
      </c>
      <c r="AJ1490" s="12">
        <v>1</v>
      </c>
      <c r="AK1490" s="12">
        <v>0</v>
      </c>
      <c r="AL1490" s="12">
        <v>6</v>
      </c>
      <c r="AM1490" s="16">
        <v>0</v>
      </c>
      <c r="AN1490" s="16">
        <v>0</v>
      </c>
      <c r="AO1490" s="16">
        <v>0</v>
      </c>
      <c r="AP1490" s="16">
        <v>0</v>
      </c>
      <c r="AQ1490" s="16">
        <v>6000</v>
      </c>
      <c r="AR1490" s="16">
        <v>0.5</v>
      </c>
      <c r="AS1490" s="16">
        <v>0</v>
      </c>
      <c r="AT1490" s="12">
        <v>0</v>
      </c>
      <c r="AU1490" s="16">
        <v>95006031</v>
      </c>
      <c r="AV1490" s="16"/>
      <c r="AW1490" s="19" t="s">
        <v>617</v>
      </c>
      <c r="AX1490" s="12" t="s">
        <v>1695</v>
      </c>
      <c r="AY1490" s="18">
        <v>10000007</v>
      </c>
      <c r="AZ1490" s="18">
        <v>70203007</v>
      </c>
      <c r="BA1490" s="19" t="s">
        <v>315</v>
      </c>
      <c r="BB1490" s="19" t="s">
        <v>371</v>
      </c>
      <c r="BC1490" s="27">
        <v>0</v>
      </c>
      <c r="BD1490" s="27">
        <v>0</v>
      </c>
      <c r="BE1490" s="44" t="s">
        <v>3272</v>
      </c>
      <c r="BF1490" s="44" t="s">
        <v>3273</v>
      </c>
      <c r="BG1490" s="16">
        <v>0</v>
      </c>
      <c r="BH1490" s="16">
        <v>0</v>
      </c>
      <c r="BI1490" s="16">
        <v>0</v>
      </c>
      <c r="BJ1490" s="16">
        <v>0</v>
      </c>
      <c r="BK1490" s="16">
        <v>0</v>
      </c>
      <c r="BL1490" s="16">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8">
        <v>66001001</v>
      </c>
      <c r="D1491" s="19" t="s">
        <v>381</v>
      </c>
      <c r="E1491" s="19" t="s">
        <v>382</v>
      </c>
      <c r="F1491" s="18">
        <v>1</v>
      </c>
      <c r="G1491" s="18">
        <v>66001001</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t="s">
        <v>3274</v>
      </c>
      <c r="AU1491" s="18" t="s">
        <v>198</v>
      </c>
      <c r="AV1491" s="18"/>
      <c r="AW1491" s="19" t="s">
        <v>199</v>
      </c>
      <c r="AX1491" s="18" t="s">
        <v>3135</v>
      </c>
      <c r="AY1491" s="18">
        <v>0</v>
      </c>
      <c r="AZ1491" s="18">
        <v>66001001</v>
      </c>
      <c r="BA1491" s="19" t="s">
        <v>200</v>
      </c>
      <c r="BB1491" s="19" t="s">
        <v>198</v>
      </c>
      <c r="BC1491" s="27">
        <v>0</v>
      </c>
      <c r="BD1491" s="27">
        <v>0</v>
      </c>
      <c r="BE1491" s="87" t="s">
        <v>3275</v>
      </c>
      <c r="BF1491" s="87" t="s">
        <v>3276</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8">
        <v>66001002</v>
      </c>
      <c r="D1492" s="19" t="s">
        <v>3277</v>
      </c>
      <c r="E1492" s="19" t="s">
        <v>3278</v>
      </c>
      <c r="F1492" s="16">
        <v>1</v>
      </c>
      <c r="G1492" s="18">
        <v>66001002</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0.75</v>
      </c>
      <c r="Y1492" s="12">
        <v>0</v>
      </c>
      <c r="Z1492" s="18">
        <v>0</v>
      </c>
      <c r="AA1492" s="18">
        <v>0</v>
      </c>
      <c r="AB1492" s="18">
        <v>0</v>
      </c>
      <c r="AC1492" s="18">
        <v>0</v>
      </c>
      <c r="AD1492" s="18">
        <v>0</v>
      </c>
      <c r="AE1492" s="18">
        <v>0</v>
      </c>
      <c r="AF1492" s="18">
        <v>24</v>
      </c>
      <c r="AG1492" s="18">
        <v>1</v>
      </c>
      <c r="AH1492" s="18">
        <v>4</v>
      </c>
      <c r="AI1492" s="12">
        <v>2</v>
      </c>
      <c r="AJ1492" s="12">
        <v>1</v>
      </c>
      <c r="AK1492" s="12">
        <v>0</v>
      </c>
      <c r="AL1492" s="12">
        <v>6</v>
      </c>
      <c r="AM1492" s="18">
        <v>0</v>
      </c>
      <c r="AN1492" s="18">
        <v>0</v>
      </c>
      <c r="AO1492" s="18">
        <v>0</v>
      </c>
      <c r="AP1492" s="18">
        <v>0.5</v>
      </c>
      <c r="AQ1492" s="18">
        <v>9000</v>
      </c>
      <c r="AR1492" s="18">
        <v>0.5</v>
      </c>
      <c r="AS1492" s="18">
        <v>0</v>
      </c>
      <c r="AT1492" s="12">
        <v>0</v>
      </c>
      <c r="AU1492" s="18" t="s">
        <v>198</v>
      </c>
      <c r="AV1492" s="18"/>
      <c r="AW1492" s="19" t="s">
        <v>1557</v>
      </c>
      <c r="AX1492" s="18" t="s">
        <v>1408</v>
      </c>
      <c r="AY1492" s="18">
        <v>10002001</v>
      </c>
      <c r="AZ1492" s="18">
        <v>66001002</v>
      </c>
      <c r="BA1492" s="19" t="s">
        <v>315</v>
      </c>
      <c r="BB1492" s="19" t="s">
        <v>371</v>
      </c>
      <c r="BC1492" s="27">
        <v>0</v>
      </c>
      <c r="BD1492" s="27">
        <v>0</v>
      </c>
      <c r="BE1492" s="87" t="s">
        <v>3279</v>
      </c>
      <c r="BF1492" s="87" t="s">
        <v>3280</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66001003</v>
      </c>
      <c r="D1493" s="19" t="s">
        <v>3281</v>
      </c>
      <c r="E1493" s="19" t="s">
        <v>3282</v>
      </c>
      <c r="F1493" s="18">
        <v>1</v>
      </c>
      <c r="G1493" s="18">
        <v>66001003</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96001003</v>
      </c>
      <c r="AU1493" s="18" t="s">
        <v>198</v>
      </c>
      <c r="AV1493" s="18"/>
      <c r="AW1493" s="19" t="s">
        <v>199</v>
      </c>
      <c r="AX1493" s="18" t="s">
        <v>3135</v>
      </c>
      <c r="AY1493" s="18">
        <v>0</v>
      </c>
      <c r="AZ1493" s="18">
        <v>66001003</v>
      </c>
      <c r="BA1493" s="19" t="s">
        <v>200</v>
      </c>
      <c r="BB1493" s="19" t="s">
        <v>198</v>
      </c>
      <c r="BC1493" s="27">
        <v>0</v>
      </c>
      <c r="BD1493" s="27">
        <v>0</v>
      </c>
      <c r="BE1493" s="87" t="s">
        <v>3283</v>
      </c>
      <c r="BF1493" s="87" t="s">
        <v>3284</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66001004</v>
      </c>
      <c r="D1494" s="19" t="s">
        <v>3285</v>
      </c>
      <c r="E1494" s="19" t="s">
        <v>3286</v>
      </c>
      <c r="F1494" s="18">
        <v>1</v>
      </c>
      <c r="G1494" s="18">
        <v>66001004</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0</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96001004</v>
      </c>
      <c r="AU1494" s="18" t="s">
        <v>198</v>
      </c>
      <c r="AV1494" s="18"/>
      <c r="AW1494" s="19" t="s">
        <v>199</v>
      </c>
      <c r="AX1494" s="18" t="s">
        <v>3135</v>
      </c>
      <c r="AY1494" s="18">
        <v>0</v>
      </c>
      <c r="AZ1494" s="18">
        <v>66001004</v>
      </c>
      <c r="BA1494" s="19" t="s">
        <v>200</v>
      </c>
      <c r="BB1494" s="19" t="s">
        <v>198</v>
      </c>
      <c r="BC1494" s="27">
        <v>0</v>
      </c>
      <c r="BD1494" s="27">
        <v>0</v>
      </c>
      <c r="BE1494" s="87" t="s">
        <v>3287</v>
      </c>
      <c r="BF1494" s="87" t="s">
        <v>3288</v>
      </c>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row>
    <row r="1495" spans="3:75" ht="20.100000000000001" customHeight="1">
      <c r="C1495" s="12">
        <v>66001005</v>
      </c>
      <c r="D1495" s="13" t="s">
        <v>3289</v>
      </c>
      <c r="E1495" s="13" t="s">
        <v>3290</v>
      </c>
      <c r="F1495" s="12">
        <v>1</v>
      </c>
      <c r="G1495" s="12">
        <v>66001005</v>
      </c>
      <c r="H1495" s="12">
        <v>0</v>
      </c>
      <c r="I1495" s="12">
        <v>0</v>
      </c>
      <c r="J1495" s="18">
        <v>1</v>
      </c>
      <c r="K1495" s="18">
        <v>0</v>
      </c>
      <c r="L1495" s="12">
        <v>0</v>
      </c>
      <c r="M1495" s="12">
        <v>0</v>
      </c>
      <c r="N1495" s="12">
        <v>0</v>
      </c>
      <c r="O1495" s="12">
        <v>1</v>
      </c>
      <c r="P1495" s="12">
        <v>0</v>
      </c>
      <c r="Q1495" s="12">
        <v>0</v>
      </c>
      <c r="R1495" s="12">
        <v>0</v>
      </c>
      <c r="S1495" s="12">
        <v>0</v>
      </c>
      <c r="T1495" s="12">
        <v>0</v>
      </c>
      <c r="U1495" s="16">
        <v>1</v>
      </c>
      <c r="V1495" s="12">
        <v>2</v>
      </c>
      <c r="W1495" s="12">
        <v>0</v>
      </c>
      <c r="X1495" s="12">
        <v>0</v>
      </c>
      <c r="Y1495" s="12">
        <v>0</v>
      </c>
      <c r="Z1495" s="12">
        <v>0</v>
      </c>
      <c r="AA1495" s="12">
        <v>1</v>
      </c>
      <c r="AB1495" s="12">
        <v>0</v>
      </c>
      <c r="AC1495" s="12">
        <v>0</v>
      </c>
      <c r="AD1495" s="18">
        <v>0</v>
      </c>
      <c r="AE1495" s="12">
        <v>0</v>
      </c>
      <c r="AF1495" s="12">
        <v>18</v>
      </c>
      <c r="AG1495" s="12">
        <v>1</v>
      </c>
      <c r="AH1495" s="12">
        <v>3</v>
      </c>
      <c r="AI1495" s="12">
        <v>2</v>
      </c>
      <c r="AJ1495" s="12">
        <v>0</v>
      </c>
      <c r="AK1495" s="12">
        <v>1</v>
      </c>
      <c r="AL1495" s="12">
        <v>1.6</v>
      </c>
      <c r="AM1495" s="12">
        <v>0</v>
      </c>
      <c r="AN1495" s="12">
        <v>0</v>
      </c>
      <c r="AO1495" s="12">
        <v>0</v>
      </c>
      <c r="AP1495" s="12">
        <v>0.25</v>
      </c>
      <c r="AQ1495" s="12">
        <v>3000</v>
      </c>
      <c r="AR1495" s="12">
        <v>0.1</v>
      </c>
      <c r="AS1495" s="12">
        <v>0</v>
      </c>
      <c r="AT1495" s="12">
        <v>0</v>
      </c>
      <c r="AU1495" s="12">
        <v>96001005</v>
      </c>
      <c r="AV1495" s="12"/>
      <c r="AW1495" s="13" t="s">
        <v>256</v>
      </c>
      <c r="AX1495" s="18" t="s">
        <v>3135</v>
      </c>
      <c r="AY1495" s="12" t="s">
        <v>198</v>
      </c>
      <c r="AZ1495" s="12">
        <v>66001005</v>
      </c>
      <c r="BA1495" s="13" t="s">
        <v>200</v>
      </c>
      <c r="BB1495" s="12">
        <v>0</v>
      </c>
      <c r="BC1495" s="12">
        <v>0</v>
      </c>
      <c r="BD1495" s="12">
        <v>0</v>
      </c>
      <c r="BE1495" s="42" t="s">
        <v>3291</v>
      </c>
      <c r="BF1495" s="42" t="s">
        <v>3292</v>
      </c>
      <c r="BG1495" s="12">
        <v>0</v>
      </c>
      <c r="BH1495" s="16">
        <v>0</v>
      </c>
      <c r="BI1495" s="12">
        <v>0</v>
      </c>
      <c r="BJ1495" s="12">
        <v>0</v>
      </c>
      <c r="BK1495" s="12">
        <v>0</v>
      </c>
      <c r="BL1495" s="12">
        <v>0</v>
      </c>
      <c r="BM1495" s="15">
        <v>0</v>
      </c>
      <c r="BN1495" s="12">
        <v>1</v>
      </c>
      <c r="BO1495" s="12">
        <v>0</v>
      </c>
      <c r="BP1495" s="12">
        <v>0</v>
      </c>
      <c r="BQ1495" s="12">
        <v>0</v>
      </c>
      <c r="BR1495" s="12">
        <v>0</v>
      </c>
      <c r="BS1495" s="12">
        <v>0</v>
      </c>
      <c r="BT1495" s="12">
        <v>0</v>
      </c>
      <c r="BU1495" s="47">
        <v>0</v>
      </c>
      <c r="BV1495" s="47"/>
      <c r="BW1495" s="47"/>
    </row>
    <row r="1496" spans="3:75" ht="20.100000000000001" customHeight="1">
      <c r="C1496" s="18">
        <v>66001006</v>
      </c>
      <c r="D1496" s="19" t="s">
        <v>3293</v>
      </c>
      <c r="E1496" s="19" t="s">
        <v>3294</v>
      </c>
      <c r="F1496" s="18">
        <v>1</v>
      </c>
      <c r="G1496" s="18">
        <v>66001006</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96001006</v>
      </c>
      <c r="AU1496" s="18" t="s">
        <v>198</v>
      </c>
      <c r="AV1496" s="18"/>
      <c r="AW1496" s="19" t="s">
        <v>199</v>
      </c>
      <c r="AX1496" s="18" t="s">
        <v>3135</v>
      </c>
      <c r="AY1496" s="18">
        <v>0</v>
      </c>
      <c r="AZ1496" s="18">
        <v>66001006</v>
      </c>
      <c r="BA1496" s="19" t="s">
        <v>200</v>
      </c>
      <c r="BB1496" s="19" t="s">
        <v>198</v>
      </c>
      <c r="BC1496" s="27">
        <v>0</v>
      </c>
      <c r="BD1496" s="27">
        <v>0</v>
      </c>
      <c r="BE1496" s="87" t="s">
        <v>3295</v>
      </c>
      <c r="BF1496" s="87" t="s">
        <v>3296</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spans="3:75" ht="20.100000000000001" customHeight="1">
      <c r="C1497" s="18">
        <v>66001007</v>
      </c>
      <c r="D1497" s="13" t="s">
        <v>3297</v>
      </c>
      <c r="E1497" s="13" t="s">
        <v>3298</v>
      </c>
      <c r="F1497" s="18">
        <v>1</v>
      </c>
      <c r="G1497" s="18">
        <v>66001007</v>
      </c>
      <c r="H1497" s="12">
        <v>0</v>
      </c>
      <c r="I1497" s="12">
        <v>0</v>
      </c>
      <c r="J1497" s="18">
        <v>1</v>
      </c>
      <c r="K1497" s="18">
        <v>0</v>
      </c>
      <c r="L1497" s="12">
        <v>0</v>
      </c>
      <c r="M1497" s="12">
        <v>0</v>
      </c>
      <c r="N1497" s="12">
        <v>0</v>
      </c>
      <c r="O1497" s="12">
        <v>1</v>
      </c>
      <c r="P1497" s="12">
        <v>0</v>
      </c>
      <c r="Q1497" s="12">
        <v>0</v>
      </c>
      <c r="R1497" s="12">
        <v>0</v>
      </c>
      <c r="S1497" s="12">
        <v>0</v>
      </c>
      <c r="T1497" s="12">
        <v>0</v>
      </c>
      <c r="U1497" s="16">
        <v>1</v>
      </c>
      <c r="V1497" s="12">
        <v>2</v>
      </c>
      <c r="W1497" s="12">
        <v>0</v>
      </c>
      <c r="X1497" s="12">
        <v>2.75</v>
      </c>
      <c r="Y1497" s="12">
        <v>0</v>
      </c>
      <c r="Z1497" s="12">
        <v>0</v>
      </c>
      <c r="AA1497" s="12">
        <v>0</v>
      </c>
      <c r="AB1497" s="12">
        <v>0</v>
      </c>
      <c r="AC1497" s="12">
        <v>0</v>
      </c>
      <c r="AD1497" s="18">
        <v>0</v>
      </c>
      <c r="AE1497" s="12">
        <v>0</v>
      </c>
      <c r="AF1497" s="12">
        <v>15</v>
      </c>
      <c r="AG1497" s="12">
        <v>0</v>
      </c>
      <c r="AH1497" s="12">
        <v>0</v>
      </c>
      <c r="AI1497" s="12">
        <v>7</v>
      </c>
      <c r="AJ1497" s="12">
        <v>0</v>
      </c>
      <c r="AK1497" s="12">
        <v>0</v>
      </c>
      <c r="AL1497" s="12">
        <v>6</v>
      </c>
      <c r="AM1497" s="12">
        <v>0</v>
      </c>
      <c r="AN1497" s="12">
        <v>0</v>
      </c>
      <c r="AO1497" s="12">
        <v>0</v>
      </c>
      <c r="AP1497" s="12">
        <v>0.25</v>
      </c>
      <c r="AQ1497" s="12">
        <v>1000</v>
      </c>
      <c r="AR1497" s="12">
        <v>0</v>
      </c>
      <c r="AS1497" s="12">
        <v>0</v>
      </c>
      <c r="AT1497" s="12">
        <v>0</v>
      </c>
      <c r="AU1497" s="12" t="s">
        <v>198</v>
      </c>
      <c r="AV1497" s="12"/>
      <c r="AW1497" s="13" t="s">
        <v>256</v>
      </c>
      <c r="AX1497" s="12" t="s">
        <v>1695</v>
      </c>
      <c r="AY1497" s="12" t="s">
        <v>198</v>
      </c>
      <c r="AZ1497" s="12" t="s">
        <v>1929</v>
      </c>
      <c r="BA1497" s="13" t="s">
        <v>200</v>
      </c>
      <c r="BB1497" s="12">
        <v>0</v>
      </c>
      <c r="BC1497" s="27">
        <v>0</v>
      </c>
      <c r="BD1497" s="27">
        <v>0</v>
      </c>
      <c r="BE1497" s="42" t="s">
        <v>3299</v>
      </c>
      <c r="BF1497" s="42" t="s">
        <v>3300</v>
      </c>
      <c r="BG1497" s="12">
        <v>0</v>
      </c>
      <c r="BH1497" s="16">
        <v>0</v>
      </c>
      <c r="BI1497" s="12">
        <v>0</v>
      </c>
      <c r="BJ1497" s="12">
        <v>0</v>
      </c>
      <c r="BK1497" s="12">
        <v>0</v>
      </c>
      <c r="BL1497" s="12">
        <v>0</v>
      </c>
      <c r="BM1497" s="15">
        <v>0</v>
      </c>
      <c r="BN1497" s="12">
        <v>0</v>
      </c>
      <c r="BO1497" s="12">
        <v>0</v>
      </c>
      <c r="BP1497" s="12">
        <v>0</v>
      </c>
      <c r="BQ1497" s="12">
        <v>0</v>
      </c>
      <c r="BR1497" s="12">
        <v>0</v>
      </c>
      <c r="BS1497" s="12">
        <v>0</v>
      </c>
      <c r="BT1497" s="12">
        <v>0</v>
      </c>
      <c r="BU1497" s="47">
        <v>0</v>
      </c>
      <c r="BV1497" s="47"/>
      <c r="BW1497" s="47"/>
    </row>
    <row r="1498" spans="3:75" ht="19.5" customHeight="1">
      <c r="C1498" s="18">
        <v>66001008</v>
      </c>
      <c r="D1498" s="19" t="s">
        <v>3301</v>
      </c>
      <c r="E1498" s="19" t="s">
        <v>3302</v>
      </c>
      <c r="F1498" s="16">
        <v>1</v>
      </c>
      <c r="G1498" s="18">
        <v>66001008</v>
      </c>
      <c r="H1498" s="18">
        <v>0</v>
      </c>
      <c r="I1498" s="27">
        <v>0</v>
      </c>
      <c r="J1498" s="18">
        <v>1</v>
      </c>
      <c r="K1498" s="18">
        <v>0</v>
      </c>
      <c r="L1498" s="16">
        <v>0</v>
      </c>
      <c r="M1498" s="18">
        <v>0</v>
      </c>
      <c r="N1498" s="18">
        <v>0</v>
      </c>
      <c r="O1498" s="18">
        <v>1</v>
      </c>
      <c r="P1498" s="18">
        <v>0</v>
      </c>
      <c r="Q1498" s="18">
        <v>0</v>
      </c>
      <c r="R1498" s="18">
        <v>0</v>
      </c>
      <c r="S1498" s="12">
        <v>0</v>
      </c>
      <c r="T1498" s="27">
        <v>0</v>
      </c>
      <c r="U1498" s="16">
        <v>1</v>
      </c>
      <c r="V1498" s="18">
        <v>2</v>
      </c>
      <c r="W1498" s="18">
        <v>0</v>
      </c>
      <c r="X1498" s="18">
        <v>2.5</v>
      </c>
      <c r="Y1498" s="12">
        <v>0</v>
      </c>
      <c r="Z1498" s="18">
        <v>0</v>
      </c>
      <c r="AA1498" s="18">
        <v>0</v>
      </c>
      <c r="AB1498" s="18">
        <v>0</v>
      </c>
      <c r="AC1498" s="18">
        <v>0</v>
      </c>
      <c r="AD1498" s="18">
        <v>0</v>
      </c>
      <c r="AE1498" s="18">
        <v>0</v>
      </c>
      <c r="AF1498" s="18">
        <v>15</v>
      </c>
      <c r="AG1498" s="18">
        <v>1</v>
      </c>
      <c r="AH1498" s="18">
        <v>3</v>
      </c>
      <c r="AI1498" s="12">
        <v>2</v>
      </c>
      <c r="AJ1498" s="12">
        <v>1</v>
      </c>
      <c r="AK1498" s="12">
        <v>0</v>
      </c>
      <c r="AL1498" s="12">
        <v>6</v>
      </c>
      <c r="AM1498" s="18">
        <v>0</v>
      </c>
      <c r="AN1498" s="18">
        <v>0</v>
      </c>
      <c r="AO1498" s="18">
        <v>0</v>
      </c>
      <c r="AP1498" s="18">
        <v>0.75</v>
      </c>
      <c r="AQ1498" s="18">
        <v>3000</v>
      </c>
      <c r="AR1498" s="18">
        <v>0.75</v>
      </c>
      <c r="AS1498" s="18">
        <v>0</v>
      </c>
      <c r="AT1498" s="12">
        <v>0</v>
      </c>
      <c r="AU1498" s="18" t="s">
        <v>198</v>
      </c>
      <c r="AV1498" s="18"/>
      <c r="AW1498" s="19" t="s">
        <v>1547</v>
      </c>
      <c r="AX1498" s="18" t="s">
        <v>1548</v>
      </c>
      <c r="AY1498" s="18">
        <v>10000006</v>
      </c>
      <c r="AZ1498" s="18">
        <v>66001008</v>
      </c>
      <c r="BA1498" s="19" t="s">
        <v>200</v>
      </c>
      <c r="BB1498" s="19">
        <v>0</v>
      </c>
      <c r="BC1498" s="27">
        <v>0</v>
      </c>
      <c r="BD1498" s="27">
        <v>0</v>
      </c>
      <c r="BE1498" s="87" t="s">
        <v>3303</v>
      </c>
      <c r="BF1498" s="87" t="s">
        <v>3304</v>
      </c>
      <c r="BG1498" s="18">
        <v>0</v>
      </c>
      <c r="BH1498" s="16">
        <v>0</v>
      </c>
      <c r="BI1498" s="18">
        <v>0</v>
      </c>
      <c r="BJ1498" s="18">
        <v>0</v>
      </c>
      <c r="BK1498" s="18">
        <v>0</v>
      </c>
      <c r="BL1498" s="18">
        <v>0</v>
      </c>
      <c r="BM1498" s="15">
        <v>0</v>
      </c>
      <c r="BN1498" s="12">
        <v>0</v>
      </c>
      <c r="BO1498" s="12">
        <v>0</v>
      </c>
      <c r="BP1498" s="12">
        <v>0</v>
      </c>
      <c r="BQ1498" s="12">
        <v>0</v>
      </c>
      <c r="BR1498" s="12">
        <v>0</v>
      </c>
      <c r="BS1498" s="12">
        <v>0</v>
      </c>
      <c r="BT1498" s="12">
        <v>0</v>
      </c>
      <c r="BU1498" s="47">
        <v>0</v>
      </c>
      <c r="BV1498" s="47"/>
      <c r="BW1498" s="47"/>
    </row>
    <row r="1499" spans="3:75" ht="19.5" customHeight="1">
      <c r="C1499" s="18">
        <v>66001009</v>
      </c>
      <c r="D1499" s="19" t="s">
        <v>3305</v>
      </c>
      <c r="E1499" s="19" t="s">
        <v>3306</v>
      </c>
      <c r="F1499" s="16">
        <v>1</v>
      </c>
      <c r="G1499" s="18">
        <v>66001009</v>
      </c>
      <c r="H1499" s="18">
        <v>0</v>
      </c>
      <c r="I1499" s="27">
        <v>0</v>
      </c>
      <c r="J1499" s="18">
        <v>1</v>
      </c>
      <c r="K1499" s="18">
        <v>0</v>
      </c>
      <c r="L1499" s="16">
        <v>0</v>
      </c>
      <c r="M1499" s="18">
        <v>0</v>
      </c>
      <c r="N1499" s="18">
        <v>0</v>
      </c>
      <c r="O1499" s="18">
        <v>1</v>
      </c>
      <c r="P1499" s="18">
        <v>0</v>
      </c>
      <c r="Q1499" s="18">
        <v>0</v>
      </c>
      <c r="R1499" s="18">
        <v>0</v>
      </c>
      <c r="S1499" s="12">
        <v>0</v>
      </c>
      <c r="T1499" s="27">
        <v>0</v>
      </c>
      <c r="U1499" s="16">
        <v>1</v>
      </c>
      <c r="V1499" s="18">
        <v>2</v>
      </c>
      <c r="W1499" s="18">
        <v>0</v>
      </c>
      <c r="X1499" s="18">
        <v>2</v>
      </c>
      <c r="Y1499" s="12">
        <v>0</v>
      </c>
      <c r="Z1499" s="18">
        <v>0</v>
      </c>
      <c r="AA1499" s="18">
        <v>0</v>
      </c>
      <c r="AB1499" s="18">
        <v>0</v>
      </c>
      <c r="AC1499" s="18">
        <v>0</v>
      </c>
      <c r="AD1499" s="18">
        <v>0</v>
      </c>
      <c r="AE1499" s="18">
        <v>0</v>
      </c>
      <c r="AF1499" s="18">
        <v>15</v>
      </c>
      <c r="AG1499" s="18">
        <v>1</v>
      </c>
      <c r="AH1499" s="18">
        <v>3</v>
      </c>
      <c r="AI1499" s="12">
        <v>2</v>
      </c>
      <c r="AJ1499" s="12">
        <v>1</v>
      </c>
      <c r="AK1499" s="12">
        <v>0</v>
      </c>
      <c r="AL1499" s="12">
        <v>6</v>
      </c>
      <c r="AM1499" s="18">
        <v>0</v>
      </c>
      <c r="AN1499" s="18">
        <v>0</v>
      </c>
      <c r="AO1499" s="18">
        <v>0</v>
      </c>
      <c r="AP1499" s="18">
        <v>0.75</v>
      </c>
      <c r="AQ1499" s="18">
        <v>3000</v>
      </c>
      <c r="AR1499" s="18">
        <v>0.75</v>
      </c>
      <c r="AS1499" s="18">
        <v>0</v>
      </c>
      <c r="AT1499" s="12">
        <v>0</v>
      </c>
      <c r="AU1499" s="18">
        <v>96001009</v>
      </c>
      <c r="AV1499" s="18"/>
      <c r="AW1499" s="19" t="s">
        <v>1547</v>
      </c>
      <c r="AX1499" s="18" t="s">
        <v>1548</v>
      </c>
      <c r="AY1499" s="18">
        <v>10000006</v>
      </c>
      <c r="AZ1499" s="18">
        <v>66001009</v>
      </c>
      <c r="BA1499" s="19" t="s">
        <v>200</v>
      </c>
      <c r="BB1499" s="19">
        <v>0</v>
      </c>
      <c r="BC1499" s="27">
        <v>0</v>
      </c>
      <c r="BD1499" s="27">
        <v>0</v>
      </c>
      <c r="BE1499" s="87" t="s">
        <v>3307</v>
      </c>
      <c r="BF1499" s="87" t="s">
        <v>3308</v>
      </c>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18">
        <v>66001010</v>
      </c>
      <c r="D1500" s="19" t="s">
        <v>907</v>
      </c>
      <c r="E1500" s="19" t="s">
        <v>382</v>
      </c>
      <c r="F1500" s="18">
        <v>1</v>
      </c>
      <c r="G1500" s="18">
        <v>66001010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0</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96001010</v>
      </c>
      <c r="AU1500" s="18" t="s">
        <v>198</v>
      </c>
      <c r="AV1500" s="18"/>
      <c r="AW1500" s="19" t="s">
        <v>199</v>
      </c>
      <c r="AX1500" s="18" t="s">
        <v>3135</v>
      </c>
      <c r="AY1500" s="18">
        <v>0</v>
      </c>
      <c r="AZ1500" s="18">
        <v>66001010</v>
      </c>
      <c r="BA1500" s="19" t="s">
        <v>200</v>
      </c>
      <c r="BB1500" s="19" t="s">
        <v>198</v>
      </c>
      <c r="BC1500" s="27">
        <v>0</v>
      </c>
      <c r="BD1500" s="27">
        <v>0</v>
      </c>
      <c r="BE1500" s="87" t="s">
        <v>3309</v>
      </c>
      <c r="BF1500" s="87" t="s">
        <v>3310</v>
      </c>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row>
    <row r="1501" spans="3:75" ht="20.100000000000001" customHeight="1">
      <c r="C1501" s="18">
        <v>66001011</v>
      </c>
      <c r="D1501" s="17" t="s">
        <v>3311</v>
      </c>
      <c r="E1501" s="17" t="s">
        <v>3312</v>
      </c>
      <c r="F1501" s="16">
        <v>1</v>
      </c>
      <c r="G1501" s="18">
        <v>66001011</v>
      </c>
      <c r="H1501" s="16">
        <v>0</v>
      </c>
      <c r="I1501" s="27">
        <v>0</v>
      </c>
      <c r="J1501" s="18">
        <v>1</v>
      </c>
      <c r="K1501" s="18">
        <v>0</v>
      </c>
      <c r="L1501" s="16">
        <v>0</v>
      </c>
      <c r="M1501" s="16">
        <v>0</v>
      </c>
      <c r="N1501" s="16">
        <v>0</v>
      </c>
      <c r="O1501" s="16">
        <v>1</v>
      </c>
      <c r="P1501" s="16">
        <v>0</v>
      </c>
      <c r="Q1501" s="16">
        <v>0</v>
      </c>
      <c r="R1501" s="16">
        <v>0</v>
      </c>
      <c r="S1501" s="12">
        <v>0</v>
      </c>
      <c r="T1501" s="16">
        <v>0</v>
      </c>
      <c r="U1501" s="16">
        <v>1</v>
      </c>
      <c r="V1501" s="16">
        <v>2</v>
      </c>
      <c r="W1501" s="16">
        <v>0</v>
      </c>
      <c r="X1501" s="16">
        <v>3</v>
      </c>
      <c r="Y1501" s="12">
        <v>0</v>
      </c>
      <c r="Z1501" s="16">
        <v>0</v>
      </c>
      <c r="AA1501" s="16">
        <v>0</v>
      </c>
      <c r="AB1501" s="16">
        <v>0</v>
      </c>
      <c r="AC1501" s="16">
        <v>0</v>
      </c>
      <c r="AD1501" s="18">
        <v>0</v>
      </c>
      <c r="AE1501" s="16">
        <v>0</v>
      </c>
      <c r="AF1501" s="16">
        <v>18</v>
      </c>
      <c r="AG1501" s="16">
        <v>2</v>
      </c>
      <c r="AH1501" s="16" t="s">
        <v>1497</v>
      </c>
      <c r="AI1501" s="12">
        <v>2</v>
      </c>
      <c r="AJ1501" s="12">
        <v>2</v>
      </c>
      <c r="AK1501" s="12">
        <v>0</v>
      </c>
      <c r="AL1501" s="12">
        <v>1.5</v>
      </c>
      <c r="AM1501" s="16">
        <v>0</v>
      </c>
      <c r="AN1501" s="16">
        <v>0</v>
      </c>
      <c r="AO1501" s="16">
        <v>0</v>
      </c>
      <c r="AP1501" s="16">
        <v>0.25</v>
      </c>
      <c r="AQ1501" s="16">
        <v>3000</v>
      </c>
      <c r="AR1501" s="16">
        <v>0.25</v>
      </c>
      <c r="AS1501" s="16">
        <v>0</v>
      </c>
      <c r="AT1501" s="12">
        <v>0</v>
      </c>
      <c r="AU1501" s="16" t="s">
        <v>198</v>
      </c>
      <c r="AV1501" s="16"/>
      <c r="AW1501" s="17" t="s">
        <v>287</v>
      </c>
      <c r="AX1501" s="16" t="s">
        <v>1498</v>
      </c>
      <c r="AY1501" s="18">
        <v>10001007</v>
      </c>
      <c r="AZ1501" s="18">
        <v>66001011</v>
      </c>
      <c r="BA1501" s="17" t="s">
        <v>200</v>
      </c>
      <c r="BB1501" s="16">
        <v>0</v>
      </c>
      <c r="BC1501" s="27">
        <v>0</v>
      </c>
      <c r="BD1501" s="27">
        <v>0</v>
      </c>
      <c r="BE1501" s="44" t="s">
        <v>3313</v>
      </c>
      <c r="BF1501" s="44" t="s">
        <v>3314</v>
      </c>
      <c r="BG1501" s="16">
        <v>0</v>
      </c>
      <c r="BH1501" s="16">
        <v>0</v>
      </c>
      <c r="BI1501" s="16">
        <v>0</v>
      </c>
      <c r="BJ1501" s="16">
        <v>0</v>
      </c>
      <c r="BK1501" s="16">
        <v>0</v>
      </c>
      <c r="BL1501" s="16">
        <v>0</v>
      </c>
      <c r="BM1501" s="15">
        <v>0</v>
      </c>
      <c r="BN1501" s="12">
        <v>0</v>
      </c>
      <c r="BO1501" s="12">
        <v>0</v>
      </c>
      <c r="BP1501" s="12">
        <v>0</v>
      </c>
      <c r="BQ1501" s="12">
        <v>0</v>
      </c>
      <c r="BR1501" s="12">
        <v>0</v>
      </c>
      <c r="BS1501" s="12">
        <v>0</v>
      </c>
      <c r="BT1501" s="12">
        <v>0</v>
      </c>
      <c r="BU1501" s="47">
        <v>0</v>
      </c>
      <c r="BV1501" s="47"/>
      <c r="BW1501" s="47"/>
    </row>
    <row r="1502" spans="3:75" ht="19.5" customHeight="1">
      <c r="C1502" s="64">
        <v>66001012</v>
      </c>
      <c r="D1502" s="63" t="s">
        <v>951</v>
      </c>
      <c r="E1502" s="63" t="s">
        <v>952</v>
      </c>
      <c r="F1502" s="60">
        <v>1</v>
      </c>
      <c r="G1502" s="64">
        <v>66001012</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2.75</v>
      </c>
      <c r="Y1502" s="12">
        <v>0</v>
      </c>
      <c r="Z1502" s="64">
        <v>0</v>
      </c>
      <c r="AA1502" s="64">
        <v>0</v>
      </c>
      <c r="AB1502" s="64">
        <v>0</v>
      </c>
      <c r="AC1502" s="64">
        <v>0</v>
      </c>
      <c r="AD1502" s="64">
        <v>0</v>
      </c>
      <c r="AE1502" s="64">
        <v>0</v>
      </c>
      <c r="AF1502" s="64">
        <v>15</v>
      </c>
      <c r="AG1502" s="64">
        <v>1</v>
      </c>
      <c r="AH1502" s="64">
        <v>3</v>
      </c>
      <c r="AI1502" s="68">
        <v>2</v>
      </c>
      <c r="AJ1502" s="68">
        <v>1</v>
      </c>
      <c r="AK1502" s="12">
        <v>0</v>
      </c>
      <c r="AL1502" s="68">
        <v>6</v>
      </c>
      <c r="AM1502" s="64">
        <v>0</v>
      </c>
      <c r="AN1502" s="64">
        <v>0</v>
      </c>
      <c r="AO1502" s="64">
        <v>0</v>
      </c>
      <c r="AP1502" s="64">
        <v>0.75</v>
      </c>
      <c r="AQ1502" s="64">
        <v>3000</v>
      </c>
      <c r="AR1502" s="64">
        <v>1.5</v>
      </c>
      <c r="AS1502" s="64">
        <v>0</v>
      </c>
      <c r="AT1502" s="68">
        <v>0</v>
      </c>
      <c r="AU1502" s="64" t="s">
        <v>198</v>
      </c>
      <c r="AV1502" s="64"/>
      <c r="AW1502" s="63" t="s">
        <v>1547</v>
      </c>
      <c r="AX1502" s="64" t="s">
        <v>1548</v>
      </c>
      <c r="AY1502" s="64">
        <v>10000006</v>
      </c>
      <c r="AZ1502" s="64">
        <v>70405004</v>
      </c>
      <c r="BA1502" s="63" t="s">
        <v>200</v>
      </c>
      <c r="BB1502" s="63">
        <v>0</v>
      </c>
      <c r="BC1502" s="66">
        <v>0</v>
      </c>
      <c r="BD1502" s="66">
        <v>0</v>
      </c>
      <c r="BE1502" s="92" t="s">
        <v>3315</v>
      </c>
      <c r="BF1502" s="92" t="s">
        <v>3316</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66001013</v>
      </c>
      <c r="D1503" s="63" t="s">
        <v>3317</v>
      </c>
      <c r="E1503" s="63" t="s">
        <v>1064</v>
      </c>
      <c r="F1503" s="60">
        <v>1</v>
      </c>
      <c r="G1503" s="64">
        <v>66001013</v>
      </c>
      <c r="H1503" s="64">
        <v>0</v>
      </c>
      <c r="I1503" s="66">
        <v>0</v>
      </c>
      <c r="J1503" s="64">
        <v>1</v>
      </c>
      <c r="K1503" s="64">
        <v>0</v>
      </c>
      <c r="L1503" s="60">
        <v>0</v>
      </c>
      <c r="M1503" s="64">
        <v>0</v>
      </c>
      <c r="N1503" s="64">
        <v>0</v>
      </c>
      <c r="O1503" s="64">
        <v>1</v>
      </c>
      <c r="P1503" s="64">
        <v>1</v>
      </c>
      <c r="Q1503" s="64">
        <v>0</v>
      </c>
      <c r="R1503" s="64">
        <v>0</v>
      </c>
      <c r="S1503" s="68">
        <v>0</v>
      </c>
      <c r="T1503" s="66">
        <v>0</v>
      </c>
      <c r="U1503" s="60">
        <v>1</v>
      </c>
      <c r="V1503" s="64">
        <v>2</v>
      </c>
      <c r="W1503" s="64">
        <v>0</v>
      </c>
      <c r="X1503" s="64">
        <v>0.5</v>
      </c>
      <c r="Y1503" s="12">
        <v>0</v>
      </c>
      <c r="Z1503" s="64">
        <v>0</v>
      </c>
      <c r="AA1503" s="64">
        <v>0</v>
      </c>
      <c r="AB1503" s="64">
        <v>0</v>
      </c>
      <c r="AC1503" s="64">
        <v>0</v>
      </c>
      <c r="AD1503" s="64">
        <v>0</v>
      </c>
      <c r="AE1503" s="64">
        <v>0</v>
      </c>
      <c r="AF1503" s="64">
        <v>9</v>
      </c>
      <c r="AG1503" s="64">
        <v>1</v>
      </c>
      <c r="AH1503" s="64">
        <v>4</v>
      </c>
      <c r="AI1503" s="68">
        <v>9</v>
      </c>
      <c r="AJ1503" s="68">
        <v>0</v>
      </c>
      <c r="AK1503" s="12">
        <v>0</v>
      </c>
      <c r="AL1503" s="68">
        <v>6</v>
      </c>
      <c r="AM1503" s="64">
        <v>0</v>
      </c>
      <c r="AN1503" s="64">
        <v>0</v>
      </c>
      <c r="AO1503" s="64">
        <v>0</v>
      </c>
      <c r="AP1503" s="64">
        <v>0.5</v>
      </c>
      <c r="AQ1503" s="64">
        <v>30000</v>
      </c>
      <c r="AR1503" s="64">
        <v>0.5</v>
      </c>
      <c r="AS1503" s="64">
        <v>0</v>
      </c>
      <c r="AT1503" s="68">
        <v>0</v>
      </c>
      <c r="AU1503" s="64">
        <v>96001013</v>
      </c>
      <c r="AV1503" s="64"/>
      <c r="AW1503" s="63" t="s">
        <v>199</v>
      </c>
      <c r="AX1503" s="64" t="s">
        <v>1408</v>
      </c>
      <c r="AY1503" s="64">
        <v>10000009</v>
      </c>
      <c r="AZ1503" s="64">
        <v>70405005</v>
      </c>
      <c r="BA1503" s="63" t="s">
        <v>315</v>
      </c>
      <c r="BB1503" s="63" t="s">
        <v>371</v>
      </c>
      <c r="BC1503" s="66">
        <v>0</v>
      </c>
      <c r="BD1503" s="66">
        <v>0</v>
      </c>
      <c r="BE1503" s="207" t="s">
        <v>3318</v>
      </c>
      <c r="BF1503" s="207" t="s">
        <v>3319</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66001014</v>
      </c>
      <c r="D1504" s="63" t="s">
        <v>3320</v>
      </c>
      <c r="E1504" s="63" t="s">
        <v>3321</v>
      </c>
      <c r="F1504" s="60">
        <v>1</v>
      </c>
      <c r="G1504" s="64">
        <v>66001014</v>
      </c>
      <c r="H1504" s="64">
        <v>0</v>
      </c>
      <c r="I1504" s="66">
        <v>0</v>
      </c>
      <c r="J1504" s="64">
        <v>1</v>
      </c>
      <c r="K1504" s="64">
        <v>0</v>
      </c>
      <c r="L1504" s="60">
        <v>0</v>
      </c>
      <c r="M1504" s="64">
        <v>0</v>
      </c>
      <c r="N1504" s="64">
        <v>0</v>
      </c>
      <c r="O1504" s="64">
        <v>1</v>
      </c>
      <c r="P1504" s="64">
        <v>0</v>
      </c>
      <c r="Q1504" s="64">
        <v>0</v>
      </c>
      <c r="R1504" s="64">
        <v>0</v>
      </c>
      <c r="S1504" s="68">
        <v>0</v>
      </c>
      <c r="T1504" s="66">
        <v>0</v>
      </c>
      <c r="U1504" s="60">
        <v>1</v>
      </c>
      <c r="V1504" s="64">
        <v>2</v>
      </c>
      <c r="W1504" s="64">
        <v>0</v>
      </c>
      <c r="X1504" s="64">
        <v>2</v>
      </c>
      <c r="Y1504" s="12">
        <v>0</v>
      </c>
      <c r="Z1504" s="64">
        <v>0</v>
      </c>
      <c r="AA1504" s="64">
        <v>0</v>
      </c>
      <c r="AB1504" s="64">
        <v>0</v>
      </c>
      <c r="AC1504" s="64">
        <v>0</v>
      </c>
      <c r="AD1504" s="64">
        <v>0</v>
      </c>
      <c r="AE1504" s="64">
        <v>0</v>
      </c>
      <c r="AF1504" s="64">
        <v>12</v>
      </c>
      <c r="AG1504" s="64">
        <v>1</v>
      </c>
      <c r="AH1504" s="64">
        <v>3.5</v>
      </c>
      <c r="AI1504" s="68">
        <v>0</v>
      </c>
      <c r="AJ1504" s="68">
        <v>0</v>
      </c>
      <c r="AK1504" s="12">
        <v>0</v>
      </c>
      <c r="AL1504" s="68">
        <v>4</v>
      </c>
      <c r="AM1504" s="64">
        <v>0</v>
      </c>
      <c r="AN1504" s="64">
        <v>0</v>
      </c>
      <c r="AO1504" s="64">
        <v>0</v>
      </c>
      <c r="AP1504" s="64">
        <v>0.5</v>
      </c>
      <c r="AQ1504" s="64">
        <v>3000</v>
      </c>
      <c r="AR1504" s="64">
        <v>0</v>
      </c>
      <c r="AS1504" s="64">
        <v>0</v>
      </c>
      <c r="AT1504" s="68">
        <v>0</v>
      </c>
      <c r="AU1504" s="64">
        <v>92005001</v>
      </c>
      <c r="AV1504" s="64"/>
      <c r="AW1504" s="63" t="s">
        <v>199</v>
      </c>
      <c r="AX1504" s="64" t="s">
        <v>534</v>
      </c>
      <c r="AY1504" s="64">
        <v>10000009</v>
      </c>
      <c r="AZ1504" s="64">
        <v>70405006</v>
      </c>
      <c r="BA1504" s="63" t="s">
        <v>200</v>
      </c>
      <c r="BB1504" s="63">
        <v>0</v>
      </c>
      <c r="BC1504" s="66">
        <v>0</v>
      </c>
      <c r="BD1504" s="66">
        <v>0</v>
      </c>
      <c r="BE1504" s="207" t="s">
        <v>3322</v>
      </c>
      <c r="BF1504" s="207" t="s">
        <v>3323</v>
      </c>
      <c r="BG1504" s="64">
        <v>0</v>
      </c>
      <c r="BH1504" s="60">
        <v>0</v>
      </c>
      <c r="BI1504" s="64">
        <v>0</v>
      </c>
      <c r="BJ1504" s="64">
        <v>0</v>
      </c>
      <c r="BK1504" s="64">
        <v>0</v>
      </c>
      <c r="BL1504" s="64">
        <v>0</v>
      </c>
      <c r="BM1504" s="93">
        <v>0</v>
      </c>
      <c r="BN1504" s="12">
        <v>0</v>
      </c>
      <c r="BO1504" s="12">
        <v>0</v>
      </c>
      <c r="BP1504" s="12">
        <v>0</v>
      </c>
      <c r="BQ1504" s="12">
        <v>0</v>
      </c>
      <c r="BR1504" s="12">
        <v>0</v>
      </c>
      <c r="BS1504" s="12">
        <v>0</v>
      </c>
      <c r="BT1504" s="12">
        <v>0</v>
      </c>
      <c r="BU1504" s="47">
        <v>0</v>
      </c>
      <c r="BV1504" s="47"/>
      <c r="BW1504" s="47"/>
    </row>
    <row r="1505" spans="3:75" ht="20.100000000000001" customHeight="1">
      <c r="C1505" s="64">
        <v>66001015</v>
      </c>
      <c r="D1505" s="63" t="s">
        <v>3324</v>
      </c>
      <c r="E1505" s="63" t="s">
        <v>3325</v>
      </c>
      <c r="F1505" s="60">
        <v>1</v>
      </c>
      <c r="G1505" s="64">
        <v>66001015</v>
      </c>
      <c r="H1505" s="64">
        <v>0</v>
      </c>
      <c r="I1505" s="66">
        <v>0</v>
      </c>
      <c r="J1505" s="64">
        <v>1</v>
      </c>
      <c r="K1505" s="64">
        <v>0</v>
      </c>
      <c r="L1505" s="60">
        <v>0</v>
      </c>
      <c r="M1505" s="64">
        <v>0</v>
      </c>
      <c r="N1505" s="64">
        <v>0</v>
      </c>
      <c r="O1505" s="64">
        <v>2</v>
      </c>
      <c r="P1505" s="64">
        <v>1</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5</v>
      </c>
      <c r="AT1505" s="68">
        <v>0</v>
      </c>
      <c r="AU1505" s="64">
        <v>92003001</v>
      </c>
      <c r="AV1505" s="64"/>
      <c r="AW1505" s="63" t="s">
        <v>199</v>
      </c>
      <c r="AX1505" s="64" t="s">
        <v>545</v>
      </c>
      <c r="AY1505" s="64">
        <v>10003002</v>
      </c>
      <c r="AZ1505" s="64">
        <v>70405009</v>
      </c>
      <c r="BA1505" s="63" t="s">
        <v>586</v>
      </c>
      <c r="BB1505" s="63">
        <v>0</v>
      </c>
      <c r="BC1505" s="66">
        <v>0</v>
      </c>
      <c r="BD1505" s="66">
        <v>0</v>
      </c>
      <c r="BE1505" s="207" t="s">
        <v>3326</v>
      </c>
      <c r="BF1505" s="207" t="s">
        <v>3327</v>
      </c>
      <c r="BG1505" s="64">
        <v>0</v>
      </c>
      <c r="BH1505" s="60">
        <v>0</v>
      </c>
      <c r="BI1505" s="64">
        <v>0</v>
      </c>
      <c r="BJ1505" s="64">
        <v>0</v>
      </c>
      <c r="BK1505" s="64">
        <v>0</v>
      </c>
      <c r="BL1505" s="64">
        <v>0</v>
      </c>
      <c r="BM1505" s="93">
        <v>0</v>
      </c>
      <c r="BN1505" s="12">
        <v>0</v>
      </c>
      <c r="BO1505" s="12">
        <v>0</v>
      </c>
      <c r="BP1505" s="12">
        <v>0</v>
      </c>
      <c r="BQ1505" s="12">
        <v>0</v>
      </c>
      <c r="BR1505" s="12">
        <v>0</v>
      </c>
      <c r="BS1505" s="12">
        <v>0</v>
      </c>
      <c r="BT1505" s="12">
        <v>0</v>
      </c>
      <c r="BU1505" s="47">
        <v>0</v>
      </c>
      <c r="BV1505" s="47"/>
      <c r="BW1505" s="47"/>
    </row>
    <row r="1506" spans="3:75" ht="20.100000000000001" customHeight="1">
      <c r="C1506" s="64">
        <v>66001016</v>
      </c>
      <c r="D1506" s="63" t="s">
        <v>3328</v>
      </c>
      <c r="E1506" s="63" t="s">
        <v>3329</v>
      </c>
      <c r="F1506" s="60">
        <v>1</v>
      </c>
      <c r="G1506" s="64">
        <v>66001016</v>
      </c>
      <c r="H1506" s="64">
        <v>0</v>
      </c>
      <c r="I1506" s="66">
        <v>0</v>
      </c>
      <c r="J1506" s="64">
        <v>1</v>
      </c>
      <c r="K1506" s="64">
        <v>0</v>
      </c>
      <c r="L1506" s="60">
        <v>0</v>
      </c>
      <c r="M1506" s="64">
        <v>0</v>
      </c>
      <c r="N1506" s="64">
        <v>0</v>
      </c>
      <c r="O1506" s="64">
        <v>1</v>
      </c>
      <c r="P1506" s="64">
        <v>0</v>
      </c>
      <c r="Q1506" s="64">
        <v>0</v>
      </c>
      <c r="R1506" s="64">
        <v>0</v>
      </c>
      <c r="S1506" s="68">
        <v>0</v>
      </c>
      <c r="T1506" s="66">
        <v>0</v>
      </c>
      <c r="U1506" s="60">
        <v>1</v>
      </c>
      <c r="V1506" s="64">
        <v>2</v>
      </c>
      <c r="W1506" s="64">
        <v>0</v>
      </c>
      <c r="X1506" s="64">
        <v>0.75</v>
      </c>
      <c r="Y1506" s="12">
        <v>0</v>
      </c>
      <c r="Z1506" s="64">
        <v>0</v>
      </c>
      <c r="AA1506" s="64">
        <v>0</v>
      </c>
      <c r="AB1506" s="64">
        <v>0</v>
      </c>
      <c r="AC1506" s="64">
        <v>0</v>
      </c>
      <c r="AD1506" s="64">
        <v>0</v>
      </c>
      <c r="AE1506" s="64">
        <v>0</v>
      </c>
      <c r="AF1506" s="64">
        <v>24</v>
      </c>
      <c r="AG1506" s="64">
        <v>1</v>
      </c>
      <c r="AH1506" s="64">
        <v>4</v>
      </c>
      <c r="AI1506" s="68">
        <v>2</v>
      </c>
      <c r="AJ1506" s="68">
        <v>1</v>
      </c>
      <c r="AK1506" s="12">
        <v>0</v>
      </c>
      <c r="AL1506" s="68">
        <v>6</v>
      </c>
      <c r="AM1506" s="64">
        <v>0</v>
      </c>
      <c r="AN1506" s="64">
        <v>0</v>
      </c>
      <c r="AO1506" s="64">
        <v>0</v>
      </c>
      <c r="AP1506" s="64">
        <v>0.5</v>
      </c>
      <c r="AQ1506" s="64">
        <v>9000</v>
      </c>
      <c r="AR1506" s="64">
        <v>0.5</v>
      </c>
      <c r="AS1506" s="64">
        <v>0</v>
      </c>
      <c r="AT1506" s="68">
        <v>0</v>
      </c>
      <c r="AU1506" s="64">
        <v>92002002</v>
      </c>
      <c r="AV1506" s="64"/>
      <c r="AW1506" s="63" t="s">
        <v>1557</v>
      </c>
      <c r="AX1506" s="64" t="s">
        <v>1408</v>
      </c>
      <c r="AY1506" s="64">
        <v>10002001</v>
      </c>
      <c r="AZ1506" s="64">
        <v>70405008</v>
      </c>
      <c r="BA1506" s="63" t="s">
        <v>315</v>
      </c>
      <c r="BB1506" s="63" t="s">
        <v>371</v>
      </c>
      <c r="BC1506" s="66">
        <v>0</v>
      </c>
      <c r="BD1506" s="66">
        <v>0</v>
      </c>
      <c r="BE1506" s="92" t="s">
        <v>3330</v>
      </c>
      <c r="BF1506" s="92" t="s">
        <v>3331</v>
      </c>
      <c r="BG1506" s="64">
        <v>0</v>
      </c>
      <c r="BH1506" s="60">
        <v>0</v>
      </c>
      <c r="BI1506" s="64">
        <v>0</v>
      </c>
      <c r="BJ1506" s="64">
        <v>0</v>
      </c>
      <c r="BK1506" s="64">
        <v>0</v>
      </c>
      <c r="BL1506" s="64">
        <v>0</v>
      </c>
      <c r="BM1506" s="93">
        <v>0</v>
      </c>
      <c r="BN1506" s="12">
        <v>0</v>
      </c>
      <c r="BO1506" s="12">
        <v>0</v>
      </c>
      <c r="BP1506" s="12">
        <v>0</v>
      </c>
      <c r="BQ1506" s="12">
        <v>0</v>
      </c>
      <c r="BR1506" s="12">
        <v>0</v>
      </c>
      <c r="BS1506" s="12">
        <v>0</v>
      </c>
      <c r="BT1506" s="12">
        <v>0</v>
      </c>
      <c r="BU1506" s="47">
        <v>0</v>
      </c>
      <c r="BV1506" s="47"/>
      <c r="BW1506" s="47"/>
    </row>
    <row r="1507" spans="3:75" ht="20.100000000000001" customHeight="1">
      <c r="C1507" s="64">
        <v>66001017</v>
      </c>
      <c r="D1507" s="59" t="s">
        <v>3332</v>
      </c>
      <c r="E1507" s="59" t="s">
        <v>3333</v>
      </c>
      <c r="F1507" s="64">
        <v>1</v>
      </c>
      <c r="G1507" s="64">
        <v>66001017</v>
      </c>
      <c r="H1507" s="64">
        <v>0</v>
      </c>
      <c r="I1507" s="66">
        <v>0</v>
      </c>
      <c r="J1507" s="64">
        <v>1</v>
      </c>
      <c r="K1507" s="64">
        <v>0</v>
      </c>
      <c r="L1507" s="64">
        <v>0</v>
      </c>
      <c r="M1507" s="60">
        <v>0</v>
      </c>
      <c r="N1507" s="60">
        <v>0</v>
      </c>
      <c r="O1507" s="60">
        <v>1</v>
      </c>
      <c r="P1507" s="60">
        <v>0</v>
      </c>
      <c r="Q1507" s="60">
        <v>0</v>
      </c>
      <c r="R1507" s="60">
        <v>0</v>
      </c>
      <c r="S1507" s="68">
        <v>0</v>
      </c>
      <c r="T1507" s="60">
        <v>0</v>
      </c>
      <c r="U1507" s="60">
        <v>1</v>
      </c>
      <c r="V1507" s="60">
        <v>2</v>
      </c>
      <c r="W1507" s="60">
        <v>0</v>
      </c>
      <c r="X1507" s="60">
        <v>0</v>
      </c>
      <c r="Y1507" s="12">
        <v>0</v>
      </c>
      <c r="Z1507" s="60">
        <v>0</v>
      </c>
      <c r="AA1507" s="60">
        <v>0</v>
      </c>
      <c r="AB1507" s="60">
        <v>0</v>
      </c>
      <c r="AC1507" s="60">
        <v>0</v>
      </c>
      <c r="AD1507" s="60">
        <v>0</v>
      </c>
      <c r="AE1507" s="60">
        <v>0</v>
      </c>
      <c r="AF1507" s="60">
        <v>15</v>
      </c>
      <c r="AG1507" s="60">
        <v>0</v>
      </c>
      <c r="AH1507" s="60">
        <v>0</v>
      </c>
      <c r="AI1507" s="68">
        <v>0</v>
      </c>
      <c r="AJ1507" s="68">
        <v>0</v>
      </c>
      <c r="AK1507" s="12">
        <v>0</v>
      </c>
      <c r="AL1507" s="68">
        <f>H67+AL7770</f>
        <v>60010602</v>
      </c>
      <c r="AM1507" s="60">
        <v>0</v>
      </c>
      <c r="AN1507" s="60">
        <v>0</v>
      </c>
      <c r="AO1507" s="60">
        <v>0</v>
      </c>
      <c r="AP1507" s="64">
        <v>0.5</v>
      </c>
      <c r="AQ1507" s="60">
        <v>3000</v>
      </c>
      <c r="AR1507" s="60">
        <v>0.5</v>
      </c>
      <c r="AS1507" s="60">
        <v>0</v>
      </c>
      <c r="AT1507" s="68">
        <v>0</v>
      </c>
      <c r="AU1507" s="60" t="s">
        <v>198</v>
      </c>
      <c r="AV1507" s="60"/>
      <c r="AW1507" s="59" t="s">
        <v>199</v>
      </c>
      <c r="AX1507" s="60" t="s">
        <v>545</v>
      </c>
      <c r="AY1507" s="64">
        <v>0</v>
      </c>
      <c r="AZ1507" s="64">
        <v>21101051</v>
      </c>
      <c r="BA1507" s="59" t="s">
        <v>1174</v>
      </c>
      <c r="BB1507" s="365" t="s">
        <v>3334</v>
      </c>
      <c r="BC1507" s="66">
        <v>0</v>
      </c>
      <c r="BD1507" s="66">
        <v>0</v>
      </c>
      <c r="BE1507" s="90" t="s">
        <v>3335</v>
      </c>
      <c r="BF1507" s="90" t="s">
        <v>3336</v>
      </c>
      <c r="BG1507" s="60">
        <v>0</v>
      </c>
      <c r="BH1507" s="60">
        <v>0</v>
      </c>
      <c r="BI1507" s="60">
        <v>0</v>
      </c>
      <c r="BJ1507" s="60">
        <v>0</v>
      </c>
      <c r="BK1507" s="60">
        <v>0</v>
      </c>
      <c r="BL1507" s="60">
        <v>0</v>
      </c>
      <c r="BM1507" s="93">
        <v>0</v>
      </c>
      <c r="BN1507" s="12">
        <v>0</v>
      </c>
      <c r="BO1507" s="12">
        <v>0</v>
      </c>
      <c r="BP1507" s="12">
        <v>0</v>
      </c>
      <c r="BQ1507" s="12">
        <v>0</v>
      </c>
      <c r="BR1507" s="12">
        <v>0</v>
      </c>
      <c r="BS1507" s="12">
        <v>0</v>
      </c>
      <c r="BT1507" s="12">
        <v>0</v>
      </c>
      <c r="BU1507" s="47">
        <v>0</v>
      </c>
      <c r="BV1507" s="47"/>
      <c r="BW1507" s="47"/>
    </row>
    <row r="1508" spans="3:75" ht="20.100000000000001" customHeight="1">
      <c r="C1508" s="64">
        <v>66001018</v>
      </c>
      <c r="D1508" s="63" t="s">
        <v>3337</v>
      </c>
      <c r="E1508" s="63" t="s">
        <v>3338</v>
      </c>
      <c r="F1508" s="60">
        <v>1</v>
      </c>
      <c r="G1508" s="64">
        <v>66001018</v>
      </c>
      <c r="H1508" s="64">
        <v>0</v>
      </c>
      <c r="I1508" s="66">
        <v>0</v>
      </c>
      <c r="J1508" s="64">
        <v>1</v>
      </c>
      <c r="K1508" s="64">
        <v>0</v>
      </c>
      <c r="L1508" s="60">
        <v>0</v>
      </c>
      <c r="M1508" s="64">
        <v>0</v>
      </c>
      <c r="N1508" s="64">
        <v>0</v>
      </c>
      <c r="O1508" s="64">
        <v>2</v>
      </c>
      <c r="P1508" s="64">
        <v>3</v>
      </c>
      <c r="Q1508" s="64">
        <v>0.05</v>
      </c>
      <c r="R1508" s="64">
        <v>0</v>
      </c>
      <c r="S1508" s="68">
        <v>0</v>
      </c>
      <c r="T1508" s="66">
        <v>0</v>
      </c>
      <c r="U1508" s="60">
        <v>1</v>
      </c>
      <c r="V1508" s="64">
        <v>2</v>
      </c>
      <c r="W1508" s="64">
        <v>0</v>
      </c>
      <c r="X1508" s="64">
        <v>1.8</v>
      </c>
      <c r="Y1508" s="12">
        <v>0</v>
      </c>
      <c r="Z1508" s="64">
        <v>700</v>
      </c>
      <c r="AA1508" s="64">
        <v>0</v>
      </c>
      <c r="AB1508" s="64">
        <v>0</v>
      </c>
      <c r="AC1508" s="64">
        <v>0</v>
      </c>
      <c r="AD1508" s="64">
        <v>1</v>
      </c>
      <c r="AE1508" s="64">
        <v>0</v>
      </c>
      <c r="AF1508" s="64">
        <v>10</v>
      </c>
      <c r="AG1508" s="64">
        <v>1</v>
      </c>
      <c r="AH1508" s="64">
        <v>1</v>
      </c>
      <c r="AI1508" s="68">
        <v>2</v>
      </c>
      <c r="AJ1508" s="68">
        <v>2</v>
      </c>
      <c r="AK1508" s="12">
        <v>0</v>
      </c>
      <c r="AL1508" s="68">
        <v>4</v>
      </c>
      <c r="AM1508" s="64">
        <v>0</v>
      </c>
      <c r="AN1508" s="64">
        <v>0</v>
      </c>
      <c r="AO1508" s="64">
        <v>0</v>
      </c>
      <c r="AP1508" s="64">
        <v>0.5</v>
      </c>
      <c r="AQ1508" s="64">
        <v>30000</v>
      </c>
      <c r="AR1508" s="64">
        <v>0.5</v>
      </c>
      <c r="AS1508" s="64">
        <v>10</v>
      </c>
      <c r="AT1508" s="68">
        <v>0</v>
      </c>
      <c r="AU1508" s="64">
        <v>93000208</v>
      </c>
      <c r="AV1508" s="64"/>
      <c r="AW1508" s="63" t="s">
        <v>199</v>
      </c>
      <c r="AX1508" s="64" t="s">
        <v>545</v>
      </c>
      <c r="AY1508" s="64">
        <v>10003002</v>
      </c>
      <c r="AZ1508" s="64">
        <v>21100020</v>
      </c>
      <c r="BA1508" s="63" t="s">
        <v>586</v>
      </c>
      <c r="BB1508" s="63">
        <v>0</v>
      </c>
      <c r="BC1508" s="66">
        <v>0</v>
      </c>
      <c r="BD1508" s="66">
        <v>0</v>
      </c>
      <c r="BE1508" s="207" t="s">
        <v>3339</v>
      </c>
      <c r="BF1508" s="207" t="s">
        <v>3340</v>
      </c>
      <c r="BG1508" s="64">
        <v>0</v>
      </c>
      <c r="BH1508" s="60">
        <v>0</v>
      </c>
      <c r="BI1508" s="64">
        <v>0</v>
      </c>
      <c r="BJ1508" s="64">
        <v>0</v>
      </c>
      <c r="BK1508" s="64">
        <v>0</v>
      </c>
      <c r="BL1508" s="64">
        <v>0</v>
      </c>
      <c r="BM1508" s="93">
        <v>0</v>
      </c>
      <c r="BN1508" s="12">
        <v>1</v>
      </c>
      <c r="BO1508" s="12">
        <v>0</v>
      </c>
      <c r="BP1508" s="12">
        <v>0</v>
      </c>
      <c r="BQ1508" s="12">
        <v>0</v>
      </c>
      <c r="BR1508" s="12">
        <v>0</v>
      </c>
      <c r="BS1508" s="12">
        <v>0</v>
      </c>
      <c r="BT1508" s="12">
        <v>0</v>
      </c>
      <c r="BU1508" s="47">
        <v>0</v>
      </c>
      <c r="BV1508" s="47"/>
      <c r="BW1508" s="47"/>
    </row>
    <row r="1509" spans="3:75" ht="20.100000000000001" customHeight="1">
      <c r="C1509" s="64">
        <v>66001019</v>
      </c>
      <c r="D1509" s="59" t="s">
        <v>3341</v>
      </c>
      <c r="E1509" s="59" t="s">
        <v>3342</v>
      </c>
      <c r="F1509" s="60">
        <v>1</v>
      </c>
      <c r="G1509" s="64">
        <v>66001019</v>
      </c>
      <c r="H1509" s="60">
        <v>0</v>
      </c>
      <c r="I1509" s="66">
        <v>0</v>
      </c>
      <c r="J1509" s="64">
        <v>1</v>
      </c>
      <c r="K1509" s="64">
        <v>0</v>
      </c>
      <c r="L1509" s="60">
        <v>0</v>
      </c>
      <c r="M1509" s="60">
        <v>0</v>
      </c>
      <c r="N1509" s="60">
        <v>0</v>
      </c>
      <c r="O1509" s="60">
        <v>2</v>
      </c>
      <c r="P1509" s="60">
        <v>12</v>
      </c>
      <c r="Q1509" s="60">
        <v>1</v>
      </c>
      <c r="R1509" s="60">
        <v>0</v>
      </c>
      <c r="S1509" s="68">
        <v>0</v>
      </c>
      <c r="T1509" s="60">
        <v>0</v>
      </c>
      <c r="U1509" s="60">
        <v>1</v>
      </c>
      <c r="V1509" s="60">
        <v>2</v>
      </c>
      <c r="W1509" s="60">
        <v>0</v>
      </c>
      <c r="X1509" s="64">
        <v>0</v>
      </c>
      <c r="Y1509" s="12">
        <v>0</v>
      </c>
      <c r="Z1509" s="64">
        <v>0</v>
      </c>
      <c r="AA1509" s="60">
        <v>0</v>
      </c>
      <c r="AB1509" s="60">
        <v>0</v>
      </c>
      <c r="AC1509" s="60">
        <v>0</v>
      </c>
      <c r="AD1509" s="60">
        <v>1</v>
      </c>
      <c r="AE1509" s="60">
        <v>0</v>
      </c>
      <c r="AF1509" s="60">
        <v>60</v>
      </c>
      <c r="AG1509" s="60">
        <v>1</v>
      </c>
      <c r="AH1509" s="60">
        <v>10</v>
      </c>
      <c r="AI1509" s="68">
        <v>0</v>
      </c>
      <c r="AJ1509" s="68">
        <v>0</v>
      </c>
      <c r="AK1509" s="12">
        <v>0</v>
      </c>
      <c r="AL1509" s="68">
        <v>0</v>
      </c>
      <c r="AM1509" s="60">
        <v>0</v>
      </c>
      <c r="AN1509" s="60">
        <v>0</v>
      </c>
      <c r="AO1509" s="60">
        <v>0</v>
      </c>
      <c r="AP1509" s="60">
        <v>1</v>
      </c>
      <c r="AQ1509" s="60">
        <v>50000</v>
      </c>
      <c r="AR1509" s="60">
        <v>0</v>
      </c>
      <c r="AS1509" s="60">
        <v>0</v>
      </c>
      <c r="AT1509" s="68">
        <v>90503002</v>
      </c>
      <c r="AU1509" s="60">
        <v>90503002</v>
      </c>
      <c r="AV1509" s="60"/>
      <c r="AW1509" s="59" t="s">
        <v>198</v>
      </c>
      <c r="AX1509" s="60">
        <v>0</v>
      </c>
      <c r="AY1509" s="64">
        <v>0</v>
      </c>
      <c r="AZ1509" s="64">
        <v>0</v>
      </c>
      <c r="BA1509" s="59" t="s">
        <v>2849</v>
      </c>
      <c r="BB1509" s="60">
        <v>0</v>
      </c>
      <c r="BC1509" s="66">
        <v>0</v>
      </c>
      <c r="BD1509" s="66">
        <v>0</v>
      </c>
      <c r="BE1509" s="90" t="s">
        <v>3343</v>
      </c>
      <c r="BF1509" s="90" t="s">
        <v>3344</v>
      </c>
      <c r="BG1509" s="60">
        <v>0</v>
      </c>
      <c r="BH1509" s="60">
        <v>0</v>
      </c>
      <c r="BI1509" s="60">
        <v>0</v>
      </c>
      <c r="BJ1509" s="60">
        <v>0</v>
      </c>
      <c r="BK1509" s="60">
        <v>0</v>
      </c>
      <c r="BL1509" s="60">
        <v>0</v>
      </c>
      <c r="BM1509" s="93">
        <v>0</v>
      </c>
      <c r="BN1509" s="12">
        <v>1</v>
      </c>
      <c r="BO1509" s="12">
        <v>0</v>
      </c>
      <c r="BP1509" s="12">
        <v>0</v>
      </c>
      <c r="BQ1509" s="12">
        <v>0</v>
      </c>
      <c r="BR1509" s="12">
        <v>0</v>
      </c>
      <c r="BS1509" s="12">
        <v>0</v>
      </c>
      <c r="BT1509" s="12">
        <v>0</v>
      </c>
      <c r="BU1509" s="47">
        <v>0</v>
      </c>
      <c r="BV1509" s="47"/>
      <c r="BW1509" s="47"/>
    </row>
    <row r="1510" spans="3:75" ht="19.5" customHeight="1">
      <c r="C1510" s="18">
        <v>66001020</v>
      </c>
      <c r="D1510" s="19" t="s">
        <v>3345</v>
      </c>
      <c r="E1510" s="19" t="s">
        <v>3346</v>
      </c>
      <c r="F1510" s="16">
        <v>0</v>
      </c>
      <c r="G1510" s="18">
        <v>62022401</v>
      </c>
      <c r="H1510" s="18">
        <v>0</v>
      </c>
      <c r="I1510" s="27">
        <v>0</v>
      </c>
      <c r="J1510" s="16">
        <v>1</v>
      </c>
      <c r="K1510" s="18">
        <v>0</v>
      </c>
      <c r="L1510" s="16">
        <v>0</v>
      </c>
      <c r="M1510" s="18">
        <v>0</v>
      </c>
      <c r="N1510" s="18">
        <v>0</v>
      </c>
      <c r="O1510" s="18">
        <v>2</v>
      </c>
      <c r="P1510" s="18">
        <v>1</v>
      </c>
      <c r="Q1510" s="18">
        <v>1</v>
      </c>
      <c r="R1510" s="18">
        <v>0</v>
      </c>
      <c r="S1510" s="12">
        <v>0</v>
      </c>
      <c r="T1510" s="27">
        <v>0</v>
      </c>
      <c r="U1510" s="16">
        <v>1</v>
      </c>
      <c r="V1510" s="18">
        <v>2</v>
      </c>
      <c r="W1510" s="18">
        <v>0</v>
      </c>
      <c r="X1510" s="18">
        <v>3</v>
      </c>
      <c r="Y1510" s="12">
        <v>0</v>
      </c>
      <c r="Z1510" s="18">
        <v>0</v>
      </c>
      <c r="AA1510" s="18">
        <v>0</v>
      </c>
      <c r="AB1510" s="18">
        <v>0</v>
      </c>
      <c r="AC1510" s="18">
        <v>0</v>
      </c>
      <c r="AD1510" s="18">
        <v>0</v>
      </c>
      <c r="AE1510" s="18">
        <v>0</v>
      </c>
      <c r="AF1510" s="18">
        <v>1</v>
      </c>
      <c r="AG1510" s="18">
        <v>1</v>
      </c>
      <c r="AH1510" s="18">
        <v>3</v>
      </c>
      <c r="AI1510" s="12">
        <v>2</v>
      </c>
      <c r="AJ1510" s="12">
        <v>1</v>
      </c>
      <c r="AK1510" s="12">
        <v>0</v>
      </c>
      <c r="AL1510" s="12">
        <v>6</v>
      </c>
      <c r="AM1510" s="18">
        <v>0</v>
      </c>
      <c r="AN1510" s="18">
        <v>0</v>
      </c>
      <c r="AO1510" s="18">
        <v>0</v>
      </c>
      <c r="AP1510" s="18">
        <v>0</v>
      </c>
      <c r="AQ1510" s="18">
        <v>30000</v>
      </c>
      <c r="AR1510" s="18">
        <v>0</v>
      </c>
      <c r="AS1510" s="18">
        <v>0</v>
      </c>
      <c r="AT1510" s="12">
        <v>96001014</v>
      </c>
      <c r="AU1510" s="18">
        <v>0</v>
      </c>
      <c r="AV1510" s="18"/>
      <c r="AW1510" s="19" t="s">
        <v>199</v>
      </c>
      <c r="AX1510" s="18" t="s">
        <v>1826</v>
      </c>
      <c r="AY1510" s="18">
        <v>10003002</v>
      </c>
      <c r="AZ1510" s="18">
        <v>21102031</v>
      </c>
      <c r="BA1510" s="19" t="s">
        <v>200</v>
      </c>
      <c r="BB1510" s="19">
        <v>0</v>
      </c>
      <c r="BC1510" s="27">
        <v>0</v>
      </c>
      <c r="BD1510" s="27">
        <v>0</v>
      </c>
      <c r="BE1510" s="183"/>
      <c r="BF1510" s="183"/>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68000001</v>
      </c>
      <c r="D1511" s="19" t="s">
        <v>431</v>
      </c>
      <c r="E1511" s="19" t="s">
        <v>3347</v>
      </c>
      <c r="F1511" s="18">
        <v>1</v>
      </c>
      <c r="G1511" s="18">
        <v>68000001</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0</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0</v>
      </c>
      <c r="AU1511" s="18" t="s">
        <v>198</v>
      </c>
      <c r="AV1511" s="18"/>
      <c r="AW1511" s="19" t="s">
        <v>199</v>
      </c>
      <c r="AX1511" s="18">
        <v>0</v>
      </c>
      <c r="AY1511" s="18">
        <v>0</v>
      </c>
      <c r="AZ1511" s="18">
        <v>0</v>
      </c>
      <c r="BA1511" s="19" t="s">
        <v>200</v>
      </c>
      <c r="BB1511" s="19" t="s">
        <v>3348</v>
      </c>
      <c r="BC1511" s="27">
        <v>0</v>
      </c>
      <c r="BD1511" s="27">
        <v>0</v>
      </c>
      <c r="BE1511" s="87" t="s">
        <v>3349</v>
      </c>
      <c r="BF1511" s="87" t="s">
        <v>3350</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68000002</v>
      </c>
      <c r="D1512" s="19" t="s">
        <v>3351</v>
      </c>
      <c r="E1512" s="19" t="s">
        <v>3352</v>
      </c>
      <c r="F1512" s="18">
        <v>1</v>
      </c>
      <c r="G1512" s="18">
        <v>68000002</v>
      </c>
      <c r="H1512" s="18">
        <v>0</v>
      </c>
      <c r="I1512" s="27">
        <v>0</v>
      </c>
      <c r="J1512" s="18">
        <v>1</v>
      </c>
      <c r="K1512" s="18">
        <v>0</v>
      </c>
      <c r="L1512" s="18">
        <v>0</v>
      </c>
      <c r="M1512" s="18">
        <v>0</v>
      </c>
      <c r="N1512" s="18">
        <v>0</v>
      </c>
      <c r="O1512" s="18">
        <v>2</v>
      </c>
      <c r="P1512" s="18">
        <v>2</v>
      </c>
      <c r="Q1512" s="18">
        <v>0.1</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0</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98000020</v>
      </c>
      <c r="AU1512" s="18" t="s">
        <v>198</v>
      </c>
      <c r="AV1512" s="18"/>
      <c r="AW1512" s="19" t="s">
        <v>199</v>
      </c>
      <c r="AX1512" s="18">
        <v>0</v>
      </c>
      <c r="AY1512" s="18">
        <v>0</v>
      </c>
      <c r="AZ1512" s="18">
        <v>0</v>
      </c>
      <c r="BA1512" s="19" t="s">
        <v>200</v>
      </c>
      <c r="BB1512" s="19" t="s">
        <v>198</v>
      </c>
      <c r="BC1512" s="27">
        <v>0</v>
      </c>
      <c r="BD1512" s="27">
        <v>0</v>
      </c>
      <c r="BE1512" s="87" t="s">
        <v>3353</v>
      </c>
      <c r="BF1512" s="87" t="s">
        <v>3354</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row>
    <row r="1513" spans="3:75" ht="20.100000000000001" customHeight="1">
      <c r="C1513" s="18">
        <v>68000003</v>
      </c>
      <c r="D1513" s="19" t="s">
        <v>3355</v>
      </c>
      <c r="E1513" s="19" t="s">
        <v>3356</v>
      </c>
      <c r="F1513" s="16">
        <v>1</v>
      </c>
      <c r="G1513" s="18">
        <v>68000003</v>
      </c>
      <c r="H1513" s="16">
        <v>0</v>
      </c>
      <c r="I1513" s="27">
        <v>0</v>
      </c>
      <c r="J1513" s="18">
        <v>1</v>
      </c>
      <c r="K1513" s="18">
        <v>0</v>
      </c>
      <c r="L1513" s="16">
        <v>0</v>
      </c>
      <c r="M1513" s="16">
        <v>0</v>
      </c>
      <c r="N1513" s="16">
        <v>0</v>
      </c>
      <c r="O1513" s="16">
        <v>2</v>
      </c>
      <c r="P1513" s="16">
        <v>1</v>
      </c>
      <c r="Q1513" s="16">
        <v>1</v>
      </c>
      <c r="R1513" s="16">
        <v>0</v>
      </c>
      <c r="S1513" s="12">
        <v>0</v>
      </c>
      <c r="T1513" s="16">
        <v>0</v>
      </c>
      <c r="U1513" s="16">
        <v>0</v>
      </c>
      <c r="V1513" s="16">
        <v>1</v>
      </c>
      <c r="W1513" s="16">
        <v>0</v>
      </c>
      <c r="X1513" s="16">
        <v>0.2</v>
      </c>
      <c r="Y1513" s="12">
        <v>0</v>
      </c>
      <c r="Z1513" s="18">
        <v>0</v>
      </c>
      <c r="AA1513" s="16">
        <v>0</v>
      </c>
      <c r="AB1513" s="16">
        <v>0</v>
      </c>
      <c r="AC1513" s="16">
        <v>0</v>
      </c>
      <c r="AD1513" s="16">
        <v>1</v>
      </c>
      <c r="AE1513" s="16">
        <v>0</v>
      </c>
      <c r="AF1513" s="16">
        <v>0</v>
      </c>
      <c r="AG1513" s="16">
        <v>2</v>
      </c>
      <c r="AH1513" s="16" t="s">
        <v>231</v>
      </c>
      <c r="AI1513" s="12">
        <v>2</v>
      </c>
      <c r="AJ1513" s="12">
        <v>0</v>
      </c>
      <c r="AK1513" s="12">
        <v>0</v>
      </c>
      <c r="AL1513" s="12">
        <v>3</v>
      </c>
      <c r="AM1513" s="16">
        <v>0</v>
      </c>
      <c r="AN1513" s="16">
        <v>0</v>
      </c>
      <c r="AO1513" s="16">
        <v>0</v>
      </c>
      <c r="AP1513" s="16">
        <v>0</v>
      </c>
      <c r="AQ1513" s="16">
        <v>1000</v>
      </c>
      <c r="AR1513" s="16">
        <v>0</v>
      </c>
      <c r="AS1513" s="16">
        <v>0</v>
      </c>
      <c r="AT1513" s="12">
        <v>0</v>
      </c>
      <c r="AU1513" s="16" t="s">
        <v>198</v>
      </c>
      <c r="AV1513" s="16"/>
      <c r="AW1513" s="19" t="s">
        <v>199</v>
      </c>
      <c r="AX1513" s="16">
        <v>0</v>
      </c>
      <c r="AY1513" s="18">
        <v>0</v>
      </c>
      <c r="AZ1513" s="26">
        <v>0</v>
      </c>
      <c r="BA1513" s="17" t="s">
        <v>200</v>
      </c>
      <c r="BB1513" s="16">
        <v>0</v>
      </c>
      <c r="BC1513" s="27">
        <v>0</v>
      </c>
      <c r="BD1513" s="27">
        <v>0</v>
      </c>
      <c r="BE1513" s="87" t="s">
        <v>3357</v>
      </c>
      <c r="BF1513" s="87" t="s">
        <v>3358</v>
      </c>
      <c r="BG1513" s="16">
        <v>0</v>
      </c>
      <c r="BH1513" s="16">
        <v>0</v>
      </c>
      <c r="BI1513" s="16">
        <v>0</v>
      </c>
      <c r="BJ1513" s="16">
        <v>0</v>
      </c>
      <c r="BK1513" s="16">
        <v>0</v>
      </c>
      <c r="BL1513" s="16">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68000004</v>
      </c>
      <c r="D1514" s="19" t="s">
        <v>3359</v>
      </c>
      <c r="E1514" s="19" t="s">
        <v>3360</v>
      </c>
      <c r="F1514" s="18">
        <v>1</v>
      </c>
      <c r="G1514" s="18">
        <v>68000004</v>
      </c>
      <c r="H1514" s="16">
        <v>0</v>
      </c>
      <c r="I1514" s="27">
        <v>0</v>
      </c>
      <c r="J1514" s="18">
        <v>1</v>
      </c>
      <c r="K1514" s="18">
        <v>0</v>
      </c>
      <c r="L1514" s="18">
        <v>0</v>
      </c>
      <c r="M1514" s="16">
        <v>0</v>
      </c>
      <c r="N1514" s="16">
        <v>0</v>
      </c>
      <c r="O1514" s="16">
        <v>1</v>
      </c>
      <c r="P1514" s="16">
        <v>1</v>
      </c>
      <c r="Q1514" s="16">
        <v>0.05</v>
      </c>
      <c r="R1514" s="16">
        <v>0</v>
      </c>
      <c r="S1514" s="12">
        <v>0</v>
      </c>
      <c r="T1514" s="16">
        <v>0</v>
      </c>
      <c r="U1514" s="16">
        <v>1</v>
      </c>
      <c r="V1514" s="16">
        <v>2</v>
      </c>
      <c r="W1514" s="16">
        <v>0</v>
      </c>
      <c r="X1514" s="16">
        <v>0</v>
      </c>
      <c r="Y1514" s="12">
        <v>0</v>
      </c>
      <c r="Z1514" s="16">
        <v>0</v>
      </c>
      <c r="AA1514" s="16">
        <v>0</v>
      </c>
      <c r="AB1514" s="16">
        <v>0</v>
      </c>
      <c r="AC1514" s="16">
        <v>0</v>
      </c>
      <c r="AD1514" s="16">
        <v>1</v>
      </c>
      <c r="AE1514" s="16">
        <v>68000008</v>
      </c>
      <c r="AF1514" s="16">
        <v>30</v>
      </c>
      <c r="AG1514" s="16">
        <v>0</v>
      </c>
      <c r="AH1514" s="16">
        <v>0</v>
      </c>
      <c r="AI1514" s="12">
        <v>2</v>
      </c>
      <c r="AJ1514" s="12">
        <v>2</v>
      </c>
      <c r="AK1514" s="12">
        <v>0</v>
      </c>
      <c r="AL1514" s="12">
        <v>1.5</v>
      </c>
      <c r="AM1514" s="16">
        <v>0</v>
      </c>
      <c r="AN1514" s="16">
        <v>0</v>
      </c>
      <c r="AO1514" s="16">
        <v>0</v>
      </c>
      <c r="AP1514" s="16">
        <v>0.5</v>
      </c>
      <c r="AQ1514" s="16">
        <v>3000</v>
      </c>
      <c r="AR1514" s="16">
        <v>0.5</v>
      </c>
      <c r="AS1514" s="16">
        <v>0</v>
      </c>
      <c r="AT1514" s="12">
        <v>0</v>
      </c>
      <c r="AU1514" s="16" t="s">
        <v>198</v>
      </c>
      <c r="AV1514" s="16"/>
      <c r="AW1514" s="17" t="s">
        <v>199</v>
      </c>
      <c r="AX1514" s="16" t="s">
        <v>545</v>
      </c>
      <c r="AY1514" s="18">
        <v>0</v>
      </c>
      <c r="AZ1514" s="18">
        <v>21101051</v>
      </c>
      <c r="BA1514" s="17" t="s">
        <v>1174</v>
      </c>
      <c r="BB1514" s="352" t="s">
        <v>3361</v>
      </c>
      <c r="BC1514" s="27">
        <v>0</v>
      </c>
      <c r="BD1514" s="27">
        <v>0</v>
      </c>
      <c r="BE1514" s="44" t="s">
        <v>3362</v>
      </c>
      <c r="BF1514" s="44" t="s">
        <v>3363</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68000005</v>
      </c>
      <c r="D1515" s="19" t="s">
        <v>3364</v>
      </c>
      <c r="E1515" s="19" t="s">
        <v>3365</v>
      </c>
      <c r="F1515" s="18">
        <v>1</v>
      </c>
      <c r="G1515" s="18">
        <v>68000005</v>
      </c>
      <c r="H1515" s="18">
        <v>0</v>
      </c>
      <c r="I1515" s="27">
        <v>0</v>
      </c>
      <c r="J1515" s="18">
        <v>1</v>
      </c>
      <c r="K1515" s="18">
        <v>0</v>
      </c>
      <c r="L1515" s="18">
        <v>0</v>
      </c>
      <c r="M1515" s="18">
        <v>0</v>
      </c>
      <c r="N1515" s="18">
        <v>0</v>
      </c>
      <c r="O1515" s="18">
        <v>2</v>
      </c>
      <c r="P1515" s="18">
        <v>3</v>
      </c>
      <c r="Q1515" s="18">
        <v>0.05</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v>98000050</v>
      </c>
      <c r="AU1515" s="18" t="s">
        <v>198</v>
      </c>
      <c r="AV1515" s="18"/>
      <c r="AW1515" s="19" t="s">
        <v>199</v>
      </c>
      <c r="AX1515" s="18">
        <v>0</v>
      </c>
      <c r="AY1515" s="18">
        <v>0</v>
      </c>
      <c r="AZ1515" s="18">
        <v>0</v>
      </c>
      <c r="BA1515" s="19" t="s">
        <v>200</v>
      </c>
      <c r="BB1515" s="19" t="s">
        <v>198</v>
      </c>
      <c r="BC1515" s="27">
        <v>0</v>
      </c>
      <c r="BD1515" s="27">
        <v>0</v>
      </c>
      <c r="BE1515" s="87" t="s">
        <v>3366</v>
      </c>
      <c r="BF1515" s="87" t="s">
        <v>3367</v>
      </c>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row>
    <row r="1516" spans="3:75" ht="20.100000000000001" customHeight="1">
      <c r="C1516" s="18">
        <v>68000006</v>
      </c>
      <c r="D1516" s="19" t="s">
        <v>3368</v>
      </c>
      <c r="E1516" s="19" t="s">
        <v>3369</v>
      </c>
      <c r="F1516" s="18">
        <v>1</v>
      </c>
      <c r="G1516" s="18">
        <v>68000006</v>
      </c>
      <c r="H1516" s="18">
        <v>0</v>
      </c>
      <c r="I1516" s="27">
        <v>0</v>
      </c>
      <c r="J1516" s="18">
        <v>1</v>
      </c>
      <c r="K1516" s="18">
        <v>0</v>
      </c>
      <c r="L1516" s="18">
        <v>0</v>
      </c>
      <c r="M1516" s="18">
        <v>0</v>
      </c>
      <c r="N1516" s="18">
        <v>0</v>
      </c>
      <c r="O1516" s="18">
        <v>2</v>
      </c>
      <c r="P1516" s="18">
        <v>1</v>
      </c>
      <c r="Q1516" s="18">
        <v>0.05</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7</v>
      </c>
      <c r="AJ1516" s="12">
        <v>0</v>
      </c>
      <c r="AK1516" s="12">
        <v>0</v>
      </c>
      <c r="AL1516" s="12">
        <v>0</v>
      </c>
      <c r="AM1516" s="18">
        <v>0</v>
      </c>
      <c r="AN1516" s="18">
        <v>0</v>
      </c>
      <c r="AO1516" s="18">
        <v>0</v>
      </c>
      <c r="AP1516" s="18">
        <v>0</v>
      </c>
      <c r="AQ1516" s="18">
        <v>1000</v>
      </c>
      <c r="AR1516" s="18">
        <v>0</v>
      </c>
      <c r="AS1516" s="18">
        <v>0</v>
      </c>
      <c r="AT1516" s="12">
        <v>0</v>
      </c>
      <c r="AU1516" s="12">
        <v>98000060</v>
      </c>
      <c r="AV1516" s="12"/>
      <c r="AW1516" s="19" t="s">
        <v>199</v>
      </c>
      <c r="AX1516" s="18">
        <v>0</v>
      </c>
      <c r="AY1516" s="18">
        <v>0</v>
      </c>
      <c r="AZ1516" s="18">
        <v>0</v>
      </c>
      <c r="BA1516" s="19" t="s">
        <v>200</v>
      </c>
      <c r="BB1516" s="19" t="s">
        <v>198</v>
      </c>
      <c r="BC1516" s="27">
        <v>0</v>
      </c>
      <c r="BD1516" s="27">
        <v>0</v>
      </c>
      <c r="BE1516" s="87" t="s">
        <v>3370</v>
      </c>
      <c r="BF1516" s="87" t="s">
        <v>3371</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68000007</v>
      </c>
      <c r="D1517" s="19" t="s">
        <v>413</v>
      </c>
      <c r="E1517" s="19" t="s">
        <v>3372</v>
      </c>
      <c r="F1517" s="18">
        <v>1</v>
      </c>
      <c r="G1517" s="18">
        <v>68000007</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98000070</v>
      </c>
      <c r="AU1517" s="18" t="s">
        <v>198</v>
      </c>
      <c r="AV1517" s="18"/>
      <c r="AW1517" s="19" t="s">
        <v>199</v>
      </c>
      <c r="AX1517" s="18">
        <v>0</v>
      </c>
      <c r="AY1517" s="18">
        <v>0</v>
      </c>
      <c r="AZ1517" s="18">
        <v>0</v>
      </c>
      <c r="BA1517" s="19" t="s">
        <v>200</v>
      </c>
      <c r="BB1517" s="19" t="s">
        <v>198</v>
      </c>
      <c r="BC1517" s="27">
        <v>0</v>
      </c>
      <c r="BD1517" s="27">
        <v>0</v>
      </c>
      <c r="BE1517" s="87" t="s">
        <v>3373</v>
      </c>
      <c r="BF1517" s="87" t="s">
        <v>3374</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68000008</v>
      </c>
      <c r="D1518" s="19" t="s">
        <v>3375</v>
      </c>
      <c r="E1518" s="19" t="s">
        <v>3100</v>
      </c>
      <c r="F1518" s="16">
        <v>1</v>
      </c>
      <c r="G1518" s="18">
        <v>68000008</v>
      </c>
      <c r="H1518" s="18">
        <v>0</v>
      </c>
      <c r="I1518" s="27">
        <v>0</v>
      </c>
      <c r="J1518" s="18">
        <v>1</v>
      </c>
      <c r="K1518" s="18">
        <v>0</v>
      </c>
      <c r="L1518" s="18">
        <v>0</v>
      </c>
      <c r="M1518" s="16">
        <v>0</v>
      </c>
      <c r="N1518" s="16">
        <v>0</v>
      </c>
      <c r="O1518" s="16">
        <v>5</v>
      </c>
      <c r="P1518" s="16">
        <v>0</v>
      </c>
      <c r="Q1518" s="16">
        <v>0</v>
      </c>
      <c r="R1518" s="16">
        <v>0</v>
      </c>
      <c r="S1518" s="12">
        <v>0</v>
      </c>
      <c r="T1518" s="16">
        <v>0</v>
      </c>
      <c r="U1518" s="16">
        <v>1</v>
      </c>
      <c r="V1518" s="16">
        <v>2</v>
      </c>
      <c r="W1518" s="16">
        <v>0</v>
      </c>
      <c r="X1518" s="18">
        <v>0</v>
      </c>
      <c r="Y1518" s="12">
        <v>0</v>
      </c>
      <c r="Z1518" s="18">
        <v>0</v>
      </c>
      <c r="AA1518" s="16">
        <v>0</v>
      </c>
      <c r="AB1518" s="16">
        <v>0</v>
      </c>
      <c r="AC1518" s="16">
        <v>0</v>
      </c>
      <c r="AD1518" s="16">
        <v>0</v>
      </c>
      <c r="AE1518" s="16">
        <v>0</v>
      </c>
      <c r="AF1518" s="16">
        <v>9</v>
      </c>
      <c r="AG1518" s="16">
        <v>2</v>
      </c>
      <c r="AH1518" s="16" t="s">
        <v>213</v>
      </c>
      <c r="AI1518" s="12">
        <v>2</v>
      </c>
      <c r="AJ1518" s="12">
        <v>0</v>
      </c>
      <c r="AK1518" s="12">
        <v>0</v>
      </c>
      <c r="AL1518" s="12">
        <v>0</v>
      </c>
      <c r="AM1518" s="16">
        <v>0</v>
      </c>
      <c r="AN1518" s="16">
        <v>0</v>
      </c>
      <c r="AO1518" s="16">
        <v>0</v>
      </c>
      <c r="AP1518" s="16">
        <v>0.5</v>
      </c>
      <c r="AQ1518" s="16">
        <v>3000</v>
      </c>
      <c r="AR1518" s="16">
        <v>0</v>
      </c>
      <c r="AS1518" s="16">
        <v>0</v>
      </c>
      <c r="AT1518" s="12">
        <v>0</v>
      </c>
      <c r="AU1518" s="16" t="s">
        <v>198</v>
      </c>
      <c r="AV1518" s="16"/>
      <c r="AW1518" s="19" t="s">
        <v>199</v>
      </c>
      <c r="AX1518" s="16">
        <v>0</v>
      </c>
      <c r="AY1518" s="18">
        <v>0</v>
      </c>
      <c r="AZ1518" s="18">
        <v>0</v>
      </c>
      <c r="BA1518" s="17" t="s">
        <v>200</v>
      </c>
      <c r="BB1518" s="16" t="s">
        <v>3376</v>
      </c>
      <c r="BC1518" s="27">
        <v>0</v>
      </c>
      <c r="BD1518" s="27">
        <v>0</v>
      </c>
      <c r="BE1518" s="87" t="s">
        <v>3377</v>
      </c>
      <c r="BF1518" s="87" t="s">
        <v>3378</v>
      </c>
      <c r="BG1518" s="16">
        <v>0</v>
      </c>
      <c r="BH1518" s="16">
        <v>0</v>
      </c>
      <c r="BI1518" s="16">
        <v>0</v>
      </c>
      <c r="BJ1518" s="16">
        <v>0</v>
      </c>
      <c r="BK1518" s="16">
        <v>0</v>
      </c>
      <c r="BL1518" s="16">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68000009</v>
      </c>
      <c r="D1519" s="19" t="s">
        <v>3379</v>
      </c>
      <c r="E1519" s="19" t="s">
        <v>3380</v>
      </c>
      <c r="F1519" s="16">
        <v>1</v>
      </c>
      <c r="G1519" s="18">
        <v>68000009</v>
      </c>
      <c r="H1519" s="18">
        <v>0</v>
      </c>
      <c r="I1519" s="27">
        <v>0</v>
      </c>
      <c r="J1519" s="18">
        <v>1</v>
      </c>
      <c r="K1519" s="18">
        <v>0</v>
      </c>
      <c r="L1519" s="18">
        <v>0</v>
      </c>
      <c r="M1519" s="16">
        <v>0</v>
      </c>
      <c r="N1519" s="16">
        <v>0</v>
      </c>
      <c r="O1519" s="16">
        <v>5</v>
      </c>
      <c r="P1519" s="16">
        <v>0</v>
      </c>
      <c r="Q1519" s="16">
        <v>0</v>
      </c>
      <c r="R1519" s="16">
        <v>0</v>
      </c>
      <c r="S1519" s="12">
        <v>0</v>
      </c>
      <c r="T1519" s="16">
        <v>0</v>
      </c>
      <c r="U1519" s="16">
        <v>1</v>
      </c>
      <c r="V1519" s="16">
        <v>2</v>
      </c>
      <c r="W1519" s="16">
        <v>0</v>
      </c>
      <c r="X1519" s="18">
        <v>0</v>
      </c>
      <c r="Y1519" s="12">
        <v>0</v>
      </c>
      <c r="Z1519" s="18">
        <v>0</v>
      </c>
      <c r="AA1519" s="16">
        <v>0</v>
      </c>
      <c r="AB1519" s="16">
        <v>0</v>
      </c>
      <c r="AC1519" s="16">
        <v>0</v>
      </c>
      <c r="AD1519" s="16">
        <v>0</v>
      </c>
      <c r="AE1519" s="16">
        <v>0</v>
      </c>
      <c r="AF1519" s="16">
        <v>9</v>
      </c>
      <c r="AG1519" s="16">
        <v>2</v>
      </c>
      <c r="AH1519" s="16" t="s">
        <v>213</v>
      </c>
      <c r="AI1519" s="12">
        <v>2</v>
      </c>
      <c r="AJ1519" s="12">
        <v>0</v>
      </c>
      <c r="AK1519" s="12">
        <v>0</v>
      </c>
      <c r="AL1519" s="12">
        <v>0</v>
      </c>
      <c r="AM1519" s="16">
        <v>0</v>
      </c>
      <c r="AN1519" s="16">
        <v>0</v>
      </c>
      <c r="AO1519" s="16">
        <v>0</v>
      </c>
      <c r="AP1519" s="16">
        <v>0.5</v>
      </c>
      <c r="AQ1519" s="16">
        <v>3000</v>
      </c>
      <c r="AR1519" s="16">
        <v>0</v>
      </c>
      <c r="AS1519" s="16">
        <v>0</v>
      </c>
      <c r="AT1519" s="12">
        <v>0</v>
      </c>
      <c r="AU1519" s="16" t="s">
        <v>198</v>
      </c>
      <c r="AV1519" s="16"/>
      <c r="AW1519" s="19" t="s">
        <v>199</v>
      </c>
      <c r="AX1519" s="16">
        <v>0</v>
      </c>
      <c r="AY1519" s="18">
        <v>0</v>
      </c>
      <c r="AZ1519" s="18">
        <v>0</v>
      </c>
      <c r="BA1519" s="17" t="s">
        <v>200</v>
      </c>
      <c r="BB1519" s="16"/>
      <c r="BC1519" s="27">
        <v>0</v>
      </c>
      <c r="BD1519" s="27">
        <v>0</v>
      </c>
      <c r="BE1519" s="87" t="s">
        <v>3381</v>
      </c>
      <c r="BF1519" s="87" t="s">
        <v>3382</v>
      </c>
      <c r="BG1519" s="16">
        <v>0</v>
      </c>
      <c r="BH1519" s="16">
        <v>0</v>
      </c>
      <c r="BI1519" s="16">
        <v>0</v>
      </c>
      <c r="BJ1519" s="16">
        <v>0</v>
      </c>
      <c r="BK1519" s="16">
        <v>0</v>
      </c>
      <c r="BL1519" s="16">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68000010</v>
      </c>
      <c r="D1520" s="19" t="s">
        <v>3383</v>
      </c>
      <c r="E1520" s="19" t="s">
        <v>3384</v>
      </c>
      <c r="F1520" s="18">
        <v>1</v>
      </c>
      <c r="G1520" s="18">
        <v>68000010</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0</v>
      </c>
      <c r="AU1520" s="18" t="s">
        <v>198</v>
      </c>
      <c r="AV1520" s="18"/>
      <c r="AW1520" s="19" t="s">
        <v>199</v>
      </c>
      <c r="AX1520" s="18">
        <v>0</v>
      </c>
      <c r="AY1520" s="18">
        <v>0</v>
      </c>
      <c r="AZ1520" s="18">
        <v>0</v>
      </c>
      <c r="BA1520" s="19" t="s">
        <v>200</v>
      </c>
      <c r="BB1520" s="19" t="s">
        <v>3385</v>
      </c>
      <c r="BC1520" s="27">
        <v>0</v>
      </c>
      <c r="BD1520" s="27">
        <v>0</v>
      </c>
      <c r="BE1520" s="87" t="s">
        <v>3386</v>
      </c>
      <c r="BF1520" s="87" t="s">
        <v>3387</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68000011</v>
      </c>
      <c r="D1521" s="19" t="s">
        <v>3388</v>
      </c>
      <c r="E1521" s="19" t="s">
        <v>3389</v>
      </c>
      <c r="F1521" s="18">
        <v>1</v>
      </c>
      <c r="G1521" s="18">
        <v>68000011</v>
      </c>
      <c r="H1521" s="18">
        <v>0</v>
      </c>
      <c r="I1521" s="27">
        <v>0</v>
      </c>
      <c r="J1521" s="18">
        <v>1</v>
      </c>
      <c r="K1521" s="18">
        <v>0</v>
      </c>
      <c r="L1521" s="18">
        <v>0</v>
      </c>
      <c r="M1521" s="18">
        <v>0</v>
      </c>
      <c r="N1521" s="18">
        <v>0</v>
      </c>
      <c r="O1521" s="18">
        <v>2</v>
      </c>
      <c r="P1521" s="18">
        <v>1</v>
      </c>
      <c r="Q1521" s="18">
        <v>0.05</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98000080</v>
      </c>
      <c r="AU1521" s="18" t="s">
        <v>198</v>
      </c>
      <c r="AV1521" s="18"/>
      <c r="AW1521" s="19" t="s">
        <v>199</v>
      </c>
      <c r="AX1521" s="18">
        <v>0</v>
      </c>
      <c r="AY1521" s="18">
        <v>0</v>
      </c>
      <c r="AZ1521" s="18">
        <v>0</v>
      </c>
      <c r="BA1521" s="19" t="s">
        <v>200</v>
      </c>
      <c r="BB1521" s="19" t="s">
        <v>198</v>
      </c>
      <c r="BC1521" s="27">
        <v>0</v>
      </c>
      <c r="BD1521" s="27">
        <v>0</v>
      </c>
      <c r="BE1521" s="87" t="s">
        <v>3390</v>
      </c>
      <c r="BF1521" s="87" t="s">
        <v>3391</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68000012</v>
      </c>
      <c r="D1522" s="19" t="s">
        <v>3392</v>
      </c>
      <c r="E1522" s="19" t="s">
        <v>295</v>
      </c>
      <c r="F1522" s="18">
        <v>1</v>
      </c>
      <c r="G1522" s="18">
        <v>68000012</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3393</v>
      </c>
      <c r="BC1522" s="27">
        <v>0</v>
      </c>
      <c r="BD1522" s="27">
        <v>0</v>
      </c>
      <c r="BE1522" s="87" t="s">
        <v>3394</v>
      </c>
      <c r="BF1522" s="87" t="s">
        <v>3395</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68000013</v>
      </c>
      <c r="D1523" s="19" t="s">
        <v>3396</v>
      </c>
      <c r="E1523" s="19" t="s">
        <v>3397</v>
      </c>
      <c r="F1523" s="18">
        <v>1</v>
      </c>
      <c r="G1523" s="18">
        <v>68000013</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3398</v>
      </c>
      <c r="BC1523" s="27">
        <v>0</v>
      </c>
      <c r="BD1523" s="27">
        <v>0</v>
      </c>
      <c r="BE1523" s="87" t="s">
        <v>3399</v>
      </c>
      <c r="BF1523" s="87" t="s">
        <v>3400</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68000014</v>
      </c>
      <c r="D1524" s="19" t="s">
        <v>3401</v>
      </c>
      <c r="E1524" s="19" t="s">
        <v>3402</v>
      </c>
      <c r="F1524" s="18">
        <v>1</v>
      </c>
      <c r="G1524" s="18">
        <v>68000014</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3403</v>
      </c>
      <c r="BC1524" s="27">
        <v>0</v>
      </c>
      <c r="BD1524" s="27">
        <v>0</v>
      </c>
      <c r="BE1524" s="87" t="s">
        <v>3404</v>
      </c>
      <c r="BF1524" s="87" t="s">
        <v>3405</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68000015</v>
      </c>
      <c r="D1525" s="19" t="s">
        <v>3406</v>
      </c>
      <c r="E1525" s="19" t="s">
        <v>3407</v>
      </c>
      <c r="F1525" s="18">
        <v>1</v>
      </c>
      <c r="G1525" s="18">
        <v>68000015</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3408</v>
      </c>
      <c r="BC1525" s="27">
        <v>0</v>
      </c>
      <c r="BD1525" s="27">
        <v>0</v>
      </c>
      <c r="BE1525" s="87" t="s">
        <v>3409</v>
      </c>
      <c r="BF1525" s="87" t="s">
        <v>3410</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68000016</v>
      </c>
      <c r="D1526" s="19" t="s">
        <v>3411</v>
      </c>
      <c r="E1526" s="19" t="s">
        <v>3412</v>
      </c>
      <c r="F1526" s="18">
        <v>1</v>
      </c>
      <c r="G1526" s="18">
        <v>68000016</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3413</v>
      </c>
      <c r="BC1526" s="27">
        <v>0</v>
      </c>
      <c r="BD1526" s="27">
        <v>0</v>
      </c>
      <c r="BE1526" s="87" t="s">
        <v>3414</v>
      </c>
      <c r="BF1526" s="87" t="s">
        <v>3415</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68000017</v>
      </c>
      <c r="D1527" s="19" t="s">
        <v>3416</v>
      </c>
      <c r="E1527" s="19" t="s">
        <v>3417</v>
      </c>
      <c r="F1527" s="18">
        <v>1</v>
      </c>
      <c r="G1527" s="18">
        <v>68000017</v>
      </c>
      <c r="H1527" s="18">
        <v>0</v>
      </c>
      <c r="I1527" s="27">
        <v>0</v>
      </c>
      <c r="J1527" s="18">
        <v>1</v>
      </c>
      <c r="K1527" s="18">
        <v>0</v>
      </c>
      <c r="L1527" s="18">
        <v>0</v>
      </c>
      <c r="M1527" s="18">
        <v>0</v>
      </c>
      <c r="N1527" s="18">
        <v>0</v>
      </c>
      <c r="O1527" s="18">
        <v>5</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3418</v>
      </c>
      <c r="BC1527" s="27">
        <v>0</v>
      </c>
      <c r="BD1527" s="27">
        <v>0</v>
      </c>
      <c r="BE1527" s="87" t="s">
        <v>3419</v>
      </c>
      <c r="BF1527" s="87" t="s">
        <v>3420</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68000018</v>
      </c>
      <c r="D1528" s="19" t="s">
        <v>3421</v>
      </c>
      <c r="E1528" s="19" t="s">
        <v>3422</v>
      </c>
      <c r="F1528" s="18">
        <v>1</v>
      </c>
      <c r="G1528" s="18">
        <v>68000004</v>
      </c>
      <c r="H1528" s="16">
        <v>0</v>
      </c>
      <c r="I1528" s="27">
        <v>0</v>
      </c>
      <c r="J1528" s="18">
        <v>1</v>
      </c>
      <c r="K1528" s="18">
        <v>0</v>
      </c>
      <c r="L1528" s="18">
        <v>0</v>
      </c>
      <c r="M1528" s="16">
        <v>0</v>
      </c>
      <c r="N1528" s="16">
        <v>0</v>
      </c>
      <c r="O1528" s="16">
        <v>2</v>
      </c>
      <c r="P1528" s="16">
        <v>1</v>
      </c>
      <c r="Q1528" s="16">
        <v>7.4999999999999997E-2</v>
      </c>
      <c r="R1528" s="16">
        <v>0</v>
      </c>
      <c r="S1528" s="12">
        <v>0</v>
      </c>
      <c r="T1528" s="16">
        <v>0</v>
      </c>
      <c r="U1528" s="16">
        <v>1</v>
      </c>
      <c r="V1528" s="16">
        <v>2</v>
      </c>
      <c r="W1528" s="16">
        <v>0</v>
      </c>
      <c r="X1528" s="16">
        <v>0</v>
      </c>
      <c r="Y1528" s="12">
        <v>0</v>
      </c>
      <c r="Z1528" s="16">
        <v>0</v>
      </c>
      <c r="AA1528" s="16">
        <v>0</v>
      </c>
      <c r="AB1528" s="16">
        <v>0</v>
      </c>
      <c r="AC1528" s="16">
        <v>0</v>
      </c>
      <c r="AD1528" s="16">
        <v>1</v>
      </c>
      <c r="AE1528" s="16">
        <v>0</v>
      </c>
      <c r="AF1528" s="16">
        <v>20</v>
      </c>
      <c r="AG1528" s="16">
        <v>0</v>
      </c>
      <c r="AH1528" s="16">
        <v>0</v>
      </c>
      <c r="AI1528" s="12">
        <v>2</v>
      </c>
      <c r="AJ1528" s="12">
        <v>2</v>
      </c>
      <c r="AK1528" s="12">
        <v>0</v>
      </c>
      <c r="AL1528" s="12">
        <v>1.5</v>
      </c>
      <c r="AM1528" s="16">
        <v>0</v>
      </c>
      <c r="AN1528" s="16">
        <v>0</v>
      </c>
      <c r="AO1528" s="16">
        <v>0</v>
      </c>
      <c r="AP1528" s="16">
        <v>0</v>
      </c>
      <c r="AQ1528" s="16">
        <v>3000</v>
      </c>
      <c r="AR1528" s="16">
        <v>0</v>
      </c>
      <c r="AS1528" s="16">
        <v>0</v>
      </c>
      <c r="AT1528" s="12">
        <v>0</v>
      </c>
      <c r="AU1528" s="16" t="s">
        <v>198</v>
      </c>
      <c r="AV1528" s="16"/>
      <c r="AW1528" s="17" t="s">
        <v>199</v>
      </c>
      <c r="AX1528" s="16" t="s">
        <v>545</v>
      </c>
      <c r="AY1528" s="18">
        <v>0</v>
      </c>
      <c r="AZ1528" s="18">
        <v>21101051</v>
      </c>
      <c r="BA1528" s="17" t="s">
        <v>528</v>
      </c>
      <c r="BB1528" s="16" t="s">
        <v>3423</v>
      </c>
      <c r="BC1528" s="27">
        <v>0</v>
      </c>
      <c r="BD1528" s="27">
        <v>0</v>
      </c>
      <c r="BE1528" s="44" t="s">
        <v>3424</v>
      </c>
      <c r="BF1528" s="44" t="s">
        <v>3425</v>
      </c>
      <c r="BG1528" s="16">
        <v>0</v>
      </c>
      <c r="BH1528" s="16">
        <v>0</v>
      </c>
      <c r="BI1528" s="16">
        <v>0</v>
      </c>
      <c r="BJ1528" s="16">
        <v>0</v>
      </c>
      <c r="BK1528" s="16">
        <v>0</v>
      </c>
      <c r="BL1528" s="16">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68000101</v>
      </c>
      <c r="D1529" s="19" t="s">
        <v>3426</v>
      </c>
      <c r="E1529" s="19" t="s">
        <v>3427</v>
      </c>
      <c r="F1529" s="18">
        <v>1</v>
      </c>
      <c r="G1529" s="18">
        <v>68000101</v>
      </c>
      <c r="H1529" s="18">
        <v>0</v>
      </c>
      <c r="I1529" s="27">
        <v>0</v>
      </c>
      <c r="J1529" s="18">
        <v>1</v>
      </c>
      <c r="K1529" s="18">
        <v>0</v>
      </c>
      <c r="L1529" s="18">
        <v>0</v>
      </c>
      <c r="M1529" s="18">
        <v>0</v>
      </c>
      <c r="N1529" s="18">
        <v>0</v>
      </c>
      <c r="O1529" s="18">
        <v>5</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3428</v>
      </c>
      <c r="BC1529" s="27">
        <v>0</v>
      </c>
      <c r="BD1529" s="27">
        <v>0</v>
      </c>
      <c r="BE1529" s="87" t="s">
        <v>3429</v>
      </c>
      <c r="BF1529" s="87" t="s">
        <v>3430</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68000102</v>
      </c>
      <c r="D1530" s="19" t="s">
        <v>3431</v>
      </c>
      <c r="E1530" s="19" t="s">
        <v>3432</v>
      </c>
      <c r="F1530" s="18">
        <v>1</v>
      </c>
      <c r="G1530" s="18">
        <v>68000102</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3433</v>
      </c>
      <c r="BF1530" s="87" t="s">
        <v>3434</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68000103</v>
      </c>
      <c r="D1531" s="19" t="s">
        <v>3435</v>
      </c>
      <c r="E1531" s="19" t="s">
        <v>3436</v>
      </c>
      <c r="F1531" s="18">
        <v>1</v>
      </c>
      <c r="G1531" s="18">
        <v>68000103</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3437</v>
      </c>
      <c r="BF1531" s="87" t="s">
        <v>3438</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68000104</v>
      </c>
      <c r="D1532" s="19" t="s">
        <v>3439</v>
      </c>
      <c r="E1532" s="19" t="s">
        <v>3440</v>
      </c>
      <c r="F1532" s="18">
        <v>1</v>
      </c>
      <c r="G1532" s="18">
        <v>68000104</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3441</v>
      </c>
      <c r="BF1532" s="87" t="s">
        <v>3442</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68000105</v>
      </c>
      <c r="D1533" s="19" t="s">
        <v>3443</v>
      </c>
      <c r="E1533" s="19" t="s">
        <v>3444</v>
      </c>
      <c r="F1533" s="18">
        <v>1</v>
      </c>
      <c r="G1533" s="18">
        <v>68000105</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198</v>
      </c>
      <c r="BC1533" s="27">
        <v>0</v>
      </c>
      <c r="BD1533" s="27">
        <v>0</v>
      </c>
      <c r="BE1533" s="87" t="s">
        <v>3445</v>
      </c>
      <c r="BF1533" s="87" t="s">
        <v>3446</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68000106</v>
      </c>
      <c r="D1534" s="19" t="s">
        <v>3447</v>
      </c>
      <c r="E1534" s="19" t="s">
        <v>3448</v>
      </c>
      <c r="F1534" s="18">
        <v>1</v>
      </c>
      <c r="G1534" s="18">
        <v>68000106</v>
      </c>
      <c r="H1534" s="18">
        <v>0</v>
      </c>
      <c r="I1534" s="27">
        <v>0</v>
      </c>
      <c r="J1534" s="18">
        <v>1</v>
      </c>
      <c r="K1534" s="18">
        <v>0</v>
      </c>
      <c r="L1534" s="18">
        <v>0</v>
      </c>
      <c r="M1534" s="18">
        <v>0</v>
      </c>
      <c r="N1534" s="18">
        <v>0</v>
      </c>
      <c r="O1534" s="18">
        <v>2</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198</v>
      </c>
      <c r="AV1534" s="18"/>
      <c r="AW1534" s="19" t="s">
        <v>199</v>
      </c>
      <c r="AX1534" s="18">
        <v>0</v>
      </c>
      <c r="AY1534" s="18">
        <v>0</v>
      </c>
      <c r="AZ1534" s="18">
        <v>0</v>
      </c>
      <c r="BA1534" s="19" t="s">
        <v>200</v>
      </c>
      <c r="BB1534" s="19" t="s">
        <v>198</v>
      </c>
      <c r="BC1534" s="27">
        <v>0</v>
      </c>
      <c r="BD1534" s="27">
        <v>0</v>
      </c>
      <c r="BE1534" s="87" t="s">
        <v>3449</v>
      </c>
      <c r="BF1534" s="87" t="s">
        <v>3450</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68000107</v>
      </c>
      <c r="D1535" s="19" t="s">
        <v>3451</v>
      </c>
      <c r="E1535" s="19" t="s">
        <v>3452</v>
      </c>
      <c r="F1535" s="18">
        <v>1</v>
      </c>
      <c r="G1535" s="18">
        <v>68000107</v>
      </c>
      <c r="H1535" s="18">
        <v>0</v>
      </c>
      <c r="I1535" s="27">
        <v>0</v>
      </c>
      <c r="J1535" s="18">
        <v>1</v>
      </c>
      <c r="K1535" s="18">
        <v>0</v>
      </c>
      <c r="L1535" s="18">
        <v>0</v>
      </c>
      <c r="M1535" s="18">
        <v>0</v>
      </c>
      <c r="N1535" s="18">
        <v>0</v>
      </c>
      <c r="O1535" s="18">
        <v>2</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12"/>
      <c r="AU1535" s="18" t="s">
        <v>198</v>
      </c>
      <c r="AV1535" s="18"/>
      <c r="AW1535" s="19" t="s">
        <v>199</v>
      </c>
      <c r="AX1535" s="18">
        <v>0</v>
      </c>
      <c r="AY1535" s="18">
        <v>0</v>
      </c>
      <c r="AZ1535" s="18">
        <v>0</v>
      </c>
      <c r="BA1535" s="19" t="s">
        <v>200</v>
      </c>
      <c r="BB1535" s="19" t="s">
        <v>198</v>
      </c>
      <c r="BC1535" s="27">
        <v>0</v>
      </c>
      <c r="BD1535" s="27">
        <v>0</v>
      </c>
      <c r="BE1535" s="87" t="s">
        <v>3453</v>
      </c>
      <c r="BF1535" s="87" t="s">
        <v>3454</v>
      </c>
      <c r="BG1535" s="18">
        <v>0</v>
      </c>
      <c r="BH1535" s="16">
        <v>0</v>
      </c>
      <c r="BI1535" s="18">
        <v>0</v>
      </c>
      <c r="BJ1535" s="18">
        <v>0</v>
      </c>
      <c r="BK1535" s="18">
        <v>0</v>
      </c>
      <c r="BL1535" s="18">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68000108</v>
      </c>
      <c r="D1536" s="19" t="s">
        <v>3455</v>
      </c>
      <c r="E1536" s="19" t="s">
        <v>3456</v>
      </c>
      <c r="F1536" s="18">
        <v>1</v>
      </c>
      <c r="G1536" s="18">
        <v>68000108</v>
      </c>
      <c r="H1536" s="18">
        <v>0</v>
      </c>
      <c r="I1536" s="27">
        <v>0</v>
      </c>
      <c r="J1536" s="18">
        <v>1</v>
      </c>
      <c r="K1536" s="18">
        <v>0</v>
      </c>
      <c r="L1536" s="18">
        <v>0</v>
      </c>
      <c r="M1536" s="18">
        <v>0</v>
      </c>
      <c r="N1536" s="18">
        <v>0</v>
      </c>
      <c r="O1536" s="18">
        <v>2</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c r="AU1536" s="18" t="s">
        <v>198</v>
      </c>
      <c r="AV1536" s="18"/>
      <c r="AW1536" s="19" t="s">
        <v>199</v>
      </c>
      <c r="AX1536" s="18">
        <v>0</v>
      </c>
      <c r="AY1536" s="18">
        <v>0</v>
      </c>
      <c r="AZ1536" s="18">
        <v>0</v>
      </c>
      <c r="BA1536" s="19" t="s">
        <v>200</v>
      </c>
      <c r="BB1536" s="19" t="s">
        <v>198</v>
      </c>
      <c r="BC1536" s="27">
        <v>0</v>
      </c>
      <c r="BD1536" s="27">
        <v>0</v>
      </c>
      <c r="BE1536" s="87" t="s">
        <v>3457</v>
      </c>
      <c r="BF1536" s="87" t="s">
        <v>3458</v>
      </c>
      <c r="BG1536" s="18">
        <v>0</v>
      </c>
      <c r="BH1536" s="16">
        <v>0</v>
      </c>
      <c r="BI1536" s="18">
        <v>0</v>
      </c>
      <c r="BJ1536" s="18">
        <v>0</v>
      </c>
      <c r="BK1536" s="18">
        <v>0</v>
      </c>
      <c r="BL1536" s="18">
        <v>0</v>
      </c>
      <c r="BM1536" s="15">
        <v>0</v>
      </c>
      <c r="BN1536" s="12">
        <v>0</v>
      </c>
      <c r="BO1536" s="12">
        <v>0</v>
      </c>
      <c r="BP1536" s="12">
        <v>0</v>
      </c>
      <c r="BQ1536" s="12">
        <v>0</v>
      </c>
      <c r="BR1536" s="12">
        <v>0</v>
      </c>
      <c r="BS1536" s="12">
        <v>0</v>
      </c>
      <c r="BT1536" s="12">
        <v>0</v>
      </c>
      <c r="BU1536" s="47">
        <v>0</v>
      </c>
      <c r="BV1536" s="47"/>
      <c r="BW1536" s="47"/>
    </row>
    <row r="1537" spans="3:75" ht="20.100000000000001" customHeight="1">
      <c r="C1537" s="18">
        <v>68000109</v>
      </c>
      <c r="D1537" s="19" t="s">
        <v>3459</v>
      </c>
      <c r="E1537" s="19" t="s">
        <v>3460</v>
      </c>
      <c r="F1537" s="18">
        <v>1</v>
      </c>
      <c r="G1537" s="18">
        <v>68000109</v>
      </c>
      <c r="H1537" s="18">
        <v>0</v>
      </c>
      <c r="I1537" s="27">
        <v>0</v>
      </c>
      <c r="J1537" s="18">
        <v>1</v>
      </c>
      <c r="K1537" s="18">
        <v>0</v>
      </c>
      <c r="L1537" s="18">
        <v>0</v>
      </c>
      <c r="M1537" s="18">
        <v>0</v>
      </c>
      <c r="N1537" s="18">
        <v>0</v>
      </c>
      <c r="O1537" s="18">
        <v>5</v>
      </c>
      <c r="P1537" s="18">
        <v>0</v>
      </c>
      <c r="Q1537" s="18">
        <v>0</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c r="AU1537" s="18" t="s">
        <v>198</v>
      </c>
      <c r="AV1537" s="18"/>
      <c r="AW1537" s="19" t="s">
        <v>199</v>
      </c>
      <c r="AX1537" s="18">
        <v>0</v>
      </c>
      <c r="AY1537" s="18">
        <v>0</v>
      </c>
      <c r="AZ1537" s="18">
        <v>0</v>
      </c>
      <c r="BA1537" s="19" t="s">
        <v>200</v>
      </c>
      <c r="BB1537" s="19" t="s">
        <v>3461</v>
      </c>
      <c r="BC1537" s="27">
        <v>0</v>
      </c>
      <c r="BD1537" s="27">
        <v>0</v>
      </c>
      <c r="BE1537" s="87" t="s">
        <v>3462</v>
      </c>
      <c r="BF1537" s="87" t="s">
        <v>3463</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68000110</v>
      </c>
      <c r="D1538" s="19" t="s">
        <v>3464</v>
      </c>
      <c r="E1538" s="19" t="s">
        <v>3465</v>
      </c>
      <c r="F1538" s="18">
        <v>1</v>
      </c>
      <c r="G1538" s="18">
        <v>68000110</v>
      </c>
      <c r="H1538" s="18">
        <v>0</v>
      </c>
      <c r="I1538" s="27">
        <v>0</v>
      </c>
      <c r="J1538" s="18">
        <v>1</v>
      </c>
      <c r="K1538" s="18">
        <v>0</v>
      </c>
      <c r="L1538" s="18">
        <v>0</v>
      </c>
      <c r="M1538" s="18">
        <v>0</v>
      </c>
      <c r="N1538" s="18">
        <v>0</v>
      </c>
      <c r="O1538" s="18">
        <v>2</v>
      </c>
      <c r="P1538" s="18">
        <v>1</v>
      </c>
      <c r="Q1538" s="18">
        <v>0.05</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368" t="s">
        <v>3466</v>
      </c>
      <c r="AU1538" s="18" t="s">
        <v>198</v>
      </c>
      <c r="AV1538" s="18"/>
      <c r="AW1538" s="19" t="s">
        <v>199</v>
      </c>
      <c r="AX1538" s="18">
        <v>0</v>
      </c>
      <c r="AY1538" s="18">
        <v>0</v>
      </c>
      <c r="AZ1538" s="18">
        <v>0</v>
      </c>
      <c r="BA1538" s="19" t="s">
        <v>200</v>
      </c>
      <c r="BB1538" s="19" t="s">
        <v>198</v>
      </c>
      <c r="BC1538" s="27">
        <v>0</v>
      </c>
      <c r="BD1538" s="27">
        <v>0</v>
      </c>
      <c r="BE1538" s="87" t="s">
        <v>3467</v>
      </c>
      <c r="BF1538" s="87" t="s">
        <v>3468</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68000111</v>
      </c>
      <c r="D1539" s="19" t="s">
        <v>3469</v>
      </c>
      <c r="E1539" s="19" t="s">
        <v>3470</v>
      </c>
      <c r="F1539" s="18">
        <v>1</v>
      </c>
      <c r="G1539" s="18">
        <v>68000111</v>
      </c>
      <c r="H1539" s="18">
        <v>0</v>
      </c>
      <c r="I1539" s="27">
        <v>0</v>
      </c>
      <c r="J1539" s="18">
        <v>1</v>
      </c>
      <c r="K1539" s="18">
        <v>0</v>
      </c>
      <c r="L1539" s="18">
        <v>0</v>
      </c>
      <c r="M1539" s="18">
        <v>0</v>
      </c>
      <c r="N1539" s="18">
        <v>0</v>
      </c>
      <c r="O1539" s="18">
        <v>2</v>
      </c>
      <c r="P1539" s="18">
        <v>3</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368" t="s">
        <v>3466</v>
      </c>
      <c r="AU1539" s="18" t="s">
        <v>198</v>
      </c>
      <c r="AV1539" s="18"/>
      <c r="AW1539" s="19" t="s">
        <v>199</v>
      </c>
      <c r="AX1539" s="18">
        <v>0</v>
      </c>
      <c r="AY1539" s="18">
        <v>0</v>
      </c>
      <c r="AZ1539" s="18">
        <v>0</v>
      </c>
      <c r="BA1539" s="19" t="s">
        <v>200</v>
      </c>
      <c r="BB1539" s="19" t="s">
        <v>198</v>
      </c>
      <c r="BC1539" s="27">
        <v>0</v>
      </c>
      <c r="BD1539" s="27">
        <v>0</v>
      </c>
      <c r="BE1539" s="87" t="s">
        <v>3471</v>
      </c>
      <c r="BF1539" s="87" t="s">
        <v>3472</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spans="3:75" ht="20.100000000000001" customHeight="1">
      <c r="C1540" s="18">
        <v>68000112</v>
      </c>
      <c r="D1540" s="19" t="s">
        <v>3473</v>
      </c>
      <c r="E1540" s="19" t="s">
        <v>3474</v>
      </c>
      <c r="F1540" s="18">
        <v>1</v>
      </c>
      <c r="G1540" s="18">
        <v>68000112</v>
      </c>
      <c r="H1540" s="18">
        <v>0</v>
      </c>
      <c r="I1540" s="27">
        <v>0</v>
      </c>
      <c r="J1540" s="18">
        <v>1</v>
      </c>
      <c r="K1540" s="18">
        <v>0</v>
      </c>
      <c r="L1540" s="18">
        <v>0</v>
      </c>
      <c r="M1540" s="18">
        <v>0</v>
      </c>
      <c r="N1540" s="18">
        <v>0</v>
      </c>
      <c r="O1540" s="18">
        <v>2</v>
      </c>
      <c r="P1540" s="18">
        <v>2</v>
      </c>
      <c r="Q1540" s="18">
        <v>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30</v>
      </c>
      <c r="AG1540" s="18">
        <v>0</v>
      </c>
      <c r="AH1540" s="18">
        <v>0</v>
      </c>
      <c r="AI1540" s="12">
        <v>2</v>
      </c>
      <c r="AJ1540" s="12">
        <v>0</v>
      </c>
      <c r="AK1540" s="12">
        <v>0</v>
      </c>
      <c r="AL1540" s="12">
        <v>0</v>
      </c>
      <c r="AM1540" s="18">
        <v>0</v>
      </c>
      <c r="AN1540" s="18">
        <v>0</v>
      </c>
      <c r="AO1540" s="18">
        <v>0</v>
      </c>
      <c r="AP1540" s="18">
        <v>0</v>
      </c>
      <c r="AQ1540" s="18">
        <v>1000</v>
      </c>
      <c r="AR1540" s="18">
        <v>0</v>
      </c>
      <c r="AS1540" s="18">
        <v>0</v>
      </c>
      <c r="AT1540" s="368" t="s">
        <v>3466</v>
      </c>
      <c r="AU1540" s="18" t="s">
        <v>198</v>
      </c>
      <c r="AV1540" s="18"/>
      <c r="AW1540" s="19" t="s">
        <v>199</v>
      </c>
      <c r="AX1540" s="18">
        <v>0</v>
      </c>
      <c r="AY1540" s="18">
        <v>0</v>
      </c>
      <c r="AZ1540" s="18">
        <v>0</v>
      </c>
      <c r="BA1540" s="19" t="s">
        <v>200</v>
      </c>
      <c r="BB1540" s="19" t="s">
        <v>198</v>
      </c>
      <c r="BC1540" s="27">
        <v>0</v>
      </c>
      <c r="BD1540" s="27">
        <v>0</v>
      </c>
      <c r="BE1540" s="87" t="s">
        <v>3475</v>
      </c>
      <c r="BF1540" s="87" t="s">
        <v>3476</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68000113</v>
      </c>
      <c r="D1541" s="19" t="s">
        <v>3070</v>
      </c>
      <c r="E1541" s="19" t="s">
        <v>3477</v>
      </c>
      <c r="F1541" s="18">
        <v>1</v>
      </c>
      <c r="G1541" s="18">
        <v>68000113</v>
      </c>
      <c r="H1541" s="18">
        <v>0</v>
      </c>
      <c r="I1541" s="27">
        <v>0</v>
      </c>
      <c r="J1541" s="18">
        <v>1</v>
      </c>
      <c r="K1541" s="18">
        <v>0</v>
      </c>
      <c r="L1541" s="18">
        <v>0</v>
      </c>
      <c r="M1541" s="18">
        <v>0</v>
      </c>
      <c r="N1541" s="18">
        <v>0</v>
      </c>
      <c r="O1541" s="18">
        <v>2</v>
      </c>
      <c r="P1541" s="18">
        <v>20</v>
      </c>
      <c r="Q1541" s="18">
        <v>1</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6</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98001104</v>
      </c>
      <c r="AU1541" s="18" t="s">
        <v>198</v>
      </c>
      <c r="AV1541" s="18"/>
      <c r="AW1541" s="19" t="s">
        <v>199</v>
      </c>
      <c r="AX1541" s="18">
        <v>0</v>
      </c>
      <c r="AY1541" s="18">
        <v>0</v>
      </c>
      <c r="AZ1541" s="18">
        <v>0</v>
      </c>
      <c r="BA1541" s="19" t="s">
        <v>200</v>
      </c>
      <c r="BB1541" s="19" t="s">
        <v>198</v>
      </c>
      <c r="BC1541" s="27">
        <v>0</v>
      </c>
      <c r="BD1541" s="27">
        <v>0</v>
      </c>
      <c r="BE1541" s="87" t="s">
        <v>3478</v>
      </c>
      <c r="BF1541" s="87" t="s">
        <v>3479</v>
      </c>
      <c r="BG1541" s="18">
        <v>0</v>
      </c>
      <c r="BH1541" s="16">
        <v>0</v>
      </c>
      <c r="BI1541" s="18">
        <v>0</v>
      </c>
      <c r="BJ1541" s="18">
        <v>0</v>
      </c>
      <c r="BK1541" s="18">
        <v>0</v>
      </c>
      <c r="BL1541" s="18">
        <v>0</v>
      </c>
      <c r="BM1541" s="15">
        <v>0</v>
      </c>
      <c r="BN1541" s="12">
        <v>0</v>
      </c>
      <c r="BO1541" s="12">
        <v>0</v>
      </c>
      <c r="BP1541" s="12">
        <v>0</v>
      </c>
      <c r="BQ1541" s="12">
        <v>0</v>
      </c>
      <c r="BR1541" s="12">
        <v>0</v>
      </c>
      <c r="BS1541" s="12">
        <v>0</v>
      </c>
      <c r="BT1541" s="12">
        <v>0</v>
      </c>
      <c r="BU1541" s="47">
        <v>0</v>
      </c>
      <c r="BV1541" s="47"/>
      <c r="BW1541" s="47"/>
    </row>
    <row r="1542" spans="3:75" ht="20.100000000000001" customHeight="1">
      <c r="C1542" s="18">
        <v>69000001</v>
      </c>
      <c r="D1542" s="94" t="s">
        <v>3480</v>
      </c>
      <c r="E1542" s="94" t="s">
        <v>3481</v>
      </c>
      <c r="F1542" s="15">
        <v>1</v>
      </c>
      <c r="G1542" s="18">
        <v>60090002</v>
      </c>
      <c r="H1542" s="15">
        <v>0</v>
      </c>
      <c r="I1542" s="26">
        <v>0</v>
      </c>
      <c r="J1542" s="15">
        <v>1</v>
      </c>
      <c r="K1542" s="15">
        <v>0</v>
      </c>
      <c r="L1542" s="26">
        <v>0</v>
      </c>
      <c r="M1542" s="26">
        <v>0</v>
      </c>
      <c r="N1542" s="15" t="s">
        <v>3482</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4" t="s">
        <v>3483</v>
      </c>
      <c r="BF1542" s="264" t="s">
        <v>3484</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69000002</v>
      </c>
      <c r="D1543" s="19" t="s">
        <v>3485</v>
      </c>
      <c r="E1543" s="19" t="s">
        <v>3486</v>
      </c>
      <c r="F1543" s="18">
        <v>1</v>
      </c>
      <c r="G1543" s="18">
        <v>68000110</v>
      </c>
      <c r="H1543" s="18">
        <v>0</v>
      </c>
      <c r="I1543" s="27">
        <v>0</v>
      </c>
      <c r="J1543" s="15">
        <v>1</v>
      </c>
      <c r="K1543" s="18">
        <v>0</v>
      </c>
      <c r="L1543" s="18">
        <v>0</v>
      </c>
      <c r="M1543" s="18">
        <v>0</v>
      </c>
      <c r="N1543" s="18">
        <v>0</v>
      </c>
      <c r="O1543" s="18">
        <v>2</v>
      </c>
      <c r="P1543" s="18">
        <v>1</v>
      </c>
      <c r="Q1543" s="18">
        <v>0.05</v>
      </c>
      <c r="R1543" s="18">
        <v>0</v>
      </c>
      <c r="S1543" s="12">
        <v>0</v>
      </c>
      <c r="T1543" s="27">
        <v>0</v>
      </c>
      <c r="U1543" s="16">
        <v>1</v>
      </c>
      <c r="V1543" s="18">
        <v>2</v>
      </c>
      <c r="W1543" s="18">
        <v>0</v>
      </c>
      <c r="X1543" s="18">
        <v>0</v>
      </c>
      <c r="Y1543" s="12">
        <v>0</v>
      </c>
      <c r="Z1543" s="18">
        <v>0</v>
      </c>
      <c r="AA1543" s="18">
        <v>0</v>
      </c>
      <c r="AB1543" s="18">
        <v>0</v>
      </c>
      <c r="AC1543" s="18">
        <v>0</v>
      </c>
      <c r="AD1543" s="18">
        <v>1</v>
      </c>
      <c r="AE1543" s="18">
        <v>0</v>
      </c>
      <c r="AF1543" s="18">
        <v>18</v>
      </c>
      <c r="AG1543" s="18">
        <v>0</v>
      </c>
      <c r="AH1543" s="18">
        <v>0</v>
      </c>
      <c r="AI1543" s="12">
        <v>2</v>
      </c>
      <c r="AJ1543" s="12">
        <v>0</v>
      </c>
      <c r="AK1543" s="12">
        <v>0</v>
      </c>
      <c r="AL1543" s="12">
        <v>0</v>
      </c>
      <c r="AM1543" s="18">
        <v>0</v>
      </c>
      <c r="AN1543" s="18">
        <v>0</v>
      </c>
      <c r="AO1543" s="18">
        <v>0</v>
      </c>
      <c r="AP1543" s="18">
        <v>0</v>
      </c>
      <c r="AQ1543" s="18">
        <v>1000</v>
      </c>
      <c r="AR1543" s="18">
        <v>0</v>
      </c>
      <c r="AS1543" s="18">
        <v>0</v>
      </c>
      <c r="AT1543" s="259">
        <v>69000021</v>
      </c>
      <c r="AU1543" s="18" t="s">
        <v>198</v>
      </c>
      <c r="AV1543" s="18"/>
      <c r="AW1543" s="19" t="s">
        <v>199</v>
      </c>
      <c r="AX1543" s="18">
        <v>0</v>
      </c>
      <c r="AY1543" s="18">
        <v>0</v>
      </c>
      <c r="AZ1543" s="18">
        <v>0</v>
      </c>
      <c r="BA1543" s="19" t="s">
        <v>200</v>
      </c>
      <c r="BB1543" s="19" t="s">
        <v>198</v>
      </c>
      <c r="BC1543" s="27">
        <v>0</v>
      </c>
      <c r="BD1543" s="27">
        <v>1</v>
      </c>
      <c r="BE1543" s="87" t="s">
        <v>3487</v>
      </c>
      <c r="BF1543" s="87" t="s">
        <v>3488</v>
      </c>
      <c r="BG1543" s="18">
        <v>0</v>
      </c>
      <c r="BH1543" s="16">
        <v>0</v>
      </c>
      <c r="BI1543" s="18">
        <v>0</v>
      </c>
      <c r="BJ1543" s="18">
        <v>0</v>
      </c>
      <c r="BK1543" s="18">
        <v>0</v>
      </c>
      <c r="BL1543" s="18">
        <v>0</v>
      </c>
      <c r="BM1543" s="15">
        <v>0</v>
      </c>
      <c r="BN1543" s="12">
        <v>1</v>
      </c>
      <c r="BO1543" s="12">
        <v>0</v>
      </c>
      <c r="BP1543" s="12">
        <v>0</v>
      </c>
      <c r="BQ1543" s="12">
        <v>0</v>
      </c>
      <c r="BR1543" s="12">
        <v>0</v>
      </c>
      <c r="BS1543" s="12">
        <v>0</v>
      </c>
      <c r="BT1543" s="12">
        <v>0</v>
      </c>
      <c r="BU1543" s="47">
        <v>0</v>
      </c>
      <c r="BV1543" s="47"/>
      <c r="BW1543" s="47"/>
    </row>
    <row r="1544" spans="3:75" ht="20.100000000000001" customHeight="1">
      <c r="C1544" s="18">
        <v>69000003</v>
      </c>
      <c r="D1544" s="94" t="s">
        <v>3489</v>
      </c>
      <c r="E1544" s="94" t="s">
        <v>3490</v>
      </c>
      <c r="F1544" s="15">
        <v>1</v>
      </c>
      <c r="G1544" s="18">
        <v>60090002</v>
      </c>
      <c r="H1544" s="15">
        <v>0</v>
      </c>
      <c r="I1544" s="26">
        <v>0</v>
      </c>
      <c r="J1544" s="15">
        <v>1</v>
      </c>
      <c r="K1544" s="15">
        <v>0</v>
      </c>
      <c r="L1544" s="26">
        <v>0</v>
      </c>
      <c r="M1544" s="26">
        <v>0</v>
      </c>
      <c r="N1544" s="15" t="s">
        <v>3491</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64" t="s">
        <v>3483</v>
      </c>
      <c r="BF1544" s="264" t="s">
        <v>3484</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spans="3:75" ht="20.100000000000001" customHeight="1">
      <c r="C1545" s="18">
        <v>69000004</v>
      </c>
      <c r="D1545" s="19" t="s">
        <v>3492</v>
      </c>
      <c r="E1545" s="19" t="s">
        <v>3493</v>
      </c>
      <c r="F1545" s="18">
        <v>1</v>
      </c>
      <c r="G1545" s="18">
        <v>68000110</v>
      </c>
      <c r="H1545" s="18">
        <v>0</v>
      </c>
      <c r="I1545" s="27">
        <v>0</v>
      </c>
      <c r="J1545" s="15">
        <v>1</v>
      </c>
      <c r="K1545" s="18">
        <v>0</v>
      </c>
      <c r="L1545" s="18">
        <v>0</v>
      </c>
      <c r="M1545" s="18">
        <v>0</v>
      </c>
      <c r="N1545" s="18">
        <v>0</v>
      </c>
      <c r="O1545" s="18">
        <v>2</v>
      </c>
      <c r="P1545" s="18">
        <v>3</v>
      </c>
      <c r="Q1545" s="18">
        <v>0.2</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9">
        <v>69000041</v>
      </c>
      <c r="AU1545" s="18" t="s">
        <v>198</v>
      </c>
      <c r="AV1545" s="18"/>
      <c r="AW1545" s="19" t="s">
        <v>199</v>
      </c>
      <c r="AX1545" s="18">
        <v>0</v>
      </c>
      <c r="AY1545" s="18">
        <v>0</v>
      </c>
      <c r="AZ1545" s="18">
        <v>0</v>
      </c>
      <c r="BA1545" s="19" t="s">
        <v>200</v>
      </c>
      <c r="BB1545" s="19" t="s">
        <v>198</v>
      </c>
      <c r="BC1545" s="27">
        <v>0</v>
      </c>
      <c r="BD1545" s="27">
        <v>1</v>
      </c>
      <c r="BE1545" s="42" t="s">
        <v>3494</v>
      </c>
      <c r="BF1545" s="42" t="s">
        <v>3495</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69000005</v>
      </c>
      <c r="D1546" s="94" t="s">
        <v>3496</v>
      </c>
      <c r="E1546" s="94" t="s">
        <v>3497</v>
      </c>
      <c r="F1546" s="15">
        <v>1</v>
      </c>
      <c r="G1546" s="18">
        <v>60090002</v>
      </c>
      <c r="H1546" s="15">
        <v>0</v>
      </c>
      <c r="I1546" s="26">
        <v>0</v>
      </c>
      <c r="J1546" s="15">
        <v>1</v>
      </c>
      <c r="K1546" s="15">
        <v>0</v>
      </c>
      <c r="L1546" s="26">
        <v>0</v>
      </c>
      <c r="M1546" s="26">
        <v>0</v>
      </c>
      <c r="N1546" s="15" t="s">
        <v>3498</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4" t="s">
        <v>3483</v>
      </c>
      <c r="BF1546" s="264" t="s">
        <v>3484</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69000006</v>
      </c>
      <c r="D1547" s="13" t="s">
        <v>3499</v>
      </c>
      <c r="E1547" s="13" t="s">
        <v>3500</v>
      </c>
      <c r="F1547" s="18">
        <v>1</v>
      </c>
      <c r="G1547" s="18">
        <v>66001007</v>
      </c>
      <c r="H1547" s="12">
        <v>0</v>
      </c>
      <c r="I1547" s="12">
        <v>0</v>
      </c>
      <c r="J1547" s="15">
        <v>1</v>
      </c>
      <c r="K1547" s="18">
        <v>0</v>
      </c>
      <c r="L1547" s="12">
        <v>0</v>
      </c>
      <c r="M1547" s="12">
        <v>0</v>
      </c>
      <c r="N1547" s="12">
        <v>0</v>
      </c>
      <c r="O1547" s="12">
        <v>2</v>
      </c>
      <c r="P1547" s="12">
        <v>3</v>
      </c>
      <c r="Q1547" s="12">
        <v>0.05</v>
      </c>
      <c r="R1547" s="12">
        <v>0</v>
      </c>
      <c r="S1547" s="12">
        <v>0</v>
      </c>
      <c r="T1547" s="12">
        <v>0</v>
      </c>
      <c r="U1547" s="16">
        <v>1</v>
      </c>
      <c r="V1547" s="12">
        <v>2</v>
      </c>
      <c r="W1547" s="12">
        <v>1000</v>
      </c>
      <c r="X1547" s="12">
        <v>0</v>
      </c>
      <c r="Y1547" s="12">
        <v>0</v>
      </c>
      <c r="Z1547" s="12">
        <v>0</v>
      </c>
      <c r="AA1547" s="12">
        <v>0</v>
      </c>
      <c r="AB1547" s="12">
        <v>0</v>
      </c>
      <c r="AC1547" s="12">
        <v>0</v>
      </c>
      <c r="AD1547" s="18">
        <v>0</v>
      </c>
      <c r="AE1547" s="12">
        <v>0</v>
      </c>
      <c r="AF1547" s="12">
        <v>15</v>
      </c>
      <c r="AG1547" s="12">
        <v>0</v>
      </c>
      <c r="AH1547" s="12">
        <v>0</v>
      </c>
      <c r="AI1547" s="12">
        <v>7</v>
      </c>
      <c r="AJ1547" s="12">
        <v>0</v>
      </c>
      <c r="AK1547" s="12">
        <v>0</v>
      </c>
      <c r="AL1547" s="12">
        <v>6</v>
      </c>
      <c r="AM1547" s="12">
        <v>0</v>
      </c>
      <c r="AN1547" s="12">
        <v>0</v>
      </c>
      <c r="AO1547" s="12">
        <v>0</v>
      </c>
      <c r="AP1547" s="12">
        <v>0.5</v>
      </c>
      <c r="AQ1547" s="12">
        <v>1000</v>
      </c>
      <c r="AR1547" s="12">
        <v>0</v>
      </c>
      <c r="AS1547" s="12">
        <v>0</v>
      </c>
      <c r="AT1547" s="12">
        <v>0</v>
      </c>
      <c r="AU1547" s="12" t="s">
        <v>198</v>
      </c>
      <c r="AV1547" s="12"/>
      <c r="AW1547" s="13" t="s">
        <v>256</v>
      </c>
      <c r="AX1547" s="12" t="s">
        <v>1695</v>
      </c>
      <c r="AY1547" s="12" t="s">
        <v>198</v>
      </c>
      <c r="AZ1547" s="12" t="s">
        <v>1929</v>
      </c>
      <c r="BA1547" s="13" t="s">
        <v>200</v>
      </c>
      <c r="BB1547" s="12">
        <v>0</v>
      </c>
      <c r="BC1547" s="27">
        <v>0</v>
      </c>
      <c r="BD1547" s="27">
        <v>1</v>
      </c>
      <c r="BE1547" s="42" t="s">
        <v>3501</v>
      </c>
      <c r="BF1547" s="42" t="s">
        <v>3502</v>
      </c>
      <c r="BG1547" s="12">
        <v>0</v>
      </c>
      <c r="BH1547" s="16">
        <v>0</v>
      </c>
      <c r="BI1547" s="12">
        <v>0</v>
      </c>
      <c r="BJ1547" s="12">
        <v>0</v>
      </c>
      <c r="BK1547" s="12">
        <v>0</v>
      </c>
      <c r="BL1547" s="12">
        <v>0</v>
      </c>
      <c r="BM1547" s="15">
        <v>0</v>
      </c>
      <c r="BN1547" s="12">
        <v>1</v>
      </c>
      <c r="BO1547" s="12">
        <v>0</v>
      </c>
      <c r="BP1547" s="12">
        <v>0</v>
      </c>
      <c r="BQ1547" s="12">
        <v>0</v>
      </c>
      <c r="BR1547" s="12">
        <v>0</v>
      </c>
      <c r="BS1547" s="12">
        <v>0</v>
      </c>
      <c r="BT1547" s="12">
        <v>0</v>
      </c>
      <c r="BU1547" s="47">
        <v>0</v>
      </c>
      <c r="BV1547" s="47"/>
      <c r="BW1547" s="47"/>
    </row>
    <row r="1548" spans="3:75" ht="20.100000000000001" customHeight="1">
      <c r="C1548" s="18">
        <v>69000007</v>
      </c>
      <c r="D1548" s="13" t="s">
        <v>3503</v>
      </c>
      <c r="E1548" s="13" t="s">
        <v>3504</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9">
        <v>69000071</v>
      </c>
      <c r="AU1548" s="18" t="s">
        <v>198</v>
      </c>
      <c r="AV1548" s="18"/>
      <c r="AW1548" s="19" t="s">
        <v>199</v>
      </c>
      <c r="AX1548" s="18">
        <v>0</v>
      </c>
      <c r="AY1548" s="18">
        <v>0</v>
      </c>
      <c r="AZ1548" s="18">
        <v>0</v>
      </c>
      <c r="BA1548" s="19" t="s">
        <v>200</v>
      </c>
      <c r="BB1548" s="19" t="s">
        <v>198</v>
      </c>
      <c r="BC1548" s="27">
        <v>0</v>
      </c>
      <c r="BD1548" s="27">
        <v>1</v>
      </c>
      <c r="BE1548" s="42" t="s">
        <v>3505</v>
      </c>
      <c r="BF1548" s="42" t="s">
        <v>3506</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69000008</v>
      </c>
      <c r="D1549" s="94" t="s">
        <v>3507</v>
      </c>
      <c r="E1549" s="94" t="s">
        <v>3508</v>
      </c>
      <c r="F1549" s="15">
        <v>1</v>
      </c>
      <c r="G1549" s="18">
        <v>60090002</v>
      </c>
      <c r="H1549" s="15">
        <v>0</v>
      </c>
      <c r="I1549" s="26">
        <v>0</v>
      </c>
      <c r="J1549" s="15">
        <v>1</v>
      </c>
      <c r="K1549" s="15">
        <v>0</v>
      </c>
      <c r="L1549" s="26">
        <v>0</v>
      </c>
      <c r="M1549" s="26">
        <v>0</v>
      </c>
      <c r="N1549" s="15" t="s">
        <v>3509</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64" t="s">
        <v>3483</v>
      </c>
      <c r="BF1549" s="264" t="s">
        <v>3484</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69000009</v>
      </c>
      <c r="D1550" s="94" t="s">
        <v>3510</v>
      </c>
      <c r="E1550" s="94" t="s">
        <v>3511</v>
      </c>
      <c r="F1550" s="15">
        <v>1</v>
      </c>
      <c r="G1550" s="18">
        <v>60090002</v>
      </c>
      <c r="H1550" s="15">
        <v>0</v>
      </c>
      <c r="I1550" s="26">
        <v>0</v>
      </c>
      <c r="J1550" s="15">
        <v>1</v>
      </c>
      <c r="K1550" s="15">
        <v>0</v>
      </c>
      <c r="L1550" s="26">
        <v>0</v>
      </c>
      <c r="M1550" s="26">
        <v>0</v>
      </c>
      <c r="N1550" s="15" t="s">
        <v>3509</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4" t="s">
        <v>3483</v>
      </c>
      <c r="BF1550" s="264" t="s">
        <v>3484</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69000010</v>
      </c>
      <c r="D1551" s="19" t="s">
        <v>3512</v>
      </c>
      <c r="E1551" s="19" t="s">
        <v>3513</v>
      </c>
      <c r="F1551" s="18">
        <v>1</v>
      </c>
      <c r="G1551" s="18">
        <v>68000110</v>
      </c>
      <c r="H1551" s="18">
        <v>0</v>
      </c>
      <c r="I1551" s="27">
        <v>0</v>
      </c>
      <c r="J1551" s="15">
        <v>1</v>
      </c>
      <c r="K1551" s="18">
        <v>0</v>
      </c>
      <c r="L1551" s="18">
        <v>0</v>
      </c>
      <c r="M1551" s="18">
        <v>0</v>
      </c>
      <c r="N1551" s="18">
        <v>0</v>
      </c>
      <c r="O1551" s="18">
        <v>2</v>
      </c>
      <c r="P1551" s="18">
        <v>3</v>
      </c>
      <c r="Q1551" s="18">
        <v>0.05</v>
      </c>
      <c r="R1551" s="18">
        <v>0</v>
      </c>
      <c r="S1551" s="12">
        <v>0</v>
      </c>
      <c r="T1551" s="27">
        <v>0</v>
      </c>
      <c r="U1551" s="16">
        <v>1</v>
      </c>
      <c r="V1551" s="18">
        <v>2</v>
      </c>
      <c r="W1551" s="18">
        <v>0</v>
      </c>
      <c r="X1551" s="18">
        <v>0</v>
      </c>
      <c r="Y1551" s="12">
        <v>0</v>
      </c>
      <c r="Z1551" s="18">
        <v>0</v>
      </c>
      <c r="AA1551" s="18">
        <v>0</v>
      </c>
      <c r="AB1551" s="18">
        <v>0</v>
      </c>
      <c r="AC1551" s="18">
        <v>0</v>
      </c>
      <c r="AD1551" s="18">
        <v>1</v>
      </c>
      <c r="AE1551" s="18">
        <v>0</v>
      </c>
      <c r="AF1551" s="18">
        <v>18</v>
      </c>
      <c r="AG1551" s="18">
        <v>0</v>
      </c>
      <c r="AH1551" s="18">
        <v>0</v>
      </c>
      <c r="AI1551" s="12">
        <v>2</v>
      </c>
      <c r="AJ1551" s="12">
        <v>0</v>
      </c>
      <c r="AK1551" s="12">
        <v>0</v>
      </c>
      <c r="AL1551" s="12">
        <v>0</v>
      </c>
      <c r="AM1551" s="18">
        <v>0</v>
      </c>
      <c r="AN1551" s="18">
        <v>0</v>
      </c>
      <c r="AO1551" s="18">
        <v>0</v>
      </c>
      <c r="AP1551" s="18">
        <v>0</v>
      </c>
      <c r="AQ1551" s="18">
        <v>1000</v>
      </c>
      <c r="AR1551" s="18">
        <v>0</v>
      </c>
      <c r="AS1551" s="18">
        <v>0</v>
      </c>
      <c r="AT1551" s="259">
        <v>69000101</v>
      </c>
      <c r="AU1551" s="18" t="s">
        <v>198</v>
      </c>
      <c r="AV1551" s="18"/>
      <c r="AW1551" s="19" t="s">
        <v>199</v>
      </c>
      <c r="AX1551" s="18">
        <v>0</v>
      </c>
      <c r="AY1551" s="18">
        <v>0</v>
      </c>
      <c r="AZ1551" s="18">
        <v>0</v>
      </c>
      <c r="BA1551" s="19" t="s">
        <v>200</v>
      </c>
      <c r="BB1551" s="19" t="s">
        <v>198</v>
      </c>
      <c r="BC1551" s="27">
        <v>0</v>
      </c>
      <c r="BD1551" s="27">
        <v>1</v>
      </c>
      <c r="BE1551" s="87" t="s">
        <v>3487</v>
      </c>
      <c r="BF1551" s="87" t="s">
        <v>3488</v>
      </c>
      <c r="BG1551" s="18">
        <v>0</v>
      </c>
      <c r="BH1551" s="16">
        <v>0</v>
      </c>
      <c r="BI1551" s="18">
        <v>0</v>
      </c>
      <c r="BJ1551" s="18">
        <v>0</v>
      </c>
      <c r="BK1551" s="18">
        <v>0</v>
      </c>
      <c r="BL1551" s="18">
        <v>0</v>
      </c>
      <c r="BM1551" s="15">
        <v>0</v>
      </c>
      <c r="BN1551" s="12">
        <v>1</v>
      </c>
      <c r="BO1551" s="12">
        <v>0</v>
      </c>
      <c r="BP1551" s="12">
        <v>0</v>
      </c>
      <c r="BQ1551" s="12">
        <v>0</v>
      </c>
      <c r="BR1551" s="12">
        <v>0</v>
      </c>
      <c r="BS1551" s="12">
        <v>0</v>
      </c>
      <c r="BT1551" s="12">
        <v>0</v>
      </c>
      <c r="BU1551" s="47">
        <v>0</v>
      </c>
      <c r="BV1551" s="47"/>
      <c r="BW1551" s="47"/>
    </row>
    <row r="1552" spans="3:75" ht="20.100000000000001" customHeight="1">
      <c r="C1552" s="18">
        <v>69000011</v>
      </c>
      <c r="D1552" s="13" t="s">
        <v>3514</v>
      </c>
      <c r="E1552" s="13" t="s">
        <v>3515</v>
      </c>
      <c r="F1552" s="18">
        <v>1</v>
      </c>
      <c r="G1552" s="18">
        <v>68000110</v>
      </c>
      <c r="H1552" s="18">
        <v>0</v>
      </c>
      <c r="I1552" s="27">
        <v>0</v>
      </c>
      <c r="J1552" s="15">
        <v>1</v>
      </c>
      <c r="K1552" s="18">
        <v>0</v>
      </c>
      <c r="L1552" s="18">
        <v>0</v>
      </c>
      <c r="M1552" s="18">
        <v>0</v>
      </c>
      <c r="N1552" s="18">
        <v>0</v>
      </c>
      <c r="O1552" s="18">
        <v>2</v>
      </c>
      <c r="P1552" s="18">
        <v>1</v>
      </c>
      <c r="Q1552" s="18">
        <v>0.05</v>
      </c>
      <c r="R1552" s="18">
        <v>0</v>
      </c>
      <c r="S1552" s="12">
        <v>0</v>
      </c>
      <c r="T1552" s="27">
        <v>0</v>
      </c>
      <c r="U1552" s="16">
        <v>1</v>
      </c>
      <c r="V1552" s="18">
        <v>2</v>
      </c>
      <c r="W1552" s="18">
        <v>0</v>
      </c>
      <c r="X1552" s="18">
        <v>0</v>
      </c>
      <c r="Y1552" s="12">
        <v>0</v>
      </c>
      <c r="Z1552" s="18">
        <v>0</v>
      </c>
      <c r="AA1552" s="18">
        <v>0</v>
      </c>
      <c r="AB1552" s="18">
        <v>0</v>
      </c>
      <c r="AC1552" s="18">
        <v>0</v>
      </c>
      <c r="AD1552" s="18">
        <v>1</v>
      </c>
      <c r="AE1552" s="18">
        <v>0</v>
      </c>
      <c r="AF1552" s="18">
        <v>18</v>
      </c>
      <c r="AG1552" s="18">
        <v>0</v>
      </c>
      <c r="AH1552" s="18">
        <v>0</v>
      </c>
      <c r="AI1552" s="12">
        <v>2</v>
      </c>
      <c r="AJ1552" s="12">
        <v>0</v>
      </c>
      <c r="AK1552" s="12">
        <v>0</v>
      </c>
      <c r="AL1552" s="12">
        <v>0</v>
      </c>
      <c r="AM1552" s="18">
        <v>0</v>
      </c>
      <c r="AN1552" s="18">
        <v>0</v>
      </c>
      <c r="AO1552" s="18">
        <v>0</v>
      </c>
      <c r="AP1552" s="18">
        <v>0</v>
      </c>
      <c r="AQ1552" s="18">
        <v>1000</v>
      </c>
      <c r="AR1552" s="18">
        <v>0</v>
      </c>
      <c r="AS1552" s="18">
        <v>0</v>
      </c>
      <c r="AT1552" s="259">
        <v>69000111</v>
      </c>
      <c r="AU1552" s="18" t="s">
        <v>198</v>
      </c>
      <c r="AV1552" s="18"/>
      <c r="AW1552" s="19" t="s">
        <v>199</v>
      </c>
      <c r="AX1552" s="18">
        <v>0</v>
      </c>
      <c r="AY1552" s="18">
        <v>0</v>
      </c>
      <c r="AZ1552" s="18">
        <v>0</v>
      </c>
      <c r="BA1552" s="19" t="s">
        <v>200</v>
      </c>
      <c r="BB1552" s="19" t="s">
        <v>198</v>
      </c>
      <c r="BC1552" s="27">
        <v>0</v>
      </c>
      <c r="BD1552" s="27">
        <v>1</v>
      </c>
      <c r="BE1552" s="42" t="s">
        <v>3505</v>
      </c>
      <c r="BF1552" s="42" t="s">
        <v>3506</v>
      </c>
      <c r="BG1552" s="18">
        <v>0</v>
      </c>
      <c r="BH1552" s="16">
        <v>0</v>
      </c>
      <c r="BI1552" s="18">
        <v>0</v>
      </c>
      <c r="BJ1552" s="18">
        <v>0</v>
      </c>
      <c r="BK1552" s="18">
        <v>0</v>
      </c>
      <c r="BL1552" s="18">
        <v>0</v>
      </c>
      <c r="BM1552" s="15">
        <v>0</v>
      </c>
      <c r="BN1552" s="12">
        <v>1</v>
      </c>
      <c r="BO1552" s="12">
        <v>0</v>
      </c>
      <c r="BP1552" s="12">
        <v>0</v>
      </c>
      <c r="BQ1552" s="12">
        <v>0</v>
      </c>
      <c r="BR1552" s="12">
        <v>0</v>
      </c>
      <c r="BS1552" s="12">
        <v>0</v>
      </c>
      <c r="BT1552" s="12">
        <v>0</v>
      </c>
      <c r="BU1552" s="47">
        <v>0</v>
      </c>
      <c r="BV1552" s="47"/>
      <c r="BW1552" s="47"/>
    </row>
    <row r="1553" spans="3:75" ht="20.100000000000001" customHeight="1">
      <c r="C1553" s="18">
        <v>69000012</v>
      </c>
      <c r="D1553" s="13" t="s">
        <v>3516</v>
      </c>
      <c r="E1553" s="13" t="s">
        <v>3517</v>
      </c>
      <c r="F1553" s="18">
        <v>1</v>
      </c>
      <c r="G1553" s="18">
        <v>66001007</v>
      </c>
      <c r="H1553" s="12">
        <v>0</v>
      </c>
      <c r="I1553" s="12">
        <v>0</v>
      </c>
      <c r="J1553" s="18">
        <v>1</v>
      </c>
      <c r="K1553" s="18">
        <v>0</v>
      </c>
      <c r="L1553" s="12">
        <v>0</v>
      </c>
      <c r="M1553" s="12">
        <v>0</v>
      </c>
      <c r="N1553" s="12">
        <v>0</v>
      </c>
      <c r="O1553" s="12">
        <v>2</v>
      </c>
      <c r="P1553" s="12">
        <v>3</v>
      </c>
      <c r="Q1553" s="12">
        <v>0.15</v>
      </c>
      <c r="R1553" s="12">
        <v>0</v>
      </c>
      <c r="S1553" s="12">
        <v>0</v>
      </c>
      <c r="T1553" s="12">
        <v>0</v>
      </c>
      <c r="U1553" s="16">
        <v>1</v>
      </c>
      <c r="V1553" s="12">
        <v>2</v>
      </c>
      <c r="W1553" s="12">
        <v>0</v>
      </c>
      <c r="X1553" s="12">
        <v>0</v>
      </c>
      <c r="Y1553" s="12">
        <v>0</v>
      </c>
      <c r="Z1553" s="12">
        <v>0</v>
      </c>
      <c r="AA1553" s="12">
        <v>0</v>
      </c>
      <c r="AB1553" s="12">
        <v>0</v>
      </c>
      <c r="AC1553" s="12">
        <v>0</v>
      </c>
      <c r="AD1553" s="18">
        <v>0</v>
      </c>
      <c r="AE1553" s="12">
        <v>0</v>
      </c>
      <c r="AF1553" s="12">
        <v>15</v>
      </c>
      <c r="AG1553" s="12">
        <v>0</v>
      </c>
      <c r="AH1553" s="12">
        <v>0</v>
      </c>
      <c r="AI1553" s="12">
        <v>7</v>
      </c>
      <c r="AJ1553" s="12">
        <v>0</v>
      </c>
      <c r="AK1553" s="12">
        <v>0</v>
      </c>
      <c r="AL1553" s="12">
        <v>6</v>
      </c>
      <c r="AM1553" s="12">
        <v>0</v>
      </c>
      <c r="AN1553" s="12">
        <v>0</v>
      </c>
      <c r="AO1553" s="12">
        <v>0</v>
      </c>
      <c r="AP1553" s="12">
        <v>0.5</v>
      </c>
      <c r="AQ1553" s="12">
        <v>1000</v>
      </c>
      <c r="AR1553" s="12">
        <v>0</v>
      </c>
      <c r="AS1553" s="12">
        <v>0</v>
      </c>
      <c r="AT1553" s="259">
        <v>0</v>
      </c>
      <c r="AU1553" s="12">
        <v>69000121</v>
      </c>
      <c r="AV1553" s="12"/>
      <c r="AW1553" s="13" t="s">
        <v>256</v>
      </c>
      <c r="AX1553" s="12" t="s">
        <v>1695</v>
      </c>
      <c r="AY1553" s="12" t="s">
        <v>198</v>
      </c>
      <c r="AZ1553" s="12" t="s">
        <v>1929</v>
      </c>
      <c r="BA1553" s="13" t="s">
        <v>200</v>
      </c>
      <c r="BB1553" s="12">
        <v>0</v>
      </c>
      <c r="BC1553" s="27">
        <v>0</v>
      </c>
      <c r="BD1553" s="27">
        <v>1</v>
      </c>
      <c r="BE1553" s="42" t="s">
        <v>3518</v>
      </c>
      <c r="BF1553" s="42" t="s">
        <v>3519</v>
      </c>
      <c r="BG1553" s="12">
        <v>0</v>
      </c>
      <c r="BH1553" s="16">
        <v>0</v>
      </c>
      <c r="BI1553" s="12">
        <v>0</v>
      </c>
      <c r="BJ1553" s="12">
        <v>0</v>
      </c>
      <c r="BK1553" s="12">
        <v>0</v>
      </c>
      <c r="BL1553" s="12">
        <v>0</v>
      </c>
      <c r="BM1553" s="15">
        <v>0</v>
      </c>
      <c r="BN1553" s="12">
        <v>1</v>
      </c>
      <c r="BO1553" s="12">
        <v>0</v>
      </c>
      <c r="BP1553" s="12">
        <v>0</v>
      </c>
      <c r="BQ1553" s="12">
        <v>0</v>
      </c>
      <c r="BR1553" s="12">
        <v>0</v>
      </c>
      <c r="BS1553" s="12">
        <v>0</v>
      </c>
      <c r="BT1553" s="12">
        <v>0</v>
      </c>
      <c r="BU1553" s="47">
        <v>0</v>
      </c>
      <c r="BV1553" s="47"/>
      <c r="BW1553" s="47"/>
    </row>
    <row r="1554" spans="3:75" ht="20.100000000000001" customHeight="1">
      <c r="C1554" s="18">
        <v>69000013</v>
      </c>
      <c r="D1554" s="253" t="s">
        <v>3520</v>
      </c>
      <c r="E1554" s="253" t="s">
        <v>3521</v>
      </c>
      <c r="F1554" s="15">
        <v>1</v>
      </c>
      <c r="G1554" s="18">
        <v>60090002</v>
      </c>
      <c r="H1554" s="15">
        <v>0</v>
      </c>
      <c r="I1554" s="26">
        <v>0</v>
      </c>
      <c r="J1554" s="15">
        <v>1</v>
      </c>
      <c r="K1554" s="15">
        <v>0</v>
      </c>
      <c r="L1554" s="26">
        <v>0</v>
      </c>
      <c r="M1554" s="26">
        <v>0</v>
      </c>
      <c r="N1554" s="15" t="s">
        <v>3522</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4" t="s">
        <v>3483</v>
      </c>
      <c r="BF1554" s="264" t="s">
        <v>3484</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69000014</v>
      </c>
      <c r="D1555" s="253" t="s">
        <v>3523</v>
      </c>
      <c r="E1555" s="253" t="s">
        <v>3524</v>
      </c>
      <c r="F1555" s="15">
        <v>1</v>
      </c>
      <c r="G1555" s="18">
        <v>60090002</v>
      </c>
      <c r="H1555" s="15">
        <v>0</v>
      </c>
      <c r="I1555" s="26">
        <v>0</v>
      </c>
      <c r="J1555" s="15">
        <v>1</v>
      </c>
      <c r="K1555" s="15">
        <v>0</v>
      </c>
      <c r="L1555" s="26">
        <v>0</v>
      </c>
      <c r="M1555" s="26">
        <v>0</v>
      </c>
      <c r="N1555" s="15" t="s">
        <v>3525</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200</v>
      </c>
      <c r="BB1555" s="81">
        <v>0</v>
      </c>
      <c r="BC1555" s="27">
        <v>0</v>
      </c>
      <c r="BD1555" s="27">
        <v>1</v>
      </c>
      <c r="BE1555" s="264" t="s">
        <v>3483</v>
      </c>
      <c r="BF1555" s="264" t="s">
        <v>3484</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69000015</v>
      </c>
      <c r="D1556" s="253" t="s">
        <v>3526</v>
      </c>
      <c r="E1556" s="253" t="s">
        <v>3527</v>
      </c>
      <c r="F1556" s="15">
        <v>1</v>
      </c>
      <c r="G1556" s="18">
        <v>60090002</v>
      </c>
      <c r="H1556" s="15">
        <v>0</v>
      </c>
      <c r="I1556" s="26">
        <v>0</v>
      </c>
      <c r="J1556" s="15">
        <v>1</v>
      </c>
      <c r="K1556" s="15">
        <v>0</v>
      </c>
      <c r="L1556" s="26">
        <v>0</v>
      </c>
      <c r="M1556" s="26">
        <v>0</v>
      </c>
      <c r="N1556" s="15" t="s">
        <v>3528</v>
      </c>
      <c r="O1556" s="15">
        <v>3</v>
      </c>
      <c r="P1556" s="15">
        <v>0</v>
      </c>
      <c r="Q1556" s="15">
        <v>0</v>
      </c>
      <c r="R1556" s="15">
        <v>0</v>
      </c>
      <c r="S1556" s="12">
        <v>0</v>
      </c>
      <c r="T1556" s="15">
        <v>0</v>
      </c>
      <c r="U1556" s="16">
        <v>1</v>
      </c>
      <c r="V1556" s="15">
        <v>0</v>
      </c>
      <c r="W1556" s="26">
        <v>0</v>
      </c>
      <c r="X1556" s="15">
        <v>0</v>
      </c>
      <c r="Y1556" s="12">
        <v>0</v>
      </c>
      <c r="Z1556" s="15">
        <v>0</v>
      </c>
      <c r="AA1556" s="15">
        <v>0</v>
      </c>
      <c r="AB1556" s="15">
        <v>0</v>
      </c>
      <c r="AC1556" s="26">
        <v>0</v>
      </c>
      <c r="AD1556" s="15">
        <v>0</v>
      </c>
      <c r="AE1556" s="15">
        <v>0</v>
      </c>
      <c r="AF1556" s="15">
        <v>0</v>
      </c>
      <c r="AG1556" s="15">
        <v>0</v>
      </c>
      <c r="AH1556" s="15">
        <v>0</v>
      </c>
      <c r="AI1556" s="26">
        <v>0</v>
      </c>
      <c r="AJ1556" s="69">
        <v>0</v>
      </c>
      <c r="AK1556" s="12">
        <v>0</v>
      </c>
      <c r="AL1556" s="15">
        <v>0</v>
      </c>
      <c r="AM1556" s="33">
        <v>0</v>
      </c>
      <c r="AN1556" s="15">
        <v>0</v>
      </c>
      <c r="AO1556" s="15">
        <v>0</v>
      </c>
      <c r="AP1556" s="15">
        <v>0</v>
      </c>
      <c r="AQ1556" s="15">
        <v>0</v>
      </c>
      <c r="AR1556" s="15">
        <v>0</v>
      </c>
      <c r="AS1556" s="15">
        <v>0</v>
      </c>
      <c r="AT1556" s="12">
        <v>0</v>
      </c>
      <c r="AU1556" s="36">
        <v>0</v>
      </c>
      <c r="AV1556" s="36"/>
      <c r="AW1556" s="15">
        <v>0</v>
      </c>
      <c r="AX1556" s="26">
        <v>0</v>
      </c>
      <c r="AY1556" s="26">
        <v>0</v>
      </c>
      <c r="AZ1556" s="26">
        <v>0</v>
      </c>
      <c r="BA1556" s="19" t="s">
        <v>200</v>
      </c>
      <c r="BB1556" s="81">
        <v>0</v>
      </c>
      <c r="BC1556" s="27">
        <v>0</v>
      </c>
      <c r="BD1556" s="27">
        <v>1</v>
      </c>
      <c r="BE1556" s="264" t="s">
        <v>3483</v>
      </c>
      <c r="BF1556" s="264" t="s">
        <v>3484</v>
      </c>
      <c r="BG1556" s="15">
        <v>0</v>
      </c>
      <c r="BH1556" s="15">
        <v>0</v>
      </c>
      <c r="BI1556" s="18">
        <v>0</v>
      </c>
      <c r="BJ1556" s="15">
        <v>0</v>
      </c>
      <c r="BK1556" s="15">
        <v>0</v>
      </c>
      <c r="BL1556" s="33">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69000016</v>
      </c>
      <c r="D1557" s="253" t="s">
        <v>3529</v>
      </c>
      <c r="E1557" s="253" t="s">
        <v>3530</v>
      </c>
      <c r="F1557" s="15">
        <v>1</v>
      </c>
      <c r="G1557" s="18">
        <v>60090002</v>
      </c>
      <c r="H1557" s="15">
        <v>0</v>
      </c>
      <c r="I1557" s="26">
        <v>0</v>
      </c>
      <c r="J1557" s="15">
        <v>1</v>
      </c>
      <c r="K1557" s="15">
        <v>0</v>
      </c>
      <c r="L1557" s="26">
        <v>0</v>
      </c>
      <c r="M1557" s="26">
        <v>0</v>
      </c>
      <c r="N1557" s="15" t="s">
        <v>3531</v>
      </c>
      <c r="O1557" s="15">
        <v>3</v>
      </c>
      <c r="P1557" s="15">
        <v>0</v>
      </c>
      <c r="Q1557" s="15">
        <v>0</v>
      </c>
      <c r="R1557" s="15">
        <v>0</v>
      </c>
      <c r="S1557" s="12">
        <v>0</v>
      </c>
      <c r="T1557" s="15">
        <v>0</v>
      </c>
      <c r="U1557" s="16">
        <v>1</v>
      </c>
      <c r="V1557" s="15">
        <v>0</v>
      </c>
      <c r="W1557" s="26">
        <v>0</v>
      </c>
      <c r="X1557" s="15">
        <v>0</v>
      </c>
      <c r="Y1557" s="12">
        <v>0</v>
      </c>
      <c r="Z1557" s="15">
        <v>0</v>
      </c>
      <c r="AA1557" s="15">
        <v>0</v>
      </c>
      <c r="AB1557" s="15">
        <v>0</v>
      </c>
      <c r="AC1557" s="26">
        <v>0</v>
      </c>
      <c r="AD1557" s="15">
        <v>0</v>
      </c>
      <c r="AE1557" s="15">
        <v>0</v>
      </c>
      <c r="AF1557" s="15">
        <v>0</v>
      </c>
      <c r="AG1557" s="15">
        <v>0</v>
      </c>
      <c r="AH1557" s="15">
        <v>0</v>
      </c>
      <c r="AI1557" s="26">
        <v>0</v>
      </c>
      <c r="AJ1557" s="69">
        <v>0</v>
      </c>
      <c r="AK1557" s="12">
        <v>0</v>
      </c>
      <c r="AL1557" s="15">
        <v>0</v>
      </c>
      <c r="AM1557" s="33">
        <v>0</v>
      </c>
      <c r="AN1557" s="15">
        <v>0</v>
      </c>
      <c r="AO1557" s="15">
        <v>0</v>
      </c>
      <c r="AP1557" s="15">
        <v>0</v>
      </c>
      <c r="AQ1557" s="15">
        <v>0</v>
      </c>
      <c r="AR1557" s="15">
        <v>0</v>
      </c>
      <c r="AS1557" s="15">
        <v>0</v>
      </c>
      <c r="AT1557" s="12">
        <v>0</v>
      </c>
      <c r="AU1557" s="36">
        <v>0</v>
      </c>
      <c r="AV1557" s="36"/>
      <c r="AW1557" s="15">
        <v>0</v>
      </c>
      <c r="AX1557" s="26">
        <v>0</v>
      </c>
      <c r="AY1557" s="26">
        <v>0</v>
      </c>
      <c r="AZ1557" s="26">
        <v>0</v>
      </c>
      <c r="BA1557" s="19" t="s">
        <v>200</v>
      </c>
      <c r="BB1557" s="81">
        <v>0</v>
      </c>
      <c r="BC1557" s="27">
        <v>0</v>
      </c>
      <c r="BD1557" s="27">
        <v>1</v>
      </c>
      <c r="BE1557" s="264" t="s">
        <v>3483</v>
      </c>
      <c r="BF1557" s="264" t="s">
        <v>3484</v>
      </c>
      <c r="BG1557" s="15">
        <v>0</v>
      </c>
      <c r="BH1557" s="15">
        <v>0</v>
      </c>
      <c r="BI1557" s="18">
        <v>0</v>
      </c>
      <c r="BJ1557" s="15">
        <v>0</v>
      </c>
      <c r="BK1557" s="15">
        <v>0</v>
      </c>
      <c r="BL1557" s="33">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69000017</v>
      </c>
      <c r="D1558" s="253" t="s">
        <v>3532</v>
      </c>
      <c r="E1558" s="253" t="s">
        <v>3533</v>
      </c>
      <c r="F1558" s="15">
        <v>1</v>
      </c>
      <c r="G1558" s="18">
        <v>60090002</v>
      </c>
      <c r="H1558" s="15">
        <v>0</v>
      </c>
      <c r="I1558" s="26">
        <v>0</v>
      </c>
      <c r="J1558" s="15">
        <v>1</v>
      </c>
      <c r="K1558" s="15">
        <v>0</v>
      </c>
      <c r="L1558" s="26">
        <v>0</v>
      </c>
      <c r="M1558" s="26">
        <v>0</v>
      </c>
      <c r="N1558" s="15" t="s">
        <v>3534</v>
      </c>
      <c r="O1558" s="15">
        <v>3</v>
      </c>
      <c r="P1558" s="15">
        <v>0</v>
      </c>
      <c r="Q1558" s="15">
        <v>0</v>
      </c>
      <c r="R1558" s="15">
        <v>0</v>
      </c>
      <c r="S1558" s="12">
        <v>0</v>
      </c>
      <c r="T1558" s="15">
        <v>0</v>
      </c>
      <c r="U1558" s="16">
        <v>1</v>
      </c>
      <c r="V1558" s="15">
        <v>0</v>
      </c>
      <c r="W1558" s="26">
        <v>0</v>
      </c>
      <c r="X1558" s="15">
        <v>0</v>
      </c>
      <c r="Y1558" s="12">
        <v>0</v>
      </c>
      <c r="Z1558" s="15">
        <v>0</v>
      </c>
      <c r="AA1558" s="15">
        <v>0</v>
      </c>
      <c r="AB1558" s="15">
        <v>0</v>
      </c>
      <c r="AC1558" s="26">
        <v>0</v>
      </c>
      <c r="AD1558" s="15">
        <v>0</v>
      </c>
      <c r="AE1558" s="15">
        <v>0</v>
      </c>
      <c r="AF1558" s="15">
        <v>0</v>
      </c>
      <c r="AG1558" s="15">
        <v>0</v>
      </c>
      <c r="AH1558" s="15">
        <v>0</v>
      </c>
      <c r="AI1558" s="26">
        <v>0</v>
      </c>
      <c r="AJ1558" s="69">
        <v>0</v>
      </c>
      <c r="AK1558" s="12">
        <v>0</v>
      </c>
      <c r="AL1558" s="15">
        <v>0</v>
      </c>
      <c r="AM1558" s="33">
        <v>0</v>
      </c>
      <c r="AN1558" s="15">
        <v>0</v>
      </c>
      <c r="AO1558" s="15">
        <v>0</v>
      </c>
      <c r="AP1558" s="15">
        <v>0</v>
      </c>
      <c r="AQ1558" s="15">
        <v>0</v>
      </c>
      <c r="AR1558" s="15">
        <v>0</v>
      </c>
      <c r="AS1558" s="15">
        <v>0</v>
      </c>
      <c r="AT1558" s="12">
        <v>0</v>
      </c>
      <c r="AU1558" s="36">
        <v>0</v>
      </c>
      <c r="AV1558" s="36"/>
      <c r="AW1558" s="15">
        <v>0</v>
      </c>
      <c r="AX1558" s="26">
        <v>0</v>
      </c>
      <c r="AY1558" s="26">
        <v>0</v>
      </c>
      <c r="AZ1558" s="26">
        <v>0</v>
      </c>
      <c r="BA1558" s="19" t="s">
        <v>200</v>
      </c>
      <c r="BB1558" s="81">
        <v>0</v>
      </c>
      <c r="BC1558" s="27">
        <v>0</v>
      </c>
      <c r="BD1558" s="27">
        <v>1</v>
      </c>
      <c r="BE1558" s="264" t="s">
        <v>3483</v>
      </c>
      <c r="BF1558" s="264" t="s">
        <v>3484</v>
      </c>
      <c r="BG1558" s="15">
        <v>0</v>
      </c>
      <c r="BH1558" s="15">
        <v>0</v>
      </c>
      <c r="BI1558" s="18">
        <v>0</v>
      </c>
      <c r="BJ1558" s="15">
        <v>0</v>
      </c>
      <c r="BK1558" s="15">
        <v>0</v>
      </c>
      <c r="BL1558" s="33">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64">
        <v>69000018</v>
      </c>
      <c r="D1559" s="254" t="s">
        <v>3535</v>
      </c>
      <c r="E1559" s="254" t="s">
        <v>3536</v>
      </c>
      <c r="F1559" s="93">
        <v>1</v>
      </c>
      <c r="G1559" s="64">
        <v>60090002</v>
      </c>
      <c r="H1559" s="93">
        <v>0</v>
      </c>
      <c r="I1559" s="125">
        <v>0</v>
      </c>
      <c r="J1559" s="93">
        <v>1</v>
      </c>
      <c r="K1559" s="93">
        <v>0</v>
      </c>
      <c r="L1559" s="125">
        <v>0</v>
      </c>
      <c r="M1559" s="125">
        <v>0</v>
      </c>
      <c r="N1559" s="93" t="s">
        <v>3537</v>
      </c>
      <c r="O1559" s="93">
        <v>3</v>
      </c>
      <c r="P1559" s="93">
        <v>0</v>
      </c>
      <c r="Q1559" s="93">
        <v>0</v>
      </c>
      <c r="R1559" s="93">
        <v>0</v>
      </c>
      <c r="S1559" s="68">
        <v>0</v>
      </c>
      <c r="T1559" s="93">
        <v>0</v>
      </c>
      <c r="U1559" s="60">
        <v>1</v>
      </c>
      <c r="V1559" s="93">
        <v>0</v>
      </c>
      <c r="W1559" s="125">
        <v>0</v>
      </c>
      <c r="X1559" s="93">
        <v>0</v>
      </c>
      <c r="Y1559" s="12">
        <v>0</v>
      </c>
      <c r="Z1559" s="93">
        <v>0</v>
      </c>
      <c r="AA1559" s="93">
        <v>0</v>
      </c>
      <c r="AB1559" s="93">
        <v>0</v>
      </c>
      <c r="AC1559" s="125">
        <v>0</v>
      </c>
      <c r="AD1559" s="93">
        <v>0</v>
      </c>
      <c r="AE1559" s="93">
        <v>0</v>
      </c>
      <c r="AF1559" s="93">
        <v>0</v>
      </c>
      <c r="AG1559" s="93">
        <v>0</v>
      </c>
      <c r="AH1559" s="93">
        <v>0</v>
      </c>
      <c r="AI1559" s="125">
        <v>0</v>
      </c>
      <c r="AJ1559" s="126">
        <v>0</v>
      </c>
      <c r="AK1559" s="68">
        <v>0</v>
      </c>
      <c r="AL1559" s="93">
        <v>0</v>
      </c>
      <c r="AM1559" s="127">
        <v>0</v>
      </c>
      <c r="AN1559" s="93">
        <v>0</v>
      </c>
      <c r="AO1559" s="93">
        <v>0</v>
      </c>
      <c r="AP1559" s="93">
        <v>0</v>
      </c>
      <c r="AQ1559" s="93">
        <v>0</v>
      </c>
      <c r="AR1559" s="93">
        <v>0</v>
      </c>
      <c r="AS1559" s="93">
        <v>0</v>
      </c>
      <c r="AT1559" s="68">
        <v>0</v>
      </c>
      <c r="AU1559" s="260">
        <v>0</v>
      </c>
      <c r="AV1559" s="260"/>
      <c r="AW1559" s="93">
        <v>0</v>
      </c>
      <c r="AX1559" s="125">
        <v>0</v>
      </c>
      <c r="AY1559" s="125">
        <v>0</v>
      </c>
      <c r="AZ1559" s="125">
        <v>0</v>
      </c>
      <c r="BA1559" s="63" t="s">
        <v>200</v>
      </c>
      <c r="BB1559" s="262">
        <v>0</v>
      </c>
      <c r="BC1559" s="66">
        <v>0</v>
      </c>
      <c r="BD1559" s="66">
        <v>1</v>
      </c>
      <c r="BE1559" s="265" t="s">
        <v>3483</v>
      </c>
      <c r="BF1559" s="265" t="s">
        <v>3484</v>
      </c>
      <c r="BG1559" s="93">
        <v>0</v>
      </c>
      <c r="BH1559" s="93">
        <v>0</v>
      </c>
      <c r="BI1559" s="64">
        <v>0</v>
      </c>
      <c r="BJ1559" s="93">
        <v>0</v>
      </c>
      <c r="BK1559" s="93">
        <v>0</v>
      </c>
      <c r="BL1559" s="127">
        <v>0</v>
      </c>
      <c r="BM1559" s="93">
        <v>0</v>
      </c>
      <c r="BN1559" s="68">
        <v>0</v>
      </c>
      <c r="BO1559" s="68">
        <v>0</v>
      </c>
      <c r="BP1559" s="68">
        <v>0</v>
      </c>
      <c r="BQ1559" s="68">
        <v>0</v>
      </c>
      <c r="BR1559" s="68">
        <v>0</v>
      </c>
      <c r="BS1559" s="68">
        <v>0</v>
      </c>
      <c r="BT1559" s="12">
        <v>0</v>
      </c>
      <c r="BU1559" s="47">
        <v>0</v>
      </c>
      <c r="BV1559" s="47"/>
      <c r="BW1559" s="47"/>
    </row>
    <row r="1560" spans="3:75" ht="20.100000000000001" customHeight="1">
      <c r="C1560" s="18">
        <v>69011001</v>
      </c>
      <c r="D1560" s="255" t="s">
        <v>3538</v>
      </c>
      <c r="E1560" s="255" t="s">
        <v>3539</v>
      </c>
      <c r="F1560" s="74">
        <v>1</v>
      </c>
      <c r="G1560" s="74">
        <v>60090002</v>
      </c>
      <c r="H1560" s="72">
        <v>0</v>
      </c>
      <c r="I1560" s="72">
        <v>0</v>
      </c>
      <c r="J1560" s="74">
        <v>1</v>
      </c>
      <c r="K1560" s="74">
        <v>0</v>
      </c>
      <c r="L1560" s="72">
        <v>0</v>
      </c>
      <c r="M1560" s="72">
        <v>0</v>
      </c>
      <c r="N1560" s="72" t="s">
        <v>3540</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5">
        <v>0</v>
      </c>
      <c r="AX1560" s="72">
        <v>0</v>
      </c>
      <c r="AY1560" s="72">
        <v>0</v>
      </c>
      <c r="AZ1560" s="72">
        <v>0</v>
      </c>
      <c r="BA1560" s="13" t="s">
        <v>200</v>
      </c>
      <c r="BB1560" s="72">
        <v>0</v>
      </c>
      <c r="BC1560" s="263">
        <v>0</v>
      </c>
      <c r="BD1560" s="27">
        <v>1</v>
      </c>
      <c r="BE1560" s="255" t="s">
        <v>3538</v>
      </c>
      <c r="BF1560" s="255" t="s">
        <v>3539</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69011002</v>
      </c>
      <c r="D1561" s="255" t="s">
        <v>3541</v>
      </c>
      <c r="E1561" s="255" t="s">
        <v>3542</v>
      </c>
      <c r="F1561" s="74">
        <v>1</v>
      </c>
      <c r="G1561" s="74">
        <v>60090002</v>
      </c>
      <c r="H1561" s="72">
        <v>0</v>
      </c>
      <c r="I1561" s="72">
        <v>0</v>
      </c>
      <c r="J1561" s="74">
        <v>1</v>
      </c>
      <c r="K1561" s="74">
        <v>0</v>
      </c>
      <c r="L1561" s="72">
        <v>0</v>
      </c>
      <c r="M1561" s="72">
        <v>0</v>
      </c>
      <c r="N1561" s="72" t="s">
        <v>3509</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5">
        <v>0</v>
      </c>
      <c r="AX1561" s="72">
        <v>0</v>
      </c>
      <c r="AY1561" s="72">
        <v>0</v>
      </c>
      <c r="AZ1561" s="72">
        <v>0</v>
      </c>
      <c r="BA1561" s="13" t="s">
        <v>200</v>
      </c>
      <c r="BB1561" s="72">
        <v>0</v>
      </c>
      <c r="BC1561" s="263">
        <v>0</v>
      </c>
      <c r="BD1561" s="27">
        <v>1</v>
      </c>
      <c r="BE1561" s="255" t="s">
        <v>3541</v>
      </c>
      <c r="BF1561" s="255" t="s">
        <v>3542</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69011003</v>
      </c>
      <c r="D1562" s="255" t="s">
        <v>3543</v>
      </c>
      <c r="E1562" s="255" t="s">
        <v>3544</v>
      </c>
      <c r="F1562" s="74">
        <v>1</v>
      </c>
      <c r="G1562" s="74">
        <v>60090002</v>
      </c>
      <c r="H1562" s="72">
        <v>0</v>
      </c>
      <c r="I1562" s="72">
        <v>0</v>
      </c>
      <c r="J1562" s="74">
        <v>1</v>
      </c>
      <c r="K1562" s="74">
        <v>0</v>
      </c>
      <c r="L1562" s="72">
        <v>0</v>
      </c>
      <c r="M1562" s="72">
        <v>0</v>
      </c>
      <c r="N1562" s="72" t="s">
        <v>3545</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5">
        <v>0</v>
      </c>
      <c r="AX1562" s="72">
        <v>0</v>
      </c>
      <c r="AY1562" s="72">
        <v>0</v>
      </c>
      <c r="AZ1562" s="72">
        <v>0</v>
      </c>
      <c r="BA1562" s="13" t="s">
        <v>200</v>
      </c>
      <c r="BB1562" s="72">
        <v>0</v>
      </c>
      <c r="BC1562" s="263">
        <v>0</v>
      </c>
      <c r="BD1562" s="27">
        <v>1</v>
      </c>
      <c r="BE1562" s="255" t="s">
        <v>3543</v>
      </c>
      <c r="BF1562" s="255" t="s">
        <v>3544</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69011004</v>
      </c>
      <c r="D1563" s="255" t="s">
        <v>3546</v>
      </c>
      <c r="E1563" s="255" t="s">
        <v>3547</v>
      </c>
      <c r="F1563" s="74">
        <v>1</v>
      </c>
      <c r="G1563" s="74">
        <v>60090002</v>
      </c>
      <c r="H1563" s="72">
        <v>0</v>
      </c>
      <c r="I1563" s="72">
        <v>0</v>
      </c>
      <c r="J1563" s="74">
        <v>1</v>
      </c>
      <c r="K1563" s="74">
        <v>0</v>
      </c>
      <c r="L1563" s="72">
        <v>0</v>
      </c>
      <c r="M1563" s="72">
        <v>0</v>
      </c>
      <c r="N1563" s="72" t="s">
        <v>3548</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5">
        <v>0</v>
      </c>
      <c r="AX1563" s="72">
        <v>0</v>
      </c>
      <c r="AY1563" s="72">
        <v>0</v>
      </c>
      <c r="AZ1563" s="72">
        <v>0</v>
      </c>
      <c r="BA1563" s="13" t="s">
        <v>200</v>
      </c>
      <c r="BB1563" s="72">
        <v>0</v>
      </c>
      <c r="BC1563" s="263">
        <v>0</v>
      </c>
      <c r="BD1563" s="27">
        <v>1</v>
      </c>
      <c r="BE1563" s="255" t="s">
        <v>3546</v>
      </c>
      <c r="BF1563" s="255" t="s">
        <v>3547</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69011005</v>
      </c>
      <c r="D1564" s="255" t="s">
        <v>3549</v>
      </c>
      <c r="E1564" s="255" t="s">
        <v>3550</v>
      </c>
      <c r="F1564" s="74">
        <v>1</v>
      </c>
      <c r="G1564" s="74">
        <v>60090002</v>
      </c>
      <c r="H1564" s="72">
        <v>0</v>
      </c>
      <c r="I1564" s="72">
        <v>0</v>
      </c>
      <c r="J1564" s="74">
        <v>1</v>
      </c>
      <c r="K1564" s="74">
        <v>0</v>
      </c>
      <c r="L1564" s="72">
        <v>0</v>
      </c>
      <c r="M1564" s="72">
        <v>0</v>
      </c>
      <c r="N1564" s="72" t="s">
        <v>3482</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5">
        <v>0</v>
      </c>
      <c r="AX1564" s="72">
        <v>0</v>
      </c>
      <c r="AY1564" s="72">
        <v>0</v>
      </c>
      <c r="AZ1564" s="72">
        <v>0</v>
      </c>
      <c r="BA1564" s="13" t="s">
        <v>200</v>
      </c>
      <c r="BB1564" s="72">
        <v>0</v>
      </c>
      <c r="BC1564" s="263">
        <v>0</v>
      </c>
      <c r="BD1564" s="27">
        <v>1</v>
      </c>
      <c r="BE1564" s="255" t="s">
        <v>3549</v>
      </c>
      <c r="BF1564" s="255" t="s">
        <v>3550</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69011006</v>
      </c>
      <c r="D1565" s="255" t="s">
        <v>3551</v>
      </c>
      <c r="E1565" s="255" t="s">
        <v>3552</v>
      </c>
      <c r="F1565" s="74">
        <v>1</v>
      </c>
      <c r="G1565" s="74">
        <v>60090002</v>
      </c>
      <c r="H1565" s="72">
        <v>0</v>
      </c>
      <c r="I1565" s="72">
        <v>0</v>
      </c>
      <c r="J1565" s="74">
        <v>1</v>
      </c>
      <c r="K1565" s="74">
        <v>0</v>
      </c>
      <c r="L1565" s="72">
        <v>0</v>
      </c>
      <c r="M1565" s="72">
        <v>0</v>
      </c>
      <c r="N1565" s="72" t="s">
        <v>3522</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5">
        <v>0</v>
      </c>
      <c r="AX1565" s="72">
        <v>0</v>
      </c>
      <c r="AY1565" s="72">
        <v>0</v>
      </c>
      <c r="AZ1565" s="72">
        <v>0</v>
      </c>
      <c r="BA1565" s="13" t="s">
        <v>200</v>
      </c>
      <c r="BB1565" s="72">
        <v>0</v>
      </c>
      <c r="BC1565" s="263">
        <v>0</v>
      </c>
      <c r="BD1565" s="27">
        <v>1</v>
      </c>
      <c r="BE1565" s="255" t="s">
        <v>3551</v>
      </c>
      <c r="BF1565" s="255" t="s">
        <v>3552</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69011101</v>
      </c>
      <c r="D1566" s="255" t="s">
        <v>3553</v>
      </c>
      <c r="E1566" s="255" t="s">
        <v>3554</v>
      </c>
      <c r="F1566" s="74">
        <v>1</v>
      </c>
      <c r="G1566" s="74">
        <v>60090002</v>
      </c>
      <c r="H1566" s="72">
        <v>0</v>
      </c>
      <c r="I1566" s="72">
        <v>0</v>
      </c>
      <c r="J1566" s="74">
        <v>1</v>
      </c>
      <c r="K1566" s="74">
        <v>0</v>
      </c>
      <c r="L1566" s="72">
        <v>0</v>
      </c>
      <c r="M1566" s="72">
        <v>0</v>
      </c>
      <c r="N1566" s="72" t="s">
        <v>3555</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5">
        <v>0</v>
      </c>
      <c r="AX1566" s="72">
        <v>0</v>
      </c>
      <c r="AY1566" s="72">
        <v>0</v>
      </c>
      <c r="AZ1566" s="72">
        <v>0</v>
      </c>
      <c r="BA1566" s="13" t="s">
        <v>200</v>
      </c>
      <c r="BB1566" s="72">
        <v>0</v>
      </c>
      <c r="BC1566" s="263">
        <v>0</v>
      </c>
      <c r="BD1566" s="27">
        <v>1</v>
      </c>
      <c r="BE1566" s="255" t="s">
        <v>3553</v>
      </c>
      <c r="BF1566" s="255" t="s">
        <v>3554</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69011102</v>
      </c>
      <c r="D1567" s="255" t="s">
        <v>3556</v>
      </c>
      <c r="E1567" s="255" t="s">
        <v>3557</v>
      </c>
      <c r="F1567" s="74">
        <v>1</v>
      </c>
      <c r="G1567" s="74">
        <v>60090002</v>
      </c>
      <c r="H1567" s="72">
        <v>0</v>
      </c>
      <c r="I1567" s="72">
        <v>0</v>
      </c>
      <c r="J1567" s="74">
        <v>1</v>
      </c>
      <c r="K1567" s="74">
        <v>0</v>
      </c>
      <c r="L1567" s="72">
        <v>0</v>
      </c>
      <c r="M1567" s="72">
        <v>0</v>
      </c>
      <c r="N1567" s="72" t="s">
        <v>3558</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5">
        <v>0</v>
      </c>
      <c r="AX1567" s="72">
        <v>0</v>
      </c>
      <c r="AY1567" s="72">
        <v>0</v>
      </c>
      <c r="AZ1567" s="72">
        <v>0</v>
      </c>
      <c r="BA1567" s="13" t="s">
        <v>200</v>
      </c>
      <c r="BB1567" s="72">
        <v>0</v>
      </c>
      <c r="BC1567" s="263">
        <v>0</v>
      </c>
      <c r="BD1567" s="27">
        <v>1</v>
      </c>
      <c r="BE1567" s="255" t="s">
        <v>3556</v>
      </c>
      <c r="BF1567" s="255" t="s">
        <v>3557</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69011103</v>
      </c>
      <c r="D1568" s="255" t="s">
        <v>3559</v>
      </c>
      <c r="E1568" s="255" t="s">
        <v>3560</v>
      </c>
      <c r="F1568" s="74">
        <v>1</v>
      </c>
      <c r="G1568" s="74">
        <v>60090002</v>
      </c>
      <c r="H1568" s="72">
        <v>0</v>
      </c>
      <c r="I1568" s="72">
        <v>0</v>
      </c>
      <c r="J1568" s="74">
        <v>1</v>
      </c>
      <c r="K1568" s="74">
        <v>0</v>
      </c>
      <c r="L1568" s="72">
        <v>0</v>
      </c>
      <c r="M1568" s="72">
        <v>0</v>
      </c>
      <c r="N1568" s="72" t="s">
        <v>3561</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5">
        <v>0</v>
      </c>
      <c r="AX1568" s="72">
        <v>0</v>
      </c>
      <c r="AY1568" s="72">
        <v>0</v>
      </c>
      <c r="AZ1568" s="72">
        <v>0</v>
      </c>
      <c r="BA1568" s="13" t="s">
        <v>200</v>
      </c>
      <c r="BB1568" s="72">
        <v>0</v>
      </c>
      <c r="BC1568" s="263">
        <v>0</v>
      </c>
      <c r="BD1568" s="27">
        <v>1</v>
      </c>
      <c r="BE1568" s="255" t="s">
        <v>3559</v>
      </c>
      <c r="BF1568" s="255" t="s">
        <v>3560</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69011104</v>
      </c>
      <c r="D1569" s="255" t="s">
        <v>3562</v>
      </c>
      <c r="E1569" s="255" t="s">
        <v>3563</v>
      </c>
      <c r="F1569" s="74">
        <v>1</v>
      </c>
      <c r="G1569" s="74">
        <v>60090002</v>
      </c>
      <c r="H1569" s="72">
        <v>0</v>
      </c>
      <c r="I1569" s="72">
        <v>0</v>
      </c>
      <c r="J1569" s="74">
        <v>1</v>
      </c>
      <c r="K1569" s="74">
        <v>0</v>
      </c>
      <c r="L1569" s="72">
        <v>0</v>
      </c>
      <c r="M1569" s="72">
        <v>0</v>
      </c>
      <c r="N1569" s="72" t="s">
        <v>3564</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5">
        <v>0</v>
      </c>
      <c r="AX1569" s="72">
        <v>0</v>
      </c>
      <c r="AY1569" s="72">
        <v>0</v>
      </c>
      <c r="AZ1569" s="72">
        <v>0</v>
      </c>
      <c r="BA1569" s="13" t="s">
        <v>200</v>
      </c>
      <c r="BB1569" s="72">
        <v>0</v>
      </c>
      <c r="BC1569" s="263">
        <v>0</v>
      </c>
      <c r="BD1569" s="27">
        <v>1</v>
      </c>
      <c r="BE1569" s="255" t="s">
        <v>3562</v>
      </c>
      <c r="BF1569" s="255" t="s">
        <v>3563</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69011201</v>
      </c>
      <c r="D1570" s="255" t="s">
        <v>3565</v>
      </c>
      <c r="E1570" s="255" t="s">
        <v>3566</v>
      </c>
      <c r="F1570" s="74">
        <v>1</v>
      </c>
      <c r="G1570" s="74">
        <v>60090002</v>
      </c>
      <c r="H1570" s="72">
        <v>0</v>
      </c>
      <c r="I1570" s="72">
        <v>0</v>
      </c>
      <c r="J1570" s="74">
        <v>1</v>
      </c>
      <c r="K1570" s="74">
        <v>0</v>
      </c>
      <c r="L1570" s="72">
        <v>0</v>
      </c>
      <c r="M1570" s="72">
        <v>0</v>
      </c>
      <c r="N1570" s="72" t="s">
        <v>3567</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5">
        <v>0</v>
      </c>
      <c r="AX1570" s="72">
        <v>0</v>
      </c>
      <c r="AY1570" s="72">
        <v>0</v>
      </c>
      <c r="AZ1570" s="72">
        <v>0</v>
      </c>
      <c r="BA1570" s="13" t="s">
        <v>200</v>
      </c>
      <c r="BB1570" s="72">
        <v>0</v>
      </c>
      <c r="BC1570" s="263">
        <v>0</v>
      </c>
      <c r="BD1570" s="27">
        <v>1</v>
      </c>
      <c r="BE1570" s="255" t="s">
        <v>3565</v>
      </c>
      <c r="BF1570" s="255" t="s">
        <v>3566</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69011202</v>
      </c>
      <c r="D1571" s="255" t="s">
        <v>3568</v>
      </c>
      <c r="E1571" s="255" t="s">
        <v>3569</v>
      </c>
      <c r="F1571" s="74">
        <v>1</v>
      </c>
      <c r="G1571" s="74">
        <v>60090002</v>
      </c>
      <c r="H1571" s="72">
        <v>0</v>
      </c>
      <c r="I1571" s="72">
        <v>0</v>
      </c>
      <c r="J1571" s="74">
        <v>1</v>
      </c>
      <c r="K1571" s="74">
        <v>0</v>
      </c>
      <c r="L1571" s="72">
        <v>0</v>
      </c>
      <c r="M1571" s="72">
        <v>0</v>
      </c>
      <c r="N1571" s="72" t="s">
        <v>3570</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5">
        <v>0</v>
      </c>
      <c r="AX1571" s="72">
        <v>0</v>
      </c>
      <c r="AY1571" s="72">
        <v>0</v>
      </c>
      <c r="AZ1571" s="72">
        <v>0</v>
      </c>
      <c r="BA1571" s="13" t="s">
        <v>200</v>
      </c>
      <c r="BB1571" s="72">
        <v>0</v>
      </c>
      <c r="BC1571" s="263">
        <v>0</v>
      </c>
      <c r="BD1571" s="27">
        <v>1</v>
      </c>
      <c r="BE1571" s="255" t="s">
        <v>3568</v>
      </c>
      <c r="BF1571" s="255" t="s">
        <v>3569</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69011203</v>
      </c>
      <c r="D1572" s="255" t="s">
        <v>3571</v>
      </c>
      <c r="E1572" s="255" t="s">
        <v>3572</v>
      </c>
      <c r="F1572" s="74">
        <v>1</v>
      </c>
      <c r="G1572" s="74">
        <v>60090002</v>
      </c>
      <c r="H1572" s="72">
        <v>0</v>
      </c>
      <c r="I1572" s="72">
        <v>0</v>
      </c>
      <c r="J1572" s="74">
        <v>1</v>
      </c>
      <c r="K1572" s="74">
        <v>0</v>
      </c>
      <c r="L1572" s="72">
        <v>0</v>
      </c>
      <c r="M1572" s="72">
        <v>0</v>
      </c>
      <c r="N1572" s="72" t="s">
        <v>3573</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5">
        <v>0</v>
      </c>
      <c r="AX1572" s="72">
        <v>0</v>
      </c>
      <c r="AY1572" s="72">
        <v>0</v>
      </c>
      <c r="AZ1572" s="72">
        <v>0</v>
      </c>
      <c r="BA1572" s="13" t="s">
        <v>200</v>
      </c>
      <c r="BB1572" s="72">
        <v>0</v>
      </c>
      <c r="BC1572" s="263">
        <v>0</v>
      </c>
      <c r="BD1572" s="27">
        <v>1</v>
      </c>
      <c r="BE1572" s="255" t="s">
        <v>3571</v>
      </c>
      <c r="BF1572" s="255" t="s">
        <v>3572</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69011204</v>
      </c>
      <c r="D1573" s="255" t="s">
        <v>3574</v>
      </c>
      <c r="E1573" s="255" t="s">
        <v>3575</v>
      </c>
      <c r="F1573" s="74">
        <v>1</v>
      </c>
      <c r="G1573" s="74">
        <v>60090002</v>
      </c>
      <c r="H1573" s="72">
        <v>0</v>
      </c>
      <c r="I1573" s="72">
        <v>0</v>
      </c>
      <c r="J1573" s="74">
        <v>1</v>
      </c>
      <c r="K1573" s="74">
        <v>0</v>
      </c>
      <c r="L1573" s="72">
        <v>0</v>
      </c>
      <c r="M1573" s="72">
        <v>0</v>
      </c>
      <c r="N1573" s="72" t="s">
        <v>3576</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5">
        <v>0</v>
      </c>
      <c r="AX1573" s="72">
        <v>0</v>
      </c>
      <c r="AY1573" s="72">
        <v>0</v>
      </c>
      <c r="AZ1573" s="72">
        <v>0</v>
      </c>
      <c r="BA1573" s="13" t="s">
        <v>200</v>
      </c>
      <c r="BB1573" s="72">
        <v>0</v>
      </c>
      <c r="BC1573" s="263">
        <v>0</v>
      </c>
      <c r="BD1573" s="27">
        <v>1</v>
      </c>
      <c r="BE1573" s="255" t="s">
        <v>3574</v>
      </c>
      <c r="BF1573" s="255" t="s">
        <v>3575</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69011301</v>
      </c>
      <c r="D1574" s="255" t="s">
        <v>3577</v>
      </c>
      <c r="E1574" s="255" t="s">
        <v>3578</v>
      </c>
      <c r="F1574" s="74">
        <v>1</v>
      </c>
      <c r="G1574" s="74">
        <v>60090002</v>
      </c>
      <c r="H1574" s="72">
        <v>0</v>
      </c>
      <c r="I1574" s="72">
        <v>0</v>
      </c>
      <c r="J1574" s="74">
        <v>1</v>
      </c>
      <c r="K1574" s="74">
        <v>0</v>
      </c>
      <c r="L1574" s="72">
        <v>0</v>
      </c>
      <c r="M1574" s="72">
        <v>0</v>
      </c>
      <c r="N1574" s="72" t="s">
        <v>3579</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5">
        <v>0</v>
      </c>
      <c r="AX1574" s="72">
        <v>0</v>
      </c>
      <c r="AY1574" s="72">
        <v>0</v>
      </c>
      <c r="AZ1574" s="72">
        <v>0</v>
      </c>
      <c r="BA1574" s="13" t="s">
        <v>200</v>
      </c>
      <c r="BB1574" s="72">
        <v>0</v>
      </c>
      <c r="BC1574" s="263">
        <v>0</v>
      </c>
      <c r="BD1574" s="27">
        <v>1</v>
      </c>
      <c r="BE1574" s="255" t="s">
        <v>3577</v>
      </c>
      <c r="BF1574" s="255" t="s">
        <v>3578</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69011302</v>
      </c>
      <c r="D1575" s="255" t="s">
        <v>3580</v>
      </c>
      <c r="E1575" s="255" t="s">
        <v>3581</v>
      </c>
      <c r="F1575" s="74">
        <v>1</v>
      </c>
      <c r="G1575" s="74">
        <v>60090002</v>
      </c>
      <c r="H1575" s="72">
        <v>0</v>
      </c>
      <c r="I1575" s="72">
        <v>0</v>
      </c>
      <c r="J1575" s="74">
        <v>1</v>
      </c>
      <c r="K1575" s="74">
        <v>0</v>
      </c>
      <c r="L1575" s="72">
        <v>0</v>
      </c>
      <c r="M1575" s="72">
        <v>0</v>
      </c>
      <c r="N1575" s="72" t="s">
        <v>3582</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5">
        <v>0</v>
      </c>
      <c r="AX1575" s="72">
        <v>0</v>
      </c>
      <c r="AY1575" s="72">
        <v>0</v>
      </c>
      <c r="AZ1575" s="72">
        <v>0</v>
      </c>
      <c r="BA1575" s="13" t="s">
        <v>200</v>
      </c>
      <c r="BB1575" s="72">
        <v>0</v>
      </c>
      <c r="BC1575" s="263">
        <v>0</v>
      </c>
      <c r="BD1575" s="27">
        <v>1</v>
      </c>
      <c r="BE1575" s="255" t="s">
        <v>3580</v>
      </c>
      <c r="BF1575" s="255" t="s">
        <v>3581</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69011303</v>
      </c>
      <c r="D1576" s="255" t="s">
        <v>3583</v>
      </c>
      <c r="E1576" s="255" t="s">
        <v>3584</v>
      </c>
      <c r="F1576" s="74">
        <v>1</v>
      </c>
      <c r="G1576" s="74">
        <v>60090002</v>
      </c>
      <c r="H1576" s="72">
        <v>0</v>
      </c>
      <c r="I1576" s="72">
        <v>0</v>
      </c>
      <c r="J1576" s="74">
        <v>1</v>
      </c>
      <c r="K1576" s="74">
        <v>0</v>
      </c>
      <c r="L1576" s="72">
        <v>0</v>
      </c>
      <c r="M1576" s="72">
        <v>0</v>
      </c>
      <c r="N1576" s="72" t="s">
        <v>3585</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5">
        <v>0</v>
      </c>
      <c r="AX1576" s="72">
        <v>0</v>
      </c>
      <c r="AY1576" s="72">
        <v>0</v>
      </c>
      <c r="AZ1576" s="72">
        <v>0</v>
      </c>
      <c r="BA1576" s="13" t="s">
        <v>200</v>
      </c>
      <c r="BB1576" s="72">
        <v>0</v>
      </c>
      <c r="BC1576" s="263">
        <v>0</v>
      </c>
      <c r="BD1576" s="27">
        <v>1</v>
      </c>
      <c r="BE1576" s="255" t="s">
        <v>3583</v>
      </c>
      <c r="BF1576" s="255" t="s">
        <v>3584</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69011304</v>
      </c>
      <c r="D1577" s="255" t="s">
        <v>3586</v>
      </c>
      <c r="E1577" s="255" t="s">
        <v>3587</v>
      </c>
      <c r="F1577" s="74">
        <v>1</v>
      </c>
      <c r="G1577" s="74">
        <v>60090002</v>
      </c>
      <c r="H1577" s="72">
        <v>0</v>
      </c>
      <c r="I1577" s="72">
        <v>0</v>
      </c>
      <c r="J1577" s="74">
        <v>1</v>
      </c>
      <c r="K1577" s="74">
        <v>0</v>
      </c>
      <c r="L1577" s="72">
        <v>0</v>
      </c>
      <c r="M1577" s="72">
        <v>0</v>
      </c>
      <c r="N1577" s="72" t="s">
        <v>3588</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5">
        <v>0</v>
      </c>
      <c r="AX1577" s="72">
        <v>0</v>
      </c>
      <c r="AY1577" s="72">
        <v>0</v>
      </c>
      <c r="AZ1577" s="72">
        <v>0</v>
      </c>
      <c r="BA1577" s="13" t="s">
        <v>200</v>
      </c>
      <c r="BB1577" s="72">
        <v>0</v>
      </c>
      <c r="BC1577" s="263">
        <v>0</v>
      </c>
      <c r="BD1577" s="27">
        <v>1</v>
      </c>
      <c r="BE1577" s="255" t="s">
        <v>3586</v>
      </c>
      <c r="BF1577" s="255" t="s">
        <v>3587</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69012001</v>
      </c>
      <c r="D1578" s="255" t="s">
        <v>3589</v>
      </c>
      <c r="E1578" s="255" t="s">
        <v>3590</v>
      </c>
      <c r="F1578" s="74">
        <v>1</v>
      </c>
      <c r="G1578" s="74">
        <v>60090002</v>
      </c>
      <c r="H1578" s="72">
        <v>0</v>
      </c>
      <c r="I1578" s="72">
        <v>0</v>
      </c>
      <c r="J1578" s="74">
        <v>1</v>
      </c>
      <c r="K1578" s="74">
        <v>0</v>
      </c>
      <c r="L1578" s="72">
        <v>0</v>
      </c>
      <c r="M1578" s="72">
        <v>0</v>
      </c>
      <c r="N1578" s="72" t="s">
        <v>3537</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5">
        <v>0</v>
      </c>
      <c r="AX1578" s="72">
        <v>0</v>
      </c>
      <c r="AY1578" s="72">
        <v>0</v>
      </c>
      <c r="AZ1578" s="72">
        <v>0</v>
      </c>
      <c r="BA1578" s="13" t="s">
        <v>200</v>
      </c>
      <c r="BB1578" s="72">
        <v>0</v>
      </c>
      <c r="BC1578" s="263">
        <v>0</v>
      </c>
      <c r="BD1578" s="27">
        <v>1</v>
      </c>
      <c r="BE1578" s="255" t="s">
        <v>3589</v>
      </c>
      <c r="BF1578" s="255" t="s">
        <v>3590</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69012002</v>
      </c>
      <c r="D1579" s="255" t="s">
        <v>3591</v>
      </c>
      <c r="E1579" s="255" t="s">
        <v>3592</v>
      </c>
      <c r="F1579" s="74">
        <v>1</v>
      </c>
      <c r="G1579" s="74">
        <v>60090002</v>
      </c>
      <c r="H1579" s="72">
        <v>0</v>
      </c>
      <c r="I1579" s="72">
        <v>0</v>
      </c>
      <c r="J1579" s="74">
        <v>1</v>
      </c>
      <c r="K1579" s="74">
        <v>0</v>
      </c>
      <c r="L1579" s="72">
        <v>0</v>
      </c>
      <c r="M1579" s="72">
        <v>0</v>
      </c>
      <c r="N1579" s="72" t="s">
        <v>3498</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5">
        <v>0</v>
      </c>
      <c r="AX1579" s="72">
        <v>0</v>
      </c>
      <c r="AY1579" s="72">
        <v>0</v>
      </c>
      <c r="AZ1579" s="72">
        <v>0</v>
      </c>
      <c r="BA1579" s="13" t="s">
        <v>200</v>
      </c>
      <c r="BB1579" s="72">
        <v>0</v>
      </c>
      <c r="BC1579" s="263">
        <v>0</v>
      </c>
      <c r="BD1579" s="27">
        <v>1</v>
      </c>
      <c r="BE1579" s="255" t="s">
        <v>3591</v>
      </c>
      <c r="BF1579" s="255" t="s">
        <v>3592</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69012003</v>
      </c>
      <c r="D1580" s="255" t="s">
        <v>3593</v>
      </c>
      <c r="E1580" s="255" t="s">
        <v>3594</v>
      </c>
      <c r="F1580" s="74">
        <v>1</v>
      </c>
      <c r="G1580" s="74">
        <v>60090002</v>
      </c>
      <c r="H1580" s="72">
        <v>0</v>
      </c>
      <c r="I1580" s="72">
        <v>0</v>
      </c>
      <c r="J1580" s="74">
        <v>1</v>
      </c>
      <c r="K1580" s="74">
        <v>0</v>
      </c>
      <c r="L1580" s="72">
        <v>0</v>
      </c>
      <c r="M1580" s="72">
        <v>0</v>
      </c>
      <c r="N1580" s="72" t="s">
        <v>3595</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5">
        <v>0</v>
      </c>
      <c r="AX1580" s="72">
        <v>0</v>
      </c>
      <c r="AY1580" s="72">
        <v>0</v>
      </c>
      <c r="AZ1580" s="72">
        <v>0</v>
      </c>
      <c r="BA1580" s="13" t="s">
        <v>200</v>
      </c>
      <c r="BB1580" s="72">
        <v>0</v>
      </c>
      <c r="BC1580" s="263">
        <v>0</v>
      </c>
      <c r="BD1580" s="27">
        <v>1</v>
      </c>
      <c r="BE1580" s="255" t="s">
        <v>3593</v>
      </c>
      <c r="BF1580" s="255" t="s">
        <v>3594</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69012004</v>
      </c>
      <c r="D1581" s="255" t="s">
        <v>3596</v>
      </c>
      <c r="E1581" s="255" t="s">
        <v>3597</v>
      </c>
      <c r="F1581" s="74">
        <v>1</v>
      </c>
      <c r="G1581" s="74">
        <v>60090002</v>
      </c>
      <c r="H1581" s="72">
        <v>0</v>
      </c>
      <c r="I1581" s="72">
        <v>0</v>
      </c>
      <c r="J1581" s="74">
        <v>1</v>
      </c>
      <c r="K1581" s="74">
        <v>0</v>
      </c>
      <c r="L1581" s="72">
        <v>0</v>
      </c>
      <c r="M1581" s="72">
        <v>0</v>
      </c>
      <c r="N1581" s="72" t="s">
        <v>3598</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5">
        <v>0</v>
      </c>
      <c r="AX1581" s="72">
        <v>0</v>
      </c>
      <c r="AY1581" s="72">
        <v>0</v>
      </c>
      <c r="AZ1581" s="72">
        <v>0</v>
      </c>
      <c r="BA1581" s="13" t="s">
        <v>200</v>
      </c>
      <c r="BB1581" s="72">
        <v>0</v>
      </c>
      <c r="BC1581" s="263">
        <v>0</v>
      </c>
      <c r="BD1581" s="27">
        <v>1</v>
      </c>
      <c r="BE1581" s="255" t="s">
        <v>3596</v>
      </c>
      <c r="BF1581" s="255" t="s">
        <v>3597</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69012005</v>
      </c>
      <c r="D1582" s="255" t="s">
        <v>3599</v>
      </c>
      <c r="E1582" s="255" t="s">
        <v>3600</v>
      </c>
      <c r="F1582" s="74">
        <v>1</v>
      </c>
      <c r="G1582" s="74">
        <v>60090002</v>
      </c>
      <c r="H1582" s="72">
        <v>0</v>
      </c>
      <c r="I1582" s="72">
        <v>0</v>
      </c>
      <c r="J1582" s="74">
        <v>1</v>
      </c>
      <c r="K1582" s="74">
        <v>0</v>
      </c>
      <c r="L1582" s="72">
        <v>0</v>
      </c>
      <c r="M1582" s="72">
        <v>0</v>
      </c>
      <c r="N1582" s="72" t="s">
        <v>3491</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5">
        <v>0</v>
      </c>
      <c r="AX1582" s="72">
        <v>0</v>
      </c>
      <c r="AY1582" s="72">
        <v>0</v>
      </c>
      <c r="AZ1582" s="72">
        <v>0</v>
      </c>
      <c r="BA1582" s="13" t="s">
        <v>200</v>
      </c>
      <c r="BB1582" s="72">
        <v>0</v>
      </c>
      <c r="BC1582" s="263">
        <v>0</v>
      </c>
      <c r="BD1582" s="27">
        <v>1</v>
      </c>
      <c r="BE1582" s="255" t="s">
        <v>3599</v>
      </c>
      <c r="BF1582" s="255" t="s">
        <v>3600</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69012006</v>
      </c>
      <c r="D1583" s="255" t="s">
        <v>3601</v>
      </c>
      <c r="E1583" s="255" t="s">
        <v>3602</v>
      </c>
      <c r="F1583" s="74">
        <v>1</v>
      </c>
      <c r="G1583" s="74">
        <v>60090002</v>
      </c>
      <c r="H1583" s="72">
        <v>0</v>
      </c>
      <c r="I1583" s="72">
        <v>0</v>
      </c>
      <c r="J1583" s="74">
        <v>1</v>
      </c>
      <c r="K1583" s="74">
        <v>0</v>
      </c>
      <c r="L1583" s="72">
        <v>0</v>
      </c>
      <c r="M1583" s="72">
        <v>0</v>
      </c>
      <c r="N1583" s="72" t="s">
        <v>3603</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5">
        <v>0</v>
      </c>
      <c r="AX1583" s="72">
        <v>0</v>
      </c>
      <c r="AY1583" s="72">
        <v>0</v>
      </c>
      <c r="AZ1583" s="72">
        <v>0</v>
      </c>
      <c r="BA1583" s="13" t="s">
        <v>200</v>
      </c>
      <c r="BB1583" s="72">
        <v>0</v>
      </c>
      <c r="BC1583" s="263">
        <v>0</v>
      </c>
      <c r="BD1583" s="27">
        <v>1</v>
      </c>
      <c r="BE1583" s="255" t="s">
        <v>3601</v>
      </c>
      <c r="BF1583" s="255" t="s">
        <v>3602</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69012101</v>
      </c>
      <c r="D1584" s="255" t="s">
        <v>3604</v>
      </c>
      <c r="E1584" s="255" t="s">
        <v>3605</v>
      </c>
      <c r="F1584" s="74">
        <v>1</v>
      </c>
      <c r="G1584" s="74">
        <v>60090002</v>
      </c>
      <c r="H1584" s="72">
        <v>0</v>
      </c>
      <c r="I1584" s="72">
        <v>0</v>
      </c>
      <c r="J1584" s="74">
        <v>1</v>
      </c>
      <c r="K1584" s="74">
        <v>0</v>
      </c>
      <c r="L1584" s="72">
        <v>0</v>
      </c>
      <c r="M1584" s="72">
        <v>0</v>
      </c>
      <c r="N1584" s="72" t="s">
        <v>3606</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5">
        <v>0</v>
      </c>
      <c r="AX1584" s="72">
        <v>0</v>
      </c>
      <c r="AY1584" s="72">
        <v>0</v>
      </c>
      <c r="AZ1584" s="72">
        <v>0</v>
      </c>
      <c r="BA1584" s="13" t="s">
        <v>200</v>
      </c>
      <c r="BB1584" s="72">
        <v>0</v>
      </c>
      <c r="BC1584" s="263">
        <v>0</v>
      </c>
      <c r="BD1584" s="27">
        <v>1</v>
      </c>
      <c r="BE1584" s="255" t="s">
        <v>3604</v>
      </c>
      <c r="BF1584" s="255" t="s">
        <v>3605</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69012102</v>
      </c>
      <c r="D1585" s="255" t="s">
        <v>3607</v>
      </c>
      <c r="E1585" s="255" t="s">
        <v>3608</v>
      </c>
      <c r="F1585" s="74">
        <v>1</v>
      </c>
      <c r="G1585" s="74">
        <v>60090002</v>
      </c>
      <c r="H1585" s="72">
        <v>0</v>
      </c>
      <c r="I1585" s="72">
        <v>0</v>
      </c>
      <c r="J1585" s="74">
        <v>1</v>
      </c>
      <c r="K1585" s="74">
        <v>0</v>
      </c>
      <c r="L1585" s="72">
        <v>0</v>
      </c>
      <c r="M1585" s="72">
        <v>0</v>
      </c>
      <c r="N1585" s="72" t="s">
        <v>3609</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5">
        <v>0</v>
      </c>
      <c r="AX1585" s="72">
        <v>0</v>
      </c>
      <c r="AY1585" s="72">
        <v>0</v>
      </c>
      <c r="AZ1585" s="72">
        <v>0</v>
      </c>
      <c r="BA1585" s="13" t="s">
        <v>200</v>
      </c>
      <c r="BB1585" s="72">
        <v>0</v>
      </c>
      <c r="BC1585" s="263">
        <v>0</v>
      </c>
      <c r="BD1585" s="27">
        <v>1</v>
      </c>
      <c r="BE1585" s="255" t="s">
        <v>3607</v>
      </c>
      <c r="BF1585" s="255" t="s">
        <v>3608</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69012103</v>
      </c>
      <c r="D1586" s="255" t="s">
        <v>3610</v>
      </c>
      <c r="E1586" s="255" t="s">
        <v>3611</v>
      </c>
      <c r="F1586" s="74">
        <v>1</v>
      </c>
      <c r="G1586" s="74">
        <v>60090002</v>
      </c>
      <c r="H1586" s="72">
        <v>0</v>
      </c>
      <c r="I1586" s="72">
        <v>0</v>
      </c>
      <c r="J1586" s="74">
        <v>1</v>
      </c>
      <c r="K1586" s="74">
        <v>0</v>
      </c>
      <c r="L1586" s="72">
        <v>0</v>
      </c>
      <c r="M1586" s="72">
        <v>0</v>
      </c>
      <c r="N1586" s="72" t="s">
        <v>3612</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5">
        <v>0</v>
      </c>
      <c r="AX1586" s="72">
        <v>0</v>
      </c>
      <c r="AY1586" s="72">
        <v>0</v>
      </c>
      <c r="AZ1586" s="72">
        <v>0</v>
      </c>
      <c r="BA1586" s="13" t="s">
        <v>200</v>
      </c>
      <c r="BB1586" s="72">
        <v>0</v>
      </c>
      <c r="BC1586" s="263">
        <v>0</v>
      </c>
      <c r="BD1586" s="27">
        <v>1</v>
      </c>
      <c r="BE1586" s="255" t="s">
        <v>3610</v>
      </c>
      <c r="BF1586" s="255" t="s">
        <v>3611</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69012104</v>
      </c>
      <c r="D1587" s="255" t="s">
        <v>3613</v>
      </c>
      <c r="E1587" s="255" t="s">
        <v>3614</v>
      </c>
      <c r="F1587" s="74">
        <v>1</v>
      </c>
      <c r="G1587" s="74">
        <v>60090002</v>
      </c>
      <c r="H1587" s="72">
        <v>0</v>
      </c>
      <c r="I1587" s="72">
        <v>0</v>
      </c>
      <c r="J1587" s="74">
        <v>1</v>
      </c>
      <c r="K1587" s="74">
        <v>0</v>
      </c>
      <c r="L1587" s="72">
        <v>0</v>
      </c>
      <c r="M1587" s="72">
        <v>0</v>
      </c>
      <c r="N1587" s="72" t="s">
        <v>3615</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5">
        <v>0</v>
      </c>
      <c r="AX1587" s="72">
        <v>0</v>
      </c>
      <c r="AY1587" s="72">
        <v>0</v>
      </c>
      <c r="AZ1587" s="72">
        <v>0</v>
      </c>
      <c r="BA1587" s="13" t="s">
        <v>200</v>
      </c>
      <c r="BB1587" s="72">
        <v>0</v>
      </c>
      <c r="BC1587" s="263">
        <v>0</v>
      </c>
      <c r="BD1587" s="27">
        <v>1</v>
      </c>
      <c r="BE1587" s="255" t="s">
        <v>3613</v>
      </c>
      <c r="BF1587" s="255" t="s">
        <v>3614</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69012201</v>
      </c>
      <c r="D1588" s="255" t="s">
        <v>3616</v>
      </c>
      <c r="E1588" s="255" t="s">
        <v>3617</v>
      </c>
      <c r="F1588" s="74">
        <v>1</v>
      </c>
      <c r="G1588" s="74">
        <v>60090002</v>
      </c>
      <c r="H1588" s="72">
        <v>0</v>
      </c>
      <c r="I1588" s="72">
        <v>0</v>
      </c>
      <c r="J1588" s="74">
        <v>1</v>
      </c>
      <c r="K1588" s="74">
        <v>0</v>
      </c>
      <c r="L1588" s="72">
        <v>0</v>
      </c>
      <c r="M1588" s="72">
        <v>0</v>
      </c>
      <c r="N1588" s="72" t="s">
        <v>3618</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5">
        <v>0</v>
      </c>
      <c r="AX1588" s="72">
        <v>0</v>
      </c>
      <c r="AY1588" s="72">
        <v>0</v>
      </c>
      <c r="AZ1588" s="72">
        <v>0</v>
      </c>
      <c r="BA1588" s="13" t="s">
        <v>200</v>
      </c>
      <c r="BB1588" s="72">
        <v>0</v>
      </c>
      <c r="BC1588" s="263">
        <v>0</v>
      </c>
      <c r="BD1588" s="27">
        <v>1</v>
      </c>
      <c r="BE1588" s="255" t="s">
        <v>3616</v>
      </c>
      <c r="BF1588" s="255" t="s">
        <v>3617</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69012202</v>
      </c>
      <c r="D1589" s="255" t="s">
        <v>3619</v>
      </c>
      <c r="E1589" s="255" t="s">
        <v>3620</v>
      </c>
      <c r="F1589" s="74">
        <v>1</v>
      </c>
      <c r="G1589" s="74">
        <v>60090002</v>
      </c>
      <c r="H1589" s="72">
        <v>0</v>
      </c>
      <c r="I1589" s="72">
        <v>0</v>
      </c>
      <c r="J1589" s="74">
        <v>1</v>
      </c>
      <c r="K1589" s="74">
        <v>0</v>
      </c>
      <c r="L1589" s="72">
        <v>0</v>
      </c>
      <c r="M1589" s="72">
        <v>0</v>
      </c>
      <c r="N1589" s="72" t="s">
        <v>3621</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5">
        <v>0</v>
      </c>
      <c r="AX1589" s="72">
        <v>0</v>
      </c>
      <c r="AY1589" s="72">
        <v>0</v>
      </c>
      <c r="AZ1589" s="72">
        <v>0</v>
      </c>
      <c r="BA1589" s="13" t="s">
        <v>200</v>
      </c>
      <c r="BB1589" s="72">
        <v>0</v>
      </c>
      <c r="BC1589" s="263">
        <v>0</v>
      </c>
      <c r="BD1589" s="27">
        <v>1</v>
      </c>
      <c r="BE1589" s="255" t="s">
        <v>3619</v>
      </c>
      <c r="BF1589" s="255" t="s">
        <v>3620</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69012203</v>
      </c>
      <c r="D1590" s="255" t="s">
        <v>3622</v>
      </c>
      <c r="E1590" s="255" t="s">
        <v>3623</v>
      </c>
      <c r="F1590" s="74">
        <v>1</v>
      </c>
      <c r="G1590" s="74">
        <v>60090002</v>
      </c>
      <c r="H1590" s="72">
        <v>0</v>
      </c>
      <c r="I1590" s="72">
        <v>0</v>
      </c>
      <c r="J1590" s="74">
        <v>1</v>
      </c>
      <c r="K1590" s="74">
        <v>0</v>
      </c>
      <c r="L1590" s="72">
        <v>0</v>
      </c>
      <c r="M1590" s="72">
        <v>0</v>
      </c>
      <c r="N1590" s="72" t="s">
        <v>3624</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5">
        <v>0</v>
      </c>
      <c r="AX1590" s="72">
        <v>0</v>
      </c>
      <c r="AY1590" s="72">
        <v>0</v>
      </c>
      <c r="AZ1590" s="72">
        <v>0</v>
      </c>
      <c r="BA1590" s="13" t="s">
        <v>200</v>
      </c>
      <c r="BB1590" s="72">
        <v>0</v>
      </c>
      <c r="BC1590" s="263">
        <v>0</v>
      </c>
      <c r="BD1590" s="27">
        <v>1</v>
      </c>
      <c r="BE1590" s="255" t="s">
        <v>3622</v>
      </c>
      <c r="BF1590" s="255" t="s">
        <v>3623</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69012204</v>
      </c>
      <c r="D1591" s="255" t="s">
        <v>3625</v>
      </c>
      <c r="E1591" s="255" t="s">
        <v>3626</v>
      </c>
      <c r="F1591" s="74">
        <v>1</v>
      </c>
      <c r="G1591" s="74">
        <v>60090002</v>
      </c>
      <c r="H1591" s="72">
        <v>0</v>
      </c>
      <c r="I1591" s="72">
        <v>0</v>
      </c>
      <c r="J1591" s="74">
        <v>1</v>
      </c>
      <c r="K1591" s="74">
        <v>0</v>
      </c>
      <c r="L1591" s="72">
        <v>0</v>
      </c>
      <c r="M1591" s="72">
        <v>0</v>
      </c>
      <c r="N1591" s="72" t="s">
        <v>3627</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5">
        <v>0</v>
      </c>
      <c r="AX1591" s="72">
        <v>0</v>
      </c>
      <c r="AY1591" s="72">
        <v>0</v>
      </c>
      <c r="AZ1591" s="72">
        <v>0</v>
      </c>
      <c r="BA1591" s="13" t="s">
        <v>200</v>
      </c>
      <c r="BB1591" s="72">
        <v>0</v>
      </c>
      <c r="BC1591" s="263">
        <v>0</v>
      </c>
      <c r="BD1591" s="27">
        <v>1</v>
      </c>
      <c r="BE1591" s="255" t="s">
        <v>3625</v>
      </c>
      <c r="BF1591" s="255" t="s">
        <v>3626</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18">
        <v>69012301</v>
      </c>
      <c r="D1592" s="255" t="s">
        <v>3628</v>
      </c>
      <c r="E1592" s="255" t="s">
        <v>3629</v>
      </c>
      <c r="F1592" s="74">
        <v>1</v>
      </c>
      <c r="G1592" s="74">
        <v>60090002</v>
      </c>
      <c r="H1592" s="72">
        <v>0</v>
      </c>
      <c r="I1592" s="72">
        <v>0</v>
      </c>
      <c r="J1592" s="74">
        <v>1</v>
      </c>
      <c r="K1592" s="74">
        <v>0</v>
      </c>
      <c r="L1592" s="72">
        <v>0</v>
      </c>
      <c r="M1592" s="72">
        <v>0</v>
      </c>
      <c r="N1592" s="72" t="s">
        <v>3630</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5">
        <v>0</v>
      </c>
      <c r="AX1592" s="72">
        <v>0</v>
      </c>
      <c r="AY1592" s="72">
        <v>0</v>
      </c>
      <c r="AZ1592" s="72">
        <v>0</v>
      </c>
      <c r="BA1592" s="13" t="s">
        <v>200</v>
      </c>
      <c r="BB1592" s="72">
        <v>0</v>
      </c>
      <c r="BC1592" s="263">
        <v>0</v>
      </c>
      <c r="BD1592" s="27">
        <v>1</v>
      </c>
      <c r="BE1592" s="255" t="s">
        <v>3628</v>
      </c>
      <c r="BF1592" s="255" t="s">
        <v>3629</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18">
        <v>69012302</v>
      </c>
      <c r="D1593" s="255" t="s">
        <v>3631</v>
      </c>
      <c r="E1593" s="255" t="s">
        <v>3632</v>
      </c>
      <c r="F1593" s="74">
        <v>1</v>
      </c>
      <c r="G1593" s="74">
        <v>60090002</v>
      </c>
      <c r="H1593" s="72">
        <v>0</v>
      </c>
      <c r="I1593" s="72">
        <v>0</v>
      </c>
      <c r="J1593" s="74">
        <v>1</v>
      </c>
      <c r="K1593" s="74">
        <v>0</v>
      </c>
      <c r="L1593" s="72">
        <v>0</v>
      </c>
      <c r="M1593" s="72">
        <v>0</v>
      </c>
      <c r="N1593" s="72" t="s">
        <v>3633</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5">
        <v>0</v>
      </c>
      <c r="AX1593" s="72">
        <v>0</v>
      </c>
      <c r="AY1593" s="72">
        <v>0</v>
      </c>
      <c r="AZ1593" s="72">
        <v>0</v>
      </c>
      <c r="BA1593" s="13" t="s">
        <v>200</v>
      </c>
      <c r="BB1593" s="72">
        <v>0</v>
      </c>
      <c r="BC1593" s="263">
        <v>0</v>
      </c>
      <c r="BD1593" s="27">
        <v>1</v>
      </c>
      <c r="BE1593" s="255" t="s">
        <v>3631</v>
      </c>
      <c r="BF1593" s="255" t="s">
        <v>3632</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18">
        <v>69012303</v>
      </c>
      <c r="D1594" s="255" t="s">
        <v>3634</v>
      </c>
      <c r="E1594" s="255" t="s">
        <v>3635</v>
      </c>
      <c r="F1594" s="74">
        <v>1</v>
      </c>
      <c r="G1594" s="74">
        <v>60090002</v>
      </c>
      <c r="H1594" s="72">
        <v>0</v>
      </c>
      <c r="I1594" s="72">
        <v>0</v>
      </c>
      <c r="J1594" s="74">
        <v>1</v>
      </c>
      <c r="K1594" s="74">
        <v>0</v>
      </c>
      <c r="L1594" s="72">
        <v>0</v>
      </c>
      <c r="M1594" s="72">
        <v>0</v>
      </c>
      <c r="N1594" s="72" t="s">
        <v>3636</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5">
        <v>0</v>
      </c>
      <c r="AX1594" s="72">
        <v>0</v>
      </c>
      <c r="AY1594" s="72">
        <v>0</v>
      </c>
      <c r="AZ1594" s="72">
        <v>0</v>
      </c>
      <c r="BA1594" s="13" t="s">
        <v>200</v>
      </c>
      <c r="BB1594" s="72">
        <v>0</v>
      </c>
      <c r="BC1594" s="263">
        <v>0</v>
      </c>
      <c r="BD1594" s="27">
        <v>1</v>
      </c>
      <c r="BE1594" s="255" t="s">
        <v>3634</v>
      </c>
      <c r="BF1594" s="255" t="s">
        <v>3635</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18">
        <v>69012304</v>
      </c>
      <c r="D1595" s="255" t="s">
        <v>3637</v>
      </c>
      <c r="E1595" s="255" t="s">
        <v>3638</v>
      </c>
      <c r="F1595" s="74">
        <v>1</v>
      </c>
      <c r="G1595" s="74">
        <v>60090002</v>
      </c>
      <c r="H1595" s="72">
        <v>0</v>
      </c>
      <c r="I1595" s="72">
        <v>0</v>
      </c>
      <c r="J1595" s="74">
        <v>1</v>
      </c>
      <c r="K1595" s="74">
        <v>0</v>
      </c>
      <c r="L1595" s="72">
        <v>0</v>
      </c>
      <c r="M1595" s="72">
        <v>0</v>
      </c>
      <c r="N1595" s="72" t="s">
        <v>3639</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5">
        <v>0</v>
      </c>
      <c r="AX1595" s="72">
        <v>0</v>
      </c>
      <c r="AY1595" s="72">
        <v>0</v>
      </c>
      <c r="AZ1595" s="72">
        <v>0</v>
      </c>
      <c r="BA1595" s="13" t="s">
        <v>200</v>
      </c>
      <c r="BB1595" s="72">
        <v>0</v>
      </c>
      <c r="BC1595" s="263">
        <v>0</v>
      </c>
      <c r="BD1595" s="27">
        <v>1</v>
      </c>
      <c r="BE1595" s="255" t="s">
        <v>3637</v>
      </c>
      <c r="BF1595" s="255" t="s">
        <v>3638</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69013001</v>
      </c>
      <c r="D1596" s="256" t="s">
        <v>3640</v>
      </c>
      <c r="E1596" s="256" t="s">
        <v>3641</v>
      </c>
      <c r="F1596" s="257">
        <v>1</v>
      </c>
      <c r="G1596" s="257">
        <v>60090002</v>
      </c>
      <c r="H1596" s="258">
        <v>0</v>
      </c>
      <c r="I1596" s="258">
        <v>0</v>
      </c>
      <c r="J1596" s="257">
        <v>1</v>
      </c>
      <c r="K1596" s="257">
        <v>0</v>
      </c>
      <c r="L1596" s="258">
        <v>0</v>
      </c>
      <c r="M1596" s="258">
        <v>0</v>
      </c>
      <c r="N1596" s="258" t="s">
        <v>3642</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5">
        <v>0</v>
      </c>
      <c r="AX1596" s="72">
        <v>0</v>
      </c>
      <c r="AY1596" s="72">
        <v>0</v>
      </c>
      <c r="AZ1596" s="72">
        <v>0</v>
      </c>
      <c r="BA1596" s="13" t="s">
        <v>200</v>
      </c>
      <c r="BB1596" s="72">
        <v>0</v>
      </c>
      <c r="BC1596" s="263">
        <v>0</v>
      </c>
      <c r="BD1596" s="27">
        <v>1</v>
      </c>
      <c r="BE1596" s="255" t="s">
        <v>3640</v>
      </c>
      <c r="BF1596" s="255" t="s">
        <v>3641</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69013002</v>
      </c>
      <c r="D1597" s="256" t="s">
        <v>3643</v>
      </c>
      <c r="E1597" s="256" t="s">
        <v>3644</v>
      </c>
      <c r="F1597" s="257">
        <v>1</v>
      </c>
      <c r="G1597" s="257">
        <v>60090002</v>
      </c>
      <c r="H1597" s="258">
        <v>0</v>
      </c>
      <c r="I1597" s="258">
        <v>0</v>
      </c>
      <c r="J1597" s="257">
        <v>1</v>
      </c>
      <c r="K1597" s="257">
        <v>0</v>
      </c>
      <c r="L1597" s="258">
        <v>0</v>
      </c>
      <c r="M1597" s="258">
        <v>0</v>
      </c>
      <c r="N1597" s="258" t="s">
        <v>3528</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5">
        <v>0</v>
      </c>
      <c r="AX1597" s="72">
        <v>0</v>
      </c>
      <c r="AY1597" s="72">
        <v>0</v>
      </c>
      <c r="AZ1597" s="72">
        <v>0</v>
      </c>
      <c r="BA1597" s="13" t="s">
        <v>200</v>
      </c>
      <c r="BB1597" s="72">
        <v>0</v>
      </c>
      <c r="BC1597" s="263">
        <v>0</v>
      </c>
      <c r="BD1597" s="27">
        <v>1</v>
      </c>
      <c r="BE1597" s="255" t="s">
        <v>3643</v>
      </c>
      <c r="BF1597" s="255" t="s">
        <v>3644</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69013003</v>
      </c>
      <c r="D1598" s="256" t="s">
        <v>3645</v>
      </c>
      <c r="E1598" s="256" t="s">
        <v>3646</v>
      </c>
      <c r="F1598" s="257">
        <v>1</v>
      </c>
      <c r="G1598" s="257">
        <v>60090002</v>
      </c>
      <c r="H1598" s="258">
        <v>0</v>
      </c>
      <c r="I1598" s="258">
        <v>0</v>
      </c>
      <c r="J1598" s="257">
        <v>1</v>
      </c>
      <c r="K1598" s="257">
        <v>0</v>
      </c>
      <c r="L1598" s="258">
        <v>0</v>
      </c>
      <c r="M1598" s="258">
        <v>0</v>
      </c>
      <c r="N1598" s="258" t="s">
        <v>3525</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5">
        <v>0</v>
      </c>
      <c r="AX1598" s="72">
        <v>0</v>
      </c>
      <c r="AY1598" s="72">
        <v>0</v>
      </c>
      <c r="AZ1598" s="72">
        <v>0</v>
      </c>
      <c r="BA1598" s="13" t="s">
        <v>200</v>
      </c>
      <c r="BB1598" s="72">
        <v>0</v>
      </c>
      <c r="BC1598" s="263">
        <v>0</v>
      </c>
      <c r="BD1598" s="27">
        <v>1</v>
      </c>
      <c r="BE1598" s="255" t="s">
        <v>3645</v>
      </c>
      <c r="BF1598" s="255" t="s">
        <v>3646</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69013004</v>
      </c>
      <c r="D1599" s="256" t="s">
        <v>3647</v>
      </c>
      <c r="E1599" s="256" t="s">
        <v>3648</v>
      </c>
      <c r="F1599" s="257">
        <v>1</v>
      </c>
      <c r="G1599" s="257">
        <v>60090002</v>
      </c>
      <c r="H1599" s="258">
        <v>0</v>
      </c>
      <c r="I1599" s="258">
        <v>0</v>
      </c>
      <c r="J1599" s="257">
        <v>1</v>
      </c>
      <c r="K1599" s="257">
        <v>0</v>
      </c>
      <c r="L1599" s="258">
        <v>0</v>
      </c>
      <c r="M1599" s="258">
        <v>0</v>
      </c>
      <c r="N1599" s="258" t="s">
        <v>3531</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5">
        <v>0</v>
      </c>
      <c r="AX1599" s="72">
        <v>0</v>
      </c>
      <c r="AY1599" s="72">
        <v>0</v>
      </c>
      <c r="AZ1599" s="72">
        <v>0</v>
      </c>
      <c r="BA1599" s="13" t="s">
        <v>200</v>
      </c>
      <c r="BB1599" s="72">
        <v>0</v>
      </c>
      <c r="BC1599" s="263">
        <v>0</v>
      </c>
      <c r="BD1599" s="27">
        <v>1</v>
      </c>
      <c r="BE1599" s="255" t="s">
        <v>3647</v>
      </c>
      <c r="BF1599" s="255" t="s">
        <v>3648</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69013005</v>
      </c>
      <c r="D1600" s="256" t="s">
        <v>3649</v>
      </c>
      <c r="E1600" s="256" t="s">
        <v>3650</v>
      </c>
      <c r="F1600" s="257">
        <v>1</v>
      </c>
      <c r="G1600" s="257">
        <v>60090002</v>
      </c>
      <c r="H1600" s="258">
        <v>0</v>
      </c>
      <c r="I1600" s="258">
        <v>0</v>
      </c>
      <c r="J1600" s="257">
        <v>1</v>
      </c>
      <c r="K1600" s="257">
        <v>0</v>
      </c>
      <c r="L1600" s="258">
        <v>0</v>
      </c>
      <c r="M1600" s="258">
        <v>0</v>
      </c>
      <c r="N1600" s="258" t="s">
        <v>3651</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5">
        <v>0</v>
      </c>
      <c r="AX1600" s="72">
        <v>0</v>
      </c>
      <c r="AY1600" s="72">
        <v>0</v>
      </c>
      <c r="AZ1600" s="72">
        <v>0</v>
      </c>
      <c r="BA1600" s="13" t="s">
        <v>200</v>
      </c>
      <c r="BB1600" s="72">
        <v>0</v>
      </c>
      <c r="BC1600" s="263">
        <v>0</v>
      </c>
      <c r="BD1600" s="27">
        <v>1</v>
      </c>
      <c r="BE1600" s="255" t="s">
        <v>3649</v>
      </c>
      <c r="BF1600" s="255" t="s">
        <v>3650</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69013006</v>
      </c>
      <c r="D1601" s="256" t="s">
        <v>3652</v>
      </c>
      <c r="E1601" s="256" t="s">
        <v>3653</v>
      </c>
      <c r="F1601" s="257">
        <v>1</v>
      </c>
      <c r="G1601" s="257">
        <v>60090002</v>
      </c>
      <c r="H1601" s="258">
        <v>0</v>
      </c>
      <c r="I1601" s="258">
        <v>0</v>
      </c>
      <c r="J1601" s="257">
        <v>1</v>
      </c>
      <c r="K1601" s="257">
        <v>0</v>
      </c>
      <c r="L1601" s="258">
        <v>0</v>
      </c>
      <c r="M1601" s="258">
        <v>0</v>
      </c>
      <c r="N1601" s="258" t="s">
        <v>3534</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5">
        <v>0</v>
      </c>
      <c r="AX1601" s="72">
        <v>0</v>
      </c>
      <c r="AY1601" s="72">
        <v>0</v>
      </c>
      <c r="AZ1601" s="72">
        <v>0</v>
      </c>
      <c r="BA1601" s="13" t="s">
        <v>200</v>
      </c>
      <c r="BB1601" s="72">
        <v>0</v>
      </c>
      <c r="BC1601" s="263">
        <v>0</v>
      </c>
      <c r="BD1601" s="27">
        <v>1</v>
      </c>
      <c r="BE1601" s="255" t="s">
        <v>3652</v>
      </c>
      <c r="BF1601" s="255" t="s">
        <v>3653</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69013101</v>
      </c>
      <c r="D1602" s="256" t="s">
        <v>3654</v>
      </c>
      <c r="E1602" s="256" t="s">
        <v>3655</v>
      </c>
      <c r="F1602" s="257">
        <v>1</v>
      </c>
      <c r="G1602" s="257">
        <v>60090002</v>
      </c>
      <c r="H1602" s="258">
        <v>0</v>
      </c>
      <c r="I1602" s="258">
        <v>0</v>
      </c>
      <c r="J1602" s="257">
        <v>1</v>
      </c>
      <c r="K1602" s="257">
        <v>0</v>
      </c>
      <c r="L1602" s="258">
        <v>0</v>
      </c>
      <c r="M1602" s="258">
        <v>0</v>
      </c>
      <c r="N1602" s="258" t="s">
        <v>3656</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5">
        <v>0</v>
      </c>
      <c r="AX1602" s="72">
        <v>0</v>
      </c>
      <c r="AY1602" s="72">
        <v>0</v>
      </c>
      <c r="AZ1602" s="72">
        <v>0</v>
      </c>
      <c r="BA1602" s="13" t="s">
        <v>200</v>
      </c>
      <c r="BB1602" s="72">
        <v>0</v>
      </c>
      <c r="BC1602" s="263">
        <v>0</v>
      </c>
      <c r="BD1602" s="27">
        <v>1</v>
      </c>
      <c r="BE1602" s="255" t="s">
        <v>3654</v>
      </c>
      <c r="BF1602" s="255" t="s">
        <v>3655</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69013102</v>
      </c>
      <c r="D1603" s="256" t="s">
        <v>3657</v>
      </c>
      <c r="E1603" s="256" t="s">
        <v>3658</v>
      </c>
      <c r="F1603" s="257">
        <v>1</v>
      </c>
      <c r="G1603" s="257">
        <v>60090002</v>
      </c>
      <c r="H1603" s="258">
        <v>0</v>
      </c>
      <c r="I1603" s="258">
        <v>0</v>
      </c>
      <c r="J1603" s="257">
        <v>1</v>
      </c>
      <c r="K1603" s="257">
        <v>0</v>
      </c>
      <c r="L1603" s="258">
        <v>0</v>
      </c>
      <c r="M1603" s="258">
        <v>0</v>
      </c>
      <c r="N1603" s="258" t="s">
        <v>3659</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5">
        <v>0</v>
      </c>
      <c r="AX1603" s="72">
        <v>0</v>
      </c>
      <c r="AY1603" s="72">
        <v>0</v>
      </c>
      <c r="AZ1603" s="72">
        <v>0</v>
      </c>
      <c r="BA1603" s="13" t="s">
        <v>200</v>
      </c>
      <c r="BB1603" s="72">
        <v>0</v>
      </c>
      <c r="BC1603" s="263">
        <v>0</v>
      </c>
      <c r="BD1603" s="27">
        <v>1</v>
      </c>
      <c r="BE1603" s="255" t="s">
        <v>3657</v>
      </c>
      <c r="BF1603" s="255" t="s">
        <v>3658</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69013103</v>
      </c>
      <c r="D1604" s="256" t="s">
        <v>3660</v>
      </c>
      <c r="E1604" s="256" t="s">
        <v>3661</v>
      </c>
      <c r="F1604" s="257">
        <v>1</v>
      </c>
      <c r="G1604" s="257">
        <v>60090002</v>
      </c>
      <c r="H1604" s="258">
        <v>0</v>
      </c>
      <c r="I1604" s="258">
        <v>0</v>
      </c>
      <c r="J1604" s="257">
        <v>1</v>
      </c>
      <c r="K1604" s="257">
        <v>0</v>
      </c>
      <c r="L1604" s="258">
        <v>0</v>
      </c>
      <c r="M1604" s="258">
        <v>0</v>
      </c>
      <c r="N1604" s="258" t="s">
        <v>3662</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5">
        <v>0</v>
      </c>
      <c r="AX1604" s="72">
        <v>0</v>
      </c>
      <c r="AY1604" s="72">
        <v>0</v>
      </c>
      <c r="AZ1604" s="72">
        <v>0</v>
      </c>
      <c r="BA1604" s="13" t="s">
        <v>200</v>
      </c>
      <c r="BB1604" s="72">
        <v>0</v>
      </c>
      <c r="BC1604" s="263">
        <v>0</v>
      </c>
      <c r="BD1604" s="27">
        <v>1</v>
      </c>
      <c r="BE1604" s="255" t="s">
        <v>3660</v>
      </c>
      <c r="BF1604" s="255" t="s">
        <v>3661</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69013104</v>
      </c>
      <c r="D1605" s="256" t="s">
        <v>3663</v>
      </c>
      <c r="E1605" s="256" t="s">
        <v>3664</v>
      </c>
      <c r="F1605" s="257">
        <v>1</v>
      </c>
      <c r="G1605" s="257">
        <v>60090002</v>
      </c>
      <c r="H1605" s="258">
        <v>0</v>
      </c>
      <c r="I1605" s="258">
        <v>0</v>
      </c>
      <c r="J1605" s="257">
        <v>1</v>
      </c>
      <c r="K1605" s="257">
        <v>0</v>
      </c>
      <c r="L1605" s="258">
        <v>0</v>
      </c>
      <c r="M1605" s="258">
        <v>0</v>
      </c>
      <c r="N1605" s="258" t="s">
        <v>3665</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5">
        <v>0</v>
      </c>
      <c r="AX1605" s="72">
        <v>0</v>
      </c>
      <c r="AY1605" s="72">
        <v>0</v>
      </c>
      <c r="AZ1605" s="72">
        <v>0</v>
      </c>
      <c r="BA1605" s="13" t="s">
        <v>200</v>
      </c>
      <c r="BB1605" s="72">
        <v>0</v>
      </c>
      <c r="BC1605" s="263">
        <v>0</v>
      </c>
      <c r="BD1605" s="27">
        <v>1</v>
      </c>
      <c r="BE1605" s="255" t="s">
        <v>3663</v>
      </c>
      <c r="BF1605" s="255" t="s">
        <v>3664</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69013201</v>
      </c>
      <c r="D1606" s="256" t="s">
        <v>3666</v>
      </c>
      <c r="E1606" s="256" t="s">
        <v>3667</v>
      </c>
      <c r="F1606" s="257">
        <v>1</v>
      </c>
      <c r="G1606" s="257">
        <v>60090002</v>
      </c>
      <c r="H1606" s="258">
        <v>0</v>
      </c>
      <c r="I1606" s="258">
        <v>0</v>
      </c>
      <c r="J1606" s="257">
        <v>1</v>
      </c>
      <c r="K1606" s="257">
        <v>0</v>
      </c>
      <c r="L1606" s="258">
        <v>0</v>
      </c>
      <c r="M1606" s="258">
        <v>0</v>
      </c>
      <c r="N1606" s="258" t="s">
        <v>3668</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5">
        <v>0</v>
      </c>
      <c r="AX1606" s="72">
        <v>0</v>
      </c>
      <c r="AY1606" s="72">
        <v>0</v>
      </c>
      <c r="AZ1606" s="72">
        <v>0</v>
      </c>
      <c r="BA1606" s="13" t="s">
        <v>200</v>
      </c>
      <c r="BB1606" s="72">
        <v>0</v>
      </c>
      <c r="BC1606" s="263">
        <v>0</v>
      </c>
      <c r="BD1606" s="27">
        <v>1</v>
      </c>
      <c r="BE1606" s="255" t="s">
        <v>3666</v>
      </c>
      <c r="BF1606" s="255" t="s">
        <v>3667</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69013202</v>
      </c>
      <c r="D1607" s="256" t="s">
        <v>3669</v>
      </c>
      <c r="E1607" s="256" t="s">
        <v>3670</v>
      </c>
      <c r="F1607" s="257">
        <v>1</v>
      </c>
      <c r="G1607" s="257">
        <v>60090002</v>
      </c>
      <c r="H1607" s="258">
        <v>0</v>
      </c>
      <c r="I1607" s="258">
        <v>0</v>
      </c>
      <c r="J1607" s="257">
        <v>1</v>
      </c>
      <c r="K1607" s="257">
        <v>0</v>
      </c>
      <c r="L1607" s="258">
        <v>0</v>
      </c>
      <c r="M1607" s="258">
        <v>0</v>
      </c>
      <c r="N1607" s="258" t="s">
        <v>3671</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5">
        <v>0</v>
      </c>
      <c r="AX1607" s="72">
        <v>0</v>
      </c>
      <c r="AY1607" s="72">
        <v>0</v>
      </c>
      <c r="AZ1607" s="72">
        <v>0</v>
      </c>
      <c r="BA1607" s="13" t="s">
        <v>200</v>
      </c>
      <c r="BB1607" s="72">
        <v>0</v>
      </c>
      <c r="BC1607" s="263">
        <v>0</v>
      </c>
      <c r="BD1607" s="27">
        <v>1</v>
      </c>
      <c r="BE1607" s="255" t="s">
        <v>3669</v>
      </c>
      <c r="BF1607" s="255" t="s">
        <v>3670</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69013203</v>
      </c>
      <c r="D1608" s="256" t="s">
        <v>3672</v>
      </c>
      <c r="E1608" s="256" t="s">
        <v>3673</v>
      </c>
      <c r="F1608" s="257">
        <v>1</v>
      </c>
      <c r="G1608" s="257">
        <v>60090002</v>
      </c>
      <c r="H1608" s="258">
        <v>0</v>
      </c>
      <c r="I1608" s="258">
        <v>0</v>
      </c>
      <c r="J1608" s="257">
        <v>1</v>
      </c>
      <c r="K1608" s="257">
        <v>0</v>
      </c>
      <c r="L1608" s="258">
        <v>0</v>
      </c>
      <c r="M1608" s="258">
        <v>0</v>
      </c>
      <c r="N1608" s="258" t="s">
        <v>3674</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5">
        <v>0</v>
      </c>
      <c r="AX1608" s="72">
        <v>0</v>
      </c>
      <c r="AY1608" s="72">
        <v>0</v>
      </c>
      <c r="AZ1608" s="72">
        <v>0</v>
      </c>
      <c r="BA1608" s="13" t="s">
        <v>200</v>
      </c>
      <c r="BB1608" s="72">
        <v>0</v>
      </c>
      <c r="BC1608" s="263">
        <v>0</v>
      </c>
      <c r="BD1608" s="27">
        <v>1</v>
      </c>
      <c r="BE1608" s="255" t="s">
        <v>3672</v>
      </c>
      <c r="BF1608" s="255" t="s">
        <v>3673</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69013204</v>
      </c>
      <c r="D1609" s="256" t="s">
        <v>3675</v>
      </c>
      <c r="E1609" s="256" t="s">
        <v>3676</v>
      </c>
      <c r="F1609" s="257">
        <v>1</v>
      </c>
      <c r="G1609" s="257">
        <v>60090002</v>
      </c>
      <c r="H1609" s="258">
        <v>0</v>
      </c>
      <c r="I1609" s="258">
        <v>0</v>
      </c>
      <c r="J1609" s="257">
        <v>1</v>
      </c>
      <c r="K1609" s="257">
        <v>0</v>
      </c>
      <c r="L1609" s="258">
        <v>0</v>
      </c>
      <c r="M1609" s="258">
        <v>0</v>
      </c>
      <c r="N1609" s="258" t="s">
        <v>3677</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5">
        <v>0</v>
      </c>
      <c r="AX1609" s="72">
        <v>0</v>
      </c>
      <c r="AY1609" s="72">
        <v>0</v>
      </c>
      <c r="AZ1609" s="72">
        <v>0</v>
      </c>
      <c r="BA1609" s="13" t="s">
        <v>200</v>
      </c>
      <c r="BB1609" s="72">
        <v>0</v>
      </c>
      <c r="BC1609" s="263">
        <v>0</v>
      </c>
      <c r="BD1609" s="27">
        <v>1</v>
      </c>
      <c r="BE1609" s="255" t="s">
        <v>3675</v>
      </c>
      <c r="BF1609" s="255" t="s">
        <v>3676</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64">
        <v>69013301</v>
      </c>
      <c r="D1610" s="256" t="s">
        <v>3678</v>
      </c>
      <c r="E1610" s="256" t="s">
        <v>3679</v>
      </c>
      <c r="F1610" s="257">
        <v>1</v>
      </c>
      <c r="G1610" s="257">
        <v>60090002</v>
      </c>
      <c r="H1610" s="258">
        <v>0</v>
      </c>
      <c r="I1610" s="258">
        <v>0</v>
      </c>
      <c r="J1610" s="257">
        <v>1</v>
      </c>
      <c r="K1610" s="257">
        <v>0</v>
      </c>
      <c r="L1610" s="258">
        <v>0</v>
      </c>
      <c r="M1610" s="258">
        <v>0</v>
      </c>
      <c r="N1610" s="258" t="s">
        <v>3680</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1">
        <v>0</v>
      </c>
      <c r="AU1610" s="72">
        <v>0</v>
      </c>
      <c r="AV1610" s="72"/>
      <c r="AW1610" s="255">
        <v>0</v>
      </c>
      <c r="AX1610" s="72">
        <v>0</v>
      </c>
      <c r="AY1610" s="72">
        <v>0</v>
      </c>
      <c r="AZ1610" s="72">
        <v>0</v>
      </c>
      <c r="BA1610" s="13" t="s">
        <v>200</v>
      </c>
      <c r="BB1610" s="72">
        <v>0</v>
      </c>
      <c r="BC1610" s="263">
        <v>0</v>
      </c>
      <c r="BD1610" s="27">
        <v>1</v>
      </c>
      <c r="BE1610" s="255" t="s">
        <v>3678</v>
      </c>
      <c r="BF1610" s="255" t="s">
        <v>3679</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64">
        <v>69013302</v>
      </c>
      <c r="D1611" s="256" t="s">
        <v>3681</v>
      </c>
      <c r="E1611" s="256" t="s">
        <v>3682</v>
      </c>
      <c r="F1611" s="257">
        <v>1</v>
      </c>
      <c r="G1611" s="257">
        <v>60090002</v>
      </c>
      <c r="H1611" s="258">
        <v>0</v>
      </c>
      <c r="I1611" s="258">
        <v>0</v>
      </c>
      <c r="J1611" s="257">
        <v>1</v>
      </c>
      <c r="K1611" s="257">
        <v>0</v>
      </c>
      <c r="L1611" s="258">
        <v>0</v>
      </c>
      <c r="M1611" s="258">
        <v>0</v>
      </c>
      <c r="N1611" s="258" t="s">
        <v>3683</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1">
        <v>0</v>
      </c>
      <c r="AU1611" s="72">
        <v>0</v>
      </c>
      <c r="AV1611" s="72"/>
      <c r="AW1611" s="255">
        <v>0</v>
      </c>
      <c r="AX1611" s="72">
        <v>0</v>
      </c>
      <c r="AY1611" s="72">
        <v>0</v>
      </c>
      <c r="AZ1611" s="72">
        <v>0</v>
      </c>
      <c r="BA1611" s="13" t="s">
        <v>200</v>
      </c>
      <c r="BB1611" s="72">
        <v>0</v>
      </c>
      <c r="BC1611" s="263">
        <v>0</v>
      </c>
      <c r="BD1611" s="27">
        <v>1</v>
      </c>
      <c r="BE1611" s="255" t="s">
        <v>3681</v>
      </c>
      <c r="BF1611" s="255" t="s">
        <v>3682</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64">
        <v>69013303</v>
      </c>
      <c r="D1612" s="256" t="s">
        <v>3684</v>
      </c>
      <c r="E1612" s="256" t="s">
        <v>3685</v>
      </c>
      <c r="F1612" s="257">
        <v>1</v>
      </c>
      <c r="G1612" s="257">
        <v>60090002</v>
      </c>
      <c r="H1612" s="258">
        <v>0</v>
      </c>
      <c r="I1612" s="258">
        <v>0</v>
      </c>
      <c r="J1612" s="257">
        <v>1</v>
      </c>
      <c r="K1612" s="257">
        <v>0</v>
      </c>
      <c r="L1612" s="258">
        <v>0</v>
      </c>
      <c r="M1612" s="258">
        <v>0</v>
      </c>
      <c r="N1612" s="258" t="s">
        <v>3686</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1">
        <v>0</v>
      </c>
      <c r="AU1612" s="72">
        <v>0</v>
      </c>
      <c r="AV1612" s="72"/>
      <c r="AW1612" s="255">
        <v>0</v>
      </c>
      <c r="AX1612" s="72">
        <v>0</v>
      </c>
      <c r="AY1612" s="72">
        <v>0</v>
      </c>
      <c r="AZ1612" s="72">
        <v>0</v>
      </c>
      <c r="BA1612" s="13" t="s">
        <v>200</v>
      </c>
      <c r="BB1612" s="72">
        <v>0</v>
      </c>
      <c r="BC1612" s="263">
        <v>0</v>
      </c>
      <c r="BD1612" s="27">
        <v>1</v>
      </c>
      <c r="BE1612" s="255" t="s">
        <v>3684</v>
      </c>
      <c r="BF1612" s="255" t="s">
        <v>3685</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64">
        <v>69013304</v>
      </c>
      <c r="D1613" s="256" t="s">
        <v>3687</v>
      </c>
      <c r="E1613" s="256" t="s">
        <v>3688</v>
      </c>
      <c r="F1613" s="257">
        <v>1</v>
      </c>
      <c r="G1613" s="257">
        <v>60090002</v>
      </c>
      <c r="H1613" s="258">
        <v>0</v>
      </c>
      <c r="I1613" s="258">
        <v>0</v>
      </c>
      <c r="J1613" s="257">
        <v>1</v>
      </c>
      <c r="K1613" s="257">
        <v>0</v>
      </c>
      <c r="L1613" s="258">
        <v>0</v>
      </c>
      <c r="M1613" s="258">
        <v>0</v>
      </c>
      <c r="N1613" s="258" t="s">
        <v>3689</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1">
        <v>0</v>
      </c>
      <c r="AU1613" s="72">
        <v>0</v>
      </c>
      <c r="AV1613" s="72"/>
      <c r="AW1613" s="255">
        <v>0</v>
      </c>
      <c r="AX1613" s="72">
        <v>0</v>
      </c>
      <c r="AY1613" s="72">
        <v>0</v>
      </c>
      <c r="AZ1613" s="72">
        <v>0</v>
      </c>
      <c r="BA1613" s="13" t="s">
        <v>200</v>
      </c>
      <c r="BB1613" s="72">
        <v>0</v>
      </c>
      <c r="BC1613" s="263">
        <v>0</v>
      </c>
      <c r="BD1613" s="27">
        <v>1</v>
      </c>
      <c r="BE1613" s="255" t="s">
        <v>3687</v>
      </c>
      <c r="BF1613" s="255" t="s">
        <v>3688</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69021001</v>
      </c>
      <c r="D1614" s="19" t="s">
        <v>3690</v>
      </c>
      <c r="E1614" s="19" t="s">
        <v>3691</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3692</v>
      </c>
      <c r="BC1614" s="27">
        <v>0</v>
      </c>
      <c r="BD1614" s="27">
        <v>1</v>
      </c>
      <c r="BE1614" s="19" t="s">
        <v>3693</v>
      </c>
      <c r="BF1614" s="19" t="s">
        <v>3694</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69021002</v>
      </c>
      <c r="D1615" s="19" t="s">
        <v>3695</v>
      </c>
      <c r="E1615" s="19" t="s">
        <v>3696</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3697</v>
      </c>
      <c r="BC1615" s="27">
        <v>0</v>
      </c>
      <c r="BD1615" s="27">
        <v>1</v>
      </c>
      <c r="BE1615" s="19" t="s">
        <v>3698</v>
      </c>
      <c r="BF1615" s="19" t="s">
        <v>3699</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69021003</v>
      </c>
      <c r="D1616" s="19" t="s">
        <v>3700</v>
      </c>
      <c r="E1616" s="19" t="s">
        <v>3701</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3702</v>
      </c>
      <c r="BC1616" s="27">
        <v>0</v>
      </c>
      <c r="BD1616" s="27">
        <v>1</v>
      </c>
      <c r="BE1616" s="19" t="s">
        <v>3703</v>
      </c>
      <c r="BF1616" s="19" t="s">
        <v>3704</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69021004</v>
      </c>
      <c r="D1617" s="19" t="s">
        <v>3705</v>
      </c>
      <c r="E1617" s="19" t="s">
        <v>3706</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3707</v>
      </c>
      <c r="BC1617" s="27">
        <v>0</v>
      </c>
      <c r="BD1617" s="27">
        <v>1</v>
      </c>
      <c r="BE1617" s="19" t="s">
        <v>3708</v>
      </c>
      <c r="BF1617" s="19" t="s">
        <v>3709</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69021005</v>
      </c>
      <c r="D1618" s="19" t="s">
        <v>3710</v>
      </c>
      <c r="E1618" s="19" t="s">
        <v>3711</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3712</v>
      </c>
      <c r="BC1618" s="27">
        <v>0</v>
      </c>
      <c r="BD1618" s="27">
        <v>1</v>
      </c>
      <c r="BE1618" s="19" t="s">
        <v>3713</v>
      </c>
      <c r="BF1618" s="19" t="s">
        <v>3714</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69021006</v>
      </c>
      <c r="D1619" s="19" t="s">
        <v>3715</v>
      </c>
      <c r="E1619" s="19" t="s">
        <v>3716</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3717</v>
      </c>
      <c r="BC1619" s="27">
        <v>0</v>
      </c>
      <c r="BD1619" s="27">
        <v>1</v>
      </c>
      <c r="BE1619" s="19" t="s">
        <v>3718</v>
      </c>
      <c r="BF1619" s="19" t="s">
        <v>3719</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69021007</v>
      </c>
      <c r="D1620" s="19" t="s">
        <v>3720</v>
      </c>
      <c r="E1620" s="19" t="s">
        <v>3721</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3722</v>
      </c>
      <c r="BC1620" s="27">
        <v>0</v>
      </c>
      <c r="BD1620" s="27">
        <v>1</v>
      </c>
      <c r="BE1620" s="19" t="s">
        <v>3723</v>
      </c>
      <c r="BF1620" s="19" t="s">
        <v>3724</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69021008</v>
      </c>
      <c r="D1621" s="19" t="s">
        <v>3725</v>
      </c>
      <c r="E1621" s="19" t="s">
        <v>3726</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3727</v>
      </c>
      <c r="BC1621" s="27">
        <v>0</v>
      </c>
      <c r="BD1621" s="27">
        <v>1</v>
      </c>
      <c r="BE1621" s="19" t="s">
        <v>3728</v>
      </c>
      <c r="BF1621" s="19" t="s">
        <v>3729</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69021009</v>
      </c>
      <c r="D1622" s="19" t="s">
        <v>3730</v>
      </c>
      <c r="E1622" s="19" t="s">
        <v>3731</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3408</v>
      </c>
      <c r="BC1622" s="27">
        <v>0</v>
      </c>
      <c r="BD1622" s="27">
        <v>1</v>
      </c>
      <c r="BE1622" s="19" t="s">
        <v>3732</v>
      </c>
      <c r="BF1622" s="19" t="s">
        <v>3733</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69021010</v>
      </c>
      <c r="D1623" s="19" t="s">
        <v>3734</v>
      </c>
      <c r="E1623" s="19" t="s">
        <v>3735</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3736</v>
      </c>
      <c r="BC1623" s="27">
        <v>0</v>
      </c>
      <c r="BD1623" s="27">
        <v>1</v>
      </c>
      <c r="BE1623" s="19" t="s">
        <v>3737</v>
      </c>
      <c r="BF1623" s="19" t="s">
        <v>3738</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69021011</v>
      </c>
      <c r="D1624" s="19" t="s">
        <v>3739</v>
      </c>
      <c r="E1624" s="19" t="s">
        <v>3740</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3741</v>
      </c>
      <c r="BC1624" s="27">
        <v>0</v>
      </c>
      <c r="BD1624" s="27">
        <v>1</v>
      </c>
      <c r="BE1624" s="19" t="s">
        <v>3742</v>
      </c>
      <c r="BF1624" s="19" t="s">
        <v>3743</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69021012</v>
      </c>
      <c r="D1625" s="19" t="s">
        <v>3739</v>
      </c>
      <c r="E1625" s="19" t="s">
        <v>3740</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2876</v>
      </c>
      <c r="BC1625" s="27">
        <v>0</v>
      </c>
      <c r="BD1625" s="27">
        <v>1</v>
      </c>
      <c r="BE1625" s="19" t="s">
        <v>3744</v>
      </c>
      <c r="BF1625" s="19" t="s">
        <v>3745</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69021013</v>
      </c>
      <c r="D1626" s="19" t="s">
        <v>3739</v>
      </c>
      <c r="E1626" s="19" t="s">
        <v>3740</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2928</v>
      </c>
      <c r="BC1626" s="27">
        <v>0</v>
      </c>
      <c r="BD1626" s="27">
        <v>1</v>
      </c>
      <c r="BE1626" s="19" t="s">
        <v>3746</v>
      </c>
      <c r="BF1626" s="19" t="s">
        <v>3747</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69021014</v>
      </c>
      <c r="D1627" s="19" t="s">
        <v>3739</v>
      </c>
      <c r="E1627" s="19" t="s">
        <v>3740</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2911</v>
      </c>
      <c r="BC1627" s="27">
        <v>0</v>
      </c>
      <c r="BD1627" s="27">
        <v>1</v>
      </c>
      <c r="BE1627" s="19" t="s">
        <v>3748</v>
      </c>
      <c r="BF1627" s="19" t="s">
        <v>3749</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row>
    <row r="1628" spans="3:75" ht="20.100000000000001" customHeight="1">
      <c r="C1628" s="18">
        <v>69031001</v>
      </c>
      <c r="D1628" s="19" t="s">
        <v>757</v>
      </c>
      <c r="E1628" s="19" t="s">
        <v>399</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59">
        <v>69000021</v>
      </c>
      <c r="AU1628" s="18" t="s">
        <v>198</v>
      </c>
      <c r="AV1628" s="18"/>
      <c r="AW1628" s="19" t="s">
        <v>199</v>
      </c>
      <c r="AX1628" s="18">
        <v>0</v>
      </c>
      <c r="AY1628" s="18">
        <v>0</v>
      </c>
      <c r="AZ1628" s="18">
        <v>0</v>
      </c>
      <c r="BA1628" s="19" t="s">
        <v>200</v>
      </c>
      <c r="BB1628" s="19" t="s">
        <v>198</v>
      </c>
      <c r="BC1628" s="27">
        <v>0</v>
      </c>
      <c r="BD1628" s="27">
        <v>1</v>
      </c>
      <c r="BE1628" s="87" t="s">
        <v>3750</v>
      </c>
      <c r="BF1628" s="87" t="s">
        <v>3751</v>
      </c>
      <c r="BG1628" s="18">
        <v>0</v>
      </c>
      <c r="BH1628" s="16">
        <v>0</v>
      </c>
      <c r="BI1628" s="18">
        <v>0</v>
      </c>
      <c r="BJ1628" s="18">
        <v>0</v>
      </c>
      <c r="BK1628" s="18">
        <v>0</v>
      </c>
      <c r="BL1628" s="18">
        <v>0</v>
      </c>
      <c r="BM1628" s="15">
        <v>0</v>
      </c>
      <c r="BN1628" s="12">
        <v>0</v>
      </c>
      <c r="BO1628" s="12">
        <v>0</v>
      </c>
      <c r="BP1628" s="12">
        <v>0</v>
      </c>
      <c r="BQ1628" s="12">
        <v>0</v>
      </c>
      <c r="BR1628" s="12">
        <v>0</v>
      </c>
      <c r="BS1628" s="12">
        <v>0</v>
      </c>
      <c r="BT1628" s="12">
        <v>0</v>
      </c>
      <c r="BU1628" s="47">
        <v>0</v>
      </c>
      <c r="BV1628" s="47"/>
      <c r="BW1628" s="47"/>
    </row>
    <row r="1629" spans="3:75" ht="20.100000000000001" customHeight="1">
      <c r="C1629" s="18">
        <v>69031002</v>
      </c>
      <c r="D1629" s="19" t="s">
        <v>3752</v>
      </c>
      <c r="E1629" s="19" t="s">
        <v>3753</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3754</v>
      </c>
      <c r="BC1629" s="27">
        <v>0</v>
      </c>
      <c r="BD1629" s="27">
        <v>1</v>
      </c>
      <c r="BE1629" s="19" t="s">
        <v>3755</v>
      </c>
      <c r="BF1629" s="19" t="s">
        <v>3756</v>
      </c>
      <c r="BG1629" s="18">
        <v>0</v>
      </c>
      <c r="BH1629" s="16">
        <v>0</v>
      </c>
      <c r="BI1629" s="18">
        <v>0</v>
      </c>
      <c r="BJ1629" s="18">
        <v>0</v>
      </c>
      <c r="BK1629" s="18">
        <v>0</v>
      </c>
      <c r="BL1629" s="18">
        <v>0</v>
      </c>
      <c r="BM1629" s="15">
        <v>0</v>
      </c>
      <c r="BN1629" s="12">
        <v>0</v>
      </c>
      <c r="BO1629" s="12">
        <v>0</v>
      </c>
      <c r="BP1629" s="12">
        <v>0</v>
      </c>
      <c r="BQ1629" s="12">
        <v>0</v>
      </c>
      <c r="BR1629" s="12">
        <v>0</v>
      </c>
      <c r="BS1629" s="12">
        <v>0</v>
      </c>
      <c r="BT1629" s="12">
        <v>0</v>
      </c>
      <c r="BU1629" s="47">
        <v>0</v>
      </c>
      <c r="BV1629" s="47"/>
      <c r="BW1629" s="47"/>
    </row>
    <row r="1630" spans="3:75" ht="20.100000000000001" customHeight="1">
      <c r="C1630" s="18">
        <v>69031003</v>
      </c>
      <c r="D1630" s="19" t="s">
        <v>3757</v>
      </c>
      <c r="E1630" s="19" t="s">
        <v>3758</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198</v>
      </c>
      <c r="AV1630" s="18"/>
      <c r="AW1630" s="19" t="s">
        <v>199</v>
      </c>
      <c r="AX1630" s="18">
        <v>0</v>
      </c>
      <c r="AY1630" s="18">
        <v>0</v>
      </c>
      <c r="AZ1630" s="18">
        <v>0</v>
      </c>
      <c r="BA1630" s="19" t="s">
        <v>200</v>
      </c>
      <c r="BB1630" s="19" t="s">
        <v>3759</v>
      </c>
      <c r="BC1630" s="27">
        <v>0</v>
      </c>
      <c r="BD1630" s="27">
        <v>1</v>
      </c>
      <c r="BE1630" s="19" t="s">
        <v>3760</v>
      </c>
      <c r="BF1630" s="19" t="s">
        <v>3761</v>
      </c>
      <c r="BG1630" s="18">
        <v>0</v>
      </c>
      <c r="BH1630" s="16">
        <v>0</v>
      </c>
      <c r="BI1630" s="18">
        <v>0</v>
      </c>
      <c r="BJ1630" s="18">
        <v>0</v>
      </c>
      <c r="BK1630" s="18">
        <v>0</v>
      </c>
      <c r="BL1630" s="18">
        <v>0</v>
      </c>
      <c r="BM1630" s="15">
        <v>0</v>
      </c>
      <c r="BN1630" s="12">
        <v>0</v>
      </c>
      <c r="BO1630" s="12">
        <v>0</v>
      </c>
      <c r="BP1630" s="12">
        <v>0</v>
      </c>
      <c r="BQ1630" s="12">
        <v>0</v>
      </c>
      <c r="BR1630" s="12">
        <v>0</v>
      </c>
      <c r="BS1630" s="12">
        <v>0</v>
      </c>
      <c r="BT1630" s="12">
        <v>0</v>
      </c>
      <c r="BU1630" s="47">
        <v>0</v>
      </c>
      <c r="BV1630" s="47"/>
      <c r="BW1630" s="47"/>
    </row>
    <row r="1631" spans="3:75" ht="20.100000000000001" customHeight="1">
      <c r="C1631" s="18">
        <v>69031004</v>
      </c>
      <c r="D1631" s="19" t="s">
        <v>3762</v>
      </c>
      <c r="E1631" s="19" t="s">
        <v>3079</v>
      </c>
      <c r="F1631" s="18">
        <v>1</v>
      </c>
      <c r="G1631" s="18">
        <v>68000110</v>
      </c>
      <c r="H1631" s="18">
        <v>0</v>
      </c>
      <c r="I1631" s="27">
        <v>0</v>
      </c>
      <c r="J1631" s="15">
        <v>1</v>
      </c>
      <c r="K1631" s="18">
        <v>0</v>
      </c>
      <c r="L1631" s="18">
        <v>0</v>
      </c>
      <c r="M1631" s="18">
        <v>0</v>
      </c>
      <c r="N1631" s="18">
        <v>0</v>
      </c>
      <c r="O1631" s="18">
        <v>2</v>
      </c>
      <c r="P1631" s="18">
        <v>1</v>
      </c>
      <c r="Q1631" s="18">
        <v>0.05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259">
        <v>69000071</v>
      </c>
      <c r="AU1631" s="18" t="s">
        <v>198</v>
      </c>
      <c r="AV1631" s="18"/>
      <c r="AW1631" s="19" t="s">
        <v>199</v>
      </c>
      <c r="AX1631" s="18">
        <v>0</v>
      </c>
      <c r="AY1631" s="18">
        <v>0</v>
      </c>
      <c r="AZ1631" s="18">
        <v>0</v>
      </c>
      <c r="BA1631" s="19" t="s">
        <v>200</v>
      </c>
      <c r="BB1631" s="19" t="s">
        <v>198</v>
      </c>
      <c r="BC1631" s="27">
        <v>0</v>
      </c>
      <c r="BD1631" s="27">
        <v>1</v>
      </c>
      <c r="BE1631" s="42" t="s">
        <v>3763</v>
      </c>
      <c r="BF1631" s="42" t="s">
        <v>3764</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69031005</v>
      </c>
      <c r="D1632" s="19" t="s">
        <v>2744</v>
      </c>
      <c r="E1632" s="19" t="s">
        <v>2745</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3765</v>
      </c>
      <c r="BC1632" s="27">
        <v>0</v>
      </c>
      <c r="BD1632" s="27">
        <v>1</v>
      </c>
      <c r="BE1632" s="19" t="s">
        <v>3766</v>
      </c>
      <c r="BF1632" s="19" t="s">
        <v>3767</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69031006</v>
      </c>
      <c r="D1633" s="19" t="s">
        <v>3768</v>
      </c>
      <c r="E1633" s="19" t="s">
        <v>3769</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3770</v>
      </c>
      <c r="BC1633" s="27">
        <v>0</v>
      </c>
      <c r="BD1633" s="27">
        <v>1</v>
      </c>
      <c r="BE1633" s="19" t="s">
        <v>3771</v>
      </c>
      <c r="BF1633" s="19" t="s">
        <v>3772</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69031007</v>
      </c>
      <c r="D1634" s="19" t="s">
        <v>3773</v>
      </c>
      <c r="E1634" s="19" t="s">
        <v>3774</v>
      </c>
      <c r="F1634" s="18">
        <v>1</v>
      </c>
      <c r="G1634" s="18">
        <v>68000110</v>
      </c>
      <c r="H1634" s="18">
        <v>0</v>
      </c>
      <c r="I1634" s="27">
        <v>0</v>
      </c>
      <c r="J1634" s="15">
        <v>1</v>
      </c>
      <c r="K1634" s="18">
        <v>0</v>
      </c>
      <c r="L1634" s="18">
        <v>0</v>
      </c>
      <c r="M1634" s="18">
        <v>0</v>
      </c>
      <c r="N1634" s="18">
        <v>0</v>
      </c>
      <c r="O1634" s="18">
        <v>2</v>
      </c>
      <c r="P1634" s="18">
        <v>1</v>
      </c>
      <c r="Q1634" s="18">
        <v>0.15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5</v>
      </c>
      <c r="AG1634" s="18">
        <v>0</v>
      </c>
      <c r="AH1634" s="18">
        <v>0</v>
      </c>
      <c r="AI1634" s="12">
        <v>2</v>
      </c>
      <c r="AJ1634" s="12">
        <v>0</v>
      </c>
      <c r="AK1634" s="12">
        <v>0</v>
      </c>
      <c r="AL1634" s="12">
        <v>0</v>
      </c>
      <c r="AM1634" s="18">
        <v>0</v>
      </c>
      <c r="AN1634" s="18">
        <v>0</v>
      </c>
      <c r="AO1634" s="18">
        <v>0</v>
      </c>
      <c r="AP1634" s="18">
        <v>0</v>
      </c>
      <c r="AQ1634" s="18">
        <v>1000</v>
      </c>
      <c r="AR1634" s="18">
        <v>0</v>
      </c>
      <c r="AS1634" s="18">
        <v>0</v>
      </c>
      <c r="AT1634" s="266">
        <v>10001001</v>
      </c>
      <c r="AU1634" s="18" t="s">
        <v>198</v>
      </c>
      <c r="AV1634" s="18"/>
      <c r="AW1634" s="19" t="s">
        <v>199</v>
      </c>
      <c r="AX1634" s="18">
        <v>0</v>
      </c>
      <c r="AY1634" s="18">
        <v>0</v>
      </c>
      <c r="AZ1634" s="18">
        <v>0</v>
      </c>
      <c r="BA1634" s="19" t="s">
        <v>200</v>
      </c>
      <c r="BB1634" s="19" t="s">
        <v>198</v>
      </c>
      <c r="BC1634" s="27">
        <v>0</v>
      </c>
      <c r="BD1634" s="27">
        <v>1</v>
      </c>
      <c r="BE1634" s="87" t="s">
        <v>3775</v>
      </c>
      <c r="BF1634" s="87" t="s">
        <v>3776</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69031008</v>
      </c>
      <c r="D1635" s="19" t="s">
        <v>3777</v>
      </c>
      <c r="E1635" s="19" t="s">
        <v>3778</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3779</v>
      </c>
      <c r="BC1635" s="27">
        <v>0</v>
      </c>
      <c r="BD1635" s="27">
        <v>1</v>
      </c>
      <c r="BE1635" s="19" t="s">
        <v>3780</v>
      </c>
      <c r="BF1635" s="19" t="s">
        <v>3781</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69031009</v>
      </c>
      <c r="D1636" s="19" t="s">
        <v>3762</v>
      </c>
      <c r="E1636" s="19" t="s">
        <v>3079</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3782</v>
      </c>
      <c r="BC1636" s="27">
        <v>0</v>
      </c>
      <c r="BD1636" s="27">
        <v>1</v>
      </c>
      <c r="BE1636" s="19" t="s">
        <v>3783</v>
      </c>
      <c r="BF1636" s="19" t="s">
        <v>3784</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69031010</v>
      </c>
      <c r="D1637" s="19" t="s">
        <v>3785</v>
      </c>
      <c r="E1637" s="19" t="s">
        <v>3786</v>
      </c>
      <c r="F1637" s="18">
        <v>1</v>
      </c>
      <c r="G1637" s="18">
        <v>68000110</v>
      </c>
      <c r="H1637" s="18">
        <v>0</v>
      </c>
      <c r="I1637" s="27">
        <v>0</v>
      </c>
      <c r="J1637" s="15">
        <v>1</v>
      </c>
      <c r="K1637" s="18">
        <v>0</v>
      </c>
      <c r="L1637" s="18">
        <v>0</v>
      </c>
      <c r="M1637" s="18">
        <v>0</v>
      </c>
      <c r="N1637" s="18">
        <v>0</v>
      </c>
      <c r="O1637" s="18">
        <v>2</v>
      </c>
      <c r="P1637" s="18">
        <v>4</v>
      </c>
      <c r="Q1637" s="18">
        <v>0.3</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9">
        <v>69000022</v>
      </c>
      <c r="AU1637" s="18" t="s">
        <v>198</v>
      </c>
      <c r="AV1637" s="18"/>
      <c r="AW1637" s="19" t="s">
        <v>199</v>
      </c>
      <c r="AX1637" s="18">
        <v>0</v>
      </c>
      <c r="AY1637" s="18">
        <v>0</v>
      </c>
      <c r="AZ1637" s="18">
        <v>0</v>
      </c>
      <c r="BA1637" s="19" t="s">
        <v>200</v>
      </c>
      <c r="BB1637" s="19" t="s">
        <v>198</v>
      </c>
      <c r="BC1637" s="27">
        <v>0</v>
      </c>
      <c r="BD1637" s="27">
        <v>1</v>
      </c>
      <c r="BE1637" s="19" t="s">
        <v>3787</v>
      </c>
      <c r="BF1637" s="19" t="s">
        <v>3788</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69032001</v>
      </c>
      <c r="D1638" s="19" t="s">
        <v>3789</v>
      </c>
      <c r="E1638" s="19" t="s">
        <v>3790</v>
      </c>
      <c r="F1638" s="18">
        <v>1</v>
      </c>
      <c r="G1638" s="18">
        <v>68000015</v>
      </c>
      <c r="H1638" s="18">
        <v>0</v>
      </c>
      <c r="I1638" s="27">
        <v>0</v>
      </c>
      <c r="J1638" s="18">
        <v>1</v>
      </c>
      <c r="K1638" s="18">
        <v>0</v>
      </c>
      <c r="L1638" s="18">
        <v>0</v>
      </c>
      <c r="M1638" s="18">
        <v>0</v>
      </c>
      <c r="N1638" s="18">
        <v>0</v>
      </c>
      <c r="O1638" s="18">
        <v>8</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3791</v>
      </c>
      <c r="BC1638" s="27">
        <v>0</v>
      </c>
      <c r="BD1638" s="27">
        <v>1</v>
      </c>
      <c r="BE1638" s="268" t="s">
        <v>3792</v>
      </c>
      <c r="BF1638" s="268" t="s">
        <v>3793</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69032002</v>
      </c>
      <c r="D1639" s="19" t="s">
        <v>3794</v>
      </c>
      <c r="E1639" s="19" t="s">
        <v>3795</v>
      </c>
      <c r="F1639" s="18">
        <v>1</v>
      </c>
      <c r="G1639" s="18">
        <v>68000015</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3796</v>
      </c>
      <c r="BC1639" s="27">
        <v>0</v>
      </c>
      <c r="BD1639" s="27">
        <v>1</v>
      </c>
      <c r="BE1639" s="268" t="s">
        <v>3797</v>
      </c>
      <c r="BF1639" s="268" t="s">
        <v>3798</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69032003</v>
      </c>
      <c r="D1640" s="19" t="s">
        <v>3799</v>
      </c>
      <c r="E1640" s="19" t="s">
        <v>3800</v>
      </c>
      <c r="F1640" s="18">
        <v>1</v>
      </c>
      <c r="G1640" s="18">
        <v>68000015</v>
      </c>
      <c r="H1640" s="18">
        <v>0</v>
      </c>
      <c r="I1640" s="27">
        <v>0</v>
      </c>
      <c r="J1640" s="18">
        <v>1</v>
      </c>
      <c r="K1640" s="18">
        <v>0</v>
      </c>
      <c r="L1640" s="18">
        <v>0</v>
      </c>
      <c r="M1640" s="18">
        <v>0</v>
      </c>
      <c r="N1640" s="18">
        <v>0</v>
      </c>
      <c r="O1640" s="18">
        <v>8</v>
      </c>
      <c r="P1640" s="18">
        <v>0</v>
      </c>
      <c r="Q1640" s="18">
        <v>0</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3801</v>
      </c>
      <c r="BC1640" s="27">
        <v>0</v>
      </c>
      <c r="BD1640" s="27">
        <v>1</v>
      </c>
      <c r="BE1640" s="268" t="s">
        <v>3802</v>
      </c>
      <c r="BF1640" s="268" t="s">
        <v>3803</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69032004</v>
      </c>
      <c r="D1641" s="19" t="s">
        <v>3804</v>
      </c>
      <c r="E1641" s="19" t="s">
        <v>3805</v>
      </c>
      <c r="F1641" s="18">
        <v>1</v>
      </c>
      <c r="G1641" s="18">
        <v>68000110</v>
      </c>
      <c r="H1641" s="18">
        <v>0</v>
      </c>
      <c r="I1641" s="27">
        <v>0</v>
      </c>
      <c r="J1641" s="15">
        <v>1</v>
      </c>
      <c r="K1641" s="18">
        <v>0</v>
      </c>
      <c r="L1641" s="18">
        <v>0</v>
      </c>
      <c r="M1641" s="18">
        <v>0</v>
      </c>
      <c r="N1641" s="18">
        <v>0</v>
      </c>
      <c r="O1641" s="18">
        <v>2</v>
      </c>
      <c r="P1641" s="18">
        <v>3</v>
      </c>
      <c r="Q1641" s="18">
        <v>0.05</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259">
        <v>69000101</v>
      </c>
      <c r="AU1641" s="18" t="s">
        <v>198</v>
      </c>
      <c r="AV1641" s="18"/>
      <c r="AW1641" s="19" t="s">
        <v>199</v>
      </c>
      <c r="AX1641" s="18">
        <v>0</v>
      </c>
      <c r="AY1641" s="18">
        <v>0</v>
      </c>
      <c r="AZ1641" s="18">
        <v>0</v>
      </c>
      <c r="BA1641" s="19" t="s">
        <v>200</v>
      </c>
      <c r="BB1641" s="19" t="s">
        <v>198</v>
      </c>
      <c r="BC1641" s="27">
        <v>0</v>
      </c>
      <c r="BD1641" s="27">
        <v>1</v>
      </c>
      <c r="BE1641" s="87" t="s">
        <v>3806</v>
      </c>
      <c r="BF1641" s="87" t="s">
        <v>3807</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69032005</v>
      </c>
      <c r="D1642" s="13" t="s">
        <v>3808</v>
      </c>
      <c r="E1642" s="13" t="s">
        <v>3809</v>
      </c>
      <c r="F1642" s="18">
        <v>1</v>
      </c>
      <c r="G1642" s="18">
        <v>66001007</v>
      </c>
      <c r="H1642" s="12">
        <v>0</v>
      </c>
      <c r="I1642" s="12">
        <v>0</v>
      </c>
      <c r="J1642" s="18">
        <v>1</v>
      </c>
      <c r="K1642" s="18">
        <v>0</v>
      </c>
      <c r="L1642" s="12">
        <v>0</v>
      </c>
      <c r="M1642" s="12">
        <v>0</v>
      </c>
      <c r="N1642" s="12">
        <v>0</v>
      </c>
      <c r="O1642" s="12">
        <v>2</v>
      </c>
      <c r="P1642" s="12">
        <v>3</v>
      </c>
      <c r="Q1642" s="12">
        <v>0.15</v>
      </c>
      <c r="R1642" s="12">
        <v>0</v>
      </c>
      <c r="S1642" s="12">
        <v>0</v>
      </c>
      <c r="T1642" s="12">
        <v>0</v>
      </c>
      <c r="U1642" s="16">
        <v>1</v>
      </c>
      <c r="V1642" s="12">
        <v>2</v>
      </c>
      <c r="W1642" s="12">
        <v>0</v>
      </c>
      <c r="X1642" s="12">
        <v>0</v>
      </c>
      <c r="Y1642" s="12">
        <v>0</v>
      </c>
      <c r="Z1642" s="12">
        <v>0</v>
      </c>
      <c r="AA1642" s="12">
        <v>0</v>
      </c>
      <c r="AB1642" s="12">
        <v>0</v>
      </c>
      <c r="AC1642" s="12">
        <v>0</v>
      </c>
      <c r="AD1642" s="18">
        <v>1</v>
      </c>
      <c r="AE1642" s="12">
        <v>0</v>
      </c>
      <c r="AF1642" s="12">
        <v>15</v>
      </c>
      <c r="AG1642" s="12">
        <v>0</v>
      </c>
      <c r="AH1642" s="12">
        <v>0</v>
      </c>
      <c r="AI1642" s="12">
        <v>7</v>
      </c>
      <c r="AJ1642" s="12">
        <v>0</v>
      </c>
      <c r="AK1642" s="12">
        <v>0</v>
      </c>
      <c r="AL1642" s="12">
        <v>6</v>
      </c>
      <c r="AM1642" s="12">
        <v>0</v>
      </c>
      <c r="AN1642" s="12">
        <v>0</v>
      </c>
      <c r="AO1642" s="12">
        <v>0</v>
      </c>
      <c r="AP1642" s="12">
        <v>0.5</v>
      </c>
      <c r="AQ1642" s="12">
        <v>1000</v>
      </c>
      <c r="AR1642" s="12">
        <v>0</v>
      </c>
      <c r="AS1642" s="12">
        <v>0</v>
      </c>
      <c r="AT1642" s="259">
        <v>0</v>
      </c>
      <c r="AU1642" s="12">
        <v>69000121</v>
      </c>
      <c r="AV1642" s="12"/>
      <c r="AW1642" s="13" t="s">
        <v>256</v>
      </c>
      <c r="AX1642" s="12" t="s">
        <v>1695</v>
      </c>
      <c r="AY1642" s="12" t="s">
        <v>198</v>
      </c>
      <c r="AZ1642" s="12" t="s">
        <v>1929</v>
      </c>
      <c r="BA1642" s="13" t="s">
        <v>200</v>
      </c>
      <c r="BB1642" s="12">
        <v>0</v>
      </c>
      <c r="BC1642" s="27">
        <v>0</v>
      </c>
      <c r="BD1642" s="27">
        <v>1</v>
      </c>
      <c r="BE1642" s="268" t="s">
        <v>3518</v>
      </c>
      <c r="BF1642" s="268" t="s">
        <v>3810</v>
      </c>
      <c r="BG1642" s="12">
        <v>0</v>
      </c>
      <c r="BH1642" s="16">
        <v>0</v>
      </c>
      <c r="BI1642" s="12">
        <v>0</v>
      </c>
      <c r="BJ1642" s="12">
        <v>0</v>
      </c>
      <c r="BK1642" s="12">
        <v>0</v>
      </c>
      <c r="BL1642" s="12">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69032006</v>
      </c>
      <c r="D1643" s="236" t="s">
        <v>3811</v>
      </c>
      <c r="E1643" s="236" t="s">
        <v>3812</v>
      </c>
      <c r="F1643" s="180">
        <v>1</v>
      </c>
      <c r="G1643" s="180">
        <v>66001007</v>
      </c>
      <c r="H1643" s="180">
        <v>0</v>
      </c>
      <c r="I1643" s="180">
        <v>0</v>
      </c>
      <c r="J1643" s="180">
        <v>1</v>
      </c>
      <c r="K1643" s="180">
        <v>0</v>
      </c>
      <c r="L1643" s="180">
        <v>0</v>
      </c>
      <c r="M1643" s="180">
        <v>0</v>
      </c>
      <c r="N1643" s="180">
        <v>0</v>
      </c>
      <c r="O1643" s="180">
        <v>2</v>
      </c>
      <c r="P1643" s="180">
        <v>2</v>
      </c>
      <c r="Q1643" s="180">
        <v>0.1</v>
      </c>
      <c r="R1643" s="180">
        <v>0</v>
      </c>
      <c r="S1643" s="180">
        <v>0</v>
      </c>
      <c r="T1643" s="180">
        <v>0</v>
      </c>
      <c r="U1643" s="180">
        <v>1</v>
      </c>
      <c r="V1643" s="180">
        <v>2</v>
      </c>
      <c r="W1643" s="180">
        <v>0</v>
      </c>
      <c r="X1643" s="180">
        <v>0</v>
      </c>
      <c r="Y1643" s="12">
        <v>0</v>
      </c>
      <c r="Z1643" s="180">
        <v>0</v>
      </c>
      <c r="AA1643" s="180">
        <v>0</v>
      </c>
      <c r="AB1643" s="180">
        <v>0</v>
      </c>
      <c r="AC1643" s="180">
        <v>0</v>
      </c>
      <c r="AD1643" s="180">
        <v>1</v>
      </c>
      <c r="AE1643" s="180">
        <v>0</v>
      </c>
      <c r="AF1643" s="180">
        <v>15</v>
      </c>
      <c r="AG1643" s="180">
        <v>0</v>
      </c>
      <c r="AH1643" s="180">
        <v>0</v>
      </c>
      <c r="AI1643" s="180">
        <v>7</v>
      </c>
      <c r="AJ1643" s="180">
        <v>0</v>
      </c>
      <c r="AK1643" s="180">
        <v>0</v>
      </c>
      <c r="AL1643" s="180">
        <v>6</v>
      </c>
      <c r="AM1643" s="180">
        <v>0</v>
      </c>
      <c r="AN1643" s="180">
        <v>0</v>
      </c>
      <c r="AO1643" s="180">
        <v>0</v>
      </c>
      <c r="AP1643" s="180">
        <v>0</v>
      </c>
      <c r="AQ1643" s="180">
        <v>1000</v>
      </c>
      <c r="AR1643" s="180">
        <v>0</v>
      </c>
      <c r="AS1643" s="180">
        <v>0</v>
      </c>
      <c r="AT1643" s="267">
        <v>10001003</v>
      </c>
      <c r="AU1643" s="180">
        <v>0</v>
      </c>
      <c r="AV1643" s="180"/>
      <c r="AW1643" s="236" t="s">
        <v>256</v>
      </c>
      <c r="AX1643" s="180" t="s">
        <v>1695</v>
      </c>
      <c r="AY1643" s="180" t="s">
        <v>198</v>
      </c>
      <c r="AZ1643" s="180">
        <v>0</v>
      </c>
      <c r="BA1643" s="236" t="s">
        <v>200</v>
      </c>
      <c r="BB1643" s="180">
        <v>0</v>
      </c>
      <c r="BC1643" s="180">
        <v>0</v>
      </c>
      <c r="BD1643" s="27">
        <v>1</v>
      </c>
      <c r="BE1643" s="269" t="s">
        <v>3813</v>
      </c>
      <c r="BF1643" s="269" t="s">
        <v>3814</v>
      </c>
      <c r="BG1643" s="180">
        <v>0</v>
      </c>
      <c r="BH1643" s="180">
        <v>0</v>
      </c>
      <c r="BI1643" s="180">
        <v>0</v>
      </c>
      <c r="BJ1643" s="180">
        <v>0</v>
      </c>
      <c r="BK1643" s="180">
        <v>0</v>
      </c>
      <c r="BL1643" s="180">
        <v>0</v>
      </c>
      <c r="BM1643" s="245">
        <v>0</v>
      </c>
      <c r="BN1643" s="12">
        <v>1</v>
      </c>
      <c r="BO1643" s="180">
        <v>0</v>
      </c>
      <c r="BP1643" s="180">
        <v>0</v>
      </c>
      <c r="BQ1643" s="180">
        <v>0</v>
      </c>
      <c r="BR1643" s="180">
        <v>0</v>
      </c>
      <c r="BS1643" s="180">
        <v>0</v>
      </c>
      <c r="BT1643" s="12">
        <v>0</v>
      </c>
      <c r="BU1643" s="47">
        <v>0</v>
      </c>
      <c r="BV1643" s="47"/>
      <c r="BW1643" s="47"/>
    </row>
    <row r="1644" spans="3:75" ht="19.5" customHeight="1">
      <c r="C1644" s="18">
        <v>69032007</v>
      </c>
      <c r="D1644" s="19" t="s">
        <v>3815</v>
      </c>
      <c r="E1644" s="19" t="s">
        <v>3816</v>
      </c>
      <c r="F1644" s="16">
        <v>1</v>
      </c>
      <c r="G1644" s="18">
        <v>62021301</v>
      </c>
      <c r="H1644" s="16">
        <v>62021203</v>
      </c>
      <c r="I1644" s="27">
        <v>0</v>
      </c>
      <c r="J1644" s="16">
        <v>32</v>
      </c>
      <c r="K1644" s="16">
        <v>2</v>
      </c>
      <c r="L1644" s="16">
        <v>0</v>
      </c>
      <c r="M1644" s="18">
        <v>0</v>
      </c>
      <c r="N1644" s="18">
        <v>0</v>
      </c>
      <c r="O1644" s="18">
        <v>2</v>
      </c>
      <c r="P1644" s="18">
        <v>14</v>
      </c>
      <c r="Q1644" s="18">
        <v>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3</v>
      </c>
      <c r="AG1644" s="18">
        <v>1</v>
      </c>
      <c r="AH1644" s="18">
        <v>3</v>
      </c>
      <c r="AI1644" s="12">
        <v>2</v>
      </c>
      <c r="AJ1644" s="12">
        <v>2</v>
      </c>
      <c r="AK1644" s="12">
        <v>0</v>
      </c>
      <c r="AL1644" s="12">
        <v>0</v>
      </c>
      <c r="AM1644" s="18">
        <v>0</v>
      </c>
      <c r="AN1644" s="18">
        <v>0</v>
      </c>
      <c r="AO1644" s="18">
        <v>0</v>
      </c>
      <c r="AP1644" s="18">
        <v>0</v>
      </c>
      <c r="AQ1644" s="18">
        <v>2000</v>
      </c>
      <c r="AR1644" s="18">
        <v>0</v>
      </c>
      <c r="AS1644" s="18">
        <v>0</v>
      </c>
      <c r="AT1644" s="12">
        <v>69000141</v>
      </c>
      <c r="AU1644" s="18">
        <v>0</v>
      </c>
      <c r="AV1644" s="18"/>
      <c r="AW1644" s="19" t="s">
        <v>199</v>
      </c>
      <c r="AX1644" s="18" t="s">
        <v>545</v>
      </c>
      <c r="AY1644" s="18">
        <v>0</v>
      </c>
      <c r="AZ1644" s="18">
        <v>0</v>
      </c>
      <c r="BA1644" s="19" t="s">
        <v>200</v>
      </c>
      <c r="BB1644" s="19">
        <v>0</v>
      </c>
      <c r="BC1644" s="27">
        <v>0</v>
      </c>
      <c r="BD1644" s="27">
        <v>0</v>
      </c>
      <c r="BE1644" s="268" t="s">
        <v>3817</v>
      </c>
      <c r="BF1644" s="268" t="s">
        <v>3818</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row>
    <row r="1645" spans="3:75" ht="20.100000000000001" customHeight="1">
      <c r="C1645" s="18">
        <v>69032008</v>
      </c>
      <c r="D1645" s="19" t="s">
        <v>3819</v>
      </c>
      <c r="E1645" s="19" t="s">
        <v>3820</v>
      </c>
      <c r="F1645" s="18">
        <v>1</v>
      </c>
      <c r="G1645" s="18">
        <v>68000002</v>
      </c>
      <c r="H1645" s="18">
        <v>0</v>
      </c>
      <c r="I1645" s="27">
        <v>0</v>
      </c>
      <c r="J1645" s="18">
        <v>1</v>
      </c>
      <c r="K1645" s="18">
        <v>0</v>
      </c>
      <c r="L1645" s="18">
        <v>0</v>
      </c>
      <c r="M1645" s="18">
        <v>0</v>
      </c>
      <c r="N1645" s="18">
        <v>0</v>
      </c>
      <c r="O1645" s="18">
        <v>2</v>
      </c>
      <c r="P1645" s="18">
        <v>0</v>
      </c>
      <c r="Q1645" s="18">
        <v>0</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0</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v>0</v>
      </c>
      <c r="AU1645" s="18" t="s">
        <v>198</v>
      </c>
      <c r="AV1645" s="18"/>
      <c r="AW1645" s="19" t="s">
        <v>199</v>
      </c>
      <c r="AX1645" s="18">
        <v>0</v>
      </c>
      <c r="AY1645" s="18">
        <v>0</v>
      </c>
      <c r="AZ1645" s="18">
        <v>0</v>
      </c>
      <c r="BA1645" s="19" t="s">
        <v>200</v>
      </c>
      <c r="BB1645" s="19" t="s">
        <v>3821</v>
      </c>
      <c r="BC1645" s="27">
        <v>0</v>
      </c>
      <c r="BD1645" s="27">
        <v>1</v>
      </c>
      <c r="BE1645" s="87" t="s">
        <v>3822</v>
      </c>
      <c r="BF1645" s="87" t="s">
        <v>3823</v>
      </c>
      <c r="BG1645" s="18">
        <v>0</v>
      </c>
      <c r="BH1645" s="16">
        <v>0</v>
      </c>
      <c r="BI1645" s="18">
        <v>0</v>
      </c>
      <c r="BJ1645" s="18">
        <v>0</v>
      </c>
      <c r="BK1645" s="18">
        <v>0</v>
      </c>
      <c r="BL1645" s="18">
        <v>0</v>
      </c>
      <c r="BM1645" s="15">
        <v>0</v>
      </c>
      <c r="BN1645" s="12">
        <v>1</v>
      </c>
      <c r="BO1645" s="12">
        <v>0</v>
      </c>
      <c r="BP1645" s="12">
        <v>0</v>
      </c>
      <c r="BQ1645" s="12">
        <v>0</v>
      </c>
      <c r="BR1645" s="12">
        <v>0</v>
      </c>
      <c r="BS1645" s="12">
        <v>0</v>
      </c>
      <c r="BT1645" s="12">
        <v>0</v>
      </c>
      <c r="BU1645" s="47">
        <v>0</v>
      </c>
      <c r="BV1645" s="47"/>
      <c r="BW1645" s="47"/>
    </row>
    <row r="1646" spans="3:75" ht="20.100000000000001" customHeight="1">
      <c r="C1646" s="18">
        <v>69032009</v>
      </c>
      <c r="D1646" s="19" t="s">
        <v>3824</v>
      </c>
      <c r="E1646" s="19" t="s">
        <v>3825</v>
      </c>
      <c r="F1646" s="18">
        <v>1</v>
      </c>
      <c r="G1646" s="18">
        <v>68000002</v>
      </c>
      <c r="H1646" s="18">
        <v>0</v>
      </c>
      <c r="I1646" s="27">
        <v>0</v>
      </c>
      <c r="J1646" s="18">
        <v>1</v>
      </c>
      <c r="K1646" s="18">
        <v>0</v>
      </c>
      <c r="L1646" s="18">
        <v>0</v>
      </c>
      <c r="M1646" s="18">
        <v>0</v>
      </c>
      <c r="N1646" s="18">
        <v>0</v>
      </c>
      <c r="O1646" s="18">
        <v>8</v>
      </c>
      <c r="P1646" s="18">
        <v>0</v>
      </c>
      <c r="Q1646" s="18">
        <v>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0</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v>0</v>
      </c>
      <c r="AU1646" s="18" t="s">
        <v>198</v>
      </c>
      <c r="AV1646" s="18"/>
      <c r="AW1646" s="19" t="s">
        <v>199</v>
      </c>
      <c r="AX1646" s="18">
        <v>0</v>
      </c>
      <c r="AY1646" s="18">
        <v>0</v>
      </c>
      <c r="AZ1646" s="18">
        <v>0</v>
      </c>
      <c r="BA1646" s="19" t="s">
        <v>200</v>
      </c>
      <c r="BB1646" s="19" t="s">
        <v>3826</v>
      </c>
      <c r="BC1646" s="27">
        <v>0</v>
      </c>
      <c r="BD1646" s="27">
        <v>1</v>
      </c>
      <c r="BE1646" s="87" t="s">
        <v>3827</v>
      </c>
      <c r="BF1646" s="87" t="s">
        <v>3828</v>
      </c>
      <c r="BG1646" s="18">
        <v>0</v>
      </c>
      <c r="BH1646" s="16">
        <v>0</v>
      </c>
      <c r="BI1646" s="18">
        <v>0</v>
      </c>
      <c r="BJ1646" s="18">
        <v>0</v>
      </c>
      <c r="BK1646" s="18">
        <v>0</v>
      </c>
      <c r="BL1646" s="18">
        <v>0</v>
      </c>
      <c r="BM1646" s="15">
        <v>0</v>
      </c>
      <c r="BN1646" s="12">
        <v>1</v>
      </c>
      <c r="BO1646" s="12">
        <v>0</v>
      </c>
      <c r="BP1646" s="12">
        <v>0</v>
      </c>
      <c r="BQ1646" s="12">
        <v>0</v>
      </c>
      <c r="BR1646" s="12">
        <v>0</v>
      </c>
      <c r="BS1646" s="12">
        <v>0</v>
      </c>
      <c r="BT1646" s="12">
        <v>0</v>
      </c>
      <c r="BU1646" s="47">
        <v>0</v>
      </c>
      <c r="BV1646" s="47"/>
      <c r="BW1646" s="47"/>
    </row>
    <row r="1647" spans="3:75" ht="20.100000000000001" customHeight="1">
      <c r="C1647" s="18">
        <v>69032010</v>
      </c>
      <c r="D1647" s="19" t="s">
        <v>3829</v>
      </c>
      <c r="E1647" s="19" t="s">
        <v>3830</v>
      </c>
      <c r="F1647" s="18">
        <v>1</v>
      </c>
      <c r="G1647" s="18">
        <v>68000002</v>
      </c>
      <c r="H1647" s="18">
        <v>0</v>
      </c>
      <c r="I1647" s="27">
        <v>0</v>
      </c>
      <c r="J1647" s="18">
        <v>1</v>
      </c>
      <c r="K1647" s="18">
        <v>0</v>
      </c>
      <c r="L1647" s="18">
        <v>0</v>
      </c>
      <c r="M1647" s="18">
        <v>0</v>
      </c>
      <c r="N1647" s="18">
        <v>0</v>
      </c>
      <c r="O1647" s="18">
        <v>2</v>
      </c>
      <c r="P1647" s="18">
        <v>5</v>
      </c>
      <c r="Q1647" s="18">
        <v>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0</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v>10001002</v>
      </c>
      <c r="AU1647" s="18" t="s">
        <v>198</v>
      </c>
      <c r="AV1647" s="18"/>
      <c r="AW1647" s="19" t="s">
        <v>199</v>
      </c>
      <c r="AX1647" s="18">
        <v>0</v>
      </c>
      <c r="AY1647" s="18">
        <v>0</v>
      </c>
      <c r="AZ1647" s="18">
        <v>0</v>
      </c>
      <c r="BA1647" s="19" t="s">
        <v>200</v>
      </c>
      <c r="BB1647" s="19" t="s">
        <v>198</v>
      </c>
      <c r="BC1647" s="27">
        <v>0</v>
      </c>
      <c r="BD1647" s="27">
        <v>1</v>
      </c>
      <c r="BE1647" s="87" t="s">
        <v>3831</v>
      </c>
      <c r="BF1647" s="87" t="s">
        <v>3832</v>
      </c>
      <c r="BG1647" s="18">
        <v>0</v>
      </c>
      <c r="BH1647" s="16">
        <v>0</v>
      </c>
      <c r="BI1647" s="18">
        <v>0</v>
      </c>
      <c r="BJ1647" s="18">
        <v>0</v>
      </c>
      <c r="BK1647" s="18">
        <v>0</v>
      </c>
      <c r="BL1647" s="18">
        <v>0</v>
      </c>
      <c r="BM1647" s="15">
        <v>0</v>
      </c>
      <c r="BN1647" s="12">
        <v>1</v>
      </c>
      <c r="BO1647" s="12">
        <v>0</v>
      </c>
      <c r="BP1647" s="12">
        <v>0</v>
      </c>
      <c r="BQ1647" s="12">
        <v>0</v>
      </c>
      <c r="BR1647" s="12">
        <v>0</v>
      </c>
      <c r="BS1647" s="12">
        <v>0</v>
      </c>
      <c r="BT1647" s="12">
        <v>0</v>
      </c>
      <c r="BU1647" s="47">
        <v>0</v>
      </c>
      <c r="BV1647" s="47"/>
      <c r="BW1647" s="47"/>
    </row>
    <row r="1648" spans="3:75" ht="20.100000000000001" customHeight="1">
      <c r="C1648" s="18">
        <v>69033101</v>
      </c>
      <c r="D1648" s="19" t="s">
        <v>3833</v>
      </c>
      <c r="E1648" s="19" t="s">
        <v>3834</v>
      </c>
      <c r="F1648" s="18">
        <v>1</v>
      </c>
      <c r="G1648" s="18">
        <v>68000015</v>
      </c>
      <c r="H1648" s="18">
        <v>0</v>
      </c>
      <c r="I1648" s="27">
        <v>0</v>
      </c>
      <c r="J1648" s="18">
        <v>1</v>
      </c>
      <c r="K1648" s="18">
        <v>0</v>
      </c>
      <c r="L1648" s="18">
        <v>0</v>
      </c>
      <c r="M1648" s="18">
        <v>0</v>
      </c>
      <c r="N1648" s="18">
        <v>0</v>
      </c>
      <c r="O1648" s="18">
        <v>5</v>
      </c>
      <c r="P1648" s="18">
        <v>11</v>
      </c>
      <c r="Q1648" s="18">
        <v>200001</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200001</v>
      </c>
      <c r="BD1648" s="27">
        <v>1</v>
      </c>
      <c r="BE1648" s="19" t="s">
        <v>3835</v>
      </c>
      <c r="BF1648" s="19" t="s">
        <v>3836</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69033102</v>
      </c>
      <c r="D1649" s="19" t="s">
        <v>3833</v>
      </c>
      <c r="E1649" s="19" t="s">
        <v>3834</v>
      </c>
      <c r="F1649" s="18">
        <v>1</v>
      </c>
      <c r="G1649" s="18">
        <v>68000015</v>
      </c>
      <c r="H1649" s="18">
        <v>0</v>
      </c>
      <c r="I1649" s="27">
        <v>0</v>
      </c>
      <c r="J1649" s="18">
        <v>1</v>
      </c>
      <c r="K1649" s="18">
        <v>0</v>
      </c>
      <c r="L1649" s="18">
        <v>0</v>
      </c>
      <c r="M1649" s="18">
        <v>0</v>
      </c>
      <c r="N1649" s="18">
        <v>0</v>
      </c>
      <c r="O1649" s="18">
        <v>5</v>
      </c>
      <c r="P1649" s="18">
        <v>11</v>
      </c>
      <c r="Q1649" s="18">
        <v>200002</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200002</v>
      </c>
      <c r="BD1649" s="27">
        <v>1</v>
      </c>
      <c r="BE1649" s="19" t="s">
        <v>3837</v>
      </c>
      <c r="BF1649" s="19" t="s">
        <v>3838</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69033103</v>
      </c>
      <c r="D1650" s="19" t="s">
        <v>3833</v>
      </c>
      <c r="E1650" s="19" t="s">
        <v>3834</v>
      </c>
      <c r="F1650" s="18">
        <v>1</v>
      </c>
      <c r="G1650" s="18">
        <v>68000015</v>
      </c>
      <c r="H1650" s="18">
        <v>0</v>
      </c>
      <c r="I1650" s="27">
        <v>0</v>
      </c>
      <c r="J1650" s="18">
        <v>1</v>
      </c>
      <c r="K1650" s="18">
        <v>0</v>
      </c>
      <c r="L1650" s="18">
        <v>0</v>
      </c>
      <c r="M1650" s="18">
        <v>0</v>
      </c>
      <c r="N1650" s="18">
        <v>0</v>
      </c>
      <c r="O1650" s="18">
        <v>5</v>
      </c>
      <c r="P1650" s="18">
        <v>11</v>
      </c>
      <c r="Q1650" s="18">
        <v>200003</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200003</v>
      </c>
      <c r="BD1650" s="27">
        <v>1</v>
      </c>
      <c r="BE1650" s="19" t="s">
        <v>3839</v>
      </c>
      <c r="BF1650" s="19" t="s">
        <v>3840</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69033104</v>
      </c>
      <c r="D1651" s="19" t="s">
        <v>3833</v>
      </c>
      <c r="E1651" s="19" t="s">
        <v>3834</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200005</v>
      </c>
      <c r="BD1651" s="27">
        <v>1</v>
      </c>
      <c r="BE1651" s="19" t="s">
        <v>3841</v>
      </c>
      <c r="BF1651" s="19" t="s">
        <v>3842</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69033105</v>
      </c>
      <c r="D1652" s="19" t="s">
        <v>3833</v>
      </c>
      <c r="E1652" s="19" t="s">
        <v>3834</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3843</v>
      </c>
      <c r="BF1652" s="19" t="s">
        <v>3844</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69033106</v>
      </c>
      <c r="D1653" s="19" t="s">
        <v>3833</v>
      </c>
      <c r="E1653" s="19" t="s">
        <v>3834</v>
      </c>
      <c r="F1653" s="18">
        <v>1</v>
      </c>
      <c r="G1653" s="18">
        <v>68000015</v>
      </c>
      <c r="H1653" s="18">
        <v>0</v>
      </c>
      <c r="I1653" s="27">
        <v>0</v>
      </c>
      <c r="J1653" s="18">
        <v>1</v>
      </c>
      <c r="K1653" s="18">
        <v>0</v>
      </c>
      <c r="L1653" s="18">
        <v>0</v>
      </c>
      <c r="M1653" s="18">
        <v>0</v>
      </c>
      <c r="N1653" s="18">
        <v>0</v>
      </c>
      <c r="O1653" s="18">
        <v>5</v>
      </c>
      <c r="P1653" s="18">
        <v>11</v>
      </c>
      <c r="Q1653" s="18">
        <v>200008</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200008</v>
      </c>
      <c r="BD1653" s="27">
        <v>1</v>
      </c>
      <c r="BE1653" s="19" t="s">
        <v>3845</v>
      </c>
      <c r="BF1653" s="19" t="s">
        <v>3846</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69033201</v>
      </c>
      <c r="D1654" s="19" t="s">
        <v>3833</v>
      </c>
      <c r="E1654" s="19" t="s">
        <v>3834</v>
      </c>
      <c r="F1654" s="18">
        <v>1</v>
      </c>
      <c r="G1654" s="18">
        <v>68000015</v>
      </c>
      <c r="H1654" s="18">
        <v>0</v>
      </c>
      <c r="I1654" s="27">
        <v>0</v>
      </c>
      <c r="J1654" s="18">
        <v>1</v>
      </c>
      <c r="K1654" s="18">
        <v>0</v>
      </c>
      <c r="L1654" s="18">
        <v>0</v>
      </c>
      <c r="M1654" s="18">
        <v>0</v>
      </c>
      <c r="N1654" s="18">
        <v>0</v>
      </c>
      <c r="O1654" s="18">
        <v>5</v>
      </c>
      <c r="P1654" s="18">
        <v>11</v>
      </c>
      <c r="Q1654" s="18">
        <v>200002</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200014</v>
      </c>
      <c r="BD1654" s="27">
        <v>1</v>
      </c>
      <c r="BE1654" s="19" t="s">
        <v>3847</v>
      </c>
      <c r="BF1654" s="19" t="s">
        <v>3848</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69033202</v>
      </c>
      <c r="D1655" s="19" t="s">
        <v>3833</v>
      </c>
      <c r="E1655" s="19" t="s">
        <v>3834</v>
      </c>
      <c r="F1655" s="18">
        <v>1</v>
      </c>
      <c r="G1655" s="18">
        <v>68000015</v>
      </c>
      <c r="H1655" s="18">
        <v>0</v>
      </c>
      <c r="I1655" s="27">
        <v>0</v>
      </c>
      <c r="J1655" s="18">
        <v>1</v>
      </c>
      <c r="K1655" s="18">
        <v>0</v>
      </c>
      <c r="L1655" s="18">
        <v>0</v>
      </c>
      <c r="M1655" s="18">
        <v>0</v>
      </c>
      <c r="N1655" s="18">
        <v>0</v>
      </c>
      <c r="O1655" s="18">
        <v>5</v>
      </c>
      <c r="P1655" s="18">
        <v>11</v>
      </c>
      <c r="Q1655" s="18">
        <v>200005</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200013</v>
      </c>
      <c r="BD1655" s="27">
        <v>1</v>
      </c>
      <c r="BE1655" s="19" t="s">
        <v>3849</v>
      </c>
      <c r="BF1655" s="19" t="s">
        <v>3850</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69033203</v>
      </c>
      <c r="D1656" s="19" t="s">
        <v>3833</v>
      </c>
      <c r="E1656" s="19" t="s">
        <v>3834</v>
      </c>
      <c r="F1656" s="18">
        <v>1</v>
      </c>
      <c r="G1656" s="18">
        <v>68000015</v>
      </c>
      <c r="H1656" s="18">
        <v>0</v>
      </c>
      <c r="I1656" s="27">
        <v>0</v>
      </c>
      <c r="J1656" s="18">
        <v>1</v>
      </c>
      <c r="K1656" s="18">
        <v>0</v>
      </c>
      <c r="L1656" s="18">
        <v>0</v>
      </c>
      <c r="M1656" s="18">
        <v>0</v>
      </c>
      <c r="N1656" s="18">
        <v>0</v>
      </c>
      <c r="O1656" s="18">
        <v>5</v>
      </c>
      <c r="P1656" s="18">
        <v>11</v>
      </c>
      <c r="Q1656" s="18">
        <v>200007</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198</v>
      </c>
      <c r="BC1656" s="18">
        <v>200007</v>
      </c>
      <c r="BD1656" s="27">
        <v>1</v>
      </c>
      <c r="BE1656" s="19" t="s">
        <v>3851</v>
      </c>
      <c r="BF1656" s="19" t="s">
        <v>3852</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69033204</v>
      </c>
      <c r="D1657" s="19" t="s">
        <v>3833</v>
      </c>
      <c r="E1657" s="19" t="s">
        <v>3834</v>
      </c>
      <c r="F1657" s="18">
        <v>1</v>
      </c>
      <c r="G1657" s="18">
        <v>68000015</v>
      </c>
      <c r="H1657" s="18">
        <v>0</v>
      </c>
      <c r="I1657" s="27">
        <v>0</v>
      </c>
      <c r="J1657" s="18">
        <v>1</v>
      </c>
      <c r="K1657" s="18">
        <v>0</v>
      </c>
      <c r="L1657" s="18">
        <v>0</v>
      </c>
      <c r="M1657" s="18">
        <v>0</v>
      </c>
      <c r="N1657" s="18">
        <v>0</v>
      </c>
      <c r="O1657" s="18">
        <v>5</v>
      </c>
      <c r="P1657" s="18">
        <v>11</v>
      </c>
      <c r="Q1657" s="18">
        <v>200010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198</v>
      </c>
      <c r="BC1657" s="18">
        <v>200010</v>
      </c>
      <c r="BD1657" s="27">
        <v>1</v>
      </c>
      <c r="BE1657" s="19" t="s">
        <v>3853</v>
      </c>
      <c r="BF1657" s="19" t="s">
        <v>3854</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69033205</v>
      </c>
      <c r="D1658" s="19" t="s">
        <v>3833</v>
      </c>
      <c r="E1658" s="19" t="s">
        <v>3834</v>
      </c>
      <c r="F1658" s="18">
        <v>1</v>
      </c>
      <c r="G1658" s="18">
        <v>68000015</v>
      </c>
      <c r="H1658" s="18">
        <v>0</v>
      </c>
      <c r="I1658" s="27">
        <v>0</v>
      </c>
      <c r="J1658" s="18">
        <v>1</v>
      </c>
      <c r="K1658" s="18">
        <v>0</v>
      </c>
      <c r="L1658" s="18">
        <v>0</v>
      </c>
      <c r="M1658" s="18">
        <v>0</v>
      </c>
      <c r="N1658" s="18">
        <v>0</v>
      </c>
      <c r="O1658" s="18">
        <v>5</v>
      </c>
      <c r="P1658" s="18">
        <v>11</v>
      </c>
      <c r="Q1658" s="18">
        <v>200011</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198</v>
      </c>
      <c r="BC1658" s="18">
        <v>200011</v>
      </c>
      <c r="BD1658" s="27">
        <v>1</v>
      </c>
      <c r="BE1658" s="19" t="s">
        <v>3855</v>
      </c>
      <c r="BF1658" s="19" t="s">
        <v>3856</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69033206</v>
      </c>
      <c r="D1659" s="19" t="s">
        <v>3833</v>
      </c>
      <c r="E1659" s="19" t="s">
        <v>3834</v>
      </c>
      <c r="F1659" s="18">
        <v>1</v>
      </c>
      <c r="G1659" s="18">
        <v>68000015</v>
      </c>
      <c r="H1659" s="18">
        <v>0</v>
      </c>
      <c r="I1659" s="27">
        <v>0</v>
      </c>
      <c r="J1659" s="18">
        <v>1</v>
      </c>
      <c r="K1659" s="18">
        <v>0</v>
      </c>
      <c r="L1659" s="18">
        <v>0</v>
      </c>
      <c r="M1659" s="18">
        <v>0</v>
      </c>
      <c r="N1659" s="18">
        <v>0</v>
      </c>
      <c r="O1659" s="18">
        <v>5</v>
      </c>
      <c r="P1659" s="18">
        <v>11</v>
      </c>
      <c r="Q1659" s="18">
        <v>200012</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198</v>
      </c>
      <c r="BC1659" s="18">
        <v>200012</v>
      </c>
      <c r="BD1659" s="27">
        <v>1</v>
      </c>
      <c r="BE1659" s="19" t="s">
        <v>3857</v>
      </c>
      <c r="BF1659" s="19" t="s">
        <v>3858</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69041001</v>
      </c>
      <c r="D1660" s="19" t="s">
        <v>2790</v>
      </c>
      <c r="E1660" s="19" t="s">
        <v>2791</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3859</v>
      </c>
      <c r="BC1660" s="27">
        <v>0</v>
      </c>
      <c r="BD1660" s="27">
        <v>1</v>
      </c>
      <c r="BE1660" s="270" t="s">
        <v>3860</v>
      </c>
      <c r="BF1660" s="270" t="s">
        <v>3861</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69041002</v>
      </c>
      <c r="D1661" s="19" t="s">
        <v>3862</v>
      </c>
      <c r="E1661" s="19" t="s">
        <v>3863</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3864</v>
      </c>
      <c r="BC1661" s="27">
        <v>0</v>
      </c>
      <c r="BD1661" s="27">
        <v>1</v>
      </c>
      <c r="BE1661" s="270" t="s">
        <v>3865</v>
      </c>
      <c r="BF1661" s="270" t="s">
        <v>3866</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69041003</v>
      </c>
      <c r="D1662" s="19" t="s">
        <v>3867</v>
      </c>
      <c r="E1662" s="19" t="s">
        <v>3868</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9" t="s">
        <v>3869</v>
      </c>
      <c r="BC1662" s="27">
        <v>0</v>
      </c>
      <c r="BD1662" s="27">
        <v>1</v>
      </c>
      <c r="BE1662" s="270" t="s">
        <v>3870</v>
      </c>
      <c r="BF1662" s="270" t="s">
        <v>3871</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69041004</v>
      </c>
      <c r="D1663" s="19" t="s">
        <v>3872</v>
      </c>
      <c r="E1663" s="19" t="s">
        <v>3873</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198</v>
      </c>
      <c r="AV1663" s="18"/>
      <c r="AW1663" s="19" t="s">
        <v>199</v>
      </c>
      <c r="AX1663" s="18">
        <v>0</v>
      </c>
      <c r="AY1663" s="18">
        <v>0</v>
      </c>
      <c r="AZ1663" s="18">
        <v>0</v>
      </c>
      <c r="BA1663" s="19" t="s">
        <v>200</v>
      </c>
      <c r="BB1663" s="19" t="s">
        <v>3874</v>
      </c>
      <c r="BC1663" s="27">
        <v>0</v>
      </c>
      <c r="BD1663" s="27">
        <v>1</v>
      </c>
      <c r="BE1663" s="270" t="s">
        <v>3875</v>
      </c>
      <c r="BF1663" s="270" t="s">
        <v>3876</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69041005</v>
      </c>
      <c r="D1664" s="19" t="s">
        <v>3877</v>
      </c>
      <c r="E1664" s="19" t="s">
        <v>3878</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198</v>
      </c>
      <c r="AV1664" s="18"/>
      <c r="AW1664" s="19" t="s">
        <v>199</v>
      </c>
      <c r="AX1664" s="18">
        <v>0</v>
      </c>
      <c r="AY1664" s="18">
        <v>0</v>
      </c>
      <c r="AZ1664" s="18">
        <v>0</v>
      </c>
      <c r="BA1664" s="19" t="s">
        <v>200</v>
      </c>
      <c r="BB1664" s="19" t="s">
        <v>3879</v>
      </c>
      <c r="BC1664" s="27">
        <v>0</v>
      </c>
      <c r="BD1664" s="27">
        <v>1</v>
      </c>
      <c r="BE1664" s="270" t="s">
        <v>3880</v>
      </c>
      <c r="BF1664" s="270" t="s">
        <v>3881</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69041006</v>
      </c>
      <c r="D1665" s="19" t="s">
        <v>3882</v>
      </c>
      <c r="E1665" s="19" t="s">
        <v>3883</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198</v>
      </c>
      <c r="AV1665" s="18"/>
      <c r="AW1665" s="19" t="s">
        <v>199</v>
      </c>
      <c r="AX1665" s="18">
        <v>0</v>
      </c>
      <c r="AY1665" s="18">
        <v>0</v>
      </c>
      <c r="AZ1665" s="18">
        <v>0</v>
      </c>
      <c r="BA1665" s="19" t="s">
        <v>200</v>
      </c>
      <c r="BB1665" s="19" t="s">
        <v>3884</v>
      </c>
      <c r="BC1665" s="27">
        <v>0</v>
      </c>
      <c r="BD1665" s="27">
        <v>1</v>
      </c>
      <c r="BE1665" s="270" t="s">
        <v>3885</v>
      </c>
      <c r="BF1665" s="270" t="s">
        <v>3886</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69041007</v>
      </c>
      <c r="D1666" s="19" t="s">
        <v>3887</v>
      </c>
      <c r="E1666" s="19" t="s">
        <v>3888</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198</v>
      </c>
      <c r="AV1666" s="18"/>
      <c r="AW1666" s="19" t="s">
        <v>199</v>
      </c>
      <c r="AX1666" s="18">
        <v>0</v>
      </c>
      <c r="AY1666" s="18">
        <v>0</v>
      </c>
      <c r="AZ1666" s="18">
        <v>0</v>
      </c>
      <c r="BA1666" s="19" t="s">
        <v>200</v>
      </c>
      <c r="BB1666" s="16" t="s">
        <v>3376</v>
      </c>
      <c r="BC1666" s="27">
        <v>0</v>
      </c>
      <c r="BD1666" s="27">
        <v>1</v>
      </c>
      <c r="BE1666" s="270" t="s">
        <v>3377</v>
      </c>
      <c r="BF1666" s="270" t="s">
        <v>3889</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69051001</v>
      </c>
      <c r="D1667" s="255" t="s">
        <v>598</v>
      </c>
      <c r="E1667" s="255" t="s">
        <v>1162</v>
      </c>
      <c r="F1667" s="74">
        <v>1</v>
      </c>
      <c r="G1667" s="74">
        <v>61011101</v>
      </c>
      <c r="H1667" s="72">
        <v>0</v>
      </c>
      <c r="I1667" s="72">
        <v>0</v>
      </c>
      <c r="J1667" s="74">
        <v>1</v>
      </c>
      <c r="K1667" s="74">
        <v>0</v>
      </c>
      <c r="L1667" s="72">
        <v>0</v>
      </c>
      <c r="M1667" s="72">
        <v>0</v>
      </c>
      <c r="N1667" s="72" t="s">
        <v>3890</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5">
        <v>0</v>
      </c>
      <c r="AX1667" s="72">
        <v>0</v>
      </c>
      <c r="AY1667" s="72">
        <v>0</v>
      </c>
      <c r="AZ1667" s="72">
        <v>0</v>
      </c>
      <c r="BA1667" s="13" t="s">
        <v>200</v>
      </c>
      <c r="BB1667" s="72">
        <v>0</v>
      </c>
      <c r="BC1667" s="263">
        <v>0</v>
      </c>
      <c r="BD1667" s="27">
        <v>1</v>
      </c>
      <c r="BE1667" s="255" t="s">
        <v>3891</v>
      </c>
      <c r="BF1667" s="255" t="s">
        <v>3892</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69051002</v>
      </c>
      <c r="D1668" s="255" t="s">
        <v>532</v>
      </c>
      <c r="E1668" s="255" t="s">
        <v>255</v>
      </c>
      <c r="F1668" s="74">
        <v>1</v>
      </c>
      <c r="G1668" s="74">
        <v>61011201</v>
      </c>
      <c r="H1668" s="72">
        <v>0</v>
      </c>
      <c r="I1668" s="72">
        <v>0</v>
      </c>
      <c r="J1668" s="74">
        <v>1</v>
      </c>
      <c r="K1668" s="74">
        <v>0</v>
      </c>
      <c r="L1668" s="72">
        <v>0</v>
      </c>
      <c r="M1668" s="72">
        <v>0</v>
      </c>
      <c r="N1668" s="72" t="s">
        <v>3893</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5">
        <v>0</v>
      </c>
      <c r="AX1668" s="72">
        <v>0</v>
      </c>
      <c r="AY1668" s="72">
        <v>0</v>
      </c>
      <c r="AZ1668" s="72">
        <v>0</v>
      </c>
      <c r="BA1668" s="13" t="s">
        <v>200</v>
      </c>
      <c r="BB1668" s="72">
        <v>0</v>
      </c>
      <c r="BC1668" s="263">
        <v>0</v>
      </c>
      <c r="BD1668" s="27">
        <v>1</v>
      </c>
      <c r="BE1668" s="255" t="s">
        <v>3894</v>
      </c>
      <c r="BF1668" s="255" t="s">
        <v>3895</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69051003</v>
      </c>
      <c r="D1669" s="255" t="s">
        <v>1369</v>
      </c>
      <c r="E1669" s="255" t="s">
        <v>1488</v>
      </c>
      <c r="F1669" s="74">
        <v>1</v>
      </c>
      <c r="G1669" s="74">
        <v>61011301</v>
      </c>
      <c r="H1669" s="72">
        <v>0</v>
      </c>
      <c r="I1669" s="72">
        <v>0</v>
      </c>
      <c r="J1669" s="74">
        <v>1</v>
      </c>
      <c r="K1669" s="74">
        <v>0</v>
      </c>
      <c r="L1669" s="72">
        <v>0</v>
      </c>
      <c r="M1669" s="72">
        <v>0</v>
      </c>
      <c r="N1669" s="72" t="s">
        <v>3896</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5">
        <v>0</v>
      </c>
      <c r="AX1669" s="72">
        <v>0</v>
      </c>
      <c r="AY1669" s="72">
        <v>0</v>
      </c>
      <c r="AZ1669" s="72">
        <v>0</v>
      </c>
      <c r="BA1669" s="13" t="s">
        <v>200</v>
      </c>
      <c r="BB1669" s="72">
        <v>0</v>
      </c>
      <c r="BC1669" s="263">
        <v>0</v>
      </c>
      <c r="BD1669" s="27">
        <v>1</v>
      </c>
      <c r="BE1669" s="255" t="s">
        <v>3897</v>
      </c>
      <c r="BF1669" s="255" t="s">
        <v>3898</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69051011</v>
      </c>
      <c r="D1670" s="255" t="s">
        <v>3899</v>
      </c>
      <c r="E1670" s="255" t="s">
        <v>3900</v>
      </c>
      <c r="F1670" s="74">
        <v>1</v>
      </c>
      <c r="G1670" s="74">
        <v>61021401</v>
      </c>
      <c r="H1670" s="72">
        <v>0</v>
      </c>
      <c r="I1670" s="72">
        <v>0</v>
      </c>
      <c r="J1670" s="74">
        <v>1</v>
      </c>
      <c r="K1670" s="74">
        <v>0</v>
      </c>
      <c r="L1670" s="72">
        <v>0</v>
      </c>
      <c r="M1670" s="72">
        <v>0</v>
      </c>
      <c r="N1670" s="72" t="s">
        <v>3555</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5">
        <v>0</v>
      </c>
      <c r="AX1670" s="72">
        <v>0</v>
      </c>
      <c r="AY1670" s="72">
        <v>0</v>
      </c>
      <c r="AZ1670" s="72">
        <v>0</v>
      </c>
      <c r="BA1670" s="13" t="s">
        <v>200</v>
      </c>
      <c r="BB1670" s="72">
        <v>0</v>
      </c>
      <c r="BC1670" s="263">
        <v>0</v>
      </c>
      <c r="BD1670" s="27">
        <v>1</v>
      </c>
      <c r="BE1670" s="255" t="s">
        <v>3553</v>
      </c>
      <c r="BF1670" s="255" t="s">
        <v>3901</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69051012</v>
      </c>
      <c r="D1671" s="255" t="s">
        <v>3902</v>
      </c>
      <c r="E1671" s="255" t="s">
        <v>3903</v>
      </c>
      <c r="F1671" s="74">
        <v>1</v>
      </c>
      <c r="G1671" s="74">
        <v>61021201</v>
      </c>
      <c r="H1671" s="72">
        <v>0</v>
      </c>
      <c r="I1671" s="72">
        <v>0</v>
      </c>
      <c r="J1671" s="74">
        <v>1</v>
      </c>
      <c r="K1671" s="74">
        <v>0</v>
      </c>
      <c r="L1671" s="72">
        <v>0</v>
      </c>
      <c r="M1671" s="72">
        <v>0</v>
      </c>
      <c r="N1671" s="72" t="s">
        <v>3558</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5">
        <v>0</v>
      </c>
      <c r="AX1671" s="72">
        <v>0</v>
      </c>
      <c r="AY1671" s="72">
        <v>0</v>
      </c>
      <c r="AZ1671" s="72">
        <v>0</v>
      </c>
      <c r="BA1671" s="13" t="s">
        <v>200</v>
      </c>
      <c r="BB1671" s="72">
        <v>0</v>
      </c>
      <c r="BC1671" s="263">
        <v>0</v>
      </c>
      <c r="BD1671" s="27">
        <v>1</v>
      </c>
      <c r="BE1671" s="255" t="s">
        <v>3556</v>
      </c>
      <c r="BF1671" s="255" t="s">
        <v>3904</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69051013</v>
      </c>
      <c r="D1672" s="255" t="s">
        <v>3905</v>
      </c>
      <c r="E1672" s="255" t="s">
        <v>3906</v>
      </c>
      <c r="F1672" s="74">
        <v>1</v>
      </c>
      <c r="G1672" s="74">
        <v>61021301</v>
      </c>
      <c r="H1672" s="72">
        <v>0</v>
      </c>
      <c r="I1672" s="72">
        <v>0</v>
      </c>
      <c r="J1672" s="74">
        <v>1</v>
      </c>
      <c r="K1672" s="74">
        <v>0</v>
      </c>
      <c r="L1672" s="72">
        <v>0</v>
      </c>
      <c r="M1672" s="72">
        <v>0</v>
      </c>
      <c r="N1672" s="72" t="s">
        <v>3561</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5">
        <v>0</v>
      </c>
      <c r="AX1672" s="72">
        <v>0</v>
      </c>
      <c r="AY1672" s="72">
        <v>0</v>
      </c>
      <c r="AZ1672" s="72">
        <v>0</v>
      </c>
      <c r="BA1672" s="13" t="s">
        <v>200</v>
      </c>
      <c r="BB1672" s="72">
        <v>0</v>
      </c>
      <c r="BC1672" s="263">
        <v>0</v>
      </c>
      <c r="BD1672" s="27">
        <v>1</v>
      </c>
      <c r="BE1672" s="255" t="s">
        <v>3559</v>
      </c>
      <c r="BF1672" s="255" t="s">
        <v>3907</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69051014</v>
      </c>
      <c r="D1673" s="255" t="s">
        <v>3908</v>
      </c>
      <c r="E1673" s="255" t="s">
        <v>3909</v>
      </c>
      <c r="F1673" s="74">
        <v>1</v>
      </c>
      <c r="G1673" s="74">
        <v>61021402</v>
      </c>
      <c r="H1673" s="72">
        <v>0</v>
      </c>
      <c r="I1673" s="72">
        <v>0</v>
      </c>
      <c r="J1673" s="74">
        <v>1</v>
      </c>
      <c r="K1673" s="74">
        <v>0</v>
      </c>
      <c r="L1673" s="72">
        <v>0</v>
      </c>
      <c r="M1673" s="72">
        <v>0</v>
      </c>
      <c r="N1673" s="72" t="s">
        <v>3564</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5">
        <v>0</v>
      </c>
      <c r="AX1673" s="72">
        <v>0</v>
      </c>
      <c r="AY1673" s="72">
        <v>0</v>
      </c>
      <c r="AZ1673" s="72">
        <v>0</v>
      </c>
      <c r="BA1673" s="13" t="s">
        <v>200</v>
      </c>
      <c r="BB1673" s="72">
        <v>0</v>
      </c>
      <c r="BC1673" s="263">
        <v>0</v>
      </c>
      <c r="BD1673" s="27">
        <v>1</v>
      </c>
      <c r="BE1673" s="255" t="s">
        <v>3562</v>
      </c>
      <c r="BF1673" s="255" t="s">
        <v>3910</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69051021</v>
      </c>
      <c r="D1674" s="255" t="s">
        <v>3911</v>
      </c>
      <c r="E1674" s="255" t="s">
        <v>558</v>
      </c>
      <c r="F1674" s="74">
        <v>1</v>
      </c>
      <c r="G1674" s="74">
        <v>61022101</v>
      </c>
      <c r="H1674" s="72">
        <v>0</v>
      </c>
      <c r="I1674" s="72">
        <v>0</v>
      </c>
      <c r="J1674" s="74">
        <v>1</v>
      </c>
      <c r="K1674" s="74">
        <v>0</v>
      </c>
      <c r="L1674" s="72">
        <v>0</v>
      </c>
      <c r="M1674" s="72">
        <v>0</v>
      </c>
      <c r="N1674" s="72" t="s">
        <v>3567</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5">
        <v>0</v>
      </c>
      <c r="AX1674" s="72">
        <v>0</v>
      </c>
      <c r="AY1674" s="72">
        <v>0</v>
      </c>
      <c r="AZ1674" s="72">
        <v>0</v>
      </c>
      <c r="BA1674" s="13" t="s">
        <v>200</v>
      </c>
      <c r="BB1674" s="72">
        <v>0</v>
      </c>
      <c r="BC1674" s="263">
        <v>0</v>
      </c>
      <c r="BD1674" s="27">
        <v>1</v>
      </c>
      <c r="BE1674" s="255" t="s">
        <v>3565</v>
      </c>
      <c r="BF1674" s="255" t="s">
        <v>3912</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69051022</v>
      </c>
      <c r="D1675" s="255" t="s">
        <v>3913</v>
      </c>
      <c r="E1675" s="255" t="s">
        <v>3914</v>
      </c>
      <c r="F1675" s="74">
        <v>1</v>
      </c>
      <c r="G1675" s="74">
        <v>61022201</v>
      </c>
      <c r="H1675" s="72">
        <v>0</v>
      </c>
      <c r="I1675" s="72">
        <v>0</v>
      </c>
      <c r="J1675" s="74">
        <v>1</v>
      </c>
      <c r="K1675" s="74">
        <v>0</v>
      </c>
      <c r="L1675" s="72">
        <v>0</v>
      </c>
      <c r="M1675" s="72">
        <v>0</v>
      </c>
      <c r="N1675" s="72" t="s">
        <v>3570</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5">
        <v>0</v>
      </c>
      <c r="AX1675" s="72">
        <v>0</v>
      </c>
      <c r="AY1675" s="72">
        <v>0</v>
      </c>
      <c r="AZ1675" s="72">
        <v>0</v>
      </c>
      <c r="BA1675" s="13" t="s">
        <v>200</v>
      </c>
      <c r="BB1675" s="72">
        <v>0</v>
      </c>
      <c r="BC1675" s="263">
        <v>0</v>
      </c>
      <c r="BD1675" s="27">
        <v>1</v>
      </c>
      <c r="BE1675" s="255" t="s">
        <v>3568</v>
      </c>
      <c r="BF1675" s="255" t="s">
        <v>3915</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69051023</v>
      </c>
      <c r="D1676" s="255" t="s">
        <v>3916</v>
      </c>
      <c r="E1676" s="255" t="s">
        <v>1611</v>
      </c>
      <c r="F1676" s="74">
        <v>1</v>
      </c>
      <c r="G1676" s="74">
        <v>61022301</v>
      </c>
      <c r="H1676" s="72">
        <v>0</v>
      </c>
      <c r="I1676" s="72">
        <v>0</v>
      </c>
      <c r="J1676" s="74">
        <v>1</v>
      </c>
      <c r="K1676" s="74">
        <v>0</v>
      </c>
      <c r="L1676" s="72">
        <v>0</v>
      </c>
      <c r="M1676" s="72">
        <v>0</v>
      </c>
      <c r="N1676" s="72" t="s">
        <v>3573</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5">
        <v>0</v>
      </c>
      <c r="AX1676" s="72">
        <v>0</v>
      </c>
      <c r="AY1676" s="72">
        <v>0</v>
      </c>
      <c r="AZ1676" s="72">
        <v>0</v>
      </c>
      <c r="BA1676" s="13" t="s">
        <v>200</v>
      </c>
      <c r="BB1676" s="72">
        <v>0</v>
      </c>
      <c r="BC1676" s="263">
        <v>0</v>
      </c>
      <c r="BD1676" s="27">
        <v>1</v>
      </c>
      <c r="BE1676" s="255" t="s">
        <v>3571</v>
      </c>
      <c r="BF1676" s="255" t="s">
        <v>3917</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69051024</v>
      </c>
      <c r="D1677" s="255" t="s">
        <v>3918</v>
      </c>
      <c r="E1677" s="255" t="s">
        <v>1581</v>
      </c>
      <c r="F1677" s="74">
        <v>1</v>
      </c>
      <c r="G1677" s="74">
        <v>61022401</v>
      </c>
      <c r="H1677" s="72">
        <v>0</v>
      </c>
      <c r="I1677" s="72">
        <v>0</v>
      </c>
      <c r="J1677" s="74">
        <v>1</v>
      </c>
      <c r="K1677" s="74">
        <v>0</v>
      </c>
      <c r="L1677" s="72">
        <v>0</v>
      </c>
      <c r="M1677" s="72">
        <v>0</v>
      </c>
      <c r="N1677" s="72" t="s">
        <v>3576</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5">
        <v>0</v>
      </c>
      <c r="AX1677" s="72">
        <v>0</v>
      </c>
      <c r="AY1677" s="72">
        <v>0</v>
      </c>
      <c r="AZ1677" s="72">
        <v>0</v>
      </c>
      <c r="BA1677" s="13" t="s">
        <v>200</v>
      </c>
      <c r="BB1677" s="72">
        <v>0</v>
      </c>
      <c r="BC1677" s="263">
        <v>0</v>
      </c>
      <c r="BD1677" s="27">
        <v>1</v>
      </c>
      <c r="BE1677" s="255" t="s">
        <v>3574</v>
      </c>
      <c r="BF1677" s="255" t="s">
        <v>3919</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69051031</v>
      </c>
      <c r="D1678" s="255" t="s">
        <v>3920</v>
      </c>
      <c r="E1678" s="255" t="s">
        <v>1638</v>
      </c>
      <c r="F1678" s="74">
        <v>1</v>
      </c>
      <c r="G1678" s="74">
        <v>61023101</v>
      </c>
      <c r="H1678" s="72">
        <v>0</v>
      </c>
      <c r="I1678" s="72">
        <v>0</v>
      </c>
      <c r="J1678" s="74">
        <v>1</v>
      </c>
      <c r="K1678" s="74">
        <v>0</v>
      </c>
      <c r="L1678" s="72">
        <v>0</v>
      </c>
      <c r="M1678" s="72">
        <v>0</v>
      </c>
      <c r="N1678" s="72" t="s">
        <v>3579</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5">
        <v>0</v>
      </c>
      <c r="AX1678" s="72">
        <v>0</v>
      </c>
      <c r="AY1678" s="72">
        <v>0</v>
      </c>
      <c r="AZ1678" s="72">
        <v>0</v>
      </c>
      <c r="BA1678" s="13" t="s">
        <v>200</v>
      </c>
      <c r="BB1678" s="72">
        <v>0</v>
      </c>
      <c r="BC1678" s="263">
        <v>0</v>
      </c>
      <c r="BD1678" s="27">
        <v>1</v>
      </c>
      <c r="BE1678" s="255" t="s">
        <v>3577</v>
      </c>
      <c r="BF1678" s="255" t="s">
        <v>3921</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69051032</v>
      </c>
      <c r="D1679" s="255" t="s">
        <v>3922</v>
      </c>
      <c r="E1679" s="255" t="s">
        <v>1646</v>
      </c>
      <c r="F1679" s="74">
        <v>1</v>
      </c>
      <c r="G1679" s="74">
        <v>61023201</v>
      </c>
      <c r="H1679" s="72">
        <v>0</v>
      </c>
      <c r="I1679" s="72">
        <v>0</v>
      </c>
      <c r="J1679" s="74">
        <v>1</v>
      </c>
      <c r="K1679" s="74">
        <v>0</v>
      </c>
      <c r="L1679" s="72">
        <v>0</v>
      </c>
      <c r="M1679" s="72">
        <v>0</v>
      </c>
      <c r="N1679" s="72" t="s">
        <v>3582</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5">
        <v>0</v>
      </c>
      <c r="AX1679" s="72">
        <v>0</v>
      </c>
      <c r="AY1679" s="72">
        <v>0</v>
      </c>
      <c r="AZ1679" s="72">
        <v>0</v>
      </c>
      <c r="BA1679" s="13" t="s">
        <v>200</v>
      </c>
      <c r="BB1679" s="72">
        <v>0</v>
      </c>
      <c r="BC1679" s="263">
        <v>0</v>
      </c>
      <c r="BD1679" s="27">
        <v>1</v>
      </c>
      <c r="BE1679" s="255" t="s">
        <v>3580</v>
      </c>
      <c r="BF1679" s="255" t="s">
        <v>3923</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69051033</v>
      </c>
      <c r="D1680" s="255" t="s">
        <v>3924</v>
      </c>
      <c r="E1680" s="255" t="s">
        <v>1667</v>
      </c>
      <c r="F1680" s="74">
        <v>1</v>
      </c>
      <c r="G1680" s="74">
        <v>61023301</v>
      </c>
      <c r="H1680" s="72">
        <v>0</v>
      </c>
      <c r="I1680" s="72">
        <v>0</v>
      </c>
      <c r="J1680" s="74">
        <v>1</v>
      </c>
      <c r="K1680" s="74">
        <v>0</v>
      </c>
      <c r="L1680" s="72">
        <v>0</v>
      </c>
      <c r="M1680" s="72">
        <v>0</v>
      </c>
      <c r="N1680" s="72" t="s">
        <v>3585</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5">
        <v>0</v>
      </c>
      <c r="AX1680" s="72">
        <v>0</v>
      </c>
      <c r="AY1680" s="72">
        <v>0</v>
      </c>
      <c r="AZ1680" s="72">
        <v>0</v>
      </c>
      <c r="BA1680" s="13" t="s">
        <v>200</v>
      </c>
      <c r="BB1680" s="72">
        <v>0</v>
      </c>
      <c r="BC1680" s="263">
        <v>0</v>
      </c>
      <c r="BD1680" s="27">
        <v>1</v>
      </c>
      <c r="BE1680" s="255" t="s">
        <v>3583</v>
      </c>
      <c r="BF1680" s="255" t="s">
        <v>3925</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69051034</v>
      </c>
      <c r="D1681" s="255" t="s">
        <v>3926</v>
      </c>
      <c r="E1681" s="255" t="s">
        <v>3927</v>
      </c>
      <c r="F1681" s="74">
        <v>1</v>
      </c>
      <c r="G1681" s="74">
        <v>61023401</v>
      </c>
      <c r="H1681" s="72">
        <v>0</v>
      </c>
      <c r="I1681" s="72">
        <v>0</v>
      </c>
      <c r="J1681" s="74">
        <v>1</v>
      </c>
      <c r="K1681" s="74">
        <v>0</v>
      </c>
      <c r="L1681" s="72">
        <v>0</v>
      </c>
      <c r="M1681" s="72">
        <v>0</v>
      </c>
      <c r="N1681" s="72" t="s">
        <v>3588</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5">
        <v>0</v>
      </c>
      <c r="AX1681" s="72">
        <v>0</v>
      </c>
      <c r="AY1681" s="72">
        <v>0</v>
      </c>
      <c r="AZ1681" s="72">
        <v>0</v>
      </c>
      <c r="BA1681" s="13" t="s">
        <v>200</v>
      </c>
      <c r="BB1681" s="72">
        <v>0</v>
      </c>
      <c r="BC1681" s="263">
        <v>0</v>
      </c>
      <c r="BD1681" s="27">
        <v>1</v>
      </c>
      <c r="BE1681" s="255" t="s">
        <v>3586</v>
      </c>
      <c r="BF1681" s="255" t="s">
        <v>3928</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69052001</v>
      </c>
      <c r="D1682" s="255" t="s">
        <v>3929</v>
      </c>
      <c r="E1682" s="255" t="s">
        <v>1694</v>
      </c>
      <c r="F1682" s="74">
        <v>1</v>
      </c>
      <c r="G1682" s="74">
        <v>62011101</v>
      </c>
      <c r="H1682" s="72">
        <v>0</v>
      </c>
      <c r="I1682" s="72">
        <v>0</v>
      </c>
      <c r="J1682" s="74">
        <v>1</v>
      </c>
      <c r="K1682" s="74">
        <v>0</v>
      </c>
      <c r="L1682" s="72">
        <v>0</v>
      </c>
      <c r="M1682" s="72">
        <v>0</v>
      </c>
      <c r="N1682" s="72" t="s">
        <v>3930</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5">
        <v>0</v>
      </c>
      <c r="AX1682" s="72">
        <v>0</v>
      </c>
      <c r="AY1682" s="72">
        <v>0</v>
      </c>
      <c r="AZ1682" s="72">
        <v>0</v>
      </c>
      <c r="BA1682" s="13" t="s">
        <v>200</v>
      </c>
      <c r="BB1682" s="72">
        <v>0</v>
      </c>
      <c r="BC1682" s="263">
        <v>0</v>
      </c>
      <c r="BD1682" s="27">
        <v>1</v>
      </c>
      <c r="BE1682" s="255" t="s">
        <v>3931</v>
      </c>
      <c r="BF1682" s="255" t="s">
        <v>3932</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69052002</v>
      </c>
      <c r="D1683" s="255" t="s">
        <v>3933</v>
      </c>
      <c r="E1683" s="255" t="s">
        <v>1702</v>
      </c>
      <c r="F1683" s="74">
        <v>1</v>
      </c>
      <c r="G1683" s="74">
        <v>62011201</v>
      </c>
      <c r="H1683" s="72">
        <v>0</v>
      </c>
      <c r="I1683" s="72">
        <v>0</v>
      </c>
      <c r="J1683" s="74">
        <v>1</v>
      </c>
      <c r="K1683" s="74">
        <v>0</v>
      </c>
      <c r="L1683" s="72">
        <v>0</v>
      </c>
      <c r="M1683" s="72">
        <v>0</v>
      </c>
      <c r="N1683" s="72" t="s">
        <v>3934</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5">
        <v>0</v>
      </c>
      <c r="AX1683" s="72">
        <v>0</v>
      </c>
      <c r="AY1683" s="72">
        <v>0</v>
      </c>
      <c r="AZ1683" s="72">
        <v>0</v>
      </c>
      <c r="BA1683" s="13" t="s">
        <v>200</v>
      </c>
      <c r="BB1683" s="72">
        <v>0</v>
      </c>
      <c r="BC1683" s="263">
        <v>0</v>
      </c>
      <c r="BD1683" s="27">
        <v>1</v>
      </c>
      <c r="BE1683" s="255" t="s">
        <v>3935</v>
      </c>
      <c r="BF1683" s="255" t="s">
        <v>3936</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69052003</v>
      </c>
      <c r="D1684" s="255" t="s">
        <v>3937</v>
      </c>
      <c r="E1684" s="255" t="s">
        <v>1709</v>
      </c>
      <c r="F1684" s="74">
        <v>1</v>
      </c>
      <c r="G1684" s="74">
        <v>62011301</v>
      </c>
      <c r="H1684" s="72">
        <v>0</v>
      </c>
      <c r="I1684" s="72">
        <v>0</v>
      </c>
      <c r="J1684" s="74">
        <v>1</v>
      </c>
      <c r="K1684" s="74">
        <v>0</v>
      </c>
      <c r="L1684" s="72">
        <v>0</v>
      </c>
      <c r="M1684" s="72">
        <v>0</v>
      </c>
      <c r="N1684" s="72" t="s">
        <v>3938</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5">
        <v>0</v>
      </c>
      <c r="AX1684" s="72">
        <v>0</v>
      </c>
      <c r="AY1684" s="72">
        <v>0</v>
      </c>
      <c r="AZ1684" s="72">
        <v>0</v>
      </c>
      <c r="BA1684" s="13" t="s">
        <v>200</v>
      </c>
      <c r="BB1684" s="72">
        <v>0</v>
      </c>
      <c r="BC1684" s="263">
        <v>0</v>
      </c>
      <c r="BD1684" s="27">
        <v>1</v>
      </c>
      <c r="BE1684" s="255" t="s">
        <v>3939</v>
      </c>
      <c r="BF1684" s="255" t="s">
        <v>3940</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69052011</v>
      </c>
      <c r="D1685" s="255" t="s">
        <v>3941</v>
      </c>
      <c r="E1685" s="255" t="s">
        <v>1521</v>
      </c>
      <c r="F1685" s="74">
        <v>1</v>
      </c>
      <c r="G1685" s="74">
        <v>61021101</v>
      </c>
      <c r="H1685" s="72">
        <v>0</v>
      </c>
      <c r="I1685" s="72">
        <v>0</v>
      </c>
      <c r="J1685" s="74">
        <v>1</v>
      </c>
      <c r="K1685" s="74">
        <v>0</v>
      </c>
      <c r="L1685" s="72">
        <v>0</v>
      </c>
      <c r="M1685" s="72">
        <v>0</v>
      </c>
      <c r="N1685" s="72" t="s">
        <v>3606</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5">
        <v>0</v>
      </c>
      <c r="AX1685" s="72">
        <v>0</v>
      </c>
      <c r="AY1685" s="72">
        <v>0</v>
      </c>
      <c r="AZ1685" s="72">
        <v>0</v>
      </c>
      <c r="BA1685" s="13" t="s">
        <v>200</v>
      </c>
      <c r="BB1685" s="72">
        <v>0</v>
      </c>
      <c r="BC1685" s="263">
        <v>0</v>
      </c>
      <c r="BD1685" s="27">
        <v>1</v>
      </c>
      <c r="BE1685" s="255" t="s">
        <v>3604</v>
      </c>
      <c r="BF1685" s="255" t="s">
        <v>3942</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69052012</v>
      </c>
      <c r="D1686" s="255" t="s">
        <v>3943</v>
      </c>
      <c r="E1686" s="255" t="s">
        <v>1325</v>
      </c>
      <c r="F1686" s="74">
        <v>1</v>
      </c>
      <c r="G1686" s="74">
        <v>62021301</v>
      </c>
      <c r="H1686" s="72">
        <v>0</v>
      </c>
      <c r="I1686" s="72">
        <v>0</v>
      </c>
      <c r="J1686" s="74">
        <v>1</v>
      </c>
      <c r="K1686" s="74">
        <v>0</v>
      </c>
      <c r="L1686" s="72">
        <v>0</v>
      </c>
      <c r="M1686" s="72">
        <v>0</v>
      </c>
      <c r="N1686" s="72" t="s">
        <v>3609</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5">
        <v>0</v>
      </c>
      <c r="AX1686" s="72">
        <v>0</v>
      </c>
      <c r="AY1686" s="72">
        <v>0</v>
      </c>
      <c r="AZ1686" s="72">
        <v>0</v>
      </c>
      <c r="BA1686" s="13" t="s">
        <v>200</v>
      </c>
      <c r="BB1686" s="72">
        <v>0</v>
      </c>
      <c r="BC1686" s="263">
        <v>0</v>
      </c>
      <c r="BD1686" s="27">
        <v>1</v>
      </c>
      <c r="BE1686" s="255" t="s">
        <v>3607</v>
      </c>
      <c r="BF1686" s="255" t="s">
        <v>3944</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69052013</v>
      </c>
      <c r="D1687" s="255" t="s">
        <v>3945</v>
      </c>
      <c r="E1687" s="255" t="s">
        <v>368</v>
      </c>
      <c r="F1687" s="74">
        <v>1</v>
      </c>
      <c r="G1687" s="74">
        <v>62021401</v>
      </c>
      <c r="H1687" s="72">
        <v>0</v>
      </c>
      <c r="I1687" s="72">
        <v>0</v>
      </c>
      <c r="J1687" s="74">
        <v>1</v>
      </c>
      <c r="K1687" s="74">
        <v>0</v>
      </c>
      <c r="L1687" s="72">
        <v>0</v>
      </c>
      <c r="M1687" s="72">
        <v>0</v>
      </c>
      <c r="N1687" s="72" t="s">
        <v>3612</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5">
        <v>0</v>
      </c>
      <c r="AX1687" s="72">
        <v>0</v>
      </c>
      <c r="AY1687" s="72">
        <v>0</v>
      </c>
      <c r="AZ1687" s="72">
        <v>0</v>
      </c>
      <c r="BA1687" s="13" t="s">
        <v>200</v>
      </c>
      <c r="BB1687" s="72">
        <v>0</v>
      </c>
      <c r="BC1687" s="263">
        <v>0</v>
      </c>
      <c r="BD1687" s="27">
        <v>1</v>
      </c>
      <c r="BE1687" s="255" t="s">
        <v>3610</v>
      </c>
      <c r="BF1687" s="255" t="s">
        <v>3946</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69052014</v>
      </c>
      <c r="D1688" s="255" t="s">
        <v>3947</v>
      </c>
      <c r="E1688" s="255" t="s">
        <v>3948</v>
      </c>
      <c r="F1688" s="74">
        <v>1</v>
      </c>
      <c r="G1688" s="74">
        <v>62021501</v>
      </c>
      <c r="H1688" s="72">
        <v>0</v>
      </c>
      <c r="I1688" s="72">
        <v>0</v>
      </c>
      <c r="J1688" s="74">
        <v>1</v>
      </c>
      <c r="K1688" s="74">
        <v>0</v>
      </c>
      <c r="L1688" s="72">
        <v>0</v>
      </c>
      <c r="M1688" s="72">
        <v>0</v>
      </c>
      <c r="N1688" s="72" t="s">
        <v>3615</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5">
        <v>0</v>
      </c>
      <c r="AX1688" s="72">
        <v>0</v>
      </c>
      <c r="AY1688" s="72">
        <v>0</v>
      </c>
      <c r="AZ1688" s="72">
        <v>0</v>
      </c>
      <c r="BA1688" s="13" t="s">
        <v>200</v>
      </c>
      <c r="BB1688" s="72">
        <v>0</v>
      </c>
      <c r="BC1688" s="263">
        <v>0</v>
      </c>
      <c r="BD1688" s="27">
        <v>1</v>
      </c>
      <c r="BE1688" s="255" t="s">
        <v>3613</v>
      </c>
      <c r="BF1688" s="255" t="s">
        <v>3949</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69052021</v>
      </c>
      <c r="D1689" s="255" t="s">
        <v>3950</v>
      </c>
      <c r="E1689" s="255" t="s">
        <v>3951</v>
      </c>
      <c r="F1689" s="74">
        <v>1</v>
      </c>
      <c r="G1689" s="74">
        <v>62022101</v>
      </c>
      <c r="H1689" s="72">
        <v>0</v>
      </c>
      <c r="I1689" s="72">
        <v>0</v>
      </c>
      <c r="J1689" s="74">
        <v>1</v>
      </c>
      <c r="K1689" s="74">
        <v>0</v>
      </c>
      <c r="L1689" s="72">
        <v>0</v>
      </c>
      <c r="M1689" s="72">
        <v>0</v>
      </c>
      <c r="N1689" s="72" t="s">
        <v>3618</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5">
        <v>0</v>
      </c>
      <c r="AX1689" s="72">
        <v>0</v>
      </c>
      <c r="AY1689" s="72">
        <v>0</v>
      </c>
      <c r="AZ1689" s="72">
        <v>0</v>
      </c>
      <c r="BA1689" s="13" t="s">
        <v>200</v>
      </c>
      <c r="BB1689" s="72">
        <v>0</v>
      </c>
      <c r="BC1689" s="263">
        <v>0</v>
      </c>
      <c r="BD1689" s="27">
        <v>1</v>
      </c>
      <c r="BE1689" s="255" t="s">
        <v>3616</v>
      </c>
      <c r="BF1689" s="255" t="s">
        <v>3952</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69052022</v>
      </c>
      <c r="D1690" s="255" t="s">
        <v>3953</v>
      </c>
      <c r="E1690" s="255" t="s">
        <v>3954</v>
      </c>
      <c r="F1690" s="74">
        <v>1</v>
      </c>
      <c r="G1690" s="74">
        <v>62022201</v>
      </c>
      <c r="H1690" s="72">
        <v>0</v>
      </c>
      <c r="I1690" s="72">
        <v>0</v>
      </c>
      <c r="J1690" s="74">
        <v>1</v>
      </c>
      <c r="K1690" s="74">
        <v>0</v>
      </c>
      <c r="L1690" s="72">
        <v>0</v>
      </c>
      <c r="M1690" s="72">
        <v>0</v>
      </c>
      <c r="N1690" s="72" t="s">
        <v>3621</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5">
        <v>0</v>
      </c>
      <c r="AX1690" s="72">
        <v>0</v>
      </c>
      <c r="AY1690" s="72">
        <v>0</v>
      </c>
      <c r="AZ1690" s="72">
        <v>0</v>
      </c>
      <c r="BA1690" s="13" t="s">
        <v>200</v>
      </c>
      <c r="BB1690" s="72">
        <v>0</v>
      </c>
      <c r="BC1690" s="263">
        <v>0</v>
      </c>
      <c r="BD1690" s="27">
        <v>1</v>
      </c>
      <c r="BE1690" s="255" t="s">
        <v>3619</v>
      </c>
      <c r="BF1690" s="255" t="s">
        <v>3955</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69052023</v>
      </c>
      <c r="D1691" s="255" t="s">
        <v>3956</v>
      </c>
      <c r="E1691" s="255" t="s">
        <v>1811</v>
      </c>
      <c r="F1691" s="74">
        <v>1</v>
      </c>
      <c r="G1691" s="74">
        <v>62022301</v>
      </c>
      <c r="H1691" s="72">
        <v>0</v>
      </c>
      <c r="I1691" s="72">
        <v>0</v>
      </c>
      <c r="J1691" s="74">
        <v>1</v>
      </c>
      <c r="K1691" s="74">
        <v>0</v>
      </c>
      <c r="L1691" s="72">
        <v>0</v>
      </c>
      <c r="M1691" s="72">
        <v>0</v>
      </c>
      <c r="N1691" s="72" t="s">
        <v>3624</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5">
        <v>0</v>
      </c>
      <c r="AX1691" s="72">
        <v>0</v>
      </c>
      <c r="AY1691" s="72">
        <v>0</v>
      </c>
      <c r="AZ1691" s="72">
        <v>0</v>
      </c>
      <c r="BA1691" s="13" t="s">
        <v>200</v>
      </c>
      <c r="BB1691" s="72">
        <v>0</v>
      </c>
      <c r="BC1691" s="263">
        <v>0</v>
      </c>
      <c r="BD1691" s="27">
        <v>1</v>
      </c>
      <c r="BE1691" s="255" t="s">
        <v>3622</v>
      </c>
      <c r="BF1691" s="255" t="s">
        <v>3957</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69052024</v>
      </c>
      <c r="D1692" s="255" t="s">
        <v>3958</v>
      </c>
      <c r="E1692" s="255" t="s">
        <v>3959</v>
      </c>
      <c r="F1692" s="74">
        <v>1</v>
      </c>
      <c r="G1692" s="74">
        <v>62022401</v>
      </c>
      <c r="H1692" s="72">
        <v>0</v>
      </c>
      <c r="I1692" s="72">
        <v>0</v>
      </c>
      <c r="J1692" s="74">
        <v>1</v>
      </c>
      <c r="K1692" s="74">
        <v>0</v>
      </c>
      <c r="L1692" s="72">
        <v>0</v>
      </c>
      <c r="M1692" s="72">
        <v>0</v>
      </c>
      <c r="N1692" s="72" t="s">
        <v>3627</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5">
        <v>0</v>
      </c>
      <c r="AX1692" s="72">
        <v>0</v>
      </c>
      <c r="AY1692" s="72">
        <v>0</v>
      </c>
      <c r="AZ1692" s="72">
        <v>0</v>
      </c>
      <c r="BA1692" s="13" t="s">
        <v>200</v>
      </c>
      <c r="BB1692" s="72">
        <v>0</v>
      </c>
      <c r="BC1692" s="263">
        <v>0</v>
      </c>
      <c r="BD1692" s="27">
        <v>1</v>
      </c>
      <c r="BE1692" s="255" t="s">
        <v>3625</v>
      </c>
      <c r="BF1692" s="255" t="s">
        <v>3960</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8">
        <v>69052031</v>
      </c>
      <c r="D1693" s="255" t="s">
        <v>3961</v>
      </c>
      <c r="E1693" s="255" t="s">
        <v>341</v>
      </c>
      <c r="F1693" s="74">
        <v>1</v>
      </c>
      <c r="G1693" s="74">
        <v>62021101</v>
      </c>
      <c r="H1693" s="72">
        <v>0</v>
      </c>
      <c r="I1693" s="72">
        <v>0</v>
      </c>
      <c r="J1693" s="74">
        <v>1</v>
      </c>
      <c r="K1693" s="74">
        <v>0</v>
      </c>
      <c r="L1693" s="72">
        <v>0</v>
      </c>
      <c r="M1693" s="72">
        <v>0</v>
      </c>
      <c r="N1693" s="72" t="s">
        <v>3630</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1">
        <v>0</v>
      </c>
      <c r="AU1693" s="72">
        <v>0</v>
      </c>
      <c r="AV1693" s="72"/>
      <c r="AW1693" s="255">
        <v>0</v>
      </c>
      <c r="AX1693" s="72">
        <v>0</v>
      </c>
      <c r="AY1693" s="72">
        <v>0</v>
      </c>
      <c r="AZ1693" s="72">
        <v>0</v>
      </c>
      <c r="BA1693" s="13" t="s">
        <v>200</v>
      </c>
      <c r="BB1693" s="72">
        <v>0</v>
      </c>
      <c r="BC1693" s="263">
        <v>0</v>
      </c>
      <c r="BD1693" s="27">
        <v>1</v>
      </c>
      <c r="BE1693" s="255" t="s">
        <v>3628</v>
      </c>
      <c r="BF1693" s="255" t="s">
        <v>3962</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row>
    <row r="1694" spans="3:75" ht="20.100000000000001" customHeight="1">
      <c r="C1694" s="18">
        <v>69052032</v>
      </c>
      <c r="D1694" s="255" t="s">
        <v>3963</v>
      </c>
      <c r="E1694" s="255" t="s">
        <v>3964</v>
      </c>
      <c r="F1694" s="74">
        <v>1</v>
      </c>
      <c r="G1694" s="74">
        <v>62023201</v>
      </c>
      <c r="H1694" s="72">
        <v>0</v>
      </c>
      <c r="I1694" s="72">
        <v>0</v>
      </c>
      <c r="J1694" s="74">
        <v>1</v>
      </c>
      <c r="K1694" s="74">
        <v>0</v>
      </c>
      <c r="L1694" s="72">
        <v>0</v>
      </c>
      <c r="M1694" s="72">
        <v>0</v>
      </c>
      <c r="N1694" s="72" t="s">
        <v>3633</v>
      </c>
      <c r="O1694" s="72">
        <v>3</v>
      </c>
      <c r="P1694" s="72">
        <v>0</v>
      </c>
      <c r="Q1694" s="72">
        <v>0</v>
      </c>
      <c r="R1694" s="72">
        <v>0</v>
      </c>
      <c r="S1694" s="12">
        <v>0</v>
      </c>
      <c r="T1694" s="72">
        <v>0</v>
      </c>
      <c r="U1694" s="16">
        <v>1</v>
      </c>
      <c r="V1694" s="72">
        <v>0</v>
      </c>
      <c r="W1694" s="72">
        <v>0</v>
      </c>
      <c r="X1694" s="72">
        <v>0</v>
      </c>
      <c r="Y1694" s="12">
        <v>0</v>
      </c>
      <c r="Z1694" s="72">
        <v>0</v>
      </c>
      <c r="AA1694" s="72">
        <v>0</v>
      </c>
      <c r="AB1694" s="72">
        <v>0</v>
      </c>
      <c r="AC1694" s="72">
        <v>0</v>
      </c>
      <c r="AD1694" s="74">
        <v>0</v>
      </c>
      <c r="AE1694" s="72">
        <v>0</v>
      </c>
      <c r="AF1694" s="72">
        <v>0</v>
      </c>
      <c r="AG1694" s="72">
        <v>0</v>
      </c>
      <c r="AH1694" s="72">
        <v>0</v>
      </c>
      <c r="AI1694" s="72">
        <v>0</v>
      </c>
      <c r="AJ1694" s="72">
        <v>0</v>
      </c>
      <c r="AK1694" s="12">
        <v>0</v>
      </c>
      <c r="AL1694" s="72">
        <v>0</v>
      </c>
      <c r="AM1694" s="72">
        <v>0</v>
      </c>
      <c r="AN1694" s="72">
        <v>0</v>
      </c>
      <c r="AO1694" s="72">
        <v>0</v>
      </c>
      <c r="AP1694" s="72">
        <v>0</v>
      </c>
      <c r="AQ1694" s="72">
        <v>0</v>
      </c>
      <c r="AR1694" s="72">
        <v>0</v>
      </c>
      <c r="AS1694" s="72">
        <v>0</v>
      </c>
      <c r="AT1694" s="261">
        <v>0</v>
      </c>
      <c r="AU1694" s="72">
        <v>0</v>
      </c>
      <c r="AV1694" s="72"/>
      <c r="AW1694" s="255">
        <v>0</v>
      </c>
      <c r="AX1694" s="72">
        <v>0</v>
      </c>
      <c r="AY1694" s="72">
        <v>0</v>
      </c>
      <c r="AZ1694" s="72">
        <v>0</v>
      </c>
      <c r="BA1694" s="13" t="s">
        <v>200</v>
      </c>
      <c r="BB1694" s="72">
        <v>0</v>
      </c>
      <c r="BC1694" s="263">
        <v>0</v>
      </c>
      <c r="BD1694" s="27">
        <v>1</v>
      </c>
      <c r="BE1694" s="255" t="s">
        <v>3631</v>
      </c>
      <c r="BF1694" s="255" t="s">
        <v>3965</v>
      </c>
      <c r="BG1694" s="72">
        <v>0</v>
      </c>
      <c r="BH1694" s="75">
        <v>0</v>
      </c>
      <c r="BI1694" s="12">
        <v>0</v>
      </c>
      <c r="BJ1694" s="72">
        <v>0</v>
      </c>
      <c r="BK1694" s="72">
        <v>0</v>
      </c>
      <c r="BL1694" s="72">
        <v>0</v>
      </c>
      <c r="BM1694" s="15">
        <v>0</v>
      </c>
      <c r="BN1694" s="12">
        <v>0</v>
      </c>
      <c r="BO1694" s="12">
        <v>0</v>
      </c>
      <c r="BP1694" s="12">
        <v>0</v>
      </c>
      <c r="BQ1694" s="12">
        <v>0</v>
      </c>
      <c r="BR1694" s="12">
        <v>0</v>
      </c>
      <c r="BS1694" s="12">
        <v>0</v>
      </c>
      <c r="BT1694" s="12">
        <v>0</v>
      </c>
      <c r="BU1694" s="47">
        <v>0</v>
      </c>
      <c r="BV1694" s="47"/>
      <c r="BW1694" s="47"/>
    </row>
    <row r="1695" spans="3:75" ht="20.100000000000001" customHeight="1">
      <c r="C1695" s="18">
        <v>69052033</v>
      </c>
      <c r="D1695" s="255" t="s">
        <v>3966</v>
      </c>
      <c r="E1695" s="255" t="s">
        <v>1867</v>
      </c>
      <c r="F1695" s="74">
        <v>1</v>
      </c>
      <c r="G1695" s="74">
        <v>62023301</v>
      </c>
      <c r="H1695" s="72">
        <v>0</v>
      </c>
      <c r="I1695" s="72">
        <v>0</v>
      </c>
      <c r="J1695" s="74">
        <v>1</v>
      </c>
      <c r="K1695" s="74">
        <v>0</v>
      </c>
      <c r="L1695" s="72">
        <v>0</v>
      </c>
      <c r="M1695" s="72">
        <v>0</v>
      </c>
      <c r="N1695" s="72" t="s">
        <v>3636</v>
      </c>
      <c r="O1695" s="72">
        <v>3</v>
      </c>
      <c r="P1695" s="72">
        <v>0</v>
      </c>
      <c r="Q1695" s="72">
        <v>0</v>
      </c>
      <c r="R1695" s="72">
        <v>0</v>
      </c>
      <c r="S1695" s="12">
        <v>0</v>
      </c>
      <c r="T1695" s="72">
        <v>0</v>
      </c>
      <c r="U1695" s="16">
        <v>1</v>
      </c>
      <c r="V1695" s="72">
        <v>0</v>
      </c>
      <c r="W1695" s="72">
        <v>0</v>
      </c>
      <c r="X1695" s="72">
        <v>0</v>
      </c>
      <c r="Y1695" s="12">
        <v>0</v>
      </c>
      <c r="Z1695" s="72">
        <v>0</v>
      </c>
      <c r="AA1695" s="72">
        <v>0</v>
      </c>
      <c r="AB1695" s="72">
        <v>0</v>
      </c>
      <c r="AC1695" s="72">
        <v>0</v>
      </c>
      <c r="AD1695" s="74">
        <v>0</v>
      </c>
      <c r="AE1695" s="72">
        <v>0</v>
      </c>
      <c r="AF1695" s="72">
        <v>0</v>
      </c>
      <c r="AG1695" s="72">
        <v>0</v>
      </c>
      <c r="AH1695" s="72">
        <v>0</v>
      </c>
      <c r="AI1695" s="72">
        <v>0</v>
      </c>
      <c r="AJ1695" s="72">
        <v>0</v>
      </c>
      <c r="AK1695" s="12">
        <v>0</v>
      </c>
      <c r="AL1695" s="72">
        <v>0</v>
      </c>
      <c r="AM1695" s="72">
        <v>0</v>
      </c>
      <c r="AN1695" s="72">
        <v>0</v>
      </c>
      <c r="AO1695" s="72">
        <v>0</v>
      </c>
      <c r="AP1695" s="72">
        <v>0</v>
      </c>
      <c r="AQ1695" s="72">
        <v>0</v>
      </c>
      <c r="AR1695" s="72">
        <v>0</v>
      </c>
      <c r="AS1695" s="72">
        <v>0</v>
      </c>
      <c r="AT1695" s="261">
        <v>0</v>
      </c>
      <c r="AU1695" s="72">
        <v>0</v>
      </c>
      <c r="AV1695" s="72"/>
      <c r="AW1695" s="255">
        <v>0</v>
      </c>
      <c r="AX1695" s="72">
        <v>0</v>
      </c>
      <c r="AY1695" s="72">
        <v>0</v>
      </c>
      <c r="AZ1695" s="72">
        <v>0</v>
      </c>
      <c r="BA1695" s="13" t="s">
        <v>200</v>
      </c>
      <c r="BB1695" s="72">
        <v>0</v>
      </c>
      <c r="BC1695" s="263">
        <v>0</v>
      </c>
      <c r="BD1695" s="27">
        <v>1</v>
      </c>
      <c r="BE1695" s="255" t="s">
        <v>3634</v>
      </c>
      <c r="BF1695" s="255" t="s">
        <v>3967</v>
      </c>
      <c r="BG1695" s="72">
        <v>0</v>
      </c>
      <c r="BH1695" s="75">
        <v>0</v>
      </c>
      <c r="BI1695" s="12">
        <v>0</v>
      </c>
      <c r="BJ1695" s="72">
        <v>0</v>
      </c>
      <c r="BK1695" s="72">
        <v>0</v>
      </c>
      <c r="BL1695" s="72">
        <v>0</v>
      </c>
      <c r="BM1695" s="15">
        <v>0</v>
      </c>
      <c r="BN1695" s="12">
        <v>0</v>
      </c>
      <c r="BO1695" s="12">
        <v>0</v>
      </c>
      <c r="BP1695" s="12">
        <v>0</v>
      </c>
      <c r="BQ1695" s="12">
        <v>0</v>
      </c>
      <c r="BR1695" s="12">
        <v>0</v>
      </c>
      <c r="BS1695" s="12">
        <v>0</v>
      </c>
      <c r="BT1695" s="12">
        <v>0</v>
      </c>
      <c r="BU1695" s="47">
        <v>0</v>
      </c>
      <c r="BV1695" s="47"/>
      <c r="BW1695" s="47"/>
    </row>
    <row r="1696" spans="3:75" ht="20.100000000000001" customHeight="1">
      <c r="C1696" s="18">
        <v>69052034</v>
      </c>
      <c r="D1696" s="255" t="s">
        <v>3968</v>
      </c>
      <c r="E1696" s="255" t="s">
        <v>3969</v>
      </c>
      <c r="F1696" s="74">
        <v>1</v>
      </c>
      <c r="G1696" s="74">
        <v>62023401</v>
      </c>
      <c r="H1696" s="72">
        <v>0</v>
      </c>
      <c r="I1696" s="72">
        <v>0</v>
      </c>
      <c r="J1696" s="74">
        <v>1</v>
      </c>
      <c r="K1696" s="74">
        <v>0</v>
      </c>
      <c r="L1696" s="72">
        <v>0</v>
      </c>
      <c r="M1696" s="72">
        <v>0</v>
      </c>
      <c r="N1696" s="72" t="s">
        <v>3639</v>
      </c>
      <c r="O1696" s="72">
        <v>3</v>
      </c>
      <c r="P1696" s="72">
        <v>0</v>
      </c>
      <c r="Q1696" s="72">
        <v>0</v>
      </c>
      <c r="R1696" s="72">
        <v>0</v>
      </c>
      <c r="S1696" s="12">
        <v>0</v>
      </c>
      <c r="T1696" s="72">
        <v>0</v>
      </c>
      <c r="U1696" s="16">
        <v>1</v>
      </c>
      <c r="V1696" s="72">
        <v>0</v>
      </c>
      <c r="W1696" s="72">
        <v>0</v>
      </c>
      <c r="X1696" s="72">
        <v>0</v>
      </c>
      <c r="Y1696" s="12">
        <v>0</v>
      </c>
      <c r="Z1696" s="72">
        <v>0</v>
      </c>
      <c r="AA1696" s="72">
        <v>0</v>
      </c>
      <c r="AB1696" s="72">
        <v>0</v>
      </c>
      <c r="AC1696" s="72">
        <v>0</v>
      </c>
      <c r="AD1696" s="74">
        <v>0</v>
      </c>
      <c r="AE1696" s="72">
        <v>0</v>
      </c>
      <c r="AF1696" s="72">
        <v>0</v>
      </c>
      <c r="AG1696" s="72">
        <v>0</v>
      </c>
      <c r="AH1696" s="72">
        <v>0</v>
      </c>
      <c r="AI1696" s="72">
        <v>0</v>
      </c>
      <c r="AJ1696" s="72">
        <v>0</v>
      </c>
      <c r="AK1696" s="12">
        <v>0</v>
      </c>
      <c r="AL1696" s="72">
        <v>0</v>
      </c>
      <c r="AM1696" s="72">
        <v>0</v>
      </c>
      <c r="AN1696" s="72">
        <v>0</v>
      </c>
      <c r="AO1696" s="72">
        <v>0</v>
      </c>
      <c r="AP1696" s="72">
        <v>0</v>
      </c>
      <c r="AQ1696" s="72">
        <v>0</v>
      </c>
      <c r="AR1696" s="72">
        <v>0</v>
      </c>
      <c r="AS1696" s="72">
        <v>0</v>
      </c>
      <c r="AT1696" s="261">
        <v>0</v>
      </c>
      <c r="AU1696" s="72">
        <v>0</v>
      </c>
      <c r="AV1696" s="72"/>
      <c r="AW1696" s="255">
        <v>0</v>
      </c>
      <c r="AX1696" s="72">
        <v>0</v>
      </c>
      <c r="AY1696" s="72">
        <v>0</v>
      </c>
      <c r="AZ1696" s="72">
        <v>0</v>
      </c>
      <c r="BA1696" s="13" t="s">
        <v>200</v>
      </c>
      <c r="BB1696" s="72">
        <v>0</v>
      </c>
      <c r="BC1696" s="263">
        <v>0</v>
      </c>
      <c r="BD1696" s="27">
        <v>1</v>
      </c>
      <c r="BE1696" s="255" t="s">
        <v>3637</v>
      </c>
      <c r="BF1696" s="255" t="s">
        <v>3970</v>
      </c>
      <c r="BG1696" s="72">
        <v>0</v>
      </c>
      <c r="BH1696" s="75">
        <v>0</v>
      </c>
      <c r="BI1696" s="12">
        <v>0</v>
      </c>
      <c r="BJ1696" s="72">
        <v>0</v>
      </c>
      <c r="BK1696" s="72">
        <v>0</v>
      </c>
      <c r="BL1696" s="72">
        <v>0</v>
      </c>
      <c r="BM1696" s="15">
        <v>0</v>
      </c>
      <c r="BN1696" s="12">
        <v>0</v>
      </c>
      <c r="BO1696" s="12">
        <v>0</v>
      </c>
      <c r="BP1696" s="12">
        <v>0</v>
      </c>
      <c r="BQ1696" s="12">
        <v>0</v>
      </c>
      <c r="BR1696" s="12">
        <v>0</v>
      </c>
      <c r="BS1696" s="12">
        <v>0</v>
      </c>
      <c r="BT1696" s="12">
        <v>0</v>
      </c>
      <c r="BU1696" s="47">
        <v>0</v>
      </c>
      <c r="BV1696" s="47"/>
      <c r="BW1696" s="47"/>
    </row>
    <row r="1697" spans="3:75" ht="20.100000000000001" customHeight="1">
      <c r="C1697" s="176">
        <v>69053001</v>
      </c>
      <c r="D1697" s="271" t="s">
        <v>1398</v>
      </c>
      <c r="E1697" s="271" t="s">
        <v>1891</v>
      </c>
      <c r="F1697" s="272">
        <v>1</v>
      </c>
      <c r="G1697" s="272">
        <v>62011101</v>
      </c>
      <c r="H1697" s="273">
        <v>0</v>
      </c>
      <c r="I1697" s="273">
        <v>0</v>
      </c>
      <c r="J1697" s="272">
        <v>1</v>
      </c>
      <c r="K1697" s="272">
        <v>0</v>
      </c>
      <c r="L1697" s="273">
        <v>0</v>
      </c>
      <c r="M1697" s="273">
        <v>0</v>
      </c>
      <c r="N1697" s="273" t="s">
        <v>3971</v>
      </c>
      <c r="O1697" s="273">
        <v>3</v>
      </c>
      <c r="P1697" s="273">
        <v>0</v>
      </c>
      <c r="Q1697" s="273">
        <v>0</v>
      </c>
      <c r="R1697" s="273">
        <v>0</v>
      </c>
      <c r="S1697" s="175">
        <v>0</v>
      </c>
      <c r="T1697" s="273">
        <v>0</v>
      </c>
      <c r="U1697" s="172">
        <v>1</v>
      </c>
      <c r="V1697" s="273">
        <v>0</v>
      </c>
      <c r="W1697" s="273">
        <v>0</v>
      </c>
      <c r="X1697" s="273">
        <v>0</v>
      </c>
      <c r="Y1697" s="12">
        <v>0</v>
      </c>
      <c r="Z1697" s="273">
        <v>0</v>
      </c>
      <c r="AA1697" s="273">
        <v>0</v>
      </c>
      <c r="AB1697" s="273">
        <v>0</v>
      </c>
      <c r="AC1697" s="273">
        <v>0</v>
      </c>
      <c r="AD1697" s="272">
        <v>0</v>
      </c>
      <c r="AE1697" s="273">
        <v>0</v>
      </c>
      <c r="AF1697" s="273">
        <v>0</v>
      </c>
      <c r="AG1697" s="273">
        <v>0</v>
      </c>
      <c r="AH1697" s="273">
        <v>0</v>
      </c>
      <c r="AI1697" s="273">
        <v>0</v>
      </c>
      <c r="AJ1697" s="273">
        <v>0</v>
      </c>
      <c r="AK1697" s="175">
        <v>0</v>
      </c>
      <c r="AL1697" s="273">
        <v>0</v>
      </c>
      <c r="AM1697" s="273">
        <v>0</v>
      </c>
      <c r="AN1697" s="273">
        <v>0</v>
      </c>
      <c r="AO1697" s="273">
        <v>0</v>
      </c>
      <c r="AP1697" s="273">
        <v>0</v>
      </c>
      <c r="AQ1697" s="273">
        <v>0</v>
      </c>
      <c r="AR1697" s="273">
        <v>0</v>
      </c>
      <c r="AS1697" s="273">
        <v>0</v>
      </c>
      <c r="AT1697" s="274">
        <v>0</v>
      </c>
      <c r="AU1697" s="273">
        <v>0</v>
      </c>
      <c r="AV1697" s="273"/>
      <c r="AW1697" s="271">
        <v>0</v>
      </c>
      <c r="AX1697" s="273">
        <v>0</v>
      </c>
      <c r="AY1697" s="273">
        <v>0</v>
      </c>
      <c r="AZ1697" s="273">
        <v>0</v>
      </c>
      <c r="BA1697" s="200" t="s">
        <v>200</v>
      </c>
      <c r="BB1697" s="273">
        <v>0</v>
      </c>
      <c r="BC1697" s="276">
        <v>0</v>
      </c>
      <c r="BD1697" s="174">
        <v>1</v>
      </c>
      <c r="BE1697" s="273" t="s">
        <v>3972</v>
      </c>
      <c r="BF1697" s="273" t="s">
        <v>3973</v>
      </c>
      <c r="BG1697" s="273">
        <v>0</v>
      </c>
      <c r="BH1697" s="278">
        <v>0</v>
      </c>
      <c r="BI1697" s="175">
        <v>0</v>
      </c>
      <c r="BJ1697" s="273">
        <v>0</v>
      </c>
      <c r="BK1697" s="273">
        <v>0</v>
      </c>
      <c r="BL1697" s="273">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69053002</v>
      </c>
      <c r="D1698" s="271" t="s">
        <v>1406</v>
      </c>
      <c r="E1698" s="271" t="s">
        <v>1905</v>
      </c>
      <c r="F1698" s="272">
        <v>1</v>
      </c>
      <c r="G1698" s="272">
        <v>62011201</v>
      </c>
      <c r="H1698" s="273">
        <v>0</v>
      </c>
      <c r="I1698" s="273">
        <v>0</v>
      </c>
      <c r="J1698" s="272">
        <v>1</v>
      </c>
      <c r="K1698" s="272">
        <v>0</v>
      </c>
      <c r="L1698" s="273">
        <v>0</v>
      </c>
      <c r="M1698" s="273">
        <v>0</v>
      </c>
      <c r="N1698" s="273" t="s">
        <v>3974</v>
      </c>
      <c r="O1698" s="273">
        <v>3</v>
      </c>
      <c r="P1698" s="273">
        <v>0</v>
      </c>
      <c r="Q1698" s="273">
        <v>0</v>
      </c>
      <c r="R1698" s="273">
        <v>0</v>
      </c>
      <c r="S1698" s="175">
        <v>0</v>
      </c>
      <c r="T1698" s="273">
        <v>0</v>
      </c>
      <c r="U1698" s="172">
        <v>1</v>
      </c>
      <c r="V1698" s="273">
        <v>0</v>
      </c>
      <c r="W1698" s="273">
        <v>0</v>
      </c>
      <c r="X1698" s="273">
        <v>0</v>
      </c>
      <c r="Y1698" s="12">
        <v>0</v>
      </c>
      <c r="Z1698" s="273">
        <v>0</v>
      </c>
      <c r="AA1698" s="273">
        <v>0</v>
      </c>
      <c r="AB1698" s="273">
        <v>0</v>
      </c>
      <c r="AC1698" s="273">
        <v>0</v>
      </c>
      <c r="AD1698" s="272">
        <v>0</v>
      </c>
      <c r="AE1698" s="273">
        <v>0</v>
      </c>
      <c r="AF1698" s="273">
        <v>0</v>
      </c>
      <c r="AG1698" s="273">
        <v>0</v>
      </c>
      <c r="AH1698" s="273">
        <v>0</v>
      </c>
      <c r="AI1698" s="273">
        <v>0</v>
      </c>
      <c r="AJ1698" s="273">
        <v>0</v>
      </c>
      <c r="AK1698" s="175">
        <v>0</v>
      </c>
      <c r="AL1698" s="273">
        <v>0</v>
      </c>
      <c r="AM1698" s="273">
        <v>0</v>
      </c>
      <c r="AN1698" s="273">
        <v>0</v>
      </c>
      <c r="AO1698" s="273">
        <v>0</v>
      </c>
      <c r="AP1698" s="273">
        <v>0</v>
      </c>
      <c r="AQ1698" s="273">
        <v>0</v>
      </c>
      <c r="AR1698" s="273">
        <v>0</v>
      </c>
      <c r="AS1698" s="273">
        <v>0</v>
      </c>
      <c r="AT1698" s="274">
        <v>0</v>
      </c>
      <c r="AU1698" s="273">
        <v>0</v>
      </c>
      <c r="AV1698" s="273"/>
      <c r="AW1698" s="271">
        <v>0</v>
      </c>
      <c r="AX1698" s="273">
        <v>0</v>
      </c>
      <c r="AY1698" s="273">
        <v>0</v>
      </c>
      <c r="AZ1698" s="273">
        <v>0</v>
      </c>
      <c r="BA1698" s="200" t="s">
        <v>200</v>
      </c>
      <c r="BB1698" s="273">
        <v>0</v>
      </c>
      <c r="BC1698" s="276">
        <v>0</v>
      </c>
      <c r="BD1698" s="174">
        <v>1</v>
      </c>
      <c r="BE1698" s="273" t="s">
        <v>3975</v>
      </c>
      <c r="BF1698" s="273" t="s">
        <v>3976</v>
      </c>
      <c r="BG1698" s="273">
        <v>0</v>
      </c>
      <c r="BH1698" s="278">
        <v>0</v>
      </c>
      <c r="BI1698" s="175">
        <v>0</v>
      </c>
      <c r="BJ1698" s="273">
        <v>0</v>
      </c>
      <c r="BK1698" s="273">
        <v>0</v>
      </c>
      <c r="BL1698" s="273">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69053003</v>
      </c>
      <c r="D1699" s="271" t="s">
        <v>1414</v>
      </c>
      <c r="E1699" s="271" t="s">
        <v>1967</v>
      </c>
      <c r="F1699" s="272">
        <v>1</v>
      </c>
      <c r="G1699" s="272">
        <v>62011301</v>
      </c>
      <c r="H1699" s="273">
        <v>0</v>
      </c>
      <c r="I1699" s="273">
        <v>0</v>
      </c>
      <c r="J1699" s="272">
        <v>1</v>
      </c>
      <c r="K1699" s="272">
        <v>0</v>
      </c>
      <c r="L1699" s="273">
        <v>0</v>
      </c>
      <c r="M1699" s="273">
        <v>0</v>
      </c>
      <c r="N1699" s="273" t="s">
        <v>3977</v>
      </c>
      <c r="O1699" s="273">
        <v>3</v>
      </c>
      <c r="P1699" s="273">
        <v>0</v>
      </c>
      <c r="Q1699" s="273">
        <v>0</v>
      </c>
      <c r="R1699" s="273">
        <v>0</v>
      </c>
      <c r="S1699" s="175">
        <v>0</v>
      </c>
      <c r="T1699" s="273">
        <v>0</v>
      </c>
      <c r="U1699" s="172">
        <v>1</v>
      </c>
      <c r="V1699" s="273">
        <v>0</v>
      </c>
      <c r="W1699" s="273">
        <v>0</v>
      </c>
      <c r="X1699" s="273">
        <v>0</v>
      </c>
      <c r="Y1699" s="12">
        <v>0</v>
      </c>
      <c r="Z1699" s="273">
        <v>0</v>
      </c>
      <c r="AA1699" s="273">
        <v>0</v>
      </c>
      <c r="AB1699" s="273">
        <v>0</v>
      </c>
      <c r="AC1699" s="273">
        <v>0</v>
      </c>
      <c r="AD1699" s="272">
        <v>0</v>
      </c>
      <c r="AE1699" s="273">
        <v>0</v>
      </c>
      <c r="AF1699" s="273">
        <v>0</v>
      </c>
      <c r="AG1699" s="273">
        <v>0</v>
      </c>
      <c r="AH1699" s="273">
        <v>0</v>
      </c>
      <c r="AI1699" s="273">
        <v>0</v>
      </c>
      <c r="AJ1699" s="273">
        <v>0</v>
      </c>
      <c r="AK1699" s="175">
        <v>0</v>
      </c>
      <c r="AL1699" s="273">
        <v>0</v>
      </c>
      <c r="AM1699" s="273">
        <v>0</v>
      </c>
      <c r="AN1699" s="273">
        <v>0</v>
      </c>
      <c r="AO1699" s="273">
        <v>0</v>
      </c>
      <c r="AP1699" s="273">
        <v>0</v>
      </c>
      <c r="AQ1699" s="273">
        <v>0</v>
      </c>
      <c r="AR1699" s="273">
        <v>0</v>
      </c>
      <c r="AS1699" s="273">
        <v>0</v>
      </c>
      <c r="AT1699" s="274">
        <v>0</v>
      </c>
      <c r="AU1699" s="273">
        <v>0</v>
      </c>
      <c r="AV1699" s="273"/>
      <c r="AW1699" s="271">
        <v>0</v>
      </c>
      <c r="AX1699" s="273">
        <v>0</v>
      </c>
      <c r="AY1699" s="273">
        <v>0</v>
      </c>
      <c r="AZ1699" s="273">
        <v>0</v>
      </c>
      <c r="BA1699" s="200" t="s">
        <v>200</v>
      </c>
      <c r="BB1699" s="273">
        <v>0</v>
      </c>
      <c r="BC1699" s="276">
        <v>0</v>
      </c>
      <c r="BD1699" s="174">
        <v>1</v>
      </c>
      <c r="BE1699" s="273" t="s">
        <v>3978</v>
      </c>
      <c r="BF1699" s="273" t="s">
        <v>3979</v>
      </c>
      <c r="BG1699" s="273">
        <v>0</v>
      </c>
      <c r="BH1699" s="278">
        <v>0</v>
      </c>
      <c r="BI1699" s="175">
        <v>0</v>
      </c>
      <c r="BJ1699" s="273">
        <v>0</v>
      </c>
      <c r="BK1699" s="273">
        <v>0</v>
      </c>
      <c r="BL1699" s="273">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69053011</v>
      </c>
      <c r="D1700" s="271" t="s">
        <v>1982</v>
      </c>
      <c r="E1700" s="271" t="s">
        <v>1983</v>
      </c>
      <c r="F1700" s="272">
        <v>1</v>
      </c>
      <c r="G1700" s="272">
        <v>61021101</v>
      </c>
      <c r="H1700" s="273">
        <v>0</v>
      </c>
      <c r="I1700" s="273">
        <v>0</v>
      </c>
      <c r="J1700" s="272">
        <v>1</v>
      </c>
      <c r="K1700" s="272">
        <v>0</v>
      </c>
      <c r="L1700" s="273">
        <v>0</v>
      </c>
      <c r="M1700" s="273">
        <v>0</v>
      </c>
      <c r="N1700" s="273" t="s">
        <v>3656</v>
      </c>
      <c r="O1700" s="273">
        <v>3</v>
      </c>
      <c r="P1700" s="273">
        <v>0</v>
      </c>
      <c r="Q1700" s="273">
        <v>0</v>
      </c>
      <c r="R1700" s="273">
        <v>0</v>
      </c>
      <c r="S1700" s="175">
        <v>0</v>
      </c>
      <c r="T1700" s="273">
        <v>0</v>
      </c>
      <c r="U1700" s="172">
        <v>1</v>
      </c>
      <c r="V1700" s="273">
        <v>0</v>
      </c>
      <c r="W1700" s="273">
        <v>0</v>
      </c>
      <c r="X1700" s="273">
        <v>0</v>
      </c>
      <c r="Y1700" s="12">
        <v>0</v>
      </c>
      <c r="Z1700" s="273">
        <v>0</v>
      </c>
      <c r="AA1700" s="273">
        <v>0</v>
      </c>
      <c r="AB1700" s="273">
        <v>0</v>
      </c>
      <c r="AC1700" s="273">
        <v>0</v>
      </c>
      <c r="AD1700" s="272">
        <v>0</v>
      </c>
      <c r="AE1700" s="273">
        <v>0</v>
      </c>
      <c r="AF1700" s="273">
        <v>0</v>
      </c>
      <c r="AG1700" s="273">
        <v>0</v>
      </c>
      <c r="AH1700" s="273">
        <v>0</v>
      </c>
      <c r="AI1700" s="273">
        <v>0</v>
      </c>
      <c r="AJ1700" s="273">
        <v>0</v>
      </c>
      <c r="AK1700" s="175">
        <v>0</v>
      </c>
      <c r="AL1700" s="273">
        <v>0</v>
      </c>
      <c r="AM1700" s="273">
        <v>0</v>
      </c>
      <c r="AN1700" s="273">
        <v>0</v>
      </c>
      <c r="AO1700" s="273">
        <v>0</v>
      </c>
      <c r="AP1700" s="273">
        <v>0</v>
      </c>
      <c r="AQ1700" s="273">
        <v>0</v>
      </c>
      <c r="AR1700" s="273">
        <v>0</v>
      </c>
      <c r="AS1700" s="273">
        <v>0</v>
      </c>
      <c r="AT1700" s="274">
        <v>0</v>
      </c>
      <c r="AU1700" s="273">
        <v>0</v>
      </c>
      <c r="AV1700" s="273"/>
      <c r="AW1700" s="271">
        <v>0</v>
      </c>
      <c r="AX1700" s="273">
        <v>0</v>
      </c>
      <c r="AY1700" s="273">
        <v>0</v>
      </c>
      <c r="AZ1700" s="273">
        <v>0</v>
      </c>
      <c r="BA1700" s="200" t="s">
        <v>200</v>
      </c>
      <c r="BB1700" s="273">
        <v>0</v>
      </c>
      <c r="BC1700" s="276">
        <v>0</v>
      </c>
      <c r="BD1700" s="174">
        <v>1</v>
      </c>
      <c r="BE1700" s="273" t="s">
        <v>3654</v>
      </c>
      <c r="BF1700" s="273" t="s">
        <v>3980</v>
      </c>
      <c r="BG1700" s="273">
        <v>0</v>
      </c>
      <c r="BH1700" s="278">
        <v>0</v>
      </c>
      <c r="BI1700" s="175">
        <v>0</v>
      </c>
      <c r="BJ1700" s="273">
        <v>0</v>
      </c>
      <c r="BK1700" s="273">
        <v>0</v>
      </c>
      <c r="BL1700" s="273">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69053012</v>
      </c>
      <c r="D1701" s="271" t="s">
        <v>2006</v>
      </c>
      <c r="E1701" s="271" t="s">
        <v>2007</v>
      </c>
      <c r="F1701" s="272">
        <v>1</v>
      </c>
      <c r="G1701" s="272">
        <v>62021301</v>
      </c>
      <c r="H1701" s="273">
        <v>0</v>
      </c>
      <c r="I1701" s="273">
        <v>0</v>
      </c>
      <c r="J1701" s="272">
        <v>1</v>
      </c>
      <c r="K1701" s="272">
        <v>0</v>
      </c>
      <c r="L1701" s="273">
        <v>0</v>
      </c>
      <c r="M1701" s="273">
        <v>0</v>
      </c>
      <c r="N1701" s="273" t="s">
        <v>3659</v>
      </c>
      <c r="O1701" s="273">
        <v>3</v>
      </c>
      <c r="P1701" s="273">
        <v>0</v>
      </c>
      <c r="Q1701" s="273">
        <v>0</v>
      </c>
      <c r="R1701" s="273">
        <v>0</v>
      </c>
      <c r="S1701" s="175">
        <v>0</v>
      </c>
      <c r="T1701" s="273">
        <v>0</v>
      </c>
      <c r="U1701" s="172">
        <v>1</v>
      </c>
      <c r="V1701" s="273">
        <v>0</v>
      </c>
      <c r="W1701" s="273">
        <v>0</v>
      </c>
      <c r="X1701" s="273">
        <v>0</v>
      </c>
      <c r="Y1701" s="12">
        <v>0</v>
      </c>
      <c r="Z1701" s="273">
        <v>0</v>
      </c>
      <c r="AA1701" s="273">
        <v>0</v>
      </c>
      <c r="AB1701" s="273">
        <v>0</v>
      </c>
      <c r="AC1701" s="273">
        <v>0</v>
      </c>
      <c r="AD1701" s="272">
        <v>0</v>
      </c>
      <c r="AE1701" s="273">
        <v>0</v>
      </c>
      <c r="AF1701" s="273">
        <v>0</v>
      </c>
      <c r="AG1701" s="273">
        <v>0</v>
      </c>
      <c r="AH1701" s="273">
        <v>0</v>
      </c>
      <c r="AI1701" s="273">
        <v>0</v>
      </c>
      <c r="AJ1701" s="273">
        <v>0</v>
      </c>
      <c r="AK1701" s="175">
        <v>0</v>
      </c>
      <c r="AL1701" s="273">
        <v>0</v>
      </c>
      <c r="AM1701" s="273">
        <v>0</v>
      </c>
      <c r="AN1701" s="273">
        <v>0</v>
      </c>
      <c r="AO1701" s="273">
        <v>0</v>
      </c>
      <c r="AP1701" s="273">
        <v>0</v>
      </c>
      <c r="AQ1701" s="273">
        <v>0</v>
      </c>
      <c r="AR1701" s="273">
        <v>0</v>
      </c>
      <c r="AS1701" s="273">
        <v>0</v>
      </c>
      <c r="AT1701" s="274">
        <v>0</v>
      </c>
      <c r="AU1701" s="273">
        <v>0</v>
      </c>
      <c r="AV1701" s="273"/>
      <c r="AW1701" s="271">
        <v>0</v>
      </c>
      <c r="AX1701" s="273">
        <v>0</v>
      </c>
      <c r="AY1701" s="273">
        <v>0</v>
      </c>
      <c r="AZ1701" s="273">
        <v>0</v>
      </c>
      <c r="BA1701" s="200" t="s">
        <v>200</v>
      </c>
      <c r="BB1701" s="273">
        <v>0</v>
      </c>
      <c r="BC1701" s="276">
        <v>0</v>
      </c>
      <c r="BD1701" s="174">
        <v>1</v>
      </c>
      <c r="BE1701" s="273" t="s">
        <v>3657</v>
      </c>
      <c r="BF1701" s="273" t="s">
        <v>3981</v>
      </c>
      <c r="BG1701" s="273">
        <v>0</v>
      </c>
      <c r="BH1701" s="278">
        <v>0</v>
      </c>
      <c r="BI1701" s="175">
        <v>0</v>
      </c>
      <c r="BJ1701" s="273">
        <v>0</v>
      </c>
      <c r="BK1701" s="273">
        <v>0</v>
      </c>
      <c r="BL1701" s="273">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69053013</v>
      </c>
      <c r="D1702" s="271" t="s">
        <v>2030</v>
      </c>
      <c r="E1702" s="271" t="s">
        <v>2031</v>
      </c>
      <c r="F1702" s="272">
        <v>1</v>
      </c>
      <c r="G1702" s="272">
        <v>62021401</v>
      </c>
      <c r="H1702" s="273">
        <v>0</v>
      </c>
      <c r="I1702" s="273">
        <v>0</v>
      </c>
      <c r="J1702" s="272">
        <v>1</v>
      </c>
      <c r="K1702" s="272">
        <v>0</v>
      </c>
      <c r="L1702" s="273">
        <v>0</v>
      </c>
      <c r="M1702" s="273">
        <v>0</v>
      </c>
      <c r="N1702" s="273" t="s">
        <v>3662</v>
      </c>
      <c r="O1702" s="273">
        <v>3</v>
      </c>
      <c r="P1702" s="273">
        <v>0</v>
      </c>
      <c r="Q1702" s="273">
        <v>0</v>
      </c>
      <c r="R1702" s="273">
        <v>0</v>
      </c>
      <c r="S1702" s="175">
        <v>0</v>
      </c>
      <c r="T1702" s="273">
        <v>0</v>
      </c>
      <c r="U1702" s="172">
        <v>1</v>
      </c>
      <c r="V1702" s="273">
        <v>0</v>
      </c>
      <c r="W1702" s="273">
        <v>0</v>
      </c>
      <c r="X1702" s="273">
        <v>0</v>
      </c>
      <c r="Y1702" s="12">
        <v>0</v>
      </c>
      <c r="Z1702" s="273">
        <v>0</v>
      </c>
      <c r="AA1702" s="273">
        <v>0</v>
      </c>
      <c r="AB1702" s="273">
        <v>0</v>
      </c>
      <c r="AC1702" s="273">
        <v>0</v>
      </c>
      <c r="AD1702" s="272">
        <v>0</v>
      </c>
      <c r="AE1702" s="273">
        <v>0</v>
      </c>
      <c r="AF1702" s="273">
        <v>0</v>
      </c>
      <c r="AG1702" s="273">
        <v>0</v>
      </c>
      <c r="AH1702" s="273">
        <v>0</v>
      </c>
      <c r="AI1702" s="273">
        <v>0</v>
      </c>
      <c r="AJ1702" s="273">
        <v>0</v>
      </c>
      <c r="AK1702" s="175">
        <v>0</v>
      </c>
      <c r="AL1702" s="273">
        <v>0</v>
      </c>
      <c r="AM1702" s="273">
        <v>0</v>
      </c>
      <c r="AN1702" s="273">
        <v>0</v>
      </c>
      <c r="AO1702" s="273">
        <v>0</v>
      </c>
      <c r="AP1702" s="273">
        <v>0</v>
      </c>
      <c r="AQ1702" s="273">
        <v>0</v>
      </c>
      <c r="AR1702" s="273">
        <v>0</v>
      </c>
      <c r="AS1702" s="273">
        <v>0</v>
      </c>
      <c r="AT1702" s="274">
        <v>0</v>
      </c>
      <c r="AU1702" s="273">
        <v>0</v>
      </c>
      <c r="AV1702" s="273"/>
      <c r="AW1702" s="271">
        <v>0</v>
      </c>
      <c r="AX1702" s="273">
        <v>0</v>
      </c>
      <c r="AY1702" s="273">
        <v>0</v>
      </c>
      <c r="AZ1702" s="273">
        <v>0</v>
      </c>
      <c r="BA1702" s="200" t="s">
        <v>200</v>
      </c>
      <c r="BB1702" s="273">
        <v>0</v>
      </c>
      <c r="BC1702" s="276">
        <v>0</v>
      </c>
      <c r="BD1702" s="174">
        <v>1</v>
      </c>
      <c r="BE1702" s="273" t="s">
        <v>3660</v>
      </c>
      <c r="BF1702" s="273" t="s">
        <v>3982</v>
      </c>
      <c r="BG1702" s="273">
        <v>0</v>
      </c>
      <c r="BH1702" s="278">
        <v>0</v>
      </c>
      <c r="BI1702" s="175">
        <v>0</v>
      </c>
      <c r="BJ1702" s="273">
        <v>0</v>
      </c>
      <c r="BK1702" s="273">
        <v>0</v>
      </c>
      <c r="BL1702" s="273">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69053014</v>
      </c>
      <c r="D1703" s="271" t="s">
        <v>2037</v>
      </c>
      <c r="E1703" s="271" t="s">
        <v>2038</v>
      </c>
      <c r="F1703" s="272">
        <v>1</v>
      </c>
      <c r="G1703" s="272">
        <v>62021501</v>
      </c>
      <c r="H1703" s="273">
        <v>0</v>
      </c>
      <c r="I1703" s="273">
        <v>0</v>
      </c>
      <c r="J1703" s="272">
        <v>1</v>
      </c>
      <c r="K1703" s="272">
        <v>0</v>
      </c>
      <c r="L1703" s="273">
        <v>0</v>
      </c>
      <c r="M1703" s="273">
        <v>0</v>
      </c>
      <c r="N1703" s="273" t="s">
        <v>3665</v>
      </c>
      <c r="O1703" s="273">
        <v>3</v>
      </c>
      <c r="P1703" s="273">
        <v>0</v>
      </c>
      <c r="Q1703" s="273">
        <v>0</v>
      </c>
      <c r="R1703" s="273">
        <v>0</v>
      </c>
      <c r="S1703" s="175">
        <v>0</v>
      </c>
      <c r="T1703" s="273">
        <v>0</v>
      </c>
      <c r="U1703" s="172">
        <v>1</v>
      </c>
      <c r="V1703" s="273">
        <v>0</v>
      </c>
      <c r="W1703" s="273">
        <v>0</v>
      </c>
      <c r="X1703" s="273">
        <v>0</v>
      </c>
      <c r="Y1703" s="12">
        <v>0</v>
      </c>
      <c r="Z1703" s="273">
        <v>0</v>
      </c>
      <c r="AA1703" s="273">
        <v>0</v>
      </c>
      <c r="AB1703" s="273">
        <v>0</v>
      </c>
      <c r="AC1703" s="273">
        <v>0</v>
      </c>
      <c r="AD1703" s="272">
        <v>0</v>
      </c>
      <c r="AE1703" s="273">
        <v>0</v>
      </c>
      <c r="AF1703" s="273">
        <v>0</v>
      </c>
      <c r="AG1703" s="273">
        <v>0</v>
      </c>
      <c r="AH1703" s="273">
        <v>0</v>
      </c>
      <c r="AI1703" s="273">
        <v>0</v>
      </c>
      <c r="AJ1703" s="273">
        <v>0</v>
      </c>
      <c r="AK1703" s="175">
        <v>0</v>
      </c>
      <c r="AL1703" s="273">
        <v>0</v>
      </c>
      <c r="AM1703" s="273">
        <v>0</v>
      </c>
      <c r="AN1703" s="273">
        <v>0</v>
      </c>
      <c r="AO1703" s="273">
        <v>0</v>
      </c>
      <c r="AP1703" s="273">
        <v>0</v>
      </c>
      <c r="AQ1703" s="273">
        <v>0</v>
      </c>
      <c r="AR1703" s="273">
        <v>0</v>
      </c>
      <c r="AS1703" s="273">
        <v>0</v>
      </c>
      <c r="AT1703" s="274">
        <v>0</v>
      </c>
      <c r="AU1703" s="273">
        <v>0</v>
      </c>
      <c r="AV1703" s="273"/>
      <c r="AW1703" s="271">
        <v>0</v>
      </c>
      <c r="AX1703" s="273">
        <v>0</v>
      </c>
      <c r="AY1703" s="273">
        <v>0</v>
      </c>
      <c r="AZ1703" s="273">
        <v>0</v>
      </c>
      <c r="BA1703" s="200" t="s">
        <v>200</v>
      </c>
      <c r="BB1703" s="273">
        <v>0</v>
      </c>
      <c r="BC1703" s="276">
        <v>0</v>
      </c>
      <c r="BD1703" s="174">
        <v>1</v>
      </c>
      <c r="BE1703" s="273" t="s">
        <v>3663</v>
      </c>
      <c r="BF1703" s="273" t="s">
        <v>3983</v>
      </c>
      <c r="BG1703" s="273">
        <v>0</v>
      </c>
      <c r="BH1703" s="278">
        <v>0</v>
      </c>
      <c r="BI1703" s="175">
        <v>0</v>
      </c>
      <c r="BJ1703" s="273">
        <v>0</v>
      </c>
      <c r="BK1703" s="273">
        <v>0</v>
      </c>
      <c r="BL1703" s="273">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69053021</v>
      </c>
      <c r="D1704" s="271" t="s">
        <v>2070</v>
      </c>
      <c r="E1704" s="271" t="s">
        <v>2071</v>
      </c>
      <c r="F1704" s="272">
        <v>1</v>
      </c>
      <c r="G1704" s="272">
        <v>62022101</v>
      </c>
      <c r="H1704" s="273">
        <v>0</v>
      </c>
      <c r="I1704" s="273">
        <v>0</v>
      </c>
      <c r="J1704" s="272">
        <v>1</v>
      </c>
      <c r="K1704" s="272">
        <v>0</v>
      </c>
      <c r="L1704" s="273">
        <v>0</v>
      </c>
      <c r="M1704" s="273">
        <v>0</v>
      </c>
      <c r="N1704" s="273" t="s">
        <v>3668</v>
      </c>
      <c r="O1704" s="273">
        <v>3</v>
      </c>
      <c r="P1704" s="273">
        <v>0</v>
      </c>
      <c r="Q1704" s="273">
        <v>0</v>
      </c>
      <c r="R1704" s="273">
        <v>0</v>
      </c>
      <c r="S1704" s="175">
        <v>0</v>
      </c>
      <c r="T1704" s="273">
        <v>0</v>
      </c>
      <c r="U1704" s="172">
        <v>1</v>
      </c>
      <c r="V1704" s="273">
        <v>0</v>
      </c>
      <c r="W1704" s="273">
        <v>0</v>
      </c>
      <c r="X1704" s="273">
        <v>0</v>
      </c>
      <c r="Y1704" s="12">
        <v>0</v>
      </c>
      <c r="Z1704" s="273">
        <v>0</v>
      </c>
      <c r="AA1704" s="273">
        <v>0</v>
      </c>
      <c r="AB1704" s="273">
        <v>0</v>
      </c>
      <c r="AC1704" s="273">
        <v>0</v>
      </c>
      <c r="AD1704" s="272">
        <v>0</v>
      </c>
      <c r="AE1704" s="273">
        <v>0</v>
      </c>
      <c r="AF1704" s="273">
        <v>0</v>
      </c>
      <c r="AG1704" s="273">
        <v>0</v>
      </c>
      <c r="AH1704" s="273">
        <v>0</v>
      </c>
      <c r="AI1704" s="273">
        <v>0</v>
      </c>
      <c r="AJ1704" s="273">
        <v>0</v>
      </c>
      <c r="AK1704" s="175">
        <v>0</v>
      </c>
      <c r="AL1704" s="273">
        <v>0</v>
      </c>
      <c r="AM1704" s="273">
        <v>0</v>
      </c>
      <c r="AN1704" s="273">
        <v>0</v>
      </c>
      <c r="AO1704" s="273">
        <v>0</v>
      </c>
      <c r="AP1704" s="273">
        <v>0</v>
      </c>
      <c r="AQ1704" s="273">
        <v>0</v>
      </c>
      <c r="AR1704" s="273">
        <v>0</v>
      </c>
      <c r="AS1704" s="273">
        <v>0</v>
      </c>
      <c r="AT1704" s="274">
        <v>0</v>
      </c>
      <c r="AU1704" s="273">
        <v>0</v>
      </c>
      <c r="AV1704" s="273"/>
      <c r="AW1704" s="271">
        <v>0</v>
      </c>
      <c r="AX1704" s="273">
        <v>0</v>
      </c>
      <c r="AY1704" s="273">
        <v>0</v>
      </c>
      <c r="AZ1704" s="273">
        <v>0</v>
      </c>
      <c r="BA1704" s="200" t="s">
        <v>200</v>
      </c>
      <c r="BB1704" s="273">
        <v>0</v>
      </c>
      <c r="BC1704" s="276">
        <v>0</v>
      </c>
      <c r="BD1704" s="174">
        <v>1</v>
      </c>
      <c r="BE1704" s="273" t="s">
        <v>3666</v>
      </c>
      <c r="BF1704" s="273" t="s">
        <v>3984</v>
      </c>
      <c r="BG1704" s="273">
        <v>0</v>
      </c>
      <c r="BH1704" s="278">
        <v>0</v>
      </c>
      <c r="BI1704" s="175">
        <v>0</v>
      </c>
      <c r="BJ1704" s="273">
        <v>0</v>
      </c>
      <c r="BK1704" s="273">
        <v>0</v>
      </c>
      <c r="BL1704" s="273">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69053022</v>
      </c>
      <c r="D1705" s="271" t="s">
        <v>2077</v>
      </c>
      <c r="E1705" s="271" t="s">
        <v>2078</v>
      </c>
      <c r="F1705" s="272">
        <v>1</v>
      </c>
      <c r="G1705" s="272">
        <v>62022201</v>
      </c>
      <c r="H1705" s="273">
        <v>0</v>
      </c>
      <c r="I1705" s="273">
        <v>0</v>
      </c>
      <c r="J1705" s="272">
        <v>1</v>
      </c>
      <c r="K1705" s="272">
        <v>0</v>
      </c>
      <c r="L1705" s="273">
        <v>0</v>
      </c>
      <c r="M1705" s="273">
        <v>0</v>
      </c>
      <c r="N1705" s="273" t="s">
        <v>3671</v>
      </c>
      <c r="O1705" s="273">
        <v>3</v>
      </c>
      <c r="P1705" s="273">
        <v>0</v>
      </c>
      <c r="Q1705" s="273">
        <v>0</v>
      </c>
      <c r="R1705" s="273">
        <v>0</v>
      </c>
      <c r="S1705" s="175">
        <v>0</v>
      </c>
      <c r="T1705" s="273">
        <v>0</v>
      </c>
      <c r="U1705" s="172">
        <v>1</v>
      </c>
      <c r="V1705" s="273">
        <v>0</v>
      </c>
      <c r="W1705" s="273">
        <v>0</v>
      </c>
      <c r="X1705" s="273">
        <v>0</v>
      </c>
      <c r="Y1705" s="12">
        <v>0</v>
      </c>
      <c r="Z1705" s="273">
        <v>0</v>
      </c>
      <c r="AA1705" s="273">
        <v>0</v>
      </c>
      <c r="AB1705" s="273">
        <v>0</v>
      </c>
      <c r="AC1705" s="273">
        <v>0</v>
      </c>
      <c r="AD1705" s="272">
        <v>0</v>
      </c>
      <c r="AE1705" s="273">
        <v>0</v>
      </c>
      <c r="AF1705" s="273">
        <v>0</v>
      </c>
      <c r="AG1705" s="273">
        <v>0</v>
      </c>
      <c r="AH1705" s="273">
        <v>0</v>
      </c>
      <c r="AI1705" s="273">
        <v>0</v>
      </c>
      <c r="AJ1705" s="273">
        <v>0</v>
      </c>
      <c r="AK1705" s="175">
        <v>0</v>
      </c>
      <c r="AL1705" s="273">
        <v>0</v>
      </c>
      <c r="AM1705" s="273">
        <v>0</v>
      </c>
      <c r="AN1705" s="273">
        <v>0</v>
      </c>
      <c r="AO1705" s="273">
        <v>0</v>
      </c>
      <c r="AP1705" s="273">
        <v>0</v>
      </c>
      <c r="AQ1705" s="273">
        <v>0</v>
      </c>
      <c r="AR1705" s="273">
        <v>0</v>
      </c>
      <c r="AS1705" s="273">
        <v>0</v>
      </c>
      <c r="AT1705" s="274">
        <v>0</v>
      </c>
      <c r="AU1705" s="273">
        <v>0</v>
      </c>
      <c r="AV1705" s="273"/>
      <c r="AW1705" s="271">
        <v>0</v>
      </c>
      <c r="AX1705" s="273">
        <v>0</v>
      </c>
      <c r="AY1705" s="273">
        <v>0</v>
      </c>
      <c r="AZ1705" s="273">
        <v>0</v>
      </c>
      <c r="BA1705" s="200" t="s">
        <v>200</v>
      </c>
      <c r="BB1705" s="273">
        <v>0</v>
      </c>
      <c r="BC1705" s="276">
        <v>0</v>
      </c>
      <c r="BD1705" s="174">
        <v>1</v>
      </c>
      <c r="BE1705" s="273" t="s">
        <v>3669</v>
      </c>
      <c r="BF1705" s="273" t="s">
        <v>3985</v>
      </c>
      <c r="BG1705" s="273">
        <v>0</v>
      </c>
      <c r="BH1705" s="278">
        <v>0</v>
      </c>
      <c r="BI1705" s="175">
        <v>0</v>
      </c>
      <c r="BJ1705" s="273">
        <v>0</v>
      </c>
      <c r="BK1705" s="273">
        <v>0</v>
      </c>
      <c r="BL1705" s="273">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69053023</v>
      </c>
      <c r="D1706" s="271" t="s">
        <v>1120</v>
      </c>
      <c r="E1706" s="271" t="s">
        <v>1121</v>
      </c>
      <c r="F1706" s="272">
        <v>1</v>
      </c>
      <c r="G1706" s="272">
        <v>62022301</v>
      </c>
      <c r="H1706" s="273">
        <v>0</v>
      </c>
      <c r="I1706" s="273">
        <v>0</v>
      </c>
      <c r="J1706" s="272">
        <v>1</v>
      </c>
      <c r="K1706" s="272">
        <v>0</v>
      </c>
      <c r="L1706" s="273">
        <v>0</v>
      </c>
      <c r="M1706" s="273">
        <v>0</v>
      </c>
      <c r="N1706" s="273" t="s">
        <v>3674</v>
      </c>
      <c r="O1706" s="273">
        <v>3</v>
      </c>
      <c r="P1706" s="273">
        <v>0</v>
      </c>
      <c r="Q1706" s="273">
        <v>0</v>
      </c>
      <c r="R1706" s="273">
        <v>0</v>
      </c>
      <c r="S1706" s="175">
        <v>0</v>
      </c>
      <c r="T1706" s="273">
        <v>0</v>
      </c>
      <c r="U1706" s="172">
        <v>1</v>
      </c>
      <c r="V1706" s="273">
        <v>0</v>
      </c>
      <c r="W1706" s="273">
        <v>0</v>
      </c>
      <c r="X1706" s="273">
        <v>0</v>
      </c>
      <c r="Y1706" s="12">
        <v>0</v>
      </c>
      <c r="Z1706" s="273">
        <v>0</v>
      </c>
      <c r="AA1706" s="273">
        <v>0</v>
      </c>
      <c r="AB1706" s="273">
        <v>0</v>
      </c>
      <c r="AC1706" s="273">
        <v>0</v>
      </c>
      <c r="AD1706" s="272">
        <v>0</v>
      </c>
      <c r="AE1706" s="273">
        <v>0</v>
      </c>
      <c r="AF1706" s="273">
        <v>0</v>
      </c>
      <c r="AG1706" s="273">
        <v>0</v>
      </c>
      <c r="AH1706" s="273">
        <v>0</v>
      </c>
      <c r="AI1706" s="273">
        <v>0</v>
      </c>
      <c r="AJ1706" s="273">
        <v>0</v>
      </c>
      <c r="AK1706" s="175">
        <v>0</v>
      </c>
      <c r="AL1706" s="273">
        <v>0</v>
      </c>
      <c r="AM1706" s="273">
        <v>0</v>
      </c>
      <c r="AN1706" s="273">
        <v>0</v>
      </c>
      <c r="AO1706" s="273">
        <v>0</v>
      </c>
      <c r="AP1706" s="273">
        <v>0</v>
      </c>
      <c r="AQ1706" s="273">
        <v>0</v>
      </c>
      <c r="AR1706" s="273">
        <v>0</v>
      </c>
      <c r="AS1706" s="273">
        <v>0</v>
      </c>
      <c r="AT1706" s="274">
        <v>0</v>
      </c>
      <c r="AU1706" s="273">
        <v>0</v>
      </c>
      <c r="AV1706" s="273"/>
      <c r="AW1706" s="271">
        <v>0</v>
      </c>
      <c r="AX1706" s="273">
        <v>0</v>
      </c>
      <c r="AY1706" s="273">
        <v>0</v>
      </c>
      <c r="AZ1706" s="273">
        <v>0</v>
      </c>
      <c r="BA1706" s="200" t="s">
        <v>200</v>
      </c>
      <c r="BB1706" s="273">
        <v>0</v>
      </c>
      <c r="BC1706" s="276">
        <v>0</v>
      </c>
      <c r="BD1706" s="174">
        <v>1</v>
      </c>
      <c r="BE1706" s="273" t="s">
        <v>3672</v>
      </c>
      <c r="BF1706" s="273" t="s">
        <v>3986</v>
      </c>
      <c r="BG1706" s="273">
        <v>0</v>
      </c>
      <c r="BH1706" s="278">
        <v>0</v>
      </c>
      <c r="BI1706" s="175">
        <v>0</v>
      </c>
      <c r="BJ1706" s="273">
        <v>0</v>
      </c>
      <c r="BK1706" s="273">
        <v>0</v>
      </c>
      <c r="BL1706" s="273">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69053024</v>
      </c>
      <c r="D1707" s="271" t="s">
        <v>2090</v>
      </c>
      <c r="E1707" s="271" t="s">
        <v>2091</v>
      </c>
      <c r="F1707" s="272">
        <v>1</v>
      </c>
      <c r="G1707" s="272">
        <v>62022401</v>
      </c>
      <c r="H1707" s="273">
        <v>0</v>
      </c>
      <c r="I1707" s="273">
        <v>0</v>
      </c>
      <c r="J1707" s="272">
        <v>1</v>
      </c>
      <c r="K1707" s="272">
        <v>0</v>
      </c>
      <c r="L1707" s="273">
        <v>0</v>
      </c>
      <c r="M1707" s="273">
        <v>0</v>
      </c>
      <c r="N1707" s="273" t="s">
        <v>3677</v>
      </c>
      <c r="O1707" s="273">
        <v>3</v>
      </c>
      <c r="P1707" s="273">
        <v>0</v>
      </c>
      <c r="Q1707" s="273">
        <v>0</v>
      </c>
      <c r="R1707" s="273">
        <v>0</v>
      </c>
      <c r="S1707" s="175">
        <v>0</v>
      </c>
      <c r="T1707" s="273">
        <v>0</v>
      </c>
      <c r="U1707" s="172">
        <v>1</v>
      </c>
      <c r="V1707" s="273">
        <v>0</v>
      </c>
      <c r="W1707" s="273">
        <v>0</v>
      </c>
      <c r="X1707" s="273">
        <v>0</v>
      </c>
      <c r="Y1707" s="12">
        <v>0</v>
      </c>
      <c r="Z1707" s="273">
        <v>0</v>
      </c>
      <c r="AA1707" s="273">
        <v>0</v>
      </c>
      <c r="AB1707" s="273">
        <v>0</v>
      </c>
      <c r="AC1707" s="273">
        <v>0</v>
      </c>
      <c r="AD1707" s="272">
        <v>0</v>
      </c>
      <c r="AE1707" s="273">
        <v>0</v>
      </c>
      <c r="AF1707" s="273">
        <v>0</v>
      </c>
      <c r="AG1707" s="273">
        <v>0</v>
      </c>
      <c r="AH1707" s="273">
        <v>0</v>
      </c>
      <c r="AI1707" s="273">
        <v>0</v>
      </c>
      <c r="AJ1707" s="273">
        <v>0</v>
      </c>
      <c r="AK1707" s="175">
        <v>0</v>
      </c>
      <c r="AL1707" s="273">
        <v>0</v>
      </c>
      <c r="AM1707" s="273">
        <v>0</v>
      </c>
      <c r="AN1707" s="273">
        <v>0</v>
      </c>
      <c r="AO1707" s="273">
        <v>0</v>
      </c>
      <c r="AP1707" s="273">
        <v>0</v>
      </c>
      <c r="AQ1707" s="273">
        <v>0</v>
      </c>
      <c r="AR1707" s="273">
        <v>0</v>
      </c>
      <c r="AS1707" s="273">
        <v>0</v>
      </c>
      <c r="AT1707" s="274">
        <v>0</v>
      </c>
      <c r="AU1707" s="273">
        <v>0</v>
      </c>
      <c r="AV1707" s="273"/>
      <c r="AW1707" s="271">
        <v>0</v>
      </c>
      <c r="AX1707" s="273">
        <v>0</v>
      </c>
      <c r="AY1707" s="273">
        <v>0</v>
      </c>
      <c r="AZ1707" s="273">
        <v>0</v>
      </c>
      <c r="BA1707" s="200" t="s">
        <v>200</v>
      </c>
      <c r="BB1707" s="273">
        <v>0</v>
      </c>
      <c r="BC1707" s="276">
        <v>0</v>
      </c>
      <c r="BD1707" s="174">
        <v>1</v>
      </c>
      <c r="BE1707" s="273" t="s">
        <v>3675</v>
      </c>
      <c r="BF1707" s="273" t="s">
        <v>3987</v>
      </c>
      <c r="BG1707" s="273">
        <v>0</v>
      </c>
      <c r="BH1707" s="278">
        <v>0</v>
      </c>
      <c r="BI1707" s="175">
        <v>0</v>
      </c>
      <c r="BJ1707" s="273">
        <v>0</v>
      </c>
      <c r="BK1707" s="273">
        <v>0</v>
      </c>
      <c r="BL1707" s="273">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76">
        <v>69053031</v>
      </c>
      <c r="D1708" s="271" t="s">
        <v>2098</v>
      </c>
      <c r="E1708" s="271" t="s">
        <v>2099</v>
      </c>
      <c r="F1708" s="272">
        <v>1</v>
      </c>
      <c r="G1708" s="272">
        <v>62021101</v>
      </c>
      <c r="H1708" s="273">
        <v>0</v>
      </c>
      <c r="I1708" s="273">
        <v>0</v>
      </c>
      <c r="J1708" s="272">
        <v>1</v>
      </c>
      <c r="K1708" s="272">
        <v>0</v>
      </c>
      <c r="L1708" s="273">
        <v>0</v>
      </c>
      <c r="M1708" s="273">
        <v>0</v>
      </c>
      <c r="N1708" s="273" t="s">
        <v>3680</v>
      </c>
      <c r="O1708" s="273">
        <v>3</v>
      </c>
      <c r="P1708" s="273">
        <v>0</v>
      </c>
      <c r="Q1708" s="273">
        <v>0</v>
      </c>
      <c r="R1708" s="273">
        <v>0</v>
      </c>
      <c r="S1708" s="175">
        <v>0</v>
      </c>
      <c r="T1708" s="273">
        <v>0</v>
      </c>
      <c r="U1708" s="172">
        <v>1</v>
      </c>
      <c r="V1708" s="273">
        <v>0</v>
      </c>
      <c r="W1708" s="273">
        <v>0</v>
      </c>
      <c r="X1708" s="273">
        <v>0</v>
      </c>
      <c r="Y1708" s="12">
        <v>0</v>
      </c>
      <c r="Z1708" s="273">
        <v>0</v>
      </c>
      <c r="AA1708" s="273">
        <v>0</v>
      </c>
      <c r="AB1708" s="273">
        <v>0</v>
      </c>
      <c r="AC1708" s="273">
        <v>0</v>
      </c>
      <c r="AD1708" s="272">
        <v>0</v>
      </c>
      <c r="AE1708" s="273">
        <v>0</v>
      </c>
      <c r="AF1708" s="273">
        <v>0</v>
      </c>
      <c r="AG1708" s="273">
        <v>0</v>
      </c>
      <c r="AH1708" s="273">
        <v>0</v>
      </c>
      <c r="AI1708" s="273">
        <v>0</v>
      </c>
      <c r="AJ1708" s="273">
        <v>0</v>
      </c>
      <c r="AK1708" s="175">
        <v>0</v>
      </c>
      <c r="AL1708" s="273">
        <v>0</v>
      </c>
      <c r="AM1708" s="273">
        <v>0</v>
      </c>
      <c r="AN1708" s="273">
        <v>0</v>
      </c>
      <c r="AO1708" s="273">
        <v>0</v>
      </c>
      <c r="AP1708" s="273">
        <v>0</v>
      </c>
      <c r="AQ1708" s="273">
        <v>0</v>
      </c>
      <c r="AR1708" s="273">
        <v>0</v>
      </c>
      <c r="AS1708" s="273">
        <v>0</v>
      </c>
      <c r="AT1708" s="274">
        <v>0</v>
      </c>
      <c r="AU1708" s="273">
        <v>0</v>
      </c>
      <c r="AV1708" s="273"/>
      <c r="AW1708" s="271">
        <v>0</v>
      </c>
      <c r="AX1708" s="273">
        <v>0</v>
      </c>
      <c r="AY1708" s="273">
        <v>0</v>
      </c>
      <c r="AZ1708" s="273">
        <v>0</v>
      </c>
      <c r="BA1708" s="200" t="s">
        <v>200</v>
      </c>
      <c r="BB1708" s="273">
        <v>0</v>
      </c>
      <c r="BC1708" s="276">
        <v>0</v>
      </c>
      <c r="BD1708" s="174">
        <v>1</v>
      </c>
      <c r="BE1708" s="273" t="s">
        <v>3678</v>
      </c>
      <c r="BF1708" s="273" t="s">
        <v>3988</v>
      </c>
      <c r="BG1708" s="273">
        <v>0</v>
      </c>
      <c r="BH1708" s="278">
        <v>0</v>
      </c>
      <c r="BI1708" s="175">
        <v>0</v>
      </c>
      <c r="BJ1708" s="273">
        <v>0</v>
      </c>
      <c r="BK1708" s="273">
        <v>0</v>
      </c>
      <c r="BL1708" s="273">
        <v>0</v>
      </c>
      <c r="BM1708" s="178">
        <v>0</v>
      </c>
      <c r="BN1708" s="175">
        <v>0</v>
      </c>
      <c r="BO1708" s="175">
        <v>0</v>
      </c>
      <c r="BP1708" s="175">
        <v>0</v>
      </c>
      <c r="BQ1708" s="175">
        <v>0</v>
      </c>
      <c r="BR1708" s="175">
        <v>0</v>
      </c>
      <c r="BS1708" s="175">
        <v>0</v>
      </c>
      <c r="BT1708" s="12">
        <v>0</v>
      </c>
      <c r="BU1708" s="47">
        <v>0</v>
      </c>
      <c r="BV1708" s="47"/>
      <c r="BW1708" s="47"/>
    </row>
    <row r="1709" spans="3:75" ht="20.100000000000001" customHeight="1">
      <c r="C1709" s="176">
        <v>69053032</v>
      </c>
      <c r="D1709" s="271" t="s">
        <v>2121</v>
      </c>
      <c r="E1709" s="271" t="s">
        <v>2122</v>
      </c>
      <c r="F1709" s="272">
        <v>1</v>
      </c>
      <c r="G1709" s="272">
        <v>62023201</v>
      </c>
      <c r="H1709" s="273">
        <v>0</v>
      </c>
      <c r="I1709" s="273">
        <v>0</v>
      </c>
      <c r="J1709" s="272">
        <v>1</v>
      </c>
      <c r="K1709" s="272">
        <v>0</v>
      </c>
      <c r="L1709" s="273">
        <v>0</v>
      </c>
      <c r="M1709" s="273">
        <v>0</v>
      </c>
      <c r="N1709" s="273" t="s">
        <v>3683</v>
      </c>
      <c r="O1709" s="273">
        <v>3</v>
      </c>
      <c r="P1709" s="273">
        <v>0</v>
      </c>
      <c r="Q1709" s="273">
        <v>0</v>
      </c>
      <c r="R1709" s="273">
        <v>0</v>
      </c>
      <c r="S1709" s="175">
        <v>0</v>
      </c>
      <c r="T1709" s="273">
        <v>0</v>
      </c>
      <c r="U1709" s="172">
        <v>1</v>
      </c>
      <c r="V1709" s="273">
        <v>0</v>
      </c>
      <c r="W1709" s="273">
        <v>0</v>
      </c>
      <c r="X1709" s="273">
        <v>0</v>
      </c>
      <c r="Y1709" s="12">
        <v>0</v>
      </c>
      <c r="Z1709" s="273">
        <v>0</v>
      </c>
      <c r="AA1709" s="273">
        <v>0</v>
      </c>
      <c r="AB1709" s="273">
        <v>0</v>
      </c>
      <c r="AC1709" s="273">
        <v>0</v>
      </c>
      <c r="AD1709" s="272">
        <v>0</v>
      </c>
      <c r="AE1709" s="273">
        <v>0</v>
      </c>
      <c r="AF1709" s="273">
        <v>0</v>
      </c>
      <c r="AG1709" s="273">
        <v>0</v>
      </c>
      <c r="AH1709" s="273">
        <v>0</v>
      </c>
      <c r="AI1709" s="273">
        <v>0</v>
      </c>
      <c r="AJ1709" s="273">
        <v>0</v>
      </c>
      <c r="AK1709" s="175">
        <v>0</v>
      </c>
      <c r="AL1709" s="273">
        <v>0</v>
      </c>
      <c r="AM1709" s="273">
        <v>0</v>
      </c>
      <c r="AN1709" s="273">
        <v>0</v>
      </c>
      <c r="AO1709" s="273">
        <v>0</v>
      </c>
      <c r="AP1709" s="273">
        <v>0</v>
      </c>
      <c r="AQ1709" s="273">
        <v>0</v>
      </c>
      <c r="AR1709" s="273">
        <v>0</v>
      </c>
      <c r="AS1709" s="273">
        <v>0</v>
      </c>
      <c r="AT1709" s="274">
        <v>0</v>
      </c>
      <c r="AU1709" s="273">
        <v>0</v>
      </c>
      <c r="AV1709" s="273"/>
      <c r="AW1709" s="271">
        <v>0</v>
      </c>
      <c r="AX1709" s="273">
        <v>0</v>
      </c>
      <c r="AY1709" s="273">
        <v>0</v>
      </c>
      <c r="AZ1709" s="273">
        <v>0</v>
      </c>
      <c r="BA1709" s="200" t="s">
        <v>200</v>
      </c>
      <c r="BB1709" s="273">
        <v>0</v>
      </c>
      <c r="BC1709" s="276">
        <v>0</v>
      </c>
      <c r="BD1709" s="174">
        <v>1</v>
      </c>
      <c r="BE1709" s="273" t="s">
        <v>3681</v>
      </c>
      <c r="BF1709" s="273" t="s">
        <v>3989</v>
      </c>
      <c r="BG1709" s="273">
        <v>0</v>
      </c>
      <c r="BH1709" s="278">
        <v>0</v>
      </c>
      <c r="BI1709" s="175">
        <v>0</v>
      </c>
      <c r="BJ1709" s="273">
        <v>0</v>
      </c>
      <c r="BK1709" s="273">
        <v>0</v>
      </c>
      <c r="BL1709" s="273">
        <v>0</v>
      </c>
      <c r="BM1709" s="178">
        <v>0</v>
      </c>
      <c r="BN1709" s="175">
        <v>0</v>
      </c>
      <c r="BO1709" s="175">
        <v>0</v>
      </c>
      <c r="BP1709" s="175">
        <v>0</v>
      </c>
      <c r="BQ1709" s="175">
        <v>0</v>
      </c>
      <c r="BR1709" s="175">
        <v>0</v>
      </c>
      <c r="BS1709" s="175">
        <v>0</v>
      </c>
      <c r="BT1709" s="12">
        <v>0</v>
      </c>
      <c r="BU1709" s="47">
        <v>0</v>
      </c>
      <c r="BV1709" s="47"/>
      <c r="BW1709" s="47"/>
    </row>
    <row r="1710" spans="3:75" ht="20.100000000000001" customHeight="1">
      <c r="C1710" s="176">
        <v>69053033</v>
      </c>
      <c r="D1710" s="271" t="s">
        <v>2128</v>
      </c>
      <c r="E1710" s="271" t="s">
        <v>2129</v>
      </c>
      <c r="F1710" s="272">
        <v>1</v>
      </c>
      <c r="G1710" s="272">
        <v>62023301</v>
      </c>
      <c r="H1710" s="273">
        <v>0</v>
      </c>
      <c r="I1710" s="273">
        <v>0</v>
      </c>
      <c r="J1710" s="272">
        <v>1</v>
      </c>
      <c r="K1710" s="272">
        <v>0</v>
      </c>
      <c r="L1710" s="273">
        <v>0</v>
      </c>
      <c r="M1710" s="273">
        <v>0</v>
      </c>
      <c r="N1710" s="273" t="s">
        <v>3686</v>
      </c>
      <c r="O1710" s="273">
        <v>3</v>
      </c>
      <c r="P1710" s="273">
        <v>0</v>
      </c>
      <c r="Q1710" s="273">
        <v>0</v>
      </c>
      <c r="R1710" s="273">
        <v>0</v>
      </c>
      <c r="S1710" s="175">
        <v>0</v>
      </c>
      <c r="T1710" s="273">
        <v>0</v>
      </c>
      <c r="U1710" s="172">
        <v>1</v>
      </c>
      <c r="V1710" s="273">
        <v>0</v>
      </c>
      <c r="W1710" s="273">
        <v>0</v>
      </c>
      <c r="X1710" s="273">
        <v>0</v>
      </c>
      <c r="Y1710" s="12">
        <v>0</v>
      </c>
      <c r="Z1710" s="273">
        <v>0</v>
      </c>
      <c r="AA1710" s="273">
        <v>0</v>
      </c>
      <c r="AB1710" s="273">
        <v>0</v>
      </c>
      <c r="AC1710" s="273">
        <v>0</v>
      </c>
      <c r="AD1710" s="272">
        <v>0</v>
      </c>
      <c r="AE1710" s="273">
        <v>0</v>
      </c>
      <c r="AF1710" s="273">
        <v>0</v>
      </c>
      <c r="AG1710" s="273">
        <v>0</v>
      </c>
      <c r="AH1710" s="273">
        <v>0</v>
      </c>
      <c r="AI1710" s="273">
        <v>0</v>
      </c>
      <c r="AJ1710" s="273">
        <v>0</v>
      </c>
      <c r="AK1710" s="175">
        <v>0</v>
      </c>
      <c r="AL1710" s="273">
        <v>0</v>
      </c>
      <c r="AM1710" s="273">
        <v>0</v>
      </c>
      <c r="AN1710" s="273">
        <v>0</v>
      </c>
      <c r="AO1710" s="273">
        <v>0</v>
      </c>
      <c r="AP1710" s="273">
        <v>0</v>
      </c>
      <c r="AQ1710" s="273">
        <v>0</v>
      </c>
      <c r="AR1710" s="273">
        <v>0</v>
      </c>
      <c r="AS1710" s="273">
        <v>0</v>
      </c>
      <c r="AT1710" s="274">
        <v>0</v>
      </c>
      <c r="AU1710" s="273">
        <v>0</v>
      </c>
      <c r="AV1710" s="273"/>
      <c r="AW1710" s="271">
        <v>0</v>
      </c>
      <c r="AX1710" s="273">
        <v>0</v>
      </c>
      <c r="AY1710" s="273">
        <v>0</v>
      </c>
      <c r="AZ1710" s="273">
        <v>0</v>
      </c>
      <c r="BA1710" s="200" t="s">
        <v>200</v>
      </c>
      <c r="BB1710" s="273">
        <v>0</v>
      </c>
      <c r="BC1710" s="276">
        <v>0</v>
      </c>
      <c r="BD1710" s="174">
        <v>1</v>
      </c>
      <c r="BE1710" s="273" t="s">
        <v>3684</v>
      </c>
      <c r="BF1710" s="273" t="s">
        <v>3990</v>
      </c>
      <c r="BG1710" s="273">
        <v>0</v>
      </c>
      <c r="BH1710" s="278">
        <v>0</v>
      </c>
      <c r="BI1710" s="175">
        <v>0</v>
      </c>
      <c r="BJ1710" s="273">
        <v>0</v>
      </c>
      <c r="BK1710" s="273">
        <v>0</v>
      </c>
      <c r="BL1710" s="273">
        <v>0</v>
      </c>
      <c r="BM1710" s="178">
        <v>0</v>
      </c>
      <c r="BN1710" s="175">
        <v>0</v>
      </c>
      <c r="BO1710" s="175">
        <v>0</v>
      </c>
      <c r="BP1710" s="175">
        <v>0</v>
      </c>
      <c r="BQ1710" s="175">
        <v>0</v>
      </c>
      <c r="BR1710" s="175">
        <v>0</v>
      </c>
      <c r="BS1710" s="175">
        <v>0</v>
      </c>
      <c r="BT1710" s="12">
        <v>0</v>
      </c>
      <c r="BU1710" s="47">
        <v>0</v>
      </c>
      <c r="BV1710" s="47"/>
      <c r="BW1710" s="47"/>
    </row>
    <row r="1711" spans="3:75" ht="20.100000000000001" customHeight="1">
      <c r="C1711" s="176">
        <v>69053034</v>
      </c>
      <c r="D1711" s="271" t="s">
        <v>2135</v>
      </c>
      <c r="E1711" s="271" t="s">
        <v>2136</v>
      </c>
      <c r="F1711" s="272">
        <v>1</v>
      </c>
      <c r="G1711" s="272">
        <v>62023401</v>
      </c>
      <c r="H1711" s="273">
        <v>0</v>
      </c>
      <c r="I1711" s="273">
        <v>0</v>
      </c>
      <c r="J1711" s="272">
        <v>1</v>
      </c>
      <c r="K1711" s="272">
        <v>0</v>
      </c>
      <c r="L1711" s="273">
        <v>0</v>
      </c>
      <c r="M1711" s="273">
        <v>0</v>
      </c>
      <c r="N1711" s="273" t="s">
        <v>3689</v>
      </c>
      <c r="O1711" s="273">
        <v>3</v>
      </c>
      <c r="P1711" s="273">
        <v>0</v>
      </c>
      <c r="Q1711" s="273">
        <v>0</v>
      </c>
      <c r="R1711" s="273">
        <v>0</v>
      </c>
      <c r="S1711" s="175">
        <v>0</v>
      </c>
      <c r="T1711" s="273">
        <v>0</v>
      </c>
      <c r="U1711" s="172">
        <v>1</v>
      </c>
      <c r="V1711" s="273">
        <v>0</v>
      </c>
      <c r="W1711" s="273">
        <v>0</v>
      </c>
      <c r="X1711" s="273">
        <v>0</v>
      </c>
      <c r="Y1711" s="12">
        <v>0</v>
      </c>
      <c r="Z1711" s="273">
        <v>0</v>
      </c>
      <c r="AA1711" s="273">
        <v>0</v>
      </c>
      <c r="AB1711" s="273">
        <v>0</v>
      </c>
      <c r="AC1711" s="273">
        <v>0</v>
      </c>
      <c r="AD1711" s="272">
        <v>0</v>
      </c>
      <c r="AE1711" s="273">
        <v>0</v>
      </c>
      <c r="AF1711" s="273">
        <v>0</v>
      </c>
      <c r="AG1711" s="273">
        <v>0</v>
      </c>
      <c r="AH1711" s="273">
        <v>0</v>
      </c>
      <c r="AI1711" s="273">
        <v>0</v>
      </c>
      <c r="AJ1711" s="273">
        <v>0</v>
      </c>
      <c r="AK1711" s="175">
        <v>0</v>
      </c>
      <c r="AL1711" s="273">
        <v>0</v>
      </c>
      <c r="AM1711" s="273">
        <v>0</v>
      </c>
      <c r="AN1711" s="273">
        <v>0</v>
      </c>
      <c r="AO1711" s="273">
        <v>0</v>
      </c>
      <c r="AP1711" s="273">
        <v>0</v>
      </c>
      <c r="AQ1711" s="273">
        <v>0</v>
      </c>
      <c r="AR1711" s="273">
        <v>0</v>
      </c>
      <c r="AS1711" s="273">
        <v>0</v>
      </c>
      <c r="AT1711" s="274">
        <v>0</v>
      </c>
      <c r="AU1711" s="273">
        <v>0</v>
      </c>
      <c r="AV1711" s="273"/>
      <c r="AW1711" s="271">
        <v>0</v>
      </c>
      <c r="AX1711" s="273">
        <v>0</v>
      </c>
      <c r="AY1711" s="273">
        <v>0</v>
      </c>
      <c r="AZ1711" s="273">
        <v>0</v>
      </c>
      <c r="BA1711" s="200" t="s">
        <v>200</v>
      </c>
      <c r="BB1711" s="273">
        <v>0</v>
      </c>
      <c r="BC1711" s="276">
        <v>0</v>
      </c>
      <c r="BD1711" s="174">
        <v>1</v>
      </c>
      <c r="BE1711" s="273" t="s">
        <v>3687</v>
      </c>
      <c r="BF1711" s="273" t="s">
        <v>3991</v>
      </c>
      <c r="BG1711" s="273">
        <v>0</v>
      </c>
      <c r="BH1711" s="278">
        <v>0</v>
      </c>
      <c r="BI1711" s="175">
        <v>0</v>
      </c>
      <c r="BJ1711" s="273">
        <v>0</v>
      </c>
      <c r="BK1711" s="273">
        <v>0</v>
      </c>
      <c r="BL1711" s="273">
        <v>0</v>
      </c>
      <c r="BM1711" s="178">
        <v>0</v>
      </c>
      <c r="BN1711" s="175">
        <v>0</v>
      </c>
      <c r="BO1711" s="175">
        <v>0</v>
      </c>
      <c r="BP1711" s="175">
        <v>0</v>
      </c>
      <c r="BQ1711" s="175">
        <v>0</v>
      </c>
      <c r="BR1711" s="175">
        <v>0</v>
      </c>
      <c r="BS1711" s="175">
        <v>0</v>
      </c>
      <c r="BT1711" s="12">
        <v>0</v>
      </c>
      <c r="BU1711" s="47">
        <v>0</v>
      </c>
      <c r="BV1711" s="47"/>
      <c r="BW1711" s="47"/>
    </row>
    <row r="1712" spans="3:75" ht="20.100000000000001" customHeight="1">
      <c r="C1712" s="18">
        <v>69054001</v>
      </c>
      <c r="D1712" s="255" t="s">
        <v>1422</v>
      </c>
      <c r="E1712" s="255" t="s">
        <v>2175</v>
      </c>
      <c r="F1712" s="74">
        <v>1</v>
      </c>
      <c r="G1712" s="74">
        <v>63011101</v>
      </c>
      <c r="H1712" s="72">
        <v>0</v>
      </c>
      <c r="I1712" s="72">
        <v>0</v>
      </c>
      <c r="J1712" s="74">
        <v>1</v>
      </c>
      <c r="K1712" s="74">
        <v>0</v>
      </c>
      <c r="L1712" s="72">
        <v>0</v>
      </c>
      <c r="M1712" s="72">
        <v>0</v>
      </c>
      <c r="N1712" s="72" t="s">
        <v>3992</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5">
        <v>0</v>
      </c>
      <c r="AX1712" s="72">
        <v>0</v>
      </c>
      <c r="AY1712" s="72">
        <v>0</v>
      </c>
      <c r="AZ1712" s="72">
        <v>0</v>
      </c>
      <c r="BA1712" s="13" t="s">
        <v>200</v>
      </c>
      <c r="BB1712" s="72">
        <v>0</v>
      </c>
      <c r="BC1712" s="263">
        <v>0</v>
      </c>
      <c r="BD1712" s="27">
        <v>1</v>
      </c>
      <c r="BE1712" s="255" t="s">
        <v>3993</v>
      </c>
      <c r="BF1712" s="255" t="s">
        <v>3994</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69054002</v>
      </c>
      <c r="D1713" s="255" t="s">
        <v>1429</v>
      </c>
      <c r="E1713" s="255" t="s">
        <v>1430</v>
      </c>
      <c r="F1713" s="74">
        <v>1</v>
      </c>
      <c r="G1713" s="74">
        <v>63011201</v>
      </c>
      <c r="H1713" s="72">
        <v>0</v>
      </c>
      <c r="I1713" s="72">
        <v>0</v>
      </c>
      <c r="J1713" s="74">
        <v>1</v>
      </c>
      <c r="K1713" s="74">
        <v>0</v>
      </c>
      <c r="L1713" s="72">
        <v>0</v>
      </c>
      <c r="M1713" s="72">
        <v>0</v>
      </c>
      <c r="N1713" s="72" t="s">
        <v>3995</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5">
        <v>0</v>
      </c>
      <c r="AX1713" s="72">
        <v>0</v>
      </c>
      <c r="AY1713" s="72">
        <v>0</v>
      </c>
      <c r="AZ1713" s="72">
        <v>0</v>
      </c>
      <c r="BA1713" s="13" t="s">
        <v>200</v>
      </c>
      <c r="BB1713" s="72">
        <v>0</v>
      </c>
      <c r="BC1713" s="263">
        <v>0</v>
      </c>
      <c r="BD1713" s="27">
        <v>1</v>
      </c>
      <c r="BE1713" s="255" t="s">
        <v>3996</v>
      </c>
      <c r="BF1713" s="255" t="s">
        <v>3997</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69054003</v>
      </c>
      <c r="D1714" s="255" t="s">
        <v>2190</v>
      </c>
      <c r="E1714" s="255" t="s">
        <v>2191</v>
      </c>
      <c r="F1714" s="74">
        <v>1</v>
      </c>
      <c r="G1714" s="74">
        <v>63011301</v>
      </c>
      <c r="H1714" s="72">
        <v>0</v>
      </c>
      <c r="I1714" s="72">
        <v>0</v>
      </c>
      <c r="J1714" s="74">
        <v>1</v>
      </c>
      <c r="K1714" s="74">
        <v>0</v>
      </c>
      <c r="L1714" s="72">
        <v>0</v>
      </c>
      <c r="M1714" s="72">
        <v>0</v>
      </c>
      <c r="N1714" s="72" t="s">
        <v>3998</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5">
        <v>0</v>
      </c>
      <c r="AX1714" s="72">
        <v>0</v>
      </c>
      <c r="AY1714" s="72">
        <v>0</v>
      </c>
      <c r="AZ1714" s="72">
        <v>0</v>
      </c>
      <c r="BA1714" s="13" t="s">
        <v>200</v>
      </c>
      <c r="BB1714" s="72">
        <v>0</v>
      </c>
      <c r="BC1714" s="263">
        <v>0</v>
      </c>
      <c r="BD1714" s="27">
        <v>1</v>
      </c>
      <c r="BE1714" s="255" t="s">
        <v>3999</v>
      </c>
      <c r="BF1714" s="255" t="s">
        <v>4000</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69054011</v>
      </c>
      <c r="D1715" s="255" t="s">
        <v>2249</v>
      </c>
      <c r="E1715" s="255" t="s">
        <v>2250</v>
      </c>
      <c r="F1715" s="74">
        <v>1</v>
      </c>
      <c r="G1715" s="74">
        <v>61021101</v>
      </c>
      <c r="H1715" s="72">
        <v>0</v>
      </c>
      <c r="I1715" s="72">
        <v>0</v>
      </c>
      <c r="J1715" s="74">
        <v>1</v>
      </c>
      <c r="K1715" s="74">
        <v>0</v>
      </c>
      <c r="L1715" s="72">
        <v>0</v>
      </c>
      <c r="M1715" s="72">
        <v>0</v>
      </c>
      <c r="N1715" s="72" t="s">
        <v>4001</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5">
        <v>0</v>
      </c>
      <c r="AX1715" s="72">
        <v>0</v>
      </c>
      <c r="AY1715" s="72">
        <v>0</v>
      </c>
      <c r="AZ1715" s="72">
        <v>0</v>
      </c>
      <c r="BA1715" s="13" t="s">
        <v>200</v>
      </c>
      <c r="BB1715" s="72">
        <v>0</v>
      </c>
      <c r="BC1715" s="263">
        <v>0</v>
      </c>
      <c r="BD1715" s="27">
        <v>1</v>
      </c>
      <c r="BE1715" s="72" t="s">
        <v>4002</v>
      </c>
      <c r="BF1715" s="72" t="s">
        <v>4003</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69054012</v>
      </c>
      <c r="D1716" s="255" t="s">
        <v>2256</v>
      </c>
      <c r="E1716" s="255" t="s">
        <v>2257</v>
      </c>
      <c r="F1716" s="74">
        <v>1</v>
      </c>
      <c r="G1716" s="74">
        <v>63021301</v>
      </c>
      <c r="H1716" s="72">
        <v>0</v>
      </c>
      <c r="I1716" s="72">
        <v>0</v>
      </c>
      <c r="J1716" s="74">
        <v>1</v>
      </c>
      <c r="K1716" s="74">
        <v>0</v>
      </c>
      <c r="L1716" s="72">
        <v>0</v>
      </c>
      <c r="M1716" s="72">
        <v>0</v>
      </c>
      <c r="N1716" s="72" t="s">
        <v>4004</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5">
        <v>0</v>
      </c>
      <c r="AX1716" s="72">
        <v>0</v>
      </c>
      <c r="AY1716" s="72">
        <v>0</v>
      </c>
      <c r="AZ1716" s="72">
        <v>0</v>
      </c>
      <c r="BA1716" s="13" t="s">
        <v>200</v>
      </c>
      <c r="BB1716" s="72">
        <v>0</v>
      </c>
      <c r="BC1716" s="263">
        <v>0</v>
      </c>
      <c r="BD1716" s="27">
        <v>1</v>
      </c>
      <c r="BE1716" s="72" t="s">
        <v>4005</v>
      </c>
      <c r="BF1716" s="72" t="s">
        <v>4006</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69054013</v>
      </c>
      <c r="D1717" s="255" t="s">
        <v>2263</v>
      </c>
      <c r="E1717" s="255" t="s">
        <v>2264</v>
      </c>
      <c r="F1717" s="74">
        <v>1</v>
      </c>
      <c r="G1717" s="74">
        <v>63021401</v>
      </c>
      <c r="H1717" s="72">
        <v>0</v>
      </c>
      <c r="I1717" s="72">
        <v>0</v>
      </c>
      <c r="J1717" s="74">
        <v>1</v>
      </c>
      <c r="K1717" s="74">
        <v>0</v>
      </c>
      <c r="L1717" s="72">
        <v>0</v>
      </c>
      <c r="M1717" s="72">
        <v>0</v>
      </c>
      <c r="N1717" s="72" t="s">
        <v>4007</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5">
        <v>0</v>
      </c>
      <c r="AX1717" s="72">
        <v>0</v>
      </c>
      <c r="AY1717" s="72">
        <v>0</v>
      </c>
      <c r="AZ1717" s="72">
        <v>0</v>
      </c>
      <c r="BA1717" s="13" t="s">
        <v>200</v>
      </c>
      <c r="BB1717" s="72">
        <v>0</v>
      </c>
      <c r="BC1717" s="263">
        <v>0</v>
      </c>
      <c r="BD1717" s="27">
        <v>1</v>
      </c>
      <c r="BE1717" s="72" t="s">
        <v>4008</v>
      </c>
      <c r="BF1717" s="72" t="s">
        <v>4009</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69054014</v>
      </c>
      <c r="D1718" s="255" t="s">
        <v>2283</v>
      </c>
      <c r="E1718" s="255" t="s">
        <v>2284</v>
      </c>
      <c r="F1718" s="74">
        <v>1</v>
      </c>
      <c r="G1718" s="74">
        <v>63021501</v>
      </c>
      <c r="H1718" s="72">
        <v>0</v>
      </c>
      <c r="I1718" s="72">
        <v>0</v>
      </c>
      <c r="J1718" s="74">
        <v>1</v>
      </c>
      <c r="K1718" s="74">
        <v>0</v>
      </c>
      <c r="L1718" s="72">
        <v>0</v>
      </c>
      <c r="M1718" s="72">
        <v>0</v>
      </c>
      <c r="N1718" s="72" t="s">
        <v>4010</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5">
        <v>0</v>
      </c>
      <c r="AX1718" s="72">
        <v>0</v>
      </c>
      <c r="AY1718" s="72">
        <v>0</v>
      </c>
      <c r="AZ1718" s="72">
        <v>0</v>
      </c>
      <c r="BA1718" s="13" t="s">
        <v>200</v>
      </c>
      <c r="BB1718" s="72">
        <v>0</v>
      </c>
      <c r="BC1718" s="263">
        <v>0</v>
      </c>
      <c r="BD1718" s="27">
        <v>1</v>
      </c>
      <c r="BE1718" s="72" t="s">
        <v>4011</v>
      </c>
      <c r="BF1718" s="72" t="s">
        <v>4012</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69054021</v>
      </c>
      <c r="D1719" s="255" t="s">
        <v>2298</v>
      </c>
      <c r="E1719" s="255" t="s">
        <v>2299</v>
      </c>
      <c r="F1719" s="74">
        <v>1</v>
      </c>
      <c r="G1719" s="74">
        <v>63022101</v>
      </c>
      <c r="H1719" s="72">
        <v>0</v>
      </c>
      <c r="I1719" s="72">
        <v>0</v>
      </c>
      <c r="J1719" s="74">
        <v>1</v>
      </c>
      <c r="K1719" s="74">
        <v>0</v>
      </c>
      <c r="L1719" s="72">
        <v>0</v>
      </c>
      <c r="M1719" s="72">
        <v>0</v>
      </c>
      <c r="N1719" s="72" t="s">
        <v>4013</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5">
        <v>0</v>
      </c>
      <c r="AX1719" s="72">
        <v>0</v>
      </c>
      <c r="AY1719" s="72">
        <v>0</v>
      </c>
      <c r="AZ1719" s="72">
        <v>0</v>
      </c>
      <c r="BA1719" s="13" t="s">
        <v>200</v>
      </c>
      <c r="BB1719" s="72">
        <v>0</v>
      </c>
      <c r="BC1719" s="263">
        <v>0</v>
      </c>
      <c r="BD1719" s="27">
        <v>1</v>
      </c>
      <c r="BE1719" s="72" t="s">
        <v>4014</v>
      </c>
      <c r="BF1719" s="72" t="s">
        <v>4015</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69054022</v>
      </c>
      <c r="D1720" s="255" t="s">
        <v>2305</v>
      </c>
      <c r="E1720" s="255" t="s">
        <v>2306</v>
      </c>
      <c r="F1720" s="74">
        <v>1</v>
      </c>
      <c r="G1720" s="74">
        <v>63022201</v>
      </c>
      <c r="H1720" s="72">
        <v>0</v>
      </c>
      <c r="I1720" s="72">
        <v>0</v>
      </c>
      <c r="J1720" s="74">
        <v>1</v>
      </c>
      <c r="K1720" s="74">
        <v>0</v>
      </c>
      <c r="L1720" s="72">
        <v>0</v>
      </c>
      <c r="M1720" s="72">
        <v>0</v>
      </c>
      <c r="N1720" s="72" t="s">
        <v>4016</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5">
        <v>0</v>
      </c>
      <c r="AX1720" s="72">
        <v>0</v>
      </c>
      <c r="AY1720" s="72">
        <v>0</v>
      </c>
      <c r="AZ1720" s="72">
        <v>0</v>
      </c>
      <c r="BA1720" s="13" t="s">
        <v>200</v>
      </c>
      <c r="BB1720" s="72">
        <v>0</v>
      </c>
      <c r="BC1720" s="263">
        <v>0</v>
      </c>
      <c r="BD1720" s="27">
        <v>1</v>
      </c>
      <c r="BE1720" s="72" t="s">
        <v>4017</v>
      </c>
      <c r="BF1720" s="72" t="s">
        <v>4018</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69054023</v>
      </c>
      <c r="D1721" s="255" t="s">
        <v>2314</v>
      </c>
      <c r="E1721" s="255" t="s">
        <v>2315</v>
      </c>
      <c r="F1721" s="74">
        <v>1</v>
      </c>
      <c r="G1721" s="74">
        <v>63022301</v>
      </c>
      <c r="H1721" s="72">
        <v>0</v>
      </c>
      <c r="I1721" s="72">
        <v>0</v>
      </c>
      <c r="J1721" s="74">
        <v>1</v>
      </c>
      <c r="K1721" s="74">
        <v>0</v>
      </c>
      <c r="L1721" s="72">
        <v>0</v>
      </c>
      <c r="M1721" s="72">
        <v>0</v>
      </c>
      <c r="N1721" s="72" t="s">
        <v>4019</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5">
        <v>0</v>
      </c>
      <c r="AX1721" s="72">
        <v>0</v>
      </c>
      <c r="AY1721" s="72">
        <v>0</v>
      </c>
      <c r="AZ1721" s="72">
        <v>0</v>
      </c>
      <c r="BA1721" s="13" t="s">
        <v>200</v>
      </c>
      <c r="BB1721" s="72">
        <v>0</v>
      </c>
      <c r="BC1721" s="263">
        <v>0</v>
      </c>
      <c r="BD1721" s="27">
        <v>1</v>
      </c>
      <c r="BE1721" s="72" t="s">
        <v>4020</v>
      </c>
      <c r="BF1721" s="72" t="s">
        <v>4021</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69054024</v>
      </c>
      <c r="D1722" s="255" t="s">
        <v>2327</v>
      </c>
      <c r="E1722" s="255" t="s">
        <v>2328</v>
      </c>
      <c r="F1722" s="74">
        <v>1</v>
      </c>
      <c r="G1722" s="74">
        <v>63022401</v>
      </c>
      <c r="H1722" s="72">
        <v>0</v>
      </c>
      <c r="I1722" s="72">
        <v>0</v>
      </c>
      <c r="J1722" s="74">
        <v>1</v>
      </c>
      <c r="K1722" s="74">
        <v>0</v>
      </c>
      <c r="L1722" s="72">
        <v>0</v>
      </c>
      <c r="M1722" s="72">
        <v>0</v>
      </c>
      <c r="N1722" s="72" t="s">
        <v>4022</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5">
        <v>0</v>
      </c>
      <c r="AX1722" s="72">
        <v>0</v>
      </c>
      <c r="AY1722" s="72">
        <v>0</v>
      </c>
      <c r="AZ1722" s="72">
        <v>0</v>
      </c>
      <c r="BA1722" s="13" t="s">
        <v>200</v>
      </c>
      <c r="BB1722" s="72">
        <v>0</v>
      </c>
      <c r="BC1722" s="263">
        <v>0</v>
      </c>
      <c r="BD1722" s="27">
        <v>1</v>
      </c>
      <c r="BE1722" s="72" t="s">
        <v>4023</v>
      </c>
      <c r="BF1722" s="72" t="s">
        <v>4024</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69054031</v>
      </c>
      <c r="D1723" s="255" t="s">
        <v>2350</v>
      </c>
      <c r="E1723" s="255" t="s">
        <v>2351</v>
      </c>
      <c r="F1723" s="74">
        <v>1</v>
      </c>
      <c r="G1723" s="74">
        <v>63021101</v>
      </c>
      <c r="H1723" s="72">
        <v>0</v>
      </c>
      <c r="I1723" s="72">
        <v>0</v>
      </c>
      <c r="J1723" s="74">
        <v>1</v>
      </c>
      <c r="K1723" s="74">
        <v>0</v>
      </c>
      <c r="L1723" s="72">
        <v>0</v>
      </c>
      <c r="M1723" s="72">
        <v>0</v>
      </c>
      <c r="N1723" s="72" t="s">
        <v>4025</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1">
        <v>0</v>
      </c>
      <c r="AU1723" s="72">
        <v>0</v>
      </c>
      <c r="AV1723" s="72"/>
      <c r="AW1723" s="255">
        <v>0</v>
      </c>
      <c r="AX1723" s="72">
        <v>0</v>
      </c>
      <c r="AY1723" s="72">
        <v>0</v>
      </c>
      <c r="AZ1723" s="72">
        <v>0</v>
      </c>
      <c r="BA1723" s="13" t="s">
        <v>200</v>
      </c>
      <c r="BB1723" s="72">
        <v>0</v>
      </c>
      <c r="BC1723" s="263">
        <v>0</v>
      </c>
      <c r="BD1723" s="27">
        <v>1</v>
      </c>
      <c r="BE1723" s="72" t="s">
        <v>4026</v>
      </c>
      <c r="BF1723" s="72" t="s">
        <v>4027</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18">
        <v>69054032</v>
      </c>
      <c r="D1724" s="255" t="s">
        <v>2359</v>
      </c>
      <c r="E1724" s="255" t="s">
        <v>2360</v>
      </c>
      <c r="F1724" s="74">
        <v>1</v>
      </c>
      <c r="G1724" s="74">
        <v>63023201</v>
      </c>
      <c r="H1724" s="72">
        <v>0</v>
      </c>
      <c r="I1724" s="72">
        <v>0</v>
      </c>
      <c r="J1724" s="74">
        <v>1</v>
      </c>
      <c r="K1724" s="74">
        <v>0</v>
      </c>
      <c r="L1724" s="72">
        <v>0</v>
      </c>
      <c r="M1724" s="72">
        <v>0</v>
      </c>
      <c r="N1724" s="72" t="s">
        <v>4028</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1">
        <v>0</v>
      </c>
      <c r="AU1724" s="72">
        <v>0</v>
      </c>
      <c r="AV1724" s="72"/>
      <c r="AW1724" s="255">
        <v>0</v>
      </c>
      <c r="AX1724" s="72">
        <v>0</v>
      </c>
      <c r="AY1724" s="72">
        <v>0</v>
      </c>
      <c r="AZ1724" s="72">
        <v>0</v>
      </c>
      <c r="BA1724" s="13" t="s">
        <v>200</v>
      </c>
      <c r="BB1724" s="72">
        <v>0</v>
      </c>
      <c r="BC1724" s="263">
        <v>0</v>
      </c>
      <c r="BD1724" s="27">
        <v>1</v>
      </c>
      <c r="BE1724" s="72" t="s">
        <v>4029</v>
      </c>
      <c r="BF1724" s="72" t="s">
        <v>4030</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18">
        <v>69054033</v>
      </c>
      <c r="D1725" s="255" t="s">
        <v>2361</v>
      </c>
      <c r="E1725" s="255" t="s">
        <v>2362</v>
      </c>
      <c r="F1725" s="74">
        <v>1</v>
      </c>
      <c r="G1725" s="74">
        <v>63023301</v>
      </c>
      <c r="H1725" s="72">
        <v>0</v>
      </c>
      <c r="I1725" s="72">
        <v>0</v>
      </c>
      <c r="J1725" s="74">
        <v>1</v>
      </c>
      <c r="K1725" s="74">
        <v>0</v>
      </c>
      <c r="L1725" s="72">
        <v>0</v>
      </c>
      <c r="M1725" s="72">
        <v>0</v>
      </c>
      <c r="N1725" s="72" t="s">
        <v>4031</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1">
        <v>0</v>
      </c>
      <c r="AU1725" s="72">
        <v>0</v>
      </c>
      <c r="AV1725" s="72"/>
      <c r="AW1725" s="255">
        <v>0</v>
      </c>
      <c r="AX1725" s="72">
        <v>0</v>
      </c>
      <c r="AY1725" s="72">
        <v>0</v>
      </c>
      <c r="AZ1725" s="72">
        <v>0</v>
      </c>
      <c r="BA1725" s="13" t="s">
        <v>200</v>
      </c>
      <c r="BB1725" s="72">
        <v>0</v>
      </c>
      <c r="BC1725" s="263">
        <v>0</v>
      </c>
      <c r="BD1725" s="27">
        <v>1</v>
      </c>
      <c r="BE1725" s="72" t="s">
        <v>4032</v>
      </c>
      <c r="BF1725" s="72" t="s">
        <v>4033</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18">
        <v>69054034</v>
      </c>
      <c r="D1726" s="255" t="s">
        <v>2368</v>
      </c>
      <c r="E1726" s="255" t="s">
        <v>2369</v>
      </c>
      <c r="F1726" s="74">
        <v>1</v>
      </c>
      <c r="G1726" s="74">
        <v>63023401</v>
      </c>
      <c r="H1726" s="72">
        <v>0</v>
      </c>
      <c r="I1726" s="72">
        <v>0</v>
      </c>
      <c r="J1726" s="74">
        <v>1</v>
      </c>
      <c r="K1726" s="74">
        <v>0</v>
      </c>
      <c r="L1726" s="72">
        <v>0</v>
      </c>
      <c r="M1726" s="72">
        <v>0</v>
      </c>
      <c r="N1726" s="72" t="s">
        <v>4034</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1">
        <v>0</v>
      </c>
      <c r="AU1726" s="72">
        <v>0</v>
      </c>
      <c r="AV1726" s="72"/>
      <c r="AW1726" s="255">
        <v>0</v>
      </c>
      <c r="AX1726" s="72">
        <v>0</v>
      </c>
      <c r="AY1726" s="72">
        <v>0</v>
      </c>
      <c r="AZ1726" s="72">
        <v>0</v>
      </c>
      <c r="BA1726" s="13" t="s">
        <v>200</v>
      </c>
      <c r="BB1726" s="72">
        <v>0</v>
      </c>
      <c r="BC1726" s="263">
        <v>0</v>
      </c>
      <c r="BD1726" s="27">
        <v>1</v>
      </c>
      <c r="BE1726" s="72" t="s">
        <v>4035</v>
      </c>
      <c r="BF1726" s="72" t="s">
        <v>4036</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row>
    <row r="1727" spans="3:75" s="1" customFormat="1" ht="20.100000000000001" customHeight="1">
      <c r="C1727" s="64">
        <v>69055001</v>
      </c>
      <c r="D1727" s="256" t="s">
        <v>1443</v>
      </c>
      <c r="E1727" s="256" t="s">
        <v>1573</v>
      </c>
      <c r="F1727" s="257">
        <v>1</v>
      </c>
      <c r="G1727" s="64">
        <v>65011101</v>
      </c>
      <c r="H1727" s="258">
        <v>0</v>
      </c>
      <c r="I1727" s="258">
        <v>0</v>
      </c>
      <c r="J1727" s="257">
        <v>1</v>
      </c>
      <c r="K1727" s="257">
        <v>0</v>
      </c>
      <c r="L1727" s="258">
        <v>0</v>
      </c>
      <c r="M1727" s="258">
        <v>0</v>
      </c>
      <c r="N1727" s="258" t="s">
        <v>4037</v>
      </c>
      <c r="O1727" s="258">
        <v>3</v>
      </c>
      <c r="P1727" s="258">
        <v>0</v>
      </c>
      <c r="Q1727" s="258">
        <v>0</v>
      </c>
      <c r="R1727" s="258">
        <v>0</v>
      </c>
      <c r="S1727" s="68">
        <v>0</v>
      </c>
      <c r="T1727" s="258">
        <v>0</v>
      </c>
      <c r="U1727" s="60">
        <v>1</v>
      </c>
      <c r="V1727" s="258">
        <v>0</v>
      </c>
      <c r="W1727" s="258">
        <v>0</v>
      </c>
      <c r="X1727" s="258">
        <v>0</v>
      </c>
      <c r="Y1727" s="68">
        <v>0</v>
      </c>
      <c r="Z1727" s="258">
        <v>0</v>
      </c>
      <c r="AA1727" s="258">
        <v>0</v>
      </c>
      <c r="AB1727" s="258">
        <v>0</v>
      </c>
      <c r="AC1727" s="258">
        <v>0</v>
      </c>
      <c r="AD1727" s="257">
        <v>0</v>
      </c>
      <c r="AE1727" s="258">
        <v>0</v>
      </c>
      <c r="AF1727" s="258">
        <v>0</v>
      </c>
      <c r="AG1727" s="258">
        <v>0</v>
      </c>
      <c r="AH1727" s="258">
        <v>0</v>
      </c>
      <c r="AI1727" s="258">
        <v>0</v>
      </c>
      <c r="AJ1727" s="258">
        <v>0</v>
      </c>
      <c r="AK1727" s="68">
        <v>0</v>
      </c>
      <c r="AL1727" s="258">
        <v>0</v>
      </c>
      <c r="AM1727" s="258">
        <v>0</v>
      </c>
      <c r="AN1727" s="258">
        <v>0</v>
      </c>
      <c r="AO1727" s="258">
        <v>0</v>
      </c>
      <c r="AP1727" s="258">
        <v>0</v>
      </c>
      <c r="AQ1727" s="258">
        <v>0</v>
      </c>
      <c r="AR1727" s="258">
        <v>0</v>
      </c>
      <c r="AS1727" s="258">
        <v>0</v>
      </c>
      <c r="AT1727" s="275">
        <v>0</v>
      </c>
      <c r="AU1727" s="258">
        <v>0</v>
      </c>
      <c r="AV1727" s="258"/>
      <c r="AW1727" s="256">
        <v>0</v>
      </c>
      <c r="AX1727" s="258">
        <v>0</v>
      </c>
      <c r="AY1727" s="258">
        <v>0</v>
      </c>
      <c r="AZ1727" s="258">
        <v>0</v>
      </c>
      <c r="BA1727" s="124" t="s">
        <v>200</v>
      </c>
      <c r="BB1727" s="258">
        <v>0</v>
      </c>
      <c r="BC1727" s="277">
        <v>0</v>
      </c>
      <c r="BD1727" s="66">
        <v>1</v>
      </c>
      <c r="BE1727" s="256" t="s">
        <v>4038</v>
      </c>
      <c r="BF1727" s="256"/>
      <c r="BG1727" s="258">
        <v>0</v>
      </c>
      <c r="BH1727" s="135">
        <v>0</v>
      </c>
      <c r="BI1727" s="68">
        <v>0</v>
      </c>
      <c r="BJ1727" s="258">
        <v>0</v>
      </c>
      <c r="BK1727" s="258">
        <v>0</v>
      </c>
      <c r="BL1727" s="258">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69055002</v>
      </c>
      <c r="D1728" s="256" t="s">
        <v>1450</v>
      </c>
      <c r="E1728" s="256" t="s">
        <v>1638</v>
      </c>
      <c r="F1728" s="257">
        <v>1</v>
      </c>
      <c r="G1728" s="64">
        <v>65011201</v>
      </c>
      <c r="H1728" s="258">
        <v>0</v>
      </c>
      <c r="I1728" s="258">
        <v>0</v>
      </c>
      <c r="J1728" s="257">
        <v>1</v>
      </c>
      <c r="K1728" s="257">
        <v>0</v>
      </c>
      <c r="L1728" s="258">
        <v>0</v>
      </c>
      <c r="M1728" s="258">
        <v>0</v>
      </c>
      <c r="N1728" s="258" t="s">
        <v>4039</v>
      </c>
      <c r="O1728" s="258">
        <v>3</v>
      </c>
      <c r="P1728" s="258">
        <v>0</v>
      </c>
      <c r="Q1728" s="258">
        <v>0</v>
      </c>
      <c r="R1728" s="258">
        <v>0</v>
      </c>
      <c r="S1728" s="68">
        <v>0</v>
      </c>
      <c r="T1728" s="258">
        <v>0</v>
      </c>
      <c r="U1728" s="60">
        <v>1</v>
      </c>
      <c r="V1728" s="258">
        <v>0</v>
      </c>
      <c r="W1728" s="258">
        <v>0</v>
      </c>
      <c r="X1728" s="258">
        <v>0</v>
      </c>
      <c r="Y1728" s="68">
        <v>0</v>
      </c>
      <c r="Z1728" s="258">
        <v>0</v>
      </c>
      <c r="AA1728" s="258">
        <v>0</v>
      </c>
      <c r="AB1728" s="258">
        <v>0</v>
      </c>
      <c r="AC1728" s="258">
        <v>0</v>
      </c>
      <c r="AD1728" s="257">
        <v>0</v>
      </c>
      <c r="AE1728" s="258">
        <v>0</v>
      </c>
      <c r="AF1728" s="258">
        <v>0</v>
      </c>
      <c r="AG1728" s="258">
        <v>0</v>
      </c>
      <c r="AH1728" s="258">
        <v>0</v>
      </c>
      <c r="AI1728" s="258">
        <v>0</v>
      </c>
      <c r="AJ1728" s="258">
        <v>0</v>
      </c>
      <c r="AK1728" s="68">
        <v>0</v>
      </c>
      <c r="AL1728" s="258">
        <v>0</v>
      </c>
      <c r="AM1728" s="258">
        <v>0</v>
      </c>
      <c r="AN1728" s="258">
        <v>0</v>
      </c>
      <c r="AO1728" s="258">
        <v>0</v>
      </c>
      <c r="AP1728" s="258">
        <v>0</v>
      </c>
      <c r="AQ1728" s="258">
        <v>0</v>
      </c>
      <c r="AR1728" s="258">
        <v>0</v>
      </c>
      <c r="AS1728" s="258">
        <v>0</v>
      </c>
      <c r="AT1728" s="275">
        <v>0</v>
      </c>
      <c r="AU1728" s="258">
        <v>0</v>
      </c>
      <c r="AV1728" s="258"/>
      <c r="AW1728" s="256">
        <v>0</v>
      </c>
      <c r="AX1728" s="258">
        <v>0</v>
      </c>
      <c r="AY1728" s="258">
        <v>0</v>
      </c>
      <c r="AZ1728" s="258">
        <v>0</v>
      </c>
      <c r="BA1728" s="124" t="s">
        <v>200</v>
      </c>
      <c r="BB1728" s="258">
        <v>0</v>
      </c>
      <c r="BC1728" s="277">
        <v>0</v>
      </c>
      <c r="BD1728" s="66">
        <v>1</v>
      </c>
      <c r="BE1728" s="256" t="s">
        <v>4040</v>
      </c>
      <c r="BF1728" s="256"/>
      <c r="BG1728" s="258">
        <v>0</v>
      </c>
      <c r="BH1728" s="135">
        <v>0</v>
      </c>
      <c r="BI1728" s="68">
        <v>0</v>
      </c>
      <c r="BJ1728" s="258">
        <v>0</v>
      </c>
      <c r="BK1728" s="258">
        <v>0</v>
      </c>
      <c r="BL1728" s="258">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69055003</v>
      </c>
      <c r="D1729" s="256" t="s">
        <v>1457</v>
      </c>
      <c r="E1729" s="256" t="s">
        <v>1488</v>
      </c>
      <c r="F1729" s="257">
        <v>1</v>
      </c>
      <c r="G1729" s="64">
        <v>65011301</v>
      </c>
      <c r="H1729" s="258">
        <v>0</v>
      </c>
      <c r="I1729" s="258">
        <v>0</v>
      </c>
      <c r="J1729" s="257">
        <v>1</v>
      </c>
      <c r="K1729" s="257">
        <v>0</v>
      </c>
      <c r="L1729" s="258">
        <v>0</v>
      </c>
      <c r="M1729" s="258">
        <v>0</v>
      </c>
      <c r="N1729" s="258" t="s">
        <v>4041</v>
      </c>
      <c r="O1729" s="258">
        <v>3</v>
      </c>
      <c r="P1729" s="258">
        <v>0</v>
      </c>
      <c r="Q1729" s="258">
        <v>0</v>
      </c>
      <c r="R1729" s="258">
        <v>0</v>
      </c>
      <c r="S1729" s="68">
        <v>0</v>
      </c>
      <c r="T1729" s="258">
        <v>0</v>
      </c>
      <c r="U1729" s="60">
        <v>1</v>
      </c>
      <c r="V1729" s="258">
        <v>0</v>
      </c>
      <c r="W1729" s="258">
        <v>0</v>
      </c>
      <c r="X1729" s="258">
        <v>0</v>
      </c>
      <c r="Y1729" s="68">
        <v>0</v>
      </c>
      <c r="Z1729" s="258">
        <v>0</v>
      </c>
      <c r="AA1729" s="258">
        <v>0</v>
      </c>
      <c r="AB1729" s="258">
        <v>0</v>
      </c>
      <c r="AC1729" s="258">
        <v>0</v>
      </c>
      <c r="AD1729" s="257">
        <v>0</v>
      </c>
      <c r="AE1729" s="258">
        <v>0</v>
      </c>
      <c r="AF1729" s="258">
        <v>0</v>
      </c>
      <c r="AG1729" s="258">
        <v>0</v>
      </c>
      <c r="AH1729" s="258">
        <v>0</v>
      </c>
      <c r="AI1729" s="258">
        <v>0</v>
      </c>
      <c r="AJ1729" s="258">
        <v>0</v>
      </c>
      <c r="AK1729" s="68">
        <v>0</v>
      </c>
      <c r="AL1729" s="258">
        <v>0</v>
      </c>
      <c r="AM1729" s="258">
        <v>0</v>
      </c>
      <c r="AN1729" s="258">
        <v>0</v>
      </c>
      <c r="AO1729" s="258">
        <v>0</v>
      </c>
      <c r="AP1729" s="258">
        <v>0</v>
      </c>
      <c r="AQ1729" s="258">
        <v>0</v>
      </c>
      <c r="AR1729" s="258">
        <v>0</v>
      </c>
      <c r="AS1729" s="258">
        <v>0</v>
      </c>
      <c r="AT1729" s="275">
        <v>0</v>
      </c>
      <c r="AU1729" s="258">
        <v>0</v>
      </c>
      <c r="AV1729" s="258"/>
      <c r="AW1729" s="256">
        <v>0</v>
      </c>
      <c r="AX1729" s="258">
        <v>0</v>
      </c>
      <c r="AY1729" s="258">
        <v>0</v>
      </c>
      <c r="AZ1729" s="258">
        <v>0</v>
      </c>
      <c r="BA1729" s="124" t="s">
        <v>200</v>
      </c>
      <c r="BB1729" s="258">
        <v>0</v>
      </c>
      <c r="BC1729" s="277">
        <v>0</v>
      </c>
      <c r="BD1729" s="66">
        <v>1</v>
      </c>
      <c r="BE1729" s="256" t="s">
        <v>4042</v>
      </c>
      <c r="BF1729" s="256"/>
      <c r="BG1729" s="258">
        <v>0</v>
      </c>
      <c r="BH1729" s="135">
        <v>0</v>
      </c>
      <c r="BI1729" s="68">
        <v>0</v>
      </c>
      <c r="BJ1729" s="258">
        <v>0</v>
      </c>
      <c r="BK1729" s="258">
        <v>0</v>
      </c>
      <c r="BL1729" s="258">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69055011</v>
      </c>
      <c r="D1730" s="256" t="s">
        <v>2431</v>
      </c>
      <c r="E1730" s="256" t="s">
        <v>1564</v>
      </c>
      <c r="F1730" s="257">
        <v>1</v>
      </c>
      <c r="G1730" s="64">
        <v>65013101</v>
      </c>
      <c r="H1730" s="258">
        <v>0</v>
      </c>
      <c r="I1730" s="258">
        <v>0</v>
      </c>
      <c r="J1730" s="257">
        <v>1</v>
      </c>
      <c r="K1730" s="257">
        <v>0</v>
      </c>
      <c r="L1730" s="258">
        <v>0</v>
      </c>
      <c r="M1730" s="258">
        <v>0</v>
      </c>
      <c r="N1730" s="258" t="s">
        <v>4043</v>
      </c>
      <c r="O1730" s="258">
        <v>3</v>
      </c>
      <c r="P1730" s="258">
        <v>0</v>
      </c>
      <c r="Q1730" s="258">
        <v>0</v>
      </c>
      <c r="R1730" s="258">
        <v>0</v>
      </c>
      <c r="S1730" s="68">
        <v>0</v>
      </c>
      <c r="T1730" s="258">
        <v>0</v>
      </c>
      <c r="U1730" s="60">
        <v>1</v>
      </c>
      <c r="V1730" s="258">
        <v>0</v>
      </c>
      <c r="W1730" s="258">
        <v>0</v>
      </c>
      <c r="X1730" s="258">
        <v>0</v>
      </c>
      <c r="Y1730" s="68">
        <v>0</v>
      </c>
      <c r="Z1730" s="258">
        <v>0</v>
      </c>
      <c r="AA1730" s="258">
        <v>0</v>
      </c>
      <c r="AB1730" s="258">
        <v>0</v>
      </c>
      <c r="AC1730" s="258">
        <v>0</v>
      </c>
      <c r="AD1730" s="257">
        <v>0</v>
      </c>
      <c r="AE1730" s="258">
        <v>0</v>
      </c>
      <c r="AF1730" s="258">
        <v>0</v>
      </c>
      <c r="AG1730" s="258">
        <v>0</v>
      </c>
      <c r="AH1730" s="258">
        <v>0</v>
      </c>
      <c r="AI1730" s="258">
        <v>0</v>
      </c>
      <c r="AJ1730" s="258">
        <v>0</v>
      </c>
      <c r="AK1730" s="68">
        <v>0</v>
      </c>
      <c r="AL1730" s="258">
        <v>0</v>
      </c>
      <c r="AM1730" s="258">
        <v>0</v>
      </c>
      <c r="AN1730" s="258">
        <v>0</v>
      </c>
      <c r="AO1730" s="258">
        <v>0</v>
      </c>
      <c r="AP1730" s="258">
        <v>0</v>
      </c>
      <c r="AQ1730" s="258">
        <v>0</v>
      </c>
      <c r="AR1730" s="258">
        <v>0</v>
      </c>
      <c r="AS1730" s="258">
        <v>0</v>
      </c>
      <c r="AT1730" s="275">
        <v>0</v>
      </c>
      <c r="AU1730" s="258">
        <v>0</v>
      </c>
      <c r="AV1730" s="258"/>
      <c r="AW1730" s="256">
        <v>0</v>
      </c>
      <c r="AX1730" s="258">
        <v>0</v>
      </c>
      <c r="AY1730" s="258">
        <v>0</v>
      </c>
      <c r="AZ1730" s="258">
        <v>0</v>
      </c>
      <c r="BA1730" s="124" t="s">
        <v>200</v>
      </c>
      <c r="BB1730" s="258">
        <v>0</v>
      </c>
      <c r="BC1730" s="277">
        <v>0</v>
      </c>
      <c r="BD1730" s="66">
        <v>1</v>
      </c>
      <c r="BE1730" s="258" t="str">
        <f>"技能:"&amp;D1730&amp;" 提升1级"</f>
        <v>技能:巨力震击 提升1级</v>
      </c>
      <c r="BF1730" s="258"/>
      <c r="BG1730" s="258">
        <v>0</v>
      </c>
      <c r="BH1730" s="135">
        <v>0</v>
      </c>
      <c r="BI1730" s="68">
        <v>0</v>
      </c>
      <c r="BJ1730" s="258">
        <v>0</v>
      </c>
      <c r="BK1730" s="258">
        <v>0</v>
      </c>
      <c r="BL1730" s="258">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69055012</v>
      </c>
      <c r="D1731" s="256" t="s">
        <v>2439</v>
      </c>
      <c r="E1731" s="256" t="s">
        <v>4044</v>
      </c>
      <c r="F1731" s="257">
        <v>1</v>
      </c>
      <c r="G1731" s="64">
        <v>65013201</v>
      </c>
      <c r="H1731" s="258">
        <v>0</v>
      </c>
      <c r="I1731" s="258">
        <v>0</v>
      </c>
      <c r="J1731" s="257">
        <v>1</v>
      </c>
      <c r="K1731" s="257">
        <v>0</v>
      </c>
      <c r="L1731" s="258">
        <v>0</v>
      </c>
      <c r="M1731" s="258">
        <v>0</v>
      </c>
      <c r="N1731" s="258" t="s">
        <v>4045</v>
      </c>
      <c r="O1731" s="258">
        <v>3</v>
      </c>
      <c r="P1731" s="258">
        <v>0</v>
      </c>
      <c r="Q1731" s="258">
        <v>0</v>
      </c>
      <c r="R1731" s="258">
        <v>0</v>
      </c>
      <c r="S1731" s="68">
        <v>0</v>
      </c>
      <c r="T1731" s="258">
        <v>0</v>
      </c>
      <c r="U1731" s="60">
        <v>1</v>
      </c>
      <c r="V1731" s="258">
        <v>0</v>
      </c>
      <c r="W1731" s="258">
        <v>0</v>
      </c>
      <c r="X1731" s="258">
        <v>0</v>
      </c>
      <c r="Y1731" s="68">
        <v>0</v>
      </c>
      <c r="Z1731" s="258">
        <v>0</v>
      </c>
      <c r="AA1731" s="258">
        <v>0</v>
      </c>
      <c r="AB1731" s="258">
        <v>0</v>
      </c>
      <c r="AC1731" s="258">
        <v>0</v>
      </c>
      <c r="AD1731" s="257">
        <v>0</v>
      </c>
      <c r="AE1731" s="258">
        <v>0</v>
      </c>
      <c r="AF1731" s="258">
        <v>0</v>
      </c>
      <c r="AG1731" s="258">
        <v>0</v>
      </c>
      <c r="AH1731" s="258">
        <v>0</v>
      </c>
      <c r="AI1731" s="258">
        <v>0</v>
      </c>
      <c r="AJ1731" s="258">
        <v>0</v>
      </c>
      <c r="AK1731" s="68">
        <v>0</v>
      </c>
      <c r="AL1731" s="258">
        <v>0</v>
      </c>
      <c r="AM1731" s="258">
        <v>0</v>
      </c>
      <c r="AN1731" s="258">
        <v>0</v>
      </c>
      <c r="AO1731" s="258">
        <v>0</v>
      </c>
      <c r="AP1731" s="258">
        <v>0</v>
      </c>
      <c r="AQ1731" s="258">
        <v>0</v>
      </c>
      <c r="AR1731" s="258">
        <v>0</v>
      </c>
      <c r="AS1731" s="258">
        <v>0</v>
      </c>
      <c r="AT1731" s="275">
        <v>0</v>
      </c>
      <c r="AU1731" s="258">
        <v>0</v>
      </c>
      <c r="AV1731" s="258"/>
      <c r="AW1731" s="256">
        <v>0</v>
      </c>
      <c r="AX1731" s="258">
        <v>0</v>
      </c>
      <c r="AY1731" s="258">
        <v>0</v>
      </c>
      <c r="AZ1731" s="258">
        <v>0</v>
      </c>
      <c r="BA1731" s="124" t="s">
        <v>200</v>
      </c>
      <c r="BB1731" s="258">
        <v>0</v>
      </c>
      <c r="BC1731" s="277">
        <v>0</v>
      </c>
      <c r="BD1731" s="66">
        <v>1</v>
      </c>
      <c r="BE1731" s="258" t="str">
        <f t="shared" ref="BE1731:BE1741" si="150">"技能:"&amp;D1731&amp;" 提升1级"</f>
        <v>技能:守护冲击 提升1级</v>
      </c>
      <c r="BF1731" s="258"/>
      <c r="BG1731" s="258">
        <v>0</v>
      </c>
      <c r="BH1731" s="135">
        <v>0</v>
      </c>
      <c r="BI1731" s="68">
        <v>0</v>
      </c>
      <c r="BJ1731" s="258">
        <v>0</v>
      </c>
      <c r="BK1731" s="258">
        <v>0</v>
      </c>
      <c r="BL1731" s="258">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69055013</v>
      </c>
      <c r="D1732" s="256" t="s">
        <v>2448</v>
      </c>
      <c r="E1732" s="256" t="s">
        <v>1589</v>
      </c>
      <c r="F1732" s="257">
        <v>1</v>
      </c>
      <c r="G1732" s="64">
        <v>65013301</v>
      </c>
      <c r="H1732" s="258">
        <v>0</v>
      </c>
      <c r="I1732" s="258">
        <v>0</v>
      </c>
      <c r="J1732" s="257">
        <v>1</v>
      </c>
      <c r="K1732" s="257">
        <v>0</v>
      </c>
      <c r="L1732" s="258">
        <v>0</v>
      </c>
      <c r="M1732" s="258">
        <v>0</v>
      </c>
      <c r="N1732" s="258" t="s">
        <v>4046</v>
      </c>
      <c r="O1732" s="258">
        <v>3</v>
      </c>
      <c r="P1732" s="258">
        <v>0</v>
      </c>
      <c r="Q1732" s="258">
        <v>0</v>
      </c>
      <c r="R1732" s="258">
        <v>0</v>
      </c>
      <c r="S1732" s="68">
        <v>0</v>
      </c>
      <c r="T1732" s="258">
        <v>0</v>
      </c>
      <c r="U1732" s="60">
        <v>1</v>
      </c>
      <c r="V1732" s="258">
        <v>0</v>
      </c>
      <c r="W1732" s="258">
        <v>0</v>
      </c>
      <c r="X1732" s="258">
        <v>0</v>
      </c>
      <c r="Y1732" s="68">
        <v>0</v>
      </c>
      <c r="Z1732" s="258">
        <v>0</v>
      </c>
      <c r="AA1732" s="258">
        <v>0</v>
      </c>
      <c r="AB1732" s="258">
        <v>0</v>
      </c>
      <c r="AC1732" s="258">
        <v>0</v>
      </c>
      <c r="AD1732" s="257">
        <v>0</v>
      </c>
      <c r="AE1732" s="258">
        <v>0</v>
      </c>
      <c r="AF1732" s="258">
        <v>0</v>
      </c>
      <c r="AG1732" s="258">
        <v>0</v>
      </c>
      <c r="AH1732" s="258">
        <v>0</v>
      </c>
      <c r="AI1732" s="258">
        <v>0</v>
      </c>
      <c r="AJ1732" s="258">
        <v>0</v>
      </c>
      <c r="AK1732" s="68">
        <v>0</v>
      </c>
      <c r="AL1732" s="258">
        <v>0</v>
      </c>
      <c r="AM1732" s="258">
        <v>0</v>
      </c>
      <c r="AN1732" s="258">
        <v>0</v>
      </c>
      <c r="AO1732" s="258">
        <v>0</v>
      </c>
      <c r="AP1732" s="258">
        <v>0</v>
      </c>
      <c r="AQ1732" s="258">
        <v>0</v>
      </c>
      <c r="AR1732" s="258">
        <v>0</v>
      </c>
      <c r="AS1732" s="258">
        <v>0</v>
      </c>
      <c r="AT1732" s="275">
        <v>0</v>
      </c>
      <c r="AU1732" s="258">
        <v>0</v>
      </c>
      <c r="AV1732" s="258"/>
      <c r="AW1732" s="256">
        <v>0</v>
      </c>
      <c r="AX1732" s="258">
        <v>0</v>
      </c>
      <c r="AY1732" s="258">
        <v>0</v>
      </c>
      <c r="AZ1732" s="258">
        <v>0</v>
      </c>
      <c r="BA1732" s="124" t="s">
        <v>200</v>
      </c>
      <c r="BB1732" s="258">
        <v>0</v>
      </c>
      <c r="BC1732" s="277">
        <v>0</v>
      </c>
      <c r="BD1732" s="66">
        <v>1</v>
      </c>
      <c r="BE1732" s="258" t="str">
        <f t="shared" si="150"/>
        <v>技能:巨剑之力 提升1级</v>
      </c>
      <c r="BF1732" s="258"/>
      <c r="BG1732" s="258">
        <v>0</v>
      </c>
      <c r="BH1732" s="135">
        <v>0</v>
      </c>
      <c r="BI1732" s="68">
        <v>0</v>
      </c>
      <c r="BJ1732" s="258">
        <v>0</v>
      </c>
      <c r="BK1732" s="258">
        <v>0</v>
      </c>
      <c r="BL1732" s="258">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69055014</v>
      </c>
      <c r="D1733" s="256" t="s">
        <v>2461</v>
      </c>
      <c r="E1733" s="256" t="s">
        <v>1638</v>
      </c>
      <c r="F1733" s="257">
        <v>1</v>
      </c>
      <c r="G1733" s="64">
        <v>65013401</v>
      </c>
      <c r="H1733" s="258">
        <v>0</v>
      </c>
      <c r="I1733" s="258">
        <v>0</v>
      </c>
      <c r="J1733" s="257">
        <v>1</v>
      </c>
      <c r="K1733" s="257">
        <v>0</v>
      </c>
      <c r="L1733" s="258">
        <v>0</v>
      </c>
      <c r="M1733" s="258">
        <v>0</v>
      </c>
      <c r="N1733" s="258" t="s">
        <v>4047</v>
      </c>
      <c r="O1733" s="258">
        <v>3</v>
      </c>
      <c r="P1733" s="258">
        <v>0</v>
      </c>
      <c r="Q1733" s="258">
        <v>0</v>
      </c>
      <c r="R1733" s="258">
        <v>0</v>
      </c>
      <c r="S1733" s="68">
        <v>0</v>
      </c>
      <c r="T1733" s="258">
        <v>0</v>
      </c>
      <c r="U1733" s="60">
        <v>1</v>
      </c>
      <c r="V1733" s="258">
        <v>0</v>
      </c>
      <c r="W1733" s="258">
        <v>0</v>
      </c>
      <c r="X1733" s="258">
        <v>0</v>
      </c>
      <c r="Y1733" s="68">
        <v>0</v>
      </c>
      <c r="Z1733" s="258">
        <v>0</v>
      </c>
      <c r="AA1733" s="258">
        <v>0</v>
      </c>
      <c r="AB1733" s="258">
        <v>0</v>
      </c>
      <c r="AC1733" s="258">
        <v>0</v>
      </c>
      <c r="AD1733" s="257">
        <v>0</v>
      </c>
      <c r="AE1733" s="258">
        <v>0</v>
      </c>
      <c r="AF1733" s="258">
        <v>0</v>
      </c>
      <c r="AG1733" s="258">
        <v>0</v>
      </c>
      <c r="AH1733" s="258">
        <v>0</v>
      </c>
      <c r="AI1733" s="258">
        <v>0</v>
      </c>
      <c r="AJ1733" s="258">
        <v>0</v>
      </c>
      <c r="AK1733" s="68">
        <v>0</v>
      </c>
      <c r="AL1733" s="258">
        <v>0</v>
      </c>
      <c r="AM1733" s="258">
        <v>0</v>
      </c>
      <c r="AN1733" s="258">
        <v>0</v>
      </c>
      <c r="AO1733" s="258">
        <v>0</v>
      </c>
      <c r="AP1733" s="258">
        <v>0</v>
      </c>
      <c r="AQ1733" s="258">
        <v>0</v>
      </c>
      <c r="AR1733" s="258">
        <v>0</v>
      </c>
      <c r="AS1733" s="258">
        <v>0</v>
      </c>
      <c r="AT1733" s="275">
        <v>0</v>
      </c>
      <c r="AU1733" s="258">
        <v>0</v>
      </c>
      <c r="AV1733" s="258"/>
      <c r="AW1733" s="256">
        <v>0</v>
      </c>
      <c r="AX1733" s="258">
        <v>0</v>
      </c>
      <c r="AY1733" s="258">
        <v>0</v>
      </c>
      <c r="AZ1733" s="258">
        <v>0</v>
      </c>
      <c r="BA1733" s="124" t="s">
        <v>200</v>
      </c>
      <c r="BB1733" s="258">
        <v>0</v>
      </c>
      <c r="BC1733" s="277">
        <v>0</v>
      </c>
      <c r="BD1733" s="66">
        <v>1</v>
      </c>
      <c r="BE1733" s="258" t="str">
        <f t="shared" si="150"/>
        <v>技能:守护天使 提升1级</v>
      </c>
      <c r="BF1733" s="258"/>
      <c r="BG1733" s="258">
        <v>0</v>
      </c>
      <c r="BH1733" s="135">
        <v>0</v>
      </c>
      <c r="BI1733" s="68">
        <v>0</v>
      </c>
      <c r="BJ1733" s="258">
        <v>0</v>
      </c>
      <c r="BK1733" s="258">
        <v>0</v>
      </c>
      <c r="BL1733" s="258">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69055021</v>
      </c>
      <c r="D1734" s="256" t="s">
        <v>2473</v>
      </c>
      <c r="E1734" s="256" t="s">
        <v>1589</v>
      </c>
      <c r="F1734" s="257">
        <v>1</v>
      </c>
      <c r="G1734" s="64">
        <v>65014101</v>
      </c>
      <c r="H1734" s="258">
        <v>0</v>
      </c>
      <c r="I1734" s="258">
        <v>0</v>
      </c>
      <c r="J1734" s="257">
        <v>1</v>
      </c>
      <c r="K1734" s="257">
        <v>0</v>
      </c>
      <c r="L1734" s="258">
        <v>0</v>
      </c>
      <c r="M1734" s="258">
        <v>0</v>
      </c>
      <c r="N1734" s="258" t="s">
        <v>4048</v>
      </c>
      <c r="O1734" s="258">
        <v>3</v>
      </c>
      <c r="P1734" s="258">
        <v>0</v>
      </c>
      <c r="Q1734" s="258">
        <v>0</v>
      </c>
      <c r="R1734" s="258">
        <v>0</v>
      </c>
      <c r="S1734" s="68">
        <v>0</v>
      </c>
      <c r="T1734" s="258">
        <v>0</v>
      </c>
      <c r="U1734" s="60">
        <v>1</v>
      </c>
      <c r="V1734" s="258">
        <v>0</v>
      </c>
      <c r="W1734" s="258">
        <v>0</v>
      </c>
      <c r="X1734" s="258">
        <v>0</v>
      </c>
      <c r="Y1734" s="68">
        <v>0</v>
      </c>
      <c r="Z1734" s="258">
        <v>0</v>
      </c>
      <c r="AA1734" s="258">
        <v>0</v>
      </c>
      <c r="AB1734" s="258">
        <v>0</v>
      </c>
      <c r="AC1734" s="258">
        <v>0</v>
      </c>
      <c r="AD1734" s="257">
        <v>0</v>
      </c>
      <c r="AE1734" s="258">
        <v>0</v>
      </c>
      <c r="AF1734" s="258">
        <v>0</v>
      </c>
      <c r="AG1734" s="258">
        <v>0</v>
      </c>
      <c r="AH1734" s="258">
        <v>0</v>
      </c>
      <c r="AI1734" s="258">
        <v>0</v>
      </c>
      <c r="AJ1734" s="258">
        <v>0</v>
      </c>
      <c r="AK1734" s="68">
        <v>0</v>
      </c>
      <c r="AL1734" s="258">
        <v>0</v>
      </c>
      <c r="AM1734" s="258">
        <v>0</v>
      </c>
      <c r="AN1734" s="258">
        <v>0</v>
      </c>
      <c r="AO1734" s="258">
        <v>0</v>
      </c>
      <c r="AP1734" s="258">
        <v>0</v>
      </c>
      <c r="AQ1734" s="258">
        <v>0</v>
      </c>
      <c r="AR1734" s="258">
        <v>0</v>
      </c>
      <c r="AS1734" s="258">
        <v>0</v>
      </c>
      <c r="AT1734" s="275">
        <v>0</v>
      </c>
      <c r="AU1734" s="258">
        <v>0</v>
      </c>
      <c r="AV1734" s="258"/>
      <c r="AW1734" s="256">
        <v>0</v>
      </c>
      <c r="AX1734" s="258">
        <v>0</v>
      </c>
      <c r="AY1734" s="258">
        <v>0</v>
      </c>
      <c r="AZ1734" s="258">
        <v>0</v>
      </c>
      <c r="BA1734" s="124" t="s">
        <v>200</v>
      </c>
      <c r="BB1734" s="258">
        <v>0</v>
      </c>
      <c r="BC1734" s="277">
        <v>0</v>
      </c>
      <c r="BD1734" s="66">
        <v>1</v>
      </c>
      <c r="BE1734" s="258" t="str">
        <f t="shared" si="150"/>
        <v>技能:隐匿一击 提升1级</v>
      </c>
      <c r="BF1734" s="258"/>
      <c r="BG1734" s="258">
        <v>0</v>
      </c>
      <c r="BH1734" s="135">
        <v>0</v>
      </c>
      <c r="BI1734" s="68">
        <v>0</v>
      </c>
      <c r="BJ1734" s="258">
        <v>0</v>
      </c>
      <c r="BK1734" s="258">
        <v>0</v>
      </c>
      <c r="BL1734" s="258">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69055022</v>
      </c>
      <c r="D1735" s="256" t="s">
        <v>2481</v>
      </c>
      <c r="E1735" s="256" t="s">
        <v>1437</v>
      </c>
      <c r="F1735" s="257">
        <v>1</v>
      </c>
      <c r="G1735" s="64">
        <v>65014201</v>
      </c>
      <c r="H1735" s="258">
        <v>0</v>
      </c>
      <c r="I1735" s="258">
        <v>0</v>
      </c>
      <c r="J1735" s="257">
        <v>1</v>
      </c>
      <c r="K1735" s="257">
        <v>0</v>
      </c>
      <c r="L1735" s="258">
        <v>0</v>
      </c>
      <c r="M1735" s="258">
        <v>0</v>
      </c>
      <c r="N1735" s="258" t="s">
        <v>4049</v>
      </c>
      <c r="O1735" s="258">
        <v>3</v>
      </c>
      <c r="P1735" s="258">
        <v>0</v>
      </c>
      <c r="Q1735" s="258">
        <v>0</v>
      </c>
      <c r="R1735" s="258">
        <v>0</v>
      </c>
      <c r="S1735" s="68">
        <v>0</v>
      </c>
      <c r="T1735" s="258">
        <v>0</v>
      </c>
      <c r="U1735" s="60">
        <v>1</v>
      </c>
      <c r="V1735" s="258">
        <v>0</v>
      </c>
      <c r="W1735" s="258">
        <v>0</v>
      </c>
      <c r="X1735" s="258">
        <v>0</v>
      </c>
      <c r="Y1735" s="68">
        <v>0</v>
      </c>
      <c r="Z1735" s="258">
        <v>0</v>
      </c>
      <c r="AA1735" s="258">
        <v>0</v>
      </c>
      <c r="AB1735" s="258">
        <v>0</v>
      </c>
      <c r="AC1735" s="258">
        <v>0</v>
      </c>
      <c r="AD1735" s="257">
        <v>0</v>
      </c>
      <c r="AE1735" s="258">
        <v>0</v>
      </c>
      <c r="AF1735" s="258">
        <v>0</v>
      </c>
      <c r="AG1735" s="258">
        <v>0</v>
      </c>
      <c r="AH1735" s="258">
        <v>0</v>
      </c>
      <c r="AI1735" s="258">
        <v>0</v>
      </c>
      <c r="AJ1735" s="258">
        <v>0</v>
      </c>
      <c r="AK1735" s="68">
        <v>0</v>
      </c>
      <c r="AL1735" s="258">
        <v>0</v>
      </c>
      <c r="AM1735" s="258">
        <v>0</v>
      </c>
      <c r="AN1735" s="258">
        <v>0</v>
      </c>
      <c r="AO1735" s="258">
        <v>0</v>
      </c>
      <c r="AP1735" s="258">
        <v>0</v>
      </c>
      <c r="AQ1735" s="258">
        <v>0</v>
      </c>
      <c r="AR1735" s="258">
        <v>0</v>
      </c>
      <c r="AS1735" s="258">
        <v>0</v>
      </c>
      <c r="AT1735" s="275">
        <v>0</v>
      </c>
      <c r="AU1735" s="258">
        <v>0</v>
      </c>
      <c r="AV1735" s="258"/>
      <c r="AW1735" s="256">
        <v>0</v>
      </c>
      <c r="AX1735" s="258">
        <v>0</v>
      </c>
      <c r="AY1735" s="258">
        <v>0</v>
      </c>
      <c r="AZ1735" s="258">
        <v>0</v>
      </c>
      <c r="BA1735" s="124" t="s">
        <v>200</v>
      </c>
      <c r="BB1735" s="258">
        <v>0</v>
      </c>
      <c r="BC1735" s="277">
        <v>0</v>
      </c>
      <c r="BD1735" s="66">
        <v>1</v>
      </c>
      <c r="BE1735" s="258" t="str">
        <f t="shared" si="150"/>
        <v>技能:精灵共鸣 提升1级</v>
      </c>
      <c r="BF1735" s="258"/>
      <c r="BG1735" s="258">
        <v>0</v>
      </c>
      <c r="BH1735" s="135">
        <v>0</v>
      </c>
      <c r="BI1735" s="68">
        <v>0</v>
      </c>
      <c r="BJ1735" s="258">
        <v>0</v>
      </c>
      <c r="BK1735" s="258">
        <v>0</v>
      </c>
      <c r="BL1735" s="258">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69055023</v>
      </c>
      <c r="D1736" s="256" t="s">
        <v>2499</v>
      </c>
      <c r="E1736" s="256" t="s">
        <v>2284</v>
      </c>
      <c r="F1736" s="257">
        <v>1</v>
      </c>
      <c r="G1736" s="64">
        <v>65014301</v>
      </c>
      <c r="H1736" s="258">
        <v>0</v>
      </c>
      <c r="I1736" s="258">
        <v>0</v>
      </c>
      <c r="J1736" s="257">
        <v>1</v>
      </c>
      <c r="K1736" s="257">
        <v>0</v>
      </c>
      <c r="L1736" s="258">
        <v>0</v>
      </c>
      <c r="M1736" s="258">
        <v>0</v>
      </c>
      <c r="N1736" s="258" t="s">
        <v>4050</v>
      </c>
      <c r="O1736" s="258">
        <v>3</v>
      </c>
      <c r="P1736" s="258">
        <v>0</v>
      </c>
      <c r="Q1736" s="258">
        <v>0</v>
      </c>
      <c r="R1736" s="258">
        <v>0</v>
      </c>
      <c r="S1736" s="68">
        <v>0</v>
      </c>
      <c r="T1736" s="258">
        <v>0</v>
      </c>
      <c r="U1736" s="60">
        <v>1</v>
      </c>
      <c r="V1736" s="258">
        <v>0</v>
      </c>
      <c r="W1736" s="258">
        <v>0</v>
      </c>
      <c r="X1736" s="258">
        <v>0</v>
      </c>
      <c r="Y1736" s="68">
        <v>0</v>
      </c>
      <c r="Z1736" s="258">
        <v>0</v>
      </c>
      <c r="AA1736" s="258">
        <v>0</v>
      </c>
      <c r="AB1736" s="258">
        <v>0</v>
      </c>
      <c r="AC1736" s="258">
        <v>0</v>
      </c>
      <c r="AD1736" s="257">
        <v>0</v>
      </c>
      <c r="AE1736" s="258">
        <v>0</v>
      </c>
      <c r="AF1736" s="258">
        <v>0</v>
      </c>
      <c r="AG1736" s="258">
        <v>0</v>
      </c>
      <c r="AH1736" s="258">
        <v>0</v>
      </c>
      <c r="AI1736" s="258">
        <v>0</v>
      </c>
      <c r="AJ1736" s="258">
        <v>0</v>
      </c>
      <c r="AK1736" s="68">
        <v>0</v>
      </c>
      <c r="AL1736" s="258">
        <v>0</v>
      </c>
      <c r="AM1736" s="258">
        <v>0</v>
      </c>
      <c r="AN1736" s="258">
        <v>0</v>
      </c>
      <c r="AO1736" s="258">
        <v>0</v>
      </c>
      <c r="AP1736" s="258">
        <v>0</v>
      </c>
      <c r="AQ1736" s="258">
        <v>0</v>
      </c>
      <c r="AR1736" s="258">
        <v>0</v>
      </c>
      <c r="AS1736" s="258">
        <v>0</v>
      </c>
      <c r="AT1736" s="275">
        <v>0</v>
      </c>
      <c r="AU1736" s="258">
        <v>0</v>
      </c>
      <c r="AV1736" s="258"/>
      <c r="AW1736" s="256">
        <v>0</v>
      </c>
      <c r="AX1736" s="258">
        <v>0</v>
      </c>
      <c r="AY1736" s="258">
        <v>0</v>
      </c>
      <c r="AZ1736" s="258">
        <v>0</v>
      </c>
      <c r="BA1736" s="124" t="s">
        <v>200</v>
      </c>
      <c r="BB1736" s="258">
        <v>0</v>
      </c>
      <c r="BC1736" s="277">
        <v>0</v>
      </c>
      <c r="BD1736" s="66">
        <v>1</v>
      </c>
      <c r="BE1736" s="258" t="str">
        <f t="shared" si="150"/>
        <v>技能:破风之击 提升1级</v>
      </c>
      <c r="BF1736" s="258"/>
      <c r="BG1736" s="258">
        <v>0</v>
      </c>
      <c r="BH1736" s="135">
        <v>0</v>
      </c>
      <c r="BI1736" s="68">
        <v>0</v>
      </c>
      <c r="BJ1736" s="258">
        <v>0</v>
      </c>
      <c r="BK1736" s="258">
        <v>0</v>
      </c>
      <c r="BL1736" s="258">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69055024</v>
      </c>
      <c r="D1737" s="256" t="s">
        <v>2507</v>
      </c>
      <c r="E1737" s="256" t="s">
        <v>2038</v>
      </c>
      <c r="F1737" s="257">
        <v>1</v>
      </c>
      <c r="G1737" s="64">
        <v>65014401</v>
      </c>
      <c r="H1737" s="258">
        <v>0</v>
      </c>
      <c r="I1737" s="258">
        <v>0</v>
      </c>
      <c r="J1737" s="257">
        <v>1</v>
      </c>
      <c r="K1737" s="257">
        <v>0</v>
      </c>
      <c r="L1737" s="258">
        <v>0</v>
      </c>
      <c r="M1737" s="258">
        <v>0</v>
      </c>
      <c r="N1737" s="258" t="s">
        <v>4051</v>
      </c>
      <c r="O1737" s="258">
        <v>3</v>
      </c>
      <c r="P1737" s="258">
        <v>0</v>
      </c>
      <c r="Q1737" s="258">
        <v>0</v>
      </c>
      <c r="R1737" s="258">
        <v>0</v>
      </c>
      <c r="S1737" s="68">
        <v>0</v>
      </c>
      <c r="T1737" s="258">
        <v>0</v>
      </c>
      <c r="U1737" s="60">
        <v>1</v>
      </c>
      <c r="V1737" s="258">
        <v>0</v>
      </c>
      <c r="W1737" s="258">
        <v>0</v>
      </c>
      <c r="X1737" s="258">
        <v>0</v>
      </c>
      <c r="Y1737" s="68">
        <v>0</v>
      </c>
      <c r="Z1737" s="258">
        <v>0</v>
      </c>
      <c r="AA1737" s="258">
        <v>0</v>
      </c>
      <c r="AB1737" s="258">
        <v>0</v>
      </c>
      <c r="AC1737" s="258">
        <v>0</v>
      </c>
      <c r="AD1737" s="257">
        <v>0</v>
      </c>
      <c r="AE1737" s="258">
        <v>0</v>
      </c>
      <c r="AF1737" s="258">
        <v>0</v>
      </c>
      <c r="AG1737" s="258">
        <v>0</v>
      </c>
      <c r="AH1737" s="258">
        <v>0</v>
      </c>
      <c r="AI1737" s="258">
        <v>0</v>
      </c>
      <c r="AJ1737" s="258">
        <v>0</v>
      </c>
      <c r="AK1737" s="68">
        <v>0</v>
      </c>
      <c r="AL1737" s="258">
        <v>0</v>
      </c>
      <c r="AM1737" s="258">
        <v>0</v>
      </c>
      <c r="AN1737" s="258">
        <v>0</v>
      </c>
      <c r="AO1737" s="258">
        <v>0</v>
      </c>
      <c r="AP1737" s="258">
        <v>0</v>
      </c>
      <c r="AQ1737" s="258">
        <v>0</v>
      </c>
      <c r="AR1737" s="258">
        <v>0</v>
      </c>
      <c r="AS1737" s="258">
        <v>0</v>
      </c>
      <c r="AT1737" s="275">
        <v>0</v>
      </c>
      <c r="AU1737" s="258">
        <v>0</v>
      </c>
      <c r="AV1737" s="258"/>
      <c r="AW1737" s="256">
        <v>0</v>
      </c>
      <c r="AX1737" s="258">
        <v>0</v>
      </c>
      <c r="AY1737" s="258">
        <v>0</v>
      </c>
      <c r="AZ1737" s="258">
        <v>0</v>
      </c>
      <c r="BA1737" s="124" t="s">
        <v>200</v>
      </c>
      <c r="BB1737" s="258">
        <v>0</v>
      </c>
      <c r="BC1737" s="277">
        <v>0</v>
      </c>
      <c r="BD1737" s="66">
        <v>1</v>
      </c>
      <c r="BE1737" s="258" t="str">
        <f t="shared" si="150"/>
        <v>技能:唤灵之契 提升1级</v>
      </c>
      <c r="BF1737" s="258"/>
      <c r="BG1737" s="258">
        <v>0</v>
      </c>
      <c r="BH1737" s="135">
        <v>0</v>
      </c>
      <c r="BI1737" s="68">
        <v>0</v>
      </c>
      <c r="BJ1737" s="258">
        <v>0</v>
      </c>
      <c r="BK1737" s="258">
        <v>0</v>
      </c>
      <c r="BL1737" s="258">
        <v>0</v>
      </c>
      <c r="BM1737" s="93">
        <v>0</v>
      </c>
      <c r="BN1737" s="68">
        <v>0</v>
      </c>
      <c r="BO1737" s="68">
        <v>0</v>
      </c>
      <c r="BP1737" s="68">
        <v>0</v>
      </c>
      <c r="BQ1737" s="68">
        <v>0</v>
      </c>
      <c r="BR1737" s="68">
        <v>0</v>
      </c>
      <c r="BS1737" s="68">
        <v>0</v>
      </c>
      <c r="BT1737" s="68">
        <v>0</v>
      </c>
      <c r="BU1737" s="68">
        <v>0</v>
      </c>
      <c r="BV1737" s="68"/>
      <c r="BW1737" s="68"/>
    </row>
    <row r="1738" spans="3:75" s="1" customFormat="1" ht="20.100000000000001" customHeight="1">
      <c r="C1738" s="64">
        <v>69055031</v>
      </c>
      <c r="D1738" s="256" t="s">
        <v>2524</v>
      </c>
      <c r="E1738" s="256" t="s">
        <v>1763</v>
      </c>
      <c r="F1738" s="257">
        <v>1</v>
      </c>
      <c r="G1738" s="64">
        <v>65015101</v>
      </c>
      <c r="H1738" s="258">
        <v>0</v>
      </c>
      <c r="I1738" s="258">
        <v>0</v>
      </c>
      <c r="J1738" s="257">
        <v>1</v>
      </c>
      <c r="K1738" s="257">
        <v>0</v>
      </c>
      <c r="L1738" s="258">
        <v>0</v>
      </c>
      <c r="M1738" s="258">
        <v>0</v>
      </c>
      <c r="N1738" s="258" t="s">
        <v>4052</v>
      </c>
      <c r="O1738" s="258">
        <v>3</v>
      </c>
      <c r="P1738" s="258">
        <v>0</v>
      </c>
      <c r="Q1738" s="258">
        <v>0</v>
      </c>
      <c r="R1738" s="258">
        <v>0</v>
      </c>
      <c r="S1738" s="68">
        <v>0</v>
      </c>
      <c r="T1738" s="258">
        <v>0</v>
      </c>
      <c r="U1738" s="60">
        <v>1</v>
      </c>
      <c r="V1738" s="258">
        <v>0</v>
      </c>
      <c r="W1738" s="258">
        <v>0</v>
      </c>
      <c r="X1738" s="258">
        <v>0</v>
      </c>
      <c r="Y1738" s="68">
        <v>0</v>
      </c>
      <c r="Z1738" s="258">
        <v>0</v>
      </c>
      <c r="AA1738" s="258">
        <v>0</v>
      </c>
      <c r="AB1738" s="258">
        <v>0</v>
      </c>
      <c r="AC1738" s="258">
        <v>0</v>
      </c>
      <c r="AD1738" s="257">
        <v>0</v>
      </c>
      <c r="AE1738" s="258">
        <v>0</v>
      </c>
      <c r="AF1738" s="258">
        <v>0</v>
      </c>
      <c r="AG1738" s="258">
        <v>0</v>
      </c>
      <c r="AH1738" s="258">
        <v>0</v>
      </c>
      <c r="AI1738" s="258">
        <v>0</v>
      </c>
      <c r="AJ1738" s="258">
        <v>0</v>
      </c>
      <c r="AK1738" s="68">
        <v>0</v>
      </c>
      <c r="AL1738" s="258">
        <v>0</v>
      </c>
      <c r="AM1738" s="258">
        <v>0</v>
      </c>
      <c r="AN1738" s="258">
        <v>0</v>
      </c>
      <c r="AO1738" s="258">
        <v>0</v>
      </c>
      <c r="AP1738" s="258">
        <v>0</v>
      </c>
      <c r="AQ1738" s="258">
        <v>0</v>
      </c>
      <c r="AR1738" s="258">
        <v>0</v>
      </c>
      <c r="AS1738" s="258">
        <v>0</v>
      </c>
      <c r="AT1738" s="275">
        <v>0</v>
      </c>
      <c r="AU1738" s="258">
        <v>0</v>
      </c>
      <c r="AV1738" s="258"/>
      <c r="AW1738" s="256">
        <v>0</v>
      </c>
      <c r="AX1738" s="258">
        <v>0</v>
      </c>
      <c r="AY1738" s="258">
        <v>0</v>
      </c>
      <c r="AZ1738" s="258">
        <v>0</v>
      </c>
      <c r="BA1738" s="124" t="s">
        <v>200</v>
      </c>
      <c r="BB1738" s="258">
        <v>0</v>
      </c>
      <c r="BC1738" s="277">
        <v>0</v>
      </c>
      <c r="BD1738" s="66">
        <v>1</v>
      </c>
      <c r="BE1738" s="258" t="str">
        <f t="shared" si="150"/>
        <v>技能:泰坦镜像 提升1级</v>
      </c>
      <c r="BF1738" s="258"/>
      <c r="BG1738" s="258">
        <v>0</v>
      </c>
      <c r="BH1738" s="135">
        <v>0</v>
      </c>
      <c r="BI1738" s="68">
        <v>0</v>
      </c>
      <c r="BJ1738" s="258">
        <v>0</v>
      </c>
      <c r="BK1738" s="258">
        <v>0</v>
      </c>
      <c r="BL1738" s="258">
        <v>0</v>
      </c>
      <c r="BM1738" s="93">
        <v>0</v>
      </c>
      <c r="BN1738" s="68">
        <v>0</v>
      </c>
      <c r="BO1738" s="68">
        <v>0</v>
      </c>
      <c r="BP1738" s="68">
        <v>0</v>
      </c>
      <c r="BQ1738" s="68">
        <v>0</v>
      </c>
      <c r="BR1738" s="68">
        <v>0</v>
      </c>
      <c r="BS1738" s="68">
        <v>0</v>
      </c>
      <c r="BT1738" s="68">
        <v>0</v>
      </c>
      <c r="BU1738" s="68">
        <v>0</v>
      </c>
      <c r="BV1738" s="68"/>
      <c r="BW1738" s="68"/>
    </row>
    <row r="1739" spans="3:75" s="1" customFormat="1" ht="20.100000000000001" customHeight="1">
      <c r="C1739" s="64">
        <v>69055032</v>
      </c>
      <c r="D1739" s="256" t="s">
        <v>2541</v>
      </c>
      <c r="E1739" s="256" t="s">
        <v>1589</v>
      </c>
      <c r="F1739" s="257">
        <v>1</v>
      </c>
      <c r="G1739" s="64">
        <v>65015201</v>
      </c>
      <c r="H1739" s="258">
        <v>0</v>
      </c>
      <c r="I1739" s="258">
        <v>0</v>
      </c>
      <c r="J1739" s="257">
        <v>1</v>
      </c>
      <c r="K1739" s="257">
        <v>0</v>
      </c>
      <c r="L1739" s="258">
        <v>0</v>
      </c>
      <c r="M1739" s="258">
        <v>0</v>
      </c>
      <c r="N1739" s="258" t="s">
        <v>4053</v>
      </c>
      <c r="O1739" s="258">
        <v>3</v>
      </c>
      <c r="P1739" s="258">
        <v>0</v>
      </c>
      <c r="Q1739" s="258">
        <v>0</v>
      </c>
      <c r="R1739" s="258">
        <v>0</v>
      </c>
      <c r="S1739" s="68">
        <v>0</v>
      </c>
      <c r="T1739" s="258">
        <v>0</v>
      </c>
      <c r="U1739" s="60">
        <v>1</v>
      </c>
      <c r="V1739" s="258">
        <v>0</v>
      </c>
      <c r="W1739" s="258">
        <v>0</v>
      </c>
      <c r="X1739" s="258">
        <v>0</v>
      </c>
      <c r="Y1739" s="68">
        <v>0</v>
      </c>
      <c r="Z1739" s="258">
        <v>0</v>
      </c>
      <c r="AA1739" s="258">
        <v>0</v>
      </c>
      <c r="AB1739" s="258">
        <v>0</v>
      </c>
      <c r="AC1739" s="258">
        <v>0</v>
      </c>
      <c r="AD1739" s="257">
        <v>0</v>
      </c>
      <c r="AE1739" s="258">
        <v>0</v>
      </c>
      <c r="AF1739" s="258">
        <v>0</v>
      </c>
      <c r="AG1739" s="258">
        <v>0</v>
      </c>
      <c r="AH1739" s="258">
        <v>0</v>
      </c>
      <c r="AI1739" s="258">
        <v>0</v>
      </c>
      <c r="AJ1739" s="258">
        <v>0</v>
      </c>
      <c r="AK1739" s="68">
        <v>0</v>
      </c>
      <c r="AL1739" s="258">
        <v>0</v>
      </c>
      <c r="AM1739" s="258">
        <v>0</v>
      </c>
      <c r="AN1739" s="258">
        <v>0</v>
      </c>
      <c r="AO1739" s="258">
        <v>0</v>
      </c>
      <c r="AP1739" s="258">
        <v>0</v>
      </c>
      <c r="AQ1739" s="258">
        <v>0</v>
      </c>
      <c r="AR1739" s="258">
        <v>0</v>
      </c>
      <c r="AS1739" s="258">
        <v>0</v>
      </c>
      <c r="AT1739" s="275">
        <v>0</v>
      </c>
      <c r="AU1739" s="258">
        <v>0</v>
      </c>
      <c r="AV1739" s="258"/>
      <c r="AW1739" s="256">
        <v>0</v>
      </c>
      <c r="AX1739" s="258">
        <v>0</v>
      </c>
      <c r="AY1739" s="258">
        <v>0</v>
      </c>
      <c r="AZ1739" s="258">
        <v>0</v>
      </c>
      <c r="BA1739" s="124" t="s">
        <v>200</v>
      </c>
      <c r="BB1739" s="258">
        <v>0</v>
      </c>
      <c r="BC1739" s="277">
        <v>0</v>
      </c>
      <c r="BD1739" s="66">
        <v>1</v>
      </c>
      <c r="BE1739" s="258" t="str">
        <f t="shared" si="150"/>
        <v>技能:战灵怒吼 提升1级</v>
      </c>
      <c r="BF1739" s="258"/>
      <c r="BG1739" s="258">
        <v>0</v>
      </c>
      <c r="BH1739" s="135">
        <v>0</v>
      </c>
      <c r="BI1739" s="68">
        <v>0</v>
      </c>
      <c r="BJ1739" s="258">
        <v>0</v>
      </c>
      <c r="BK1739" s="258">
        <v>0</v>
      </c>
      <c r="BL1739" s="258">
        <v>0</v>
      </c>
      <c r="BM1739" s="93">
        <v>0</v>
      </c>
      <c r="BN1739" s="68">
        <v>0</v>
      </c>
      <c r="BO1739" s="68">
        <v>0</v>
      </c>
      <c r="BP1739" s="68">
        <v>0</v>
      </c>
      <c r="BQ1739" s="68">
        <v>0</v>
      </c>
      <c r="BR1739" s="68">
        <v>0</v>
      </c>
      <c r="BS1739" s="68">
        <v>0</v>
      </c>
      <c r="BT1739" s="68">
        <v>0</v>
      </c>
      <c r="BU1739" s="68">
        <v>0</v>
      </c>
      <c r="BV1739" s="68"/>
      <c r="BW1739" s="68"/>
    </row>
    <row r="1740" spans="3:75" s="1" customFormat="1" ht="20.100000000000001" customHeight="1">
      <c r="C1740" s="64">
        <v>69055033</v>
      </c>
      <c r="D1740" s="256" t="s">
        <v>2558</v>
      </c>
      <c r="E1740" s="256" t="s">
        <v>1729</v>
      </c>
      <c r="F1740" s="257">
        <v>1</v>
      </c>
      <c r="G1740" s="64">
        <v>65015301</v>
      </c>
      <c r="H1740" s="258">
        <v>0</v>
      </c>
      <c r="I1740" s="258">
        <v>0</v>
      </c>
      <c r="J1740" s="257">
        <v>1</v>
      </c>
      <c r="K1740" s="257">
        <v>0</v>
      </c>
      <c r="L1740" s="258">
        <v>0</v>
      </c>
      <c r="M1740" s="258">
        <v>0</v>
      </c>
      <c r="N1740" s="258" t="s">
        <v>4054</v>
      </c>
      <c r="O1740" s="258">
        <v>3</v>
      </c>
      <c r="P1740" s="258">
        <v>0</v>
      </c>
      <c r="Q1740" s="258">
        <v>0</v>
      </c>
      <c r="R1740" s="258">
        <v>0</v>
      </c>
      <c r="S1740" s="68">
        <v>0</v>
      </c>
      <c r="T1740" s="258">
        <v>0</v>
      </c>
      <c r="U1740" s="60">
        <v>1</v>
      </c>
      <c r="V1740" s="258">
        <v>0</v>
      </c>
      <c r="W1740" s="258">
        <v>0</v>
      </c>
      <c r="X1740" s="258">
        <v>0</v>
      </c>
      <c r="Y1740" s="68">
        <v>0</v>
      </c>
      <c r="Z1740" s="258">
        <v>0</v>
      </c>
      <c r="AA1740" s="258">
        <v>0</v>
      </c>
      <c r="AB1740" s="258">
        <v>0</v>
      </c>
      <c r="AC1740" s="258">
        <v>0</v>
      </c>
      <c r="AD1740" s="257">
        <v>0</v>
      </c>
      <c r="AE1740" s="258">
        <v>0</v>
      </c>
      <c r="AF1740" s="258">
        <v>0</v>
      </c>
      <c r="AG1740" s="258">
        <v>0</v>
      </c>
      <c r="AH1740" s="258">
        <v>0</v>
      </c>
      <c r="AI1740" s="258">
        <v>0</v>
      </c>
      <c r="AJ1740" s="258">
        <v>0</v>
      </c>
      <c r="AK1740" s="68">
        <v>0</v>
      </c>
      <c r="AL1740" s="258">
        <v>0</v>
      </c>
      <c r="AM1740" s="258">
        <v>0</v>
      </c>
      <c r="AN1740" s="258">
        <v>0</v>
      </c>
      <c r="AO1740" s="258">
        <v>0</v>
      </c>
      <c r="AP1740" s="258">
        <v>0</v>
      </c>
      <c r="AQ1740" s="258">
        <v>0</v>
      </c>
      <c r="AR1740" s="258">
        <v>0</v>
      </c>
      <c r="AS1740" s="258">
        <v>0</v>
      </c>
      <c r="AT1740" s="275">
        <v>0</v>
      </c>
      <c r="AU1740" s="258">
        <v>0</v>
      </c>
      <c r="AV1740" s="258"/>
      <c r="AW1740" s="256">
        <v>0</v>
      </c>
      <c r="AX1740" s="258">
        <v>0</v>
      </c>
      <c r="AY1740" s="258">
        <v>0</v>
      </c>
      <c r="AZ1740" s="258">
        <v>0</v>
      </c>
      <c r="BA1740" s="124" t="s">
        <v>200</v>
      </c>
      <c r="BB1740" s="258">
        <v>0</v>
      </c>
      <c r="BC1740" s="277">
        <v>0</v>
      </c>
      <c r="BD1740" s="66">
        <v>1</v>
      </c>
      <c r="BE1740" s="258" t="str">
        <f t="shared" si="150"/>
        <v>技能:幻影冲击 提升1级</v>
      </c>
      <c r="BF1740" s="258"/>
      <c r="BG1740" s="258">
        <v>0</v>
      </c>
      <c r="BH1740" s="135">
        <v>0</v>
      </c>
      <c r="BI1740" s="68">
        <v>0</v>
      </c>
      <c r="BJ1740" s="258">
        <v>0</v>
      </c>
      <c r="BK1740" s="258">
        <v>0</v>
      </c>
      <c r="BL1740" s="258">
        <v>0</v>
      </c>
      <c r="BM1740" s="93">
        <v>0</v>
      </c>
      <c r="BN1740" s="68">
        <v>0</v>
      </c>
      <c r="BO1740" s="68">
        <v>0</v>
      </c>
      <c r="BP1740" s="68">
        <v>0</v>
      </c>
      <c r="BQ1740" s="68">
        <v>0</v>
      </c>
      <c r="BR1740" s="68">
        <v>0</v>
      </c>
      <c r="BS1740" s="68">
        <v>0</v>
      </c>
      <c r="BT1740" s="68">
        <v>0</v>
      </c>
      <c r="BU1740" s="68">
        <v>0</v>
      </c>
      <c r="BV1740" s="68"/>
      <c r="BW1740" s="68"/>
    </row>
    <row r="1741" spans="3:75" s="1" customFormat="1" ht="20.100000000000001" customHeight="1">
      <c r="C1741" s="64">
        <v>69055034</v>
      </c>
      <c r="D1741" s="256" t="s">
        <v>2567</v>
      </c>
      <c r="E1741" s="256" t="s">
        <v>1638</v>
      </c>
      <c r="F1741" s="257">
        <v>1</v>
      </c>
      <c r="G1741" s="64">
        <v>65015401</v>
      </c>
      <c r="H1741" s="258">
        <v>0</v>
      </c>
      <c r="I1741" s="258">
        <v>0</v>
      </c>
      <c r="J1741" s="257">
        <v>1</v>
      </c>
      <c r="K1741" s="257">
        <v>0</v>
      </c>
      <c r="L1741" s="258">
        <v>0</v>
      </c>
      <c r="M1741" s="258">
        <v>0</v>
      </c>
      <c r="N1741" s="258" t="s">
        <v>4055</v>
      </c>
      <c r="O1741" s="258">
        <v>3</v>
      </c>
      <c r="P1741" s="258">
        <v>0</v>
      </c>
      <c r="Q1741" s="258">
        <v>0</v>
      </c>
      <c r="R1741" s="258">
        <v>0</v>
      </c>
      <c r="S1741" s="68">
        <v>0</v>
      </c>
      <c r="T1741" s="258">
        <v>0</v>
      </c>
      <c r="U1741" s="60">
        <v>1</v>
      </c>
      <c r="V1741" s="258">
        <v>0</v>
      </c>
      <c r="W1741" s="258">
        <v>0</v>
      </c>
      <c r="X1741" s="258">
        <v>0</v>
      </c>
      <c r="Y1741" s="68">
        <v>0</v>
      </c>
      <c r="Z1741" s="258">
        <v>0</v>
      </c>
      <c r="AA1741" s="258">
        <v>0</v>
      </c>
      <c r="AB1741" s="258">
        <v>0</v>
      </c>
      <c r="AC1741" s="258">
        <v>0</v>
      </c>
      <c r="AD1741" s="257">
        <v>0</v>
      </c>
      <c r="AE1741" s="258">
        <v>0</v>
      </c>
      <c r="AF1741" s="258">
        <v>0</v>
      </c>
      <c r="AG1741" s="258">
        <v>0</v>
      </c>
      <c r="AH1741" s="258">
        <v>0</v>
      </c>
      <c r="AI1741" s="258">
        <v>0</v>
      </c>
      <c r="AJ1741" s="258">
        <v>0</v>
      </c>
      <c r="AK1741" s="68">
        <v>0</v>
      </c>
      <c r="AL1741" s="258">
        <v>0</v>
      </c>
      <c r="AM1741" s="258">
        <v>0</v>
      </c>
      <c r="AN1741" s="258">
        <v>0</v>
      </c>
      <c r="AO1741" s="258">
        <v>0</v>
      </c>
      <c r="AP1741" s="258">
        <v>0</v>
      </c>
      <c r="AQ1741" s="258">
        <v>0</v>
      </c>
      <c r="AR1741" s="258">
        <v>0</v>
      </c>
      <c r="AS1741" s="258">
        <v>0</v>
      </c>
      <c r="AT1741" s="275">
        <v>0</v>
      </c>
      <c r="AU1741" s="258">
        <v>0</v>
      </c>
      <c r="AV1741" s="258"/>
      <c r="AW1741" s="256">
        <v>0</v>
      </c>
      <c r="AX1741" s="258">
        <v>0</v>
      </c>
      <c r="AY1741" s="258">
        <v>0</v>
      </c>
      <c r="AZ1741" s="258">
        <v>0</v>
      </c>
      <c r="BA1741" s="124" t="s">
        <v>200</v>
      </c>
      <c r="BB1741" s="258">
        <v>0</v>
      </c>
      <c r="BC1741" s="277">
        <v>0</v>
      </c>
      <c r="BD1741" s="66">
        <v>1</v>
      </c>
      <c r="BE1741" s="258" t="str">
        <f t="shared" si="150"/>
        <v>技能:逆转之力 提升1级</v>
      </c>
      <c r="BF1741" s="258"/>
      <c r="BG1741" s="258">
        <v>0</v>
      </c>
      <c r="BH1741" s="135">
        <v>0</v>
      </c>
      <c r="BI1741" s="68">
        <v>0</v>
      </c>
      <c r="BJ1741" s="258">
        <v>0</v>
      </c>
      <c r="BK1741" s="258">
        <v>0</v>
      </c>
      <c r="BL1741" s="258">
        <v>0</v>
      </c>
      <c r="BM1741" s="93">
        <v>0</v>
      </c>
      <c r="BN1741" s="68">
        <v>0</v>
      </c>
      <c r="BO1741" s="68">
        <v>0</v>
      </c>
      <c r="BP1741" s="68">
        <v>0</v>
      </c>
      <c r="BQ1741" s="68">
        <v>0</v>
      </c>
      <c r="BR1741" s="68">
        <v>0</v>
      </c>
      <c r="BS1741" s="68">
        <v>0</v>
      </c>
      <c r="BT1741" s="68">
        <v>0</v>
      </c>
      <c r="BU1741" s="68">
        <v>0</v>
      </c>
      <c r="BV1741" s="68"/>
      <c r="BW1741" s="68"/>
    </row>
    <row r="1742" spans="3:75" ht="20.100000000000001" customHeight="1">
      <c r="C1742" s="18">
        <v>69060100</v>
      </c>
      <c r="D1742" s="19" t="s">
        <v>4056</v>
      </c>
      <c r="E1742" s="19" t="s">
        <v>4057</v>
      </c>
      <c r="F1742" s="18">
        <v>0</v>
      </c>
      <c r="G1742" s="18">
        <v>69060100</v>
      </c>
      <c r="H1742" s="18">
        <v>69060101</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4058</v>
      </c>
      <c r="BC1742" s="27">
        <v>0</v>
      </c>
      <c r="BD1742" s="27">
        <v>1</v>
      </c>
      <c r="BE1742" s="19" t="s">
        <v>4059</v>
      </c>
      <c r="BF1742" s="19" t="s">
        <v>4060</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69060101</v>
      </c>
      <c r="D1743" s="19" t="s">
        <v>4061</v>
      </c>
      <c r="E1743" s="19" t="s">
        <v>4062</v>
      </c>
      <c r="F1743" s="18">
        <v>1</v>
      </c>
      <c r="G1743" s="18">
        <v>69060100</v>
      </c>
      <c r="H1743" s="18">
        <v>69060102</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4063</v>
      </c>
      <c r="BC1743" s="27">
        <v>0</v>
      </c>
      <c r="BD1743" s="27">
        <v>1</v>
      </c>
      <c r="BE1743" s="19" t="s">
        <v>4064</v>
      </c>
      <c r="BF1743" s="19" t="s">
        <v>4065</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69060102</v>
      </c>
      <c r="D1744" s="19" t="s">
        <v>4066</v>
      </c>
      <c r="E1744" s="19" t="s">
        <v>4067</v>
      </c>
      <c r="F1744" s="18">
        <v>2</v>
      </c>
      <c r="G1744" s="18">
        <v>69060100</v>
      </c>
      <c r="H1744" s="18">
        <v>69060103</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4068</v>
      </c>
      <c r="BC1744" s="27">
        <v>0</v>
      </c>
      <c r="BD1744" s="27">
        <v>1</v>
      </c>
      <c r="BE1744" s="19" t="s">
        <v>4069</v>
      </c>
      <c r="BF1744" s="19" t="s">
        <v>4070</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69060103</v>
      </c>
      <c r="D1745" s="19" t="s">
        <v>4071</v>
      </c>
      <c r="E1745" s="19" t="s">
        <v>4072</v>
      </c>
      <c r="F1745" s="18">
        <v>3</v>
      </c>
      <c r="G1745" s="18">
        <v>69060100</v>
      </c>
      <c r="H1745" s="18">
        <v>69060104</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4073</v>
      </c>
      <c r="BC1745" s="27">
        <v>0</v>
      </c>
      <c r="BD1745" s="27">
        <v>1</v>
      </c>
      <c r="BE1745" s="19" t="s">
        <v>4074</v>
      </c>
      <c r="BF1745" s="19" t="s">
        <v>4075</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69060104</v>
      </c>
      <c r="D1746" s="19" t="s">
        <v>4076</v>
      </c>
      <c r="E1746" s="19" t="s">
        <v>4077</v>
      </c>
      <c r="F1746" s="18">
        <v>4</v>
      </c>
      <c r="G1746" s="18">
        <v>69060100</v>
      </c>
      <c r="H1746" s="18">
        <v>69060105</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4078</v>
      </c>
      <c r="BC1746" s="27">
        <v>0</v>
      </c>
      <c r="BD1746" s="27">
        <v>1</v>
      </c>
      <c r="BE1746" s="19" t="s">
        <v>4079</v>
      </c>
      <c r="BF1746" s="19" t="s">
        <v>4080</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69060105</v>
      </c>
      <c r="D1747" s="19" t="s">
        <v>4081</v>
      </c>
      <c r="E1747" s="19" t="s">
        <v>4082</v>
      </c>
      <c r="F1747" s="18">
        <v>5</v>
      </c>
      <c r="G1747" s="18">
        <v>69060100</v>
      </c>
      <c r="H1747" s="18">
        <v>69060106</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4083</v>
      </c>
      <c r="BC1747" s="27">
        <v>0</v>
      </c>
      <c r="BD1747" s="27">
        <v>1</v>
      </c>
      <c r="BE1747" s="19" t="s">
        <v>4084</v>
      </c>
      <c r="BF1747" s="19" t="s">
        <v>4085</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69060106</v>
      </c>
      <c r="D1748" s="19" t="s">
        <v>4086</v>
      </c>
      <c r="E1748" s="19" t="s">
        <v>4087</v>
      </c>
      <c r="F1748" s="18">
        <v>6</v>
      </c>
      <c r="G1748" s="18">
        <v>69060100</v>
      </c>
      <c r="H1748" s="18">
        <v>69060107</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4088</v>
      </c>
      <c r="BC1748" s="27">
        <v>0</v>
      </c>
      <c r="BD1748" s="27">
        <v>1</v>
      </c>
      <c r="BE1748" s="19" t="s">
        <v>4089</v>
      </c>
      <c r="BF1748" s="19" t="s">
        <v>4090</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69060107</v>
      </c>
      <c r="D1749" s="19" t="s">
        <v>4091</v>
      </c>
      <c r="E1749" s="19" t="s">
        <v>4092</v>
      </c>
      <c r="F1749" s="18">
        <v>7</v>
      </c>
      <c r="G1749" s="18">
        <v>69060100</v>
      </c>
      <c r="H1749" s="18">
        <v>69060108</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4093</v>
      </c>
      <c r="BC1749" s="27">
        <v>0</v>
      </c>
      <c r="BD1749" s="27">
        <v>1</v>
      </c>
      <c r="BE1749" s="19" t="s">
        <v>4094</v>
      </c>
      <c r="BF1749" s="19" t="s">
        <v>4095</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69060108</v>
      </c>
      <c r="D1750" s="19" t="s">
        <v>4096</v>
      </c>
      <c r="E1750" s="19" t="s">
        <v>4097</v>
      </c>
      <c r="F1750" s="18">
        <v>8</v>
      </c>
      <c r="G1750" s="18">
        <v>69060100</v>
      </c>
      <c r="H1750" s="18">
        <v>69060109</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4098</v>
      </c>
      <c r="BC1750" s="27">
        <v>0</v>
      </c>
      <c r="BD1750" s="27">
        <v>1</v>
      </c>
      <c r="BE1750" s="19" t="s">
        <v>4099</v>
      </c>
      <c r="BF1750" s="19" t="s">
        <v>4100</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69060109</v>
      </c>
      <c r="D1751" s="19" t="s">
        <v>4101</v>
      </c>
      <c r="E1751" s="19" t="s">
        <v>4102</v>
      </c>
      <c r="F1751" s="18">
        <v>9</v>
      </c>
      <c r="G1751" s="18">
        <v>69060100</v>
      </c>
      <c r="H1751" s="18">
        <v>69060110</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4103</v>
      </c>
      <c r="BC1751" s="27">
        <v>0</v>
      </c>
      <c r="BD1751" s="27">
        <v>1</v>
      </c>
      <c r="BE1751" s="19" t="s">
        <v>4104</v>
      </c>
      <c r="BF1751" s="19" t="s">
        <v>4105</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69060110</v>
      </c>
      <c r="D1752" s="19" t="s">
        <v>4106</v>
      </c>
      <c r="E1752" s="19" t="s">
        <v>4107</v>
      </c>
      <c r="F1752" s="18">
        <v>10</v>
      </c>
      <c r="G1752" s="18">
        <v>69060100</v>
      </c>
      <c r="H1752" s="18">
        <v>0</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4108</v>
      </c>
      <c r="BC1752" s="27">
        <v>0</v>
      </c>
      <c r="BD1752" s="27">
        <v>1</v>
      </c>
      <c r="BE1752" s="19" t="s">
        <v>4109</v>
      </c>
      <c r="BF1752" s="19" t="s">
        <v>4110</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69060200</v>
      </c>
      <c r="D1753" s="19" t="s">
        <v>4111</v>
      </c>
      <c r="E1753" s="19" t="s">
        <v>4112</v>
      </c>
      <c r="F1753" s="18">
        <v>0</v>
      </c>
      <c r="G1753" s="18">
        <v>69060200</v>
      </c>
      <c r="H1753" s="18">
        <f>C1754</f>
        <v>69060201</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4113</v>
      </c>
      <c r="BC1753" s="27">
        <v>0</v>
      </c>
      <c r="BD1753" s="27">
        <v>1</v>
      </c>
      <c r="BE1753" s="19" t="s">
        <v>4059</v>
      </c>
      <c r="BF1753" s="19" t="s">
        <v>4060</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69060201</v>
      </c>
      <c r="D1754" s="19" t="s">
        <v>4114</v>
      </c>
      <c r="E1754" s="19" t="s">
        <v>4115</v>
      </c>
      <c r="F1754" s="18">
        <v>1</v>
      </c>
      <c r="G1754" s="18">
        <v>69060200</v>
      </c>
      <c r="H1754" s="18">
        <f t="shared" ref="H1754:H1762" si="151">C1755</f>
        <v>69060202</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4116</v>
      </c>
      <c r="BC1754" s="27">
        <v>0</v>
      </c>
      <c r="BD1754" s="27">
        <v>1</v>
      </c>
      <c r="BE1754" s="19" t="s">
        <v>4117</v>
      </c>
      <c r="BF1754" s="19" t="s">
        <v>4118</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69060202</v>
      </c>
      <c r="D1755" s="19" t="s">
        <v>4119</v>
      </c>
      <c r="E1755" s="19" t="s">
        <v>4120</v>
      </c>
      <c r="F1755" s="18">
        <v>2</v>
      </c>
      <c r="G1755" s="18">
        <v>69060200</v>
      </c>
      <c r="H1755" s="18">
        <f t="shared" si="151"/>
        <v>69060203</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4121</v>
      </c>
      <c r="BC1755" s="27">
        <v>0</v>
      </c>
      <c r="BD1755" s="27">
        <v>1</v>
      </c>
      <c r="BE1755" s="19" t="s">
        <v>4122</v>
      </c>
      <c r="BF1755" s="19" t="s">
        <v>4123</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69060203</v>
      </c>
      <c r="D1756" s="19" t="s">
        <v>4124</v>
      </c>
      <c r="E1756" s="19" t="s">
        <v>4125</v>
      </c>
      <c r="F1756" s="18">
        <v>3</v>
      </c>
      <c r="G1756" s="18">
        <v>69060200</v>
      </c>
      <c r="H1756" s="18">
        <f t="shared" si="151"/>
        <v>69060204</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4126</v>
      </c>
      <c r="BC1756" s="27">
        <v>0</v>
      </c>
      <c r="BD1756" s="27">
        <v>1</v>
      </c>
      <c r="BE1756" s="19" t="s">
        <v>4127</v>
      </c>
      <c r="BF1756" s="19" t="s">
        <v>4128</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69060204</v>
      </c>
      <c r="D1757" s="19" t="s">
        <v>4129</v>
      </c>
      <c r="E1757" s="19" t="s">
        <v>4130</v>
      </c>
      <c r="F1757" s="18">
        <v>4</v>
      </c>
      <c r="G1757" s="18">
        <v>69060200</v>
      </c>
      <c r="H1757" s="18">
        <f t="shared" si="151"/>
        <v>69060205</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4131</v>
      </c>
      <c r="BC1757" s="27">
        <v>0</v>
      </c>
      <c r="BD1757" s="27">
        <v>1</v>
      </c>
      <c r="BE1757" s="19" t="s">
        <v>4132</v>
      </c>
      <c r="BF1757" s="19" t="s">
        <v>4133</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69060205</v>
      </c>
      <c r="D1758" s="19" t="s">
        <v>4134</v>
      </c>
      <c r="E1758" s="19" t="s">
        <v>4135</v>
      </c>
      <c r="F1758" s="18">
        <v>5</v>
      </c>
      <c r="G1758" s="18">
        <v>69060200</v>
      </c>
      <c r="H1758" s="18">
        <f t="shared" si="151"/>
        <v>69060206</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4136</v>
      </c>
      <c r="BC1758" s="27">
        <v>0</v>
      </c>
      <c r="BD1758" s="27">
        <v>1</v>
      </c>
      <c r="BE1758" s="19" t="s">
        <v>4137</v>
      </c>
      <c r="BF1758" s="19" t="s">
        <v>4138</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69060206</v>
      </c>
      <c r="D1759" s="19" t="s">
        <v>4139</v>
      </c>
      <c r="E1759" s="19" t="s">
        <v>4140</v>
      </c>
      <c r="F1759" s="18">
        <v>6</v>
      </c>
      <c r="G1759" s="18">
        <v>69060200</v>
      </c>
      <c r="H1759" s="18">
        <f t="shared" si="151"/>
        <v>69060207</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4141</v>
      </c>
      <c r="BC1759" s="27">
        <v>0</v>
      </c>
      <c r="BD1759" s="27">
        <v>1</v>
      </c>
      <c r="BE1759" s="19" t="s">
        <v>4142</v>
      </c>
      <c r="BF1759" s="19" t="s">
        <v>4143</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69060207</v>
      </c>
      <c r="D1760" s="19" t="s">
        <v>4144</v>
      </c>
      <c r="E1760" s="19" t="s">
        <v>4145</v>
      </c>
      <c r="F1760" s="18">
        <v>7</v>
      </c>
      <c r="G1760" s="18">
        <v>69060200</v>
      </c>
      <c r="H1760" s="18">
        <f t="shared" si="151"/>
        <v>69060208</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4146</v>
      </c>
      <c r="BC1760" s="27">
        <v>0</v>
      </c>
      <c r="BD1760" s="27">
        <v>1</v>
      </c>
      <c r="BE1760" s="19" t="s">
        <v>4147</v>
      </c>
      <c r="BF1760" s="19" t="s">
        <v>4148</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69060208</v>
      </c>
      <c r="D1761" s="19" t="s">
        <v>4149</v>
      </c>
      <c r="E1761" s="19" t="s">
        <v>4150</v>
      </c>
      <c r="F1761" s="18">
        <v>8</v>
      </c>
      <c r="G1761" s="18">
        <v>69060200</v>
      </c>
      <c r="H1761" s="18">
        <f t="shared" si="151"/>
        <v>69060209</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4151</v>
      </c>
      <c r="BC1761" s="27">
        <v>0</v>
      </c>
      <c r="BD1761" s="27">
        <v>1</v>
      </c>
      <c r="BE1761" s="19" t="s">
        <v>4152</v>
      </c>
      <c r="BF1761" s="19" t="s">
        <v>4153</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69060209</v>
      </c>
      <c r="D1762" s="19" t="s">
        <v>4154</v>
      </c>
      <c r="E1762" s="19" t="s">
        <v>4155</v>
      </c>
      <c r="F1762" s="18">
        <v>9</v>
      </c>
      <c r="G1762" s="18">
        <v>69060200</v>
      </c>
      <c r="H1762" s="18">
        <f t="shared" si="151"/>
        <v>69060210</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4156</v>
      </c>
      <c r="BC1762" s="27">
        <v>0</v>
      </c>
      <c r="BD1762" s="27">
        <v>1</v>
      </c>
      <c r="BE1762" s="19" t="s">
        <v>4157</v>
      </c>
      <c r="BF1762" s="19" t="s">
        <v>4158</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69060210</v>
      </c>
      <c r="D1763" s="19" t="s">
        <v>4159</v>
      </c>
      <c r="E1763" s="19" t="s">
        <v>4160</v>
      </c>
      <c r="F1763" s="18">
        <v>10</v>
      </c>
      <c r="G1763" s="18">
        <v>69060200</v>
      </c>
      <c r="H1763" s="18">
        <v>0</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4161</v>
      </c>
      <c r="BC1763" s="27">
        <v>0</v>
      </c>
      <c r="BD1763" s="27">
        <v>1</v>
      </c>
      <c r="BE1763" s="19" t="s">
        <v>4162</v>
      </c>
      <c r="BF1763" s="19" t="s">
        <v>4163</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69060300</v>
      </c>
      <c r="D1764" s="19" t="s">
        <v>4164</v>
      </c>
      <c r="E1764" s="19" t="s">
        <v>4165</v>
      </c>
      <c r="F1764" s="18">
        <v>0</v>
      </c>
      <c r="G1764" s="18">
        <v>69060300</v>
      </c>
      <c r="H1764" s="18">
        <f>C1765</f>
        <v>69060301</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4166</v>
      </c>
      <c r="BC1764" s="27">
        <v>0</v>
      </c>
      <c r="BD1764" s="27">
        <v>1</v>
      </c>
      <c r="BE1764" s="19" t="s">
        <v>4059</v>
      </c>
      <c r="BF1764" s="19" t="s">
        <v>4060</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69060301</v>
      </c>
      <c r="D1765" s="19" t="s">
        <v>4167</v>
      </c>
      <c r="E1765" s="19" t="s">
        <v>4168</v>
      </c>
      <c r="F1765" s="18">
        <v>1</v>
      </c>
      <c r="G1765" s="18">
        <v>69060300</v>
      </c>
      <c r="H1765" s="18">
        <f t="shared" ref="H1765:H1773" si="152">C1766</f>
        <v>69060302</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4169</v>
      </c>
      <c r="BC1765" s="27">
        <v>0</v>
      </c>
      <c r="BD1765" s="27">
        <v>1</v>
      </c>
      <c r="BE1765" s="19" t="s">
        <v>4170</v>
      </c>
      <c r="BF1765" s="19" t="s">
        <v>4171</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69060302</v>
      </c>
      <c r="D1766" s="19" t="s">
        <v>4172</v>
      </c>
      <c r="E1766" s="19" t="s">
        <v>4173</v>
      </c>
      <c r="F1766" s="18">
        <v>2</v>
      </c>
      <c r="G1766" s="18">
        <v>69060300</v>
      </c>
      <c r="H1766" s="18">
        <f t="shared" si="152"/>
        <v>69060303</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4174</v>
      </c>
      <c r="BC1766" s="27">
        <v>0</v>
      </c>
      <c r="BD1766" s="27">
        <v>1</v>
      </c>
      <c r="BE1766" s="19" t="s">
        <v>4175</v>
      </c>
      <c r="BF1766" s="19" t="s">
        <v>4176</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69060303</v>
      </c>
      <c r="D1767" s="19" t="s">
        <v>4177</v>
      </c>
      <c r="E1767" s="19" t="s">
        <v>4178</v>
      </c>
      <c r="F1767" s="18">
        <v>3</v>
      </c>
      <c r="G1767" s="18">
        <v>69060300</v>
      </c>
      <c r="H1767" s="18">
        <f t="shared" si="152"/>
        <v>69060304</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4179</v>
      </c>
      <c r="BC1767" s="27">
        <v>0</v>
      </c>
      <c r="BD1767" s="27">
        <v>1</v>
      </c>
      <c r="BE1767" s="19" t="s">
        <v>4180</v>
      </c>
      <c r="BF1767" s="19" t="s">
        <v>4181</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69060304</v>
      </c>
      <c r="D1768" s="19" t="s">
        <v>4182</v>
      </c>
      <c r="E1768" s="19" t="s">
        <v>4183</v>
      </c>
      <c r="F1768" s="18">
        <v>4</v>
      </c>
      <c r="G1768" s="18">
        <v>69060300</v>
      </c>
      <c r="H1768" s="18">
        <f t="shared" si="152"/>
        <v>69060305</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4184</v>
      </c>
      <c r="BC1768" s="27">
        <v>0</v>
      </c>
      <c r="BD1768" s="27">
        <v>1</v>
      </c>
      <c r="BE1768" s="19" t="s">
        <v>4185</v>
      </c>
      <c r="BF1768" s="19" t="s">
        <v>4186</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69060305</v>
      </c>
      <c r="D1769" s="19" t="s">
        <v>4187</v>
      </c>
      <c r="E1769" s="19" t="s">
        <v>4188</v>
      </c>
      <c r="F1769" s="18">
        <v>5</v>
      </c>
      <c r="G1769" s="18">
        <v>69060300</v>
      </c>
      <c r="H1769" s="18">
        <f t="shared" si="152"/>
        <v>69060306</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4189</v>
      </c>
      <c r="BC1769" s="27">
        <v>0</v>
      </c>
      <c r="BD1769" s="27">
        <v>1</v>
      </c>
      <c r="BE1769" s="19" t="s">
        <v>4190</v>
      </c>
      <c r="BF1769" s="19" t="s">
        <v>4191</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69060306</v>
      </c>
      <c r="D1770" s="19" t="s">
        <v>4192</v>
      </c>
      <c r="E1770" s="19" t="s">
        <v>4193</v>
      </c>
      <c r="F1770" s="18">
        <v>6</v>
      </c>
      <c r="G1770" s="18">
        <v>69060300</v>
      </c>
      <c r="H1770" s="18">
        <f t="shared" si="152"/>
        <v>69060307</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4194</v>
      </c>
      <c r="BC1770" s="27">
        <v>0</v>
      </c>
      <c r="BD1770" s="27">
        <v>1</v>
      </c>
      <c r="BE1770" s="19" t="s">
        <v>4195</v>
      </c>
      <c r="BF1770" s="19" t="s">
        <v>4196</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69060307</v>
      </c>
      <c r="D1771" s="19" t="s">
        <v>4197</v>
      </c>
      <c r="E1771" s="19" t="s">
        <v>4198</v>
      </c>
      <c r="F1771" s="18">
        <v>7</v>
      </c>
      <c r="G1771" s="18">
        <v>69060300</v>
      </c>
      <c r="H1771" s="18">
        <f t="shared" si="152"/>
        <v>69060308</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4199</v>
      </c>
      <c r="BC1771" s="27">
        <v>0</v>
      </c>
      <c r="BD1771" s="27">
        <v>1</v>
      </c>
      <c r="BE1771" s="19" t="s">
        <v>4200</v>
      </c>
      <c r="BF1771" s="19" t="s">
        <v>4201</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69060308</v>
      </c>
      <c r="D1772" s="19" t="s">
        <v>4202</v>
      </c>
      <c r="E1772" s="19" t="s">
        <v>4203</v>
      </c>
      <c r="F1772" s="18">
        <v>8</v>
      </c>
      <c r="G1772" s="18">
        <v>69060300</v>
      </c>
      <c r="H1772" s="18">
        <f t="shared" si="152"/>
        <v>69060309</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4204</v>
      </c>
      <c r="BC1772" s="27">
        <v>0</v>
      </c>
      <c r="BD1772" s="27">
        <v>1</v>
      </c>
      <c r="BE1772" s="19" t="s">
        <v>4205</v>
      </c>
      <c r="BF1772" s="19" t="s">
        <v>4206</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69060309</v>
      </c>
      <c r="D1773" s="19" t="s">
        <v>4207</v>
      </c>
      <c r="E1773" s="19" t="s">
        <v>4208</v>
      </c>
      <c r="F1773" s="18">
        <v>9</v>
      </c>
      <c r="G1773" s="18">
        <v>69060300</v>
      </c>
      <c r="H1773" s="18">
        <f t="shared" si="152"/>
        <v>69060310</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4209</v>
      </c>
      <c r="BC1773" s="27">
        <v>0</v>
      </c>
      <c r="BD1773" s="27">
        <v>1</v>
      </c>
      <c r="BE1773" s="19" t="s">
        <v>4210</v>
      </c>
      <c r="BF1773" s="19" t="s">
        <v>4211</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69060310</v>
      </c>
      <c r="D1774" s="19" t="s">
        <v>4212</v>
      </c>
      <c r="E1774" s="19" t="s">
        <v>4213</v>
      </c>
      <c r="F1774" s="18">
        <v>10</v>
      </c>
      <c r="G1774" s="18">
        <v>69060300</v>
      </c>
      <c r="H1774" s="18">
        <v>0</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4214</v>
      </c>
      <c r="BC1774" s="27">
        <v>0</v>
      </c>
      <c r="BD1774" s="27">
        <v>1</v>
      </c>
      <c r="BE1774" s="19" t="s">
        <v>4215</v>
      </c>
      <c r="BF1774" s="19" t="s">
        <v>4216</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69060400</v>
      </c>
      <c r="D1775" s="19" t="s">
        <v>4217</v>
      </c>
      <c r="E1775" s="19" t="s">
        <v>4218</v>
      </c>
      <c r="F1775" s="18">
        <v>0</v>
      </c>
      <c r="G1775" s="18">
        <v>69060400</v>
      </c>
      <c r="H1775" s="18">
        <f>C1776</f>
        <v>69060401</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4219</v>
      </c>
      <c r="BC1775" s="27">
        <v>0</v>
      </c>
      <c r="BD1775" s="27">
        <v>1</v>
      </c>
      <c r="BE1775" s="19" t="s">
        <v>4059</v>
      </c>
      <c r="BF1775" s="19" t="s">
        <v>4060</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69060401</v>
      </c>
      <c r="D1776" s="19" t="s">
        <v>4220</v>
      </c>
      <c r="E1776" s="19" t="s">
        <v>4221</v>
      </c>
      <c r="F1776" s="18">
        <v>1</v>
      </c>
      <c r="G1776" s="18">
        <v>69060400</v>
      </c>
      <c r="H1776" s="18">
        <f t="shared" ref="H1776:H1784" si="153">C1777</f>
        <v>69060402</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4222</v>
      </c>
      <c r="BC1776" s="27">
        <v>0</v>
      </c>
      <c r="BD1776" s="27">
        <v>1</v>
      </c>
      <c r="BE1776" s="19" t="s">
        <v>4223</v>
      </c>
      <c r="BF1776" s="19" t="s">
        <v>4224</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69060402</v>
      </c>
      <c r="D1777" s="19" t="s">
        <v>4225</v>
      </c>
      <c r="E1777" s="19" t="s">
        <v>4226</v>
      </c>
      <c r="F1777" s="18">
        <v>2</v>
      </c>
      <c r="G1777" s="18">
        <v>69060400</v>
      </c>
      <c r="H1777" s="18">
        <f t="shared" si="153"/>
        <v>69060403</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4227</v>
      </c>
      <c r="BC1777" s="27">
        <v>0</v>
      </c>
      <c r="BD1777" s="27">
        <v>1</v>
      </c>
      <c r="BE1777" s="19" t="s">
        <v>4228</v>
      </c>
      <c r="BF1777" s="19" t="s">
        <v>4229</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69060403</v>
      </c>
      <c r="D1778" s="19" t="s">
        <v>4230</v>
      </c>
      <c r="E1778" s="19" t="s">
        <v>4231</v>
      </c>
      <c r="F1778" s="18">
        <v>3</v>
      </c>
      <c r="G1778" s="18">
        <v>69060400</v>
      </c>
      <c r="H1778" s="18">
        <f t="shared" si="153"/>
        <v>69060404</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4232</v>
      </c>
      <c r="BC1778" s="27">
        <v>0</v>
      </c>
      <c r="BD1778" s="27">
        <v>1</v>
      </c>
      <c r="BE1778" s="19" t="s">
        <v>4233</v>
      </c>
      <c r="BF1778" s="19" t="s">
        <v>4234</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69060404</v>
      </c>
      <c r="D1779" s="19" t="s">
        <v>4235</v>
      </c>
      <c r="E1779" s="19" t="s">
        <v>4236</v>
      </c>
      <c r="F1779" s="18">
        <v>4</v>
      </c>
      <c r="G1779" s="18">
        <v>69060400</v>
      </c>
      <c r="H1779" s="18">
        <f t="shared" si="153"/>
        <v>69060405</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4237</v>
      </c>
      <c r="BC1779" s="27">
        <v>0</v>
      </c>
      <c r="BD1779" s="27">
        <v>1</v>
      </c>
      <c r="BE1779" s="19" t="s">
        <v>4238</v>
      </c>
      <c r="BF1779" s="19" t="s">
        <v>4239</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69060405</v>
      </c>
      <c r="D1780" s="19" t="s">
        <v>4240</v>
      </c>
      <c r="E1780" s="19" t="s">
        <v>4241</v>
      </c>
      <c r="F1780" s="18">
        <v>5</v>
      </c>
      <c r="G1780" s="18">
        <v>69060400</v>
      </c>
      <c r="H1780" s="18">
        <f t="shared" si="153"/>
        <v>69060406</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4242</v>
      </c>
      <c r="BC1780" s="27">
        <v>0</v>
      </c>
      <c r="BD1780" s="27">
        <v>1</v>
      </c>
      <c r="BE1780" s="19" t="s">
        <v>4243</v>
      </c>
      <c r="BF1780" s="19" t="s">
        <v>4244</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69060406</v>
      </c>
      <c r="D1781" s="19" t="s">
        <v>4245</v>
      </c>
      <c r="E1781" s="19" t="s">
        <v>4246</v>
      </c>
      <c r="F1781" s="18">
        <v>6</v>
      </c>
      <c r="G1781" s="18">
        <v>69060400</v>
      </c>
      <c r="H1781" s="18">
        <f t="shared" si="153"/>
        <v>69060407</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4247</v>
      </c>
      <c r="BC1781" s="27">
        <v>0</v>
      </c>
      <c r="BD1781" s="27">
        <v>1</v>
      </c>
      <c r="BE1781" s="19" t="s">
        <v>4248</v>
      </c>
      <c r="BF1781" s="19" t="s">
        <v>4249</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69060407</v>
      </c>
      <c r="D1782" s="19" t="s">
        <v>4250</v>
      </c>
      <c r="E1782" s="19" t="s">
        <v>4251</v>
      </c>
      <c r="F1782" s="18">
        <v>7</v>
      </c>
      <c r="G1782" s="18">
        <v>69060400</v>
      </c>
      <c r="H1782" s="18">
        <f t="shared" si="153"/>
        <v>69060408</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4252</v>
      </c>
      <c r="BC1782" s="27">
        <v>0</v>
      </c>
      <c r="BD1782" s="27">
        <v>1</v>
      </c>
      <c r="BE1782" s="19" t="s">
        <v>4253</v>
      </c>
      <c r="BF1782" s="19" t="s">
        <v>4254</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69060408</v>
      </c>
      <c r="D1783" s="19" t="s">
        <v>4255</v>
      </c>
      <c r="E1783" s="19" t="s">
        <v>4256</v>
      </c>
      <c r="F1783" s="18">
        <v>8</v>
      </c>
      <c r="G1783" s="18">
        <v>69060400</v>
      </c>
      <c r="H1783" s="18">
        <f t="shared" si="153"/>
        <v>69060409</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4257</v>
      </c>
      <c r="BC1783" s="27">
        <v>0</v>
      </c>
      <c r="BD1783" s="27">
        <v>1</v>
      </c>
      <c r="BE1783" s="19" t="s">
        <v>4258</v>
      </c>
      <c r="BF1783" s="19" t="s">
        <v>4259</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69060409</v>
      </c>
      <c r="D1784" s="19" t="s">
        <v>4260</v>
      </c>
      <c r="E1784" s="19" t="s">
        <v>4261</v>
      </c>
      <c r="F1784" s="18">
        <v>9</v>
      </c>
      <c r="G1784" s="18">
        <v>69060400</v>
      </c>
      <c r="H1784" s="18">
        <f t="shared" si="153"/>
        <v>69060410</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4262</v>
      </c>
      <c r="BC1784" s="27">
        <v>0</v>
      </c>
      <c r="BD1784" s="27">
        <v>1</v>
      </c>
      <c r="BE1784" s="19" t="s">
        <v>4263</v>
      </c>
      <c r="BF1784" s="19" t="s">
        <v>4264</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69060410</v>
      </c>
      <c r="D1785" s="19" t="s">
        <v>4265</v>
      </c>
      <c r="E1785" s="19" t="s">
        <v>4266</v>
      </c>
      <c r="F1785" s="18">
        <v>10</v>
      </c>
      <c r="G1785" s="18">
        <v>69060400</v>
      </c>
      <c r="H1785" s="18">
        <v>0</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4267</v>
      </c>
      <c r="BC1785" s="27">
        <v>0</v>
      </c>
      <c r="BD1785" s="27">
        <v>1</v>
      </c>
      <c r="BE1785" s="19" t="s">
        <v>4268</v>
      </c>
      <c r="BF1785" s="19" t="s">
        <v>4269</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69060500</v>
      </c>
      <c r="D1786" s="19" t="s">
        <v>4270</v>
      </c>
      <c r="E1786" s="19" t="s">
        <v>4271</v>
      </c>
      <c r="F1786" s="18">
        <v>0</v>
      </c>
      <c r="G1786" s="18">
        <v>69060500</v>
      </c>
      <c r="H1786" s="18">
        <f>C1787</f>
        <v>69060501</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4272</v>
      </c>
      <c r="BC1786" s="27">
        <v>0</v>
      </c>
      <c r="BD1786" s="27">
        <v>1</v>
      </c>
      <c r="BE1786" s="19" t="s">
        <v>4059</v>
      </c>
      <c r="BF1786" s="19" t="s">
        <v>4060</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69060501</v>
      </c>
      <c r="D1787" s="19" t="s">
        <v>4273</v>
      </c>
      <c r="E1787" s="19" t="s">
        <v>4274</v>
      </c>
      <c r="F1787" s="18">
        <v>1</v>
      </c>
      <c r="G1787" s="18">
        <v>69060500</v>
      </c>
      <c r="H1787" s="18">
        <f t="shared" ref="H1787:H1795" si="154">C1788</f>
        <v>69060502</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4275</v>
      </c>
      <c r="BC1787" s="27">
        <v>0</v>
      </c>
      <c r="BD1787" s="27">
        <v>1</v>
      </c>
      <c r="BE1787" s="19" t="s">
        <v>4276</v>
      </c>
      <c r="BF1787" s="19" t="s">
        <v>4277</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69060502</v>
      </c>
      <c r="D1788" s="19" t="s">
        <v>4278</v>
      </c>
      <c r="E1788" s="19" t="s">
        <v>4279</v>
      </c>
      <c r="F1788" s="18">
        <v>2</v>
      </c>
      <c r="G1788" s="18">
        <v>69060500</v>
      </c>
      <c r="H1788" s="18">
        <f t="shared" si="154"/>
        <v>69060503</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4280</v>
      </c>
      <c r="BC1788" s="27">
        <v>0</v>
      </c>
      <c r="BD1788" s="27">
        <v>1</v>
      </c>
      <c r="BE1788" s="19" t="s">
        <v>4281</v>
      </c>
      <c r="BF1788" s="19" t="s">
        <v>4282</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69060503</v>
      </c>
      <c r="D1789" s="19" t="s">
        <v>4283</v>
      </c>
      <c r="E1789" s="19" t="s">
        <v>4284</v>
      </c>
      <c r="F1789" s="18">
        <v>3</v>
      </c>
      <c r="G1789" s="18">
        <v>69060500</v>
      </c>
      <c r="H1789" s="18">
        <f t="shared" si="154"/>
        <v>69060504</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4285</v>
      </c>
      <c r="BC1789" s="27">
        <v>0</v>
      </c>
      <c r="BD1789" s="27">
        <v>1</v>
      </c>
      <c r="BE1789" s="19" t="s">
        <v>4286</v>
      </c>
      <c r="BF1789" s="19" t="s">
        <v>4287</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69060504</v>
      </c>
      <c r="D1790" s="19" t="s">
        <v>4288</v>
      </c>
      <c r="E1790" s="19" t="s">
        <v>4289</v>
      </c>
      <c r="F1790" s="18">
        <v>4</v>
      </c>
      <c r="G1790" s="18">
        <v>69060500</v>
      </c>
      <c r="H1790" s="18">
        <f t="shared" si="154"/>
        <v>69060505</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4290</v>
      </c>
      <c r="BC1790" s="27">
        <v>0</v>
      </c>
      <c r="BD1790" s="27">
        <v>1</v>
      </c>
      <c r="BE1790" s="19" t="s">
        <v>4291</v>
      </c>
      <c r="BF1790" s="19" t="s">
        <v>4292</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69060505</v>
      </c>
      <c r="D1791" s="19" t="s">
        <v>4293</v>
      </c>
      <c r="E1791" s="19" t="s">
        <v>4294</v>
      </c>
      <c r="F1791" s="18">
        <v>5</v>
      </c>
      <c r="G1791" s="18">
        <v>69060500</v>
      </c>
      <c r="H1791" s="18">
        <f t="shared" si="154"/>
        <v>69060506</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4295</v>
      </c>
      <c r="BC1791" s="27">
        <v>0</v>
      </c>
      <c r="BD1791" s="27">
        <v>1</v>
      </c>
      <c r="BE1791" s="19" t="s">
        <v>4296</v>
      </c>
      <c r="BF1791" s="19" t="s">
        <v>4297</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69060506</v>
      </c>
      <c r="D1792" s="19" t="s">
        <v>4298</v>
      </c>
      <c r="E1792" s="19" t="s">
        <v>4299</v>
      </c>
      <c r="F1792" s="18">
        <v>6</v>
      </c>
      <c r="G1792" s="18">
        <v>69060500</v>
      </c>
      <c r="H1792" s="18">
        <f t="shared" si="154"/>
        <v>69060507</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4300</v>
      </c>
      <c r="BC1792" s="27">
        <v>0</v>
      </c>
      <c r="BD1792" s="27">
        <v>1</v>
      </c>
      <c r="BE1792" s="19" t="s">
        <v>4301</v>
      </c>
      <c r="BF1792" s="19" t="s">
        <v>4302</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69060507</v>
      </c>
      <c r="D1793" s="19" t="s">
        <v>4303</v>
      </c>
      <c r="E1793" s="19" t="s">
        <v>4304</v>
      </c>
      <c r="F1793" s="18">
        <v>7</v>
      </c>
      <c r="G1793" s="18">
        <v>69060500</v>
      </c>
      <c r="H1793" s="18">
        <f t="shared" si="154"/>
        <v>69060508</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4305</v>
      </c>
      <c r="BC1793" s="27">
        <v>0</v>
      </c>
      <c r="BD1793" s="27">
        <v>1</v>
      </c>
      <c r="BE1793" s="19" t="s">
        <v>4306</v>
      </c>
      <c r="BF1793" s="19" t="s">
        <v>4307</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69060508</v>
      </c>
      <c r="D1794" s="19" t="s">
        <v>4308</v>
      </c>
      <c r="E1794" s="19" t="s">
        <v>4309</v>
      </c>
      <c r="F1794" s="18">
        <v>8</v>
      </c>
      <c r="G1794" s="18">
        <v>69060500</v>
      </c>
      <c r="H1794" s="18">
        <f t="shared" si="154"/>
        <v>69060509</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4310</v>
      </c>
      <c r="BC1794" s="27">
        <v>0</v>
      </c>
      <c r="BD1794" s="27">
        <v>1</v>
      </c>
      <c r="BE1794" s="19" t="s">
        <v>4311</v>
      </c>
      <c r="BF1794" s="19" t="s">
        <v>4312</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69060509</v>
      </c>
      <c r="D1795" s="19" t="s">
        <v>4313</v>
      </c>
      <c r="E1795" s="19" t="s">
        <v>4314</v>
      </c>
      <c r="F1795" s="18">
        <v>9</v>
      </c>
      <c r="G1795" s="18">
        <v>69060500</v>
      </c>
      <c r="H1795" s="18">
        <f t="shared" si="154"/>
        <v>69060510</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4315</v>
      </c>
      <c r="BC1795" s="27">
        <v>0</v>
      </c>
      <c r="BD1795" s="27">
        <v>1</v>
      </c>
      <c r="BE1795" s="19" t="s">
        <v>4316</v>
      </c>
      <c r="BF1795" s="19" t="s">
        <v>4317</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69060510</v>
      </c>
      <c r="D1796" s="19" t="s">
        <v>4318</v>
      </c>
      <c r="E1796" s="19" t="s">
        <v>4319</v>
      </c>
      <c r="F1796" s="18">
        <v>10</v>
      </c>
      <c r="G1796" s="18">
        <v>69060500</v>
      </c>
      <c r="H1796" s="18">
        <v>0</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4320</v>
      </c>
      <c r="BC1796" s="27">
        <v>0</v>
      </c>
      <c r="BD1796" s="27">
        <v>1</v>
      </c>
      <c r="BE1796" s="19" t="s">
        <v>4321</v>
      </c>
      <c r="BF1796" s="19" t="s">
        <v>4322</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69060600</v>
      </c>
      <c r="D1797" s="19" t="s">
        <v>4323</v>
      </c>
      <c r="E1797" s="19" t="s">
        <v>4324</v>
      </c>
      <c r="F1797" s="18">
        <v>1</v>
      </c>
      <c r="G1797" s="18">
        <v>69060600</v>
      </c>
      <c r="H1797" s="18">
        <v>69060601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4325</v>
      </c>
      <c r="BC1797" s="27">
        <v>0</v>
      </c>
      <c r="BD1797" s="27">
        <v>1</v>
      </c>
      <c r="BE1797" s="19" t="s">
        <v>4059</v>
      </c>
      <c r="BF1797" s="19" t="s">
        <v>4060</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69060601</v>
      </c>
      <c r="D1798" s="19" t="s">
        <v>4326</v>
      </c>
      <c r="E1798" s="19" t="s">
        <v>4327</v>
      </c>
      <c r="F1798" s="18">
        <v>1</v>
      </c>
      <c r="G1798" s="18">
        <v>69060600</v>
      </c>
      <c r="H1798" s="18">
        <v>69060602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3413</v>
      </c>
      <c r="BC1798" s="27">
        <v>0</v>
      </c>
      <c r="BD1798" s="27">
        <v>1</v>
      </c>
      <c r="BE1798" s="19" t="s">
        <v>4328</v>
      </c>
      <c r="BF1798" s="19" t="s">
        <v>4329</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69060602</v>
      </c>
      <c r="D1799" s="19" t="s">
        <v>4330</v>
      </c>
      <c r="E1799" s="19" t="s">
        <v>4331</v>
      </c>
      <c r="F1799" s="18">
        <v>1</v>
      </c>
      <c r="G1799" s="18">
        <v>69060600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198</v>
      </c>
      <c r="AV1799" s="18"/>
      <c r="AW1799" s="19" t="s">
        <v>199</v>
      </c>
      <c r="AX1799" s="18">
        <v>0</v>
      </c>
      <c r="AY1799" s="18">
        <v>0</v>
      </c>
      <c r="AZ1799" s="18">
        <v>0</v>
      </c>
      <c r="BA1799" s="19" t="s">
        <v>200</v>
      </c>
      <c r="BB1799" s="19" t="s">
        <v>4332</v>
      </c>
      <c r="BC1799" s="27">
        <v>0</v>
      </c>
      <c r="BD1799" s="27">
        <v>1</v>
      </c>
      <c r="BE1799" s="19" t="s">
        <v>4333</v>
      </c>
      <c r="BF1799" s="19" t="s">
        <v>4334</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20.100000000000001" customHeight="1">
      <c r="C1800" s="18">
        <v>69060700</v>
      </c>
      <c r="D1800" s="19" t="s">
        <v>4335</v>
      </c>
      <c r="E1800" s="19" t="s">
        <v>4336</v>
      </c>
      <c r="F1800" s="18">
        <v>1</v>
      </c>
      <c r="G1800" s="18">
        <v>69060700</v>
      </c>
      <c r="H1800" s="18">
        <v>69060701</v>
      </c>
      <c r="I1800" s="27">
        <v>0</v>
      </c>
      <c r="J1800" s="18">
        <v>20</v>
      </c>
      <c r="K1800" s="18">
        <v>2</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198</v>
      </c>
      <c r="AV1800" s="18"/>
      <c r="AW1800" s="19" t="s">
        <v>199</v>
      </c>
      <c r="AX1800" s="18">
        <v>0</v>
      </c>
      <c r="AY1800" s="18">
        <v>0</v>
      </c>
      <c r="AZ1800" s="18">
        <v>0</v>
      </c>
      <c r="BA1800" s="19" t="s">
        <v>200</v>
      </c>
      <c r="BB1800" s="19" t="s">
        <v>4325</v>
      </c>
      <c r="BC1800" s="27">
        <v>0</v>
      </c>
      <c r="BD1800" s="27">
        <v>1</v>
      </c>
      <c r="BE1800" s="19" t="s">
        <v>4059</v>
      </c>
      <c r="BF1800" s="19" t="s">
        <v>4060</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18">
        <v>69060701</v>
      </c>
      <c r="D1801" s="19" t="s">
        <v>4337</v>
      </c>
      <c r="E1801" s="19" t="s">
        <v>4338</v>
      </c>
      <c r="F1801" s="18">
        <v>1</v>
      </c>
      <c r="G1801" s="18">
        <v>69060700</v>
      </c>
      <c r="H1801" s="18">
        <v>69060702</v>
      </c>
      <c r="I1801" s="27">
        <v>0</v>
      </c>
      <c r="J1801" s="18">
        <v>20</v>
      </c>
      <c r="K1801" s="18">
        <v>2</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198</v>
      </c>
      <c r="AV1801" s="18"/>
      <c r="AW1801" s="19" t="s">
        <v>199</v>
      </c>
      <c r="AX1801" s="18">
        <v>0</v>
      </c>
      <c r="AY1801" s="18">
        <v>0</v>
      </c>
      <c r="AZ1801" s="18">
        <v>0</v>
      </c>
      <c r="BA1801" s="19" t="s">
        <v>200</v>
      </c>
      <c r="BB1801" s="19" t="s">
        <v>3413</v>
      </c>
      <c r="BC1801" s="27">
        <v>0</v>
      </c>
      <c r="BD1801" s="27">
        <v>1</v>
      </c>
      <c r="BE1801" s="19" t="s">
        <v>4339</v>
      </c>
      <c r="BF1801" s="19" t="s">
        <v>4340</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18">
        <v>69060702</v>
      </c>
      <c r="D1802" s="19" t="s">
        <v>4341</v>
      </c>
      <c r="E1802" s="19" t="s">
        <v>4342</v>
      </c>
      <c r="F1802" s="18">
        <v>1</v>
      </c>
      <c r="G1802" s="18">
        <v>69060700</v>
      </c>
      <c r="H1802" s="18">
        <v>0</v>
      </c>
      <c r="I1802" s="27">
        <v>0</v>
      </c>
      <c r="J1802" s="18">
        <v>20</v>
      </c>
      <c r="K1802" s="18">
        <v>2</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198</v>
      </c>
      <c r="AV1802" s="18"/>
      <c r="AW1802" s="19" t="s">
        <v>199</v>
      </c>
      <c r="AX1802" s="18">
        <v>0</v>
      </c>
      <c r="AY1802" s="18">
        <v>0</v>
      </c>
      <c r="AZ1802" s="18">
        <v>0</v>
      </c>
      <c r="BA1802" s="19" t="s">
        <v>200</v>
      </c>
      <c r="BB1802" s="19" t="s">
        <v>4332</v>
      </c>
      <c r="BC1802" s="27">
        <v>0</v>
      </c>
      <c r="BD1802" s="27">
        <v>1</v>
      </c>
      <c r="BE1802" s="19" t="s">
        <v>4343</v>
      </c>
      <c r="BF1802" s="19" t="s">
        <v>4344</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row>
    <row r="1803" spans="3:75" ht="20.100000000000001" customHeight="1">
      <c r="C1803" s="18">
        <v>69060800</v>
      </c>
      <c r="D1803" s="237" t="s">
        <v>4345</v>
      </c>
      <c r="E1803" s="237" t="s">
        <v>4346</v>
      </c>
      <c r="F1803" s="238">
        <v>1</v>
      </c>
      <c r="G1803" s="18">
        <v>69060800</v>
      </c>
      <c r="H1803" s="18">
        <v>69060801</v>
      </c>
      <c r="I1803" s="238">
        <v>0</v>
      </c>
      <c r="J1803" s="18">
        <v>20</v>
      </c>
      <c r="K1803" s="238">
        <v>3</v>
      </c>
      <c r="L1803" s="238">
        <v>0</v>
      </c>
      <c r="M1803" s="238">
        <v>0</v>
      </c>
      <c r="N1803" s="238">
        <v>0</v>
      </c>
      <c r="O1803" s="238">
        <v>2</v>
      </c>
      <c r="P1803" s="238">
        <v>0</v>
      </c>
      <c r="Q1803" s="238">
        <v>0</v>
      </c>
      <c r="R1803" s="238">
        <v>0</v>
      </c>
      <c r="S1803" s="238">
        <v>0</v>
      </c>
      <c r="T1803" s="238">
        <v>0</v>
      </c>
      <c r="U1803" s="238">
        <v>1</v>
      </c>
      <c r="V1803" s="238">
        <v>2</v>
      </c>
      <c r="W1803" s="238">
        <v>0</v>
      </c>
      <c r="X1803" s="238">
        <v>0</v>
      </c>
      <c r="Y1803" s="12">
        <v>0</v>
      </c>
      <c r="Z1803" s="238">
        <v>0</v>
      </c>
      <c r="AA1803" s="238">
        <v>0</v>
      </c>
      <c r="AB1803" s="238">
        <v>0</v>
      </c>
      <c r="AC1803" s="238">
        <v>0</v>
      </c>
      <c r="AD1803" s="238">
        <v>1</v>
      </c>
      <c r="AE1803" s="238">
        <v>0</v>
      </c>
      <c r="AF1803" s="238">
        <v>20</v>
      </c>
      <c r="AG1803" s="238">
        <v>0</v>
      </c>
      <c r="AH1803" s="238">
        <v>0</v>
      </c>
      <c r="AI1803" s="238">
        <v>2</v>
      </c>
      <c r="AJ1803" s="238">
        <v>0</v>
      </c>
      <c r="AK1803" s="238">
        <v>0</v>
      </c>
      <c r="AL1803" s="238">
        <v>0</v>
      </c>
      <c r="AM1803" s="238">
        <v>0</v>
      </c>
      <c r="AN1803" s="238">
        <v>0</v>
      </c>
      <c r="AO1803" s="238">
        <v>0</v>
      </c>
      <c r="AP1803" s="238">
        <v>0</v>
      </c>
      <c r="AQ1803" s="238">
        <v>1000</v>
      </c>
      <c r="AR1803" s="238">
        <v>0</v>
      </c>
      <c r="AS1803" s="238">
        <v>0</v>
      </c>
      <c r="AT1803" s="238"/>
      <c r="AU1803" s="238" t="s">
        <v>198</v>
      </c>
      <c r="AV1803" s="238"/>
      <c r="AW1803" s="237" t="s">
        <v>199</v>
      </c>
      <c r="AX1803" s="238">
        <v>0</v>
      </c>
      <c r="AY1803" s="238">
        <v>0</v>
      </c>
      <c r="AZ1803" s="238">
        <v>0</v>
      </c>
      <c r="BA1803" s="237" t="s">
        <v>200</v>
      </c>
      <c r="BB1803" s="238" t="s">
        <v>198</v>
      </c>
      <c r="BC1803" s="238">
        <v>0</v>
      </c>
      <c r="BD1803" s="238">
        <v>1</v>
      </c>
      <c r="BE1803" s="19" t="s">
        <v>4059</v>
      </c>
      <c r="BF1803" s="19" t="s">
        <v>4060</v>
      </c>
      <c r="BG1803" s="238">
        <v>0</v>
      </c>
      <c r="BH1803" s="238">
        <v>0</v>
      </c>
      <c r="BI1803" s="238">
        <v>0</v>
      </c>
      <c r="BJ1803" s="238">
        <v>0</v>
      </c>
      <c r="BK1803" s="238">
        <v>0</v>
      </c>
      <c r="BL1803" s="238">
        <v>0</v>
      </c>
      <c r="BM1803" s="241">
        <v>0</v>
      </c>
      <c r="BN1803" s="238">
        <v>1</v>
      </c>
      <c r="BO1803" s="12">
        <v>0</v>
      </c>
      <c r="BP1803" s="12">
        <v>0</v>
      </c>
      <c r="BQ1803" s="12">
        <v>0</v>
      </c>
      <c r="BR1803" s="12">
        <v>0</v>
      </c>
      <c r="BS1803" s="12">
        <v>0</v>
      </c>
      <c r="BT1803" s="12">
        <v>0</v>
      </c>
      <c r="BU1803" s="47">
        <v>0</v>
      </c>
      <c r="BV1803" s="47"/>
      <c r="BW1803" s="47"/>
    </row>
    <row r="1804" spans="3:75" ht="20.100000000000001" customHeight="1">
      <c r="C1804" s="18">
        <v>69060801</v>
      </c>
      <c r="D1804" s="237" t="s">
        <v>4345</v>
      </c>
      <c r="E1804" s="237" t="s">
        <v>4346</v>
      </c>
      <c r="F1804" s="238">
        <v>1</v>
      </c>
      <c r="G1804" s="18">
        <v>69060800</v>
      </c>
      <c r="H1804" s="238">
        <v>0</v>
      </c>
      <c r="I1804" s="238">
        <v>0</v>
      </c>
      <c r="J1804" s="18">
        <v>20</v>
      </c>
      <c r="K1804" s="238">
        <v>3</v>
      </c>
      <c r="L1804" s="238">
        <v>0</v>
      </c>
      <c r="M1804" s="238">
        <v>0</v>
      </c>
      <c r="N1804" s="238">
        <v>0</v>
      </c>
      <c r="O1804" s="238">
        <v>2</v>
      </c>
      <c r="P1804" s="238">
        <v>13</v>
      </c>
      <c r="Q1804" s="238">
        <v>0.25</v>
      </c>
      <c r="R1804" s="238">
        <v>0</v>
      </c>
      <c r="S1804" s="238">
        <v>0</v>
      </c>
      <c r="T1804" s="238">
        <v>0</v>
      </c>
      <c r="U1804" s="238">
        <v>1</v>
      </c>
      <c r="V1804" s="238">
        <v>2</v>
      </c>
      <c r="W1804" s="238">
        <v>0</v>
      </c>
      <c r="X1804" s="238">
        <v>0</v>
      </c>
      <c r="Y1804" s="12">
        <v>0</v>
      </c>
      <c r="Z1804" s="238">
        <v>0</v>
      </c>
      <c r="AA1804" s="238">
        <v>0</v>
      </c>
      <c r="AB1804" s="238">
        <v>0</v>
      </c>
      <c r="AC1804" s="238">
        <v>0</v>
      </c>
      <c r="AD1804" s="238">
        <v>1</v>
      </c>
      <c r="AE1804" s="238">
        <v>0</v>
      </c>
      <c r="AF1804" s="238">
        <v>20</v>
      </c>
      <c r="AG1804" s="238">
        <v>0</v>
      </c>
      <c r="AH1804" s="238">
        <v>0</v>
      </c>
      <c r="AI1804" s="238">
        <v>2</v>
      </c>
      <c r="AJ1804" s="238">
        <v>0</v>
      </c>
      <c r="AK1804" s="238">
        <v>0</v>
      </c>
      <c r="AL1804" s="238">
        <v>0</v>
      </c>
      <c r="AM1804" s="238">
        <v>0</v>
      </c>
      <c r="AN1804" s="238">
        <v>0</v>
      </c>
      <c r="AO1804" s="238">
        <v>0</v>
      </c>
      <c r="AP1804" s="238">
        <v>0</v>
      </c>
      <c r="AQ1804" s="238">
        <v>1000</v>
      </c>
      <c r="AR1804" s="238">
        <v>0</v>
      </c>
      <c r="AS1804" s="238">
        <v>0</v>
      </c>
      <c r="AT1804" s="238">
        <v>80001031</v>
      </c>
      <c r="AU1804" s="238" t="s">
        <v>198</v>
      </c>
      <c r="AV1804" s="238"/>
      <c r="AW1804" s="237" t="s">
        <v>199</v>
      </c>
      <c r="AX1804" s="238" t="s">
        <v>1837</v>
      </c>
      <c r="AY1804" s="238">
        <v>0</v>
      </c>
      <c r="AZ1804" s="238">
        <v>40000003</v>
      </c>
      <c r="BA1804" s="237" t="s">
        <v>200</v>
      </c>
      <c r="BB1804" s="238" t="s">
        <v>198</v>
      </c>
      <c r="BC1804" s="238">
        <v>0</v>
      </c>
      <c r="BD1804" s="238">
        <v>1</v>
      </c>
      <c r="BE1804" s="237" t="s">
        <v>4347</v>
      </c>
      <c r="BF1804" s="237" t="s">
        <v>4348</v>
      </c>
      <c r="BG1804" s="238">
        <v>0</v>
      </c>
      <c r="BH1804" s="238">
        <v>0</v>
      </c>
      <c r="BI1804" s="238">
        <v>0</v>
      </c>
      <c r="BJ1804" s="238">
        <v>0</v>
      </c>
      <c r="BK1804" s="238">
        <v>0</v>
      </c>
      <c r="BL1804" s="238">
        <v>0</v>
      </c>
      <c r="BM1804" s="241">
        <v>0</v>
      </c>
      <c r="BN1804" s="238">
        <v>1</v>
      </c>
      <c r="BO1804" s="12">
        <v>0</v>
      </c>
      <c r="BP1804" s="12">
        <v>0</v>
      </c>
      <c r="BQ1804" s="12">
        <v>0</v>
      </c>
      <c r="BR1804" s="12">
        <v>0</v>
      </c>
      <c r="BS1804" s="12">
        <v>0</v>
      </c>
      <c r="BT1804" s="12">
        <v>0</v>
      </c>
      <c r="BU1804" s="47">
        <v>0</v>
      </c>
      <c r="BV1804" s="47"/>
      <c r="BW1804" s="47"/>
    </row>
    <row r="1805" spans="3:75" ht="20.100000000000001" customHeight="1">
      <c r="C1805" s="18">
        <v>70000001</v>
      </c>
      <c r="D1805" s="19" t="s">
        <v>4349</v>
      </c>
      <c r="E1805" s="19" t="s">
        <v>4350</v>
      </c>
      <c r="F1805" s="18">
        <v>1</v>
      </c>
      <c r="G1805" s="74">
        <v>0</v>
      </c>
      <c r="H1805" s="18">
        <v>0</v>
      </c>
      <c r="I1805" s="27">
        <v>0</v>
      </c>
      <c r="J1805" s="18">
        <v>1</v>
      </c>
      <c r="K1805" s="18">
        <v>0</v>
      </c>
      <c r="L1805" s="18">
        <v>0</v>
      </c>
      <c r="M1805" s="18">
        <v>0</v>
      </c>
      <c r="N1805" s="18">
        <v>0</v>
      </c>
      <c r="O1805" s="18">
        <v>1</v>
      </c>
      <c r="P1805" s="18">
        <v>0</v>
      </c>
      <c r="Q1805" s="18">
        <v>0</v>
      </c>
      <c r="R1805" s="18">
        <v>0</v>
      </c>
      <c r="S1805" s="12">
        <v>0</v>
      </c>
      <c r="T1805" s="27">
        <v>0</v>
      </c>
      <c r="U1805" s="16">
        <v>0</v>
      </c>
      <c r="V1805" s="18">
        <v>1</v>
      </c>
      <c r="W1805" s="18">
        <v>0</v>
      </c>
      <c r="X1805" s="18">
        <v>1</v>
      </c>
      <c r="Y1805" s="12">
        <v>0</v>
      </c>
      <c r="Z1805" s="18">
        <v>0</v>
      </c>
      <c r="AA1805" s="18">
        <v>0</v>
      </c>
      <c r="AB1805" s="18">
        <v>0</v>
      </c>
      <c r="AC1805" s="18">
        <v>0</v>
      </c>
      <c r="AD1805" s="18">
        <v>1</v>
      </c>
      <c r="AE1805" s="18">
        <v>0</v>
      </c>
      <c r="AF1805" s="18">
        <v>1</v>
      </c>
      <c r="AG1805" s="18">
        <v>1</v>
      </c>
      <c r="AH1805" s="18">
        <v>2</v>
      </c>
      <c r="AI1805" s="12">
        <v>7</v>
      </c>
      <c r="AJ1805" s="12">
        <v>0</v>
      </c>
      <c r="AK1805" s="12">
        <v>0</v>
      </c>
      <c r="AL1805" s="12">
        <v>0</v>
      </c>
      <c r="AM1805" s="18">
        <v>0</v>
      </c>
      <c r="AN1805" s="18">
        <v>0</v>
      </c>
      <c r="AO1805" s="18">
        <v>0</v>
      </c>
      <c r="AP1805" s="18">
        <v>0</v>
      </c>
      <c r="AQ1805" s="18">
        <v>700</v>
      </c>
      <c r="AR1805" s="18">
        <v>0.5</v>
      </c>
      <c r="AS1805" s="18">
        <v>0</v>
      </c>
      <c r="AT1805" s="12">
        <v>0</v>
      </c>
      <c r="AU1805" s="18" t="s">
        <v>198</v>
      </c>
      <c r="AV1805" s="18"/>
      <c r="AW1805" s="19" t="s">
        <v>741</v>
      </c>
      <c r="AX1805" s="18">
        <v>0</v>
      </c>
      <c r="AY1805" s="64">
        <v>12000006</v>
      </c>
      <c r="AZ1805" s="18">
        <v>0</v>
      </c>
      <c r="BA1805" s="19" t="s">
        <v>200</v>
      </c>
      <c r="BB1805" s="19" t="s">
        <v>198</v>
      </c>
      <c r="BC1805" s="27">
        <v>0</v>
      </c>
      <c r="BD1805" s="27">
        <v>0</v>
      </c>
      <c r="BE1805" s="87"/>
      <c r="BF1805" s="87"/>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64">
        <v>70000002</v>
      </c>
      <c r="D1806" s="63" t="s">
        <v>4351</v>
      </c>
      <c r="E1806" s="63" t="s">
        <v>4352</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2</v>
      </c>
      <c r="AG1806" s="64">
        <v>1</v>
      </c>
      <c r="AH1806" s="64">
        <v>9</v>
      </c>
      <c r="AI1806" s="68">
        <v>7</v>
      </c>
      <c r="AJ1806" s="68">
        <v>0</v>
      </c>
      <c r="AK1806" s="12">
        <v>0</v>
      </c>
      <c r="AL1806" s="68">
        <v>9</v>
      </c>
      <c r="AM1806" s="64">
        <v>0</v>
      </c>
      <c r="AN1806" s="64">
        <v>0</v>
      </c>
      <c r="AO1806" s="64">
        <v>0</v>
      </c>
      <c r="AP1806" s="64">
        <v>0.5</v>
      </c>
      <c r="AQ1806" s="64">
        <v>3000</v>
      </c>
      <c r="AR1806" s="64">
        <v>0.2</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spans="3:75" ht="20.100000000000001" customHeight="1">
      <c r="C1807" s="64">
        <v>70000003</v>
      </c>
      <c r="D1807" s="63" t="s">
        <v>4353</v>
      </c>
      <c r="E1807" s="63" t="s">
        <v>4354</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2</v>
      </c>
      <c r="AG1807" s="64">
        <v>1</v>
      </c>
      <c r="AH1807" s="64">
        <v>9</v>
      </c>
      <c r="AI1807" s="68">
        <v>7</v>
      </c>
      <c r="AJ1807" s="68">
        <v>0</v>
      </c>
      <c r="AK1807" s="12">
        <v>0</v>
      </c>
      <c r="AL1807" s="68">
        <v>9</v>
      </c>
      <c r="AM1807" s="64">
        <v>0</v>
      </c>
      <c r="AN1807" s="64">
        <v>0</v>
      </c>
      <c r="AO1807" s="64">
        <v>0</v>
      </c>
      <c r="AP1807" s="64">
        <v>0.5</v>
      </c>
      <c r="AQ1807" s="64">
        <v>3000</v>
      </c>
      <c r="AR1807" s="64">
        <v>0.2</v>
      </c>
      <c r="AS1807" s="64">
        <v>20</v>
      </c>
      <c r="AT1807" s="68">
        <v>0</v>
      </c>
      <c r="AU1807" s="64" t="s">
        <v>198</v>
      </c>
      <c r="AV1807" s="64"/>
      <c r="AW1807" s="19" t="s">
        <v>741</v>
      </c>
      <c r="AX1807" s="64" t="s">
        <v>249</v>
      </c>
      <c r="AY1807" s="64">
        <v>10001004</v>
      </c>
      <c r="AZ1807" s="125">
        <v>20000037</v>
      </c>
      <c r="BA1807" s="63" t="s">
        <v>250</v>
      </c>
      <c r="BB1807" s="63" t="s">
        <v>198</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row>
    <row r="1808" spans="3:75" ht="20.100000000000001" customHeight="1">
      <c r="C1808" s="64">
        <v>70000004</v>
      </c>
      <c r="D1808" s="63" t="s">
        <v>4355</v>
      </c>
      <c r="E1808" s="63" t="s">
        <v>4356</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2</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20000038</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64">
        <v>70000005</v>
      </c>
      <c r="D1809" s="19" t="s">
        <v>4357</v>
      </c>
      <c r="E1809" s="19" t="s">
        <v>4358</v>
      </c>
      <c r="F1809" s="18">
        <v>1</v>
      </c>
      <c r="G1809" s="18">
        <v>60010500</v>
      </c>
      <c r="H1809" s="18">
        <v>0</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0</v>
      </c>
      <c r="Y1809" s="12">
        <v>0</v>
      </c>
      <c r="Z1809" s="18">
        <v>0</v>
      </c>
      <c r="AA1809" s="18">
        <v>0</v>
      </c>
      <c r="AB1809" s="18">
        <v>0</v>
      </c>
      <c r="AC1809" s="18">
        <v>0</v>
      </c>
      <c r="AD1809" s="18">
        <v>1</v>
      </c>
      <c r="AE1809" s="18">
        <v>0</v>
      </c>
      <c r="AF1809" s="18">
        <v>1</v>
      </c>
      <c r="AG1809" s="18">
        <v>1</v>
      </c>
      <c r="AH1809" s="18">
        <v>2</v>
      </c>
      <c r="AI1809" s="12">
        <v>7</v>
      </c>
      <c r="AJ1809" s="12">
        <v>0</v>
      </c>
      <c r="AK1809" s="12">
        <v>0</v>
      </c>
      <c r="AL1809" s="12">
        <v>3</v>
      </c>
      <c r="AM1809" s="18">
        <v>0</v>
      </c>
      <c r="AN1809" s="18">
        <v>0</v>
      </c>
      <c r="AO1809" s="21">
        <v>0</v>
      </c>
      <c r="AP1809" s="16">
        <v>0.1</v>
      </c>
      <c r="AQ1809" s="18">
        <v>3000</v>
      </c>
      <c r="AR1809" s="18">
        <v>0</v>
      </c>
      <c r="AS1809" s="18">
        <v>40</v>
      </c>
      <c r="AT1809" s="12">
        <v>0</v>
      </c>
      <c r="AU1809" s="18" t="s">
        <v>198</v>
      </c>
      <c r="AV1809" s="18"/>
      <c r="AW1809" s="17" t="s">
        <v>232</v>
      </c>
      <c r="AX1809" s="18" t="s">
        <v>249</v>
      </c>
      <c r="AY1809" s="18">
        <v>0</v>
      </c>
      <c r="AZ1809" s="26">
        <v>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spans="3:75" ht="20.100000000000001" customHeight="1">
      <c r="C1810" s="64">
        <v>70000006</v>
      </c>
      <c r="D1810" s="63" t="s">
        <v>4351</v>
      </c>
      <c r="E1810" s="63" t="s">
        <v>4352</v>
      </c>
      <c r="F1810" s="64">
        <v>1</v>
      </c>
      <c r="G1810" s="64">
        <v>60010500</v>
      </c>
      <c r="H1810" s="64">
        <v>0</v>
      </c>
      <c r="I1810" s="66">
        <v>0</v>
      </c>
      <c r="J1810" s="64">
        <v>1</v>
      </c>
      <c r="K1810" s="64">
        <v>0</v>
      </c>
      <c r="L1810" s="60">
        <v>0</v>
      </c>
      <c r="M1810" s="64">
        <v>0</v>
      </c>
      <c r="N1810" s="64">
        <v>0</v>
      </c>
      <c r="O1810" s="64">
        <v>1</v>
      </c>
      <c r="P1810" s="64">
        <v>0</v>
      </c>
      <c r="Q1810" s="64">
        <v>0</v>
      </c>
      <c r="R1810" s="64">
        <v>0</v>
      </c>
      <c r="S1810" s="12">
        <v>0</v>
      </c>
      <c r="T1810" s="64">
        <v>0</v>
      </c>
      <c r="U1810" s="60">
        <v>0</v>
      </c>
      <c r="V1810" s="64">
        <v>1</v>
      </c>
      <c r="W1810" s="64">
        <v>0</v>
      </c>
      <c r="X1810" s="64">
        <v>1</v>
      </c>
      <c r="Y1810" s="12">
        <v>0</v>
      </c>
      <c r="Z1810" s="64">
        <v>0</v>
      </c>
      <c r="AA1810" s="64">
        <v>0</v>
      </c>
      <c r="AB1810" s="64">
        <v>0</v>
      </c>
      <c r="AC1810" s="64">
        <v>0</v>
      </c>
      <c r="AD1810" s="64">
        <v>1</v>
      </c>
      <c r="AE1810" s="64">
        <v>0</v>
      </c>
      <c r="AF1810" s="64">
        <v>1</v>
      </c>
      <c r="AG1810" s="64">
        <v>1</v>
      </c>
      <c r="AH1810" s="64">
        <v>9</v>
      </c>
      <c r="AI1810" s="68">
        <v>7</v>
      </c>
      <c r="AJ1810" s="68">
        <v>0</v>
      </c>
      <c r="AK1810" s="12">
        <v>0</v>
      </c>
      <c r="AL1810" s="68">
        <v>9</v>
      </c>
      <c r="AM1810" s="64">
        <v>0</v>
      </c>
      <c r="AN1810" s="64">
        <v>0</v>
      </c>
      <c r="AO1810" s="64">
        <v>0</v>
      </c>
      <c r="AP1810" s="64">
        <v>0.5</v>
      </c>
      <c r="AQ1810" s="64">
        <v>3000</v>
      </c>
      <c r="AR1810" s="64">
        <v>0.5</v>
      </c>
      <c r="AS1810" s="64">
        <v>20</v>
      </c>
      <c r="AT1810" s="68">
        <v>0</v>
      </c>
      <c r="AU1810" s="64" t="s">
        <v>198</v>
      </c>
      <c r="AV1810" s="64"/>
      <c r="AW1810" s="19" t="s">
        <v>741</v>
      </c>
      <c r="AX1810" s="64" t="s">
        <v>249</v>
      </c>
      <c r="AY1810" s="64">
        <v>12000006</v>
      </c>
      <c r="AZ1810" s="125">
        <v>20000025</v>
      </c>
      <c r="BA1810" s="63" t="s">
        <v>250</v>
      </c>
      <c r="BB1810" s="63" t="s">
        <v>198</v>
      </c>
      <c r="BC1810" s="66">
        <v>0</v>
      </c>
      <c r="BD1810" s="66">
        <v>0</v>
      </c>
      <c r="BE1810" s="90"/>
      <c r="BF1810" s="90"/>
      <c r="BG1810" s="64">
        <v>0</v>
      </c>
      <c r="BH1810" s="64">
        <v>0</v>
      </c>
      <c r="BI1810" s="64">
        <v>0</v>
      </c>
      <c r="BJ1810" s="64">
        <v>0</v>
      </c>
      <c r="BK1810" s="64">
        <v>0</v>
      </c>
      <c r="BL1810" s="64">
        <v>0</v>
      </c>
      <c r="BM1810" s="64">
        <v>0</v>
      </c>
      <c r="BN1810" s="12">
        <v>0</v>
      </c>
      <c r="BO1810" s="12">
        <v>0</v>
      </c>
      <c r="BP1810" s="12">
        <v>0</v>
      </c>
      <c r="BQ1810" s="12">
        <v>0</v>
      </c>
      <c r="BR1810" s="12">
        <v>0</v>
      </c>
      <c r="BS1810" s="12">
        <v>0</v>
      </c>
      <c r="BT1810" s="12">
        <v>0</v>
      </c>
      <c r="BU1810" s="47">
        <v>0</v>
      </c>
      <c r="BV1810" s="47"/>
      <c r="BW1810" s="47"/>
    </row>
    <row r="1811" spans="3:75" ht="20.100000000000001" customHeight="1">
      <c r="C1811" s="64">
        <v>70000007</v>
      </c>
      <c r="D1811" s="63" t="s">
        <v>4359</v>
      </c>
      <c r="E1811" s="63" t="s">
        <v>4360</v>
      </c>
      <c r="F1811" s="18">
        <v>1</v>
      </c>
      <c r="G1811" s="18">
        <v>60010500</v>
      </c>
      <c r="H1811" s="18">
        <v>60000302</v>
      </c>
      <c r="I1811" s="27">
        <v>0</v>
      </c>
      <c r="J1811" s="18">
        <v>1</v>
      </c>
      <c r="K1811" s="18">
        <v>3</v>
      </c>
      <c r="L1811" s="16">
        <v>0</v>
      </c>
      <c r="M1811" s="18">
        <v>0</v>
      </c>
      <c r="N1811" s="18">
        <v>0</v>
      </c>
      <c r="O1811" s="18">
        <v>1</v>
      </c>
      <c r="P1811" s="18">
        <v>0</v>
      </c>
      <c r="Q1811" s="18">
        <v>0</v>
      </c>
      <c r="R1811" s="18">
        <v>0</v>
      </c>
      <c r="S1811" s="12">
        <v>0</v>
      </c>
      <c r="T1811" s="18">
        <v>0</v>
      </c>
      <c r="U1811" s="16">
        <v>0</v>
      </c>
      <c r="V1811" s="18">
        <v>1</v>
      </c>
      <c r="W1811" s="18">
        <v>0</v>
      </c>
      <c r="X1811" s="18">
        <v>1</v>
      </c>
      <c r="Y1811" s="12">
        <v>0</v>
      </c>
      <c r="Z1811" s="18">
        <v>0</v>
      </c>
      <c r="AA1811" s="18">
        <v>0</v>
      </c>
      <c r="AB1811" s="18">
        <v>0</v>
      </c>
      <c r="AC1811" s="18">
        <v>0</v>
      </c>
      <c r="AD1811" s="18">
        <v>1</v>
      </c>
      <c r="AE1811" s="18">
        <v>0</v>
      </c>
      <c r="AF1811" s="18">
        <v>1</v>
      </c>
      <c r="AG1811" s="18">
        <v>0</v>
      </c>
      <c r="AH1811" s="18">
        <v>0</v>
      </c>
      <c r="AI1811" s="12">
        <v>7</v>
      </c>
      <c r="AJ1811" s="12">
        <v>0</v>
      </c>
      <c r="AK1811" s="12">
        <v>0</v>
      </c>
      <c r="AL1811" s="12">
        <v>9</v>
      </c>
      <c r="AM1811" s="18">
        <v>0</v>
      </c>
      <c r="AN1811" s="18">
        <v>0</v>
      </c>
      <c r="AO1811" s="21">
        <v>0</v>
      </c>
      <c r="AP1811" s="16">
        <v>0.1</v>
      </c>
      <c r="AQ1811" s="18">
        <v>3000</v>
      </c>
      <c r="AR1811" s="18">
        <v>0.5</v>
      </c>
      <c r="AS1811" s="18">
        <v>20</v>
      </c>
      <c r="AT1811" s="12">
        <v>0</v>
      </c>
      <c r="AU1811" s="18" t="s">
        <v>198</v>
      </c>
      <c r="AV1811" s="18"/>
      <c r="AW1811" s="19" t="s">
        <v>741</v>
      </c>
      <c r="AX1811" s="18" t="s">
        <v>249</v>
      </c>
      <c r="AY1811" s="18">
        <v>12000006</v>
      </c>
      <c r="AZ1811" s="26">
        <v>20100210</v>
      </c>
      <c r="BA1811" s="19" t="s">
        <v>250</v>
      </c>
      <c r="BB1811" s="19" t="s">
        <v>198</v>
      </c>
      <c r="BC1811" s="27">
        <v>0</v>
      </c>
      <c r="BD1811" s="27">
        <v>0</v>
      </c>
      <c r="BE1811" s="44"/>
      <c r="BF1811" s="44"/>
      <c r="BG1811" s="18">
        <v>0</v>
      </c>
      <c r="BH1811" s="18">
        <v>0</v>
      </c>
      <c r="BI1811" s="18">
        <v>0</v>
      </c>
      <c r="BJ1811" s="18">
        <v>0</v>
      </c>
      <c r="BK1811" s="18">
        <v>0</v>
      </c>
      <c r="BL1811" s="18">
        <v>0</v>
      </c>
      <c r="BM1811" s="18">
        <v>0</v>
      </c>
      <c r="BN1811" s="12">
        <v>0</v>
      </c>
      <c r="BO1811" s="12">
        <v>0</v>
      </c>
      <c r="BP1811" s="12">
        <v>0</v>
      </c>
      <c r="BQ1811" s="12">
        <v>0</v>
      </c>
      <c r="BR1811" s="12">
        <v>0</v>
      </c>
      <c r="BS1811" s="12">
        <v>0</v>
      </c>
      <c r="BT1811" s="12">
        <v>0</v>
      </c>
      <c r="BU1811" s="47">
        <v>0</v>
      </c>
      <c r="BV1811" s="47"/>
      <c r="BW1811" s="47"/>
    </row>
    <row r="1812" spans="3:75" ht="20.100000000000001" customHeight="1">
      <c r="C1812" s="64">
        <v>70000008</v>
      </c>
      <c r="D1812" s="63" t="s">
        <v>4361</v>
      </c>
      <c r="E1812" s="63" t="s">
        <v>4362</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1</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0.5</v>
      </c>
      <c r="AS1812" s="64">
        <v>20</v>
      </c>
      <c r="AT1812" s="68">
        <v>0</v>
      </c>
      <c r="AU1812" s="64" t="s">
        <v>198</v>
      </c>
      <c r="AV1812" s="64"/>
      <c r="AW1812" s="19" t="s">
        <v>741</v>
      </c>
      <c r="AX1812" s="64" t="s">
        <v>249</v>
      </c>
      <c r="AY1812" s="64">
        <v>12000006</v>
      </c>
      <c r="AZ1812" s="125">
        <v>20000025</v>
      </c>
      <c r="BA1812" s="63" t="s">
        <v>250</v>
      </c>
      <c r="BB1812" s="63" t="s">
        <v>198</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row>
    <row r="1813" spans="3:75" ht="20.100000000000001" customHeight="1">
      <c r="C1813" s="64">
        <v>70000009</v>
      </c>
      <c r="D1813" s="63" t="s">
        <v>4359</v>
      </c>
      <c r="E1813" s="63" t="s">
        <v>4360</v>
      </c>
      <c r="F1813" s="18">
        <v>1</v>
      </c>
      <c r="G1813" s="18">
        <v>60010500</v>
      </c>
      <c r="H1813" s="18">
        <v>60000302</v>
      </c>
      <c r="I1813" s="27">
        <v>0</v>
      </c>
      <c r="J1813" s="18">
        <v>1</v>
      </c>
      <c r="K1813" s="18">
        <v>3</v>
      </c>
      <c r="L1813" s="16">
        <v>0</v>
      </c>
      <c r="M1813" s="18">
        <v>0</v>
      </c>
      <c r="N1813" s="18">
        <v>0</v>
      </c>
      <c r="O1813" s="18">
        <v>1</v>
      </c>
      <c r="P1813" s="18">
        <v>0</v>
      </c>
      <c r="Q1813" s="18">
        <v>0</v>
      </c>
      <c r="R1813" s="18">
        <v>0</v>
      </c>
      <c r="S1813" s="12">
        <v>0</v>
      </c>
      <c r="T1813" s="18">
        <v>0</v>
      </c>
      <c r="U1813" s="16">
        <v>0</v>
      </c>
      <c r="V1813" s="18">
        <v>1</v>
      </c>
      <c r="W1813" s="18">
        <v>0</v>
      </c>
      <c r="X1813" s="18">
        <v>1</v>
      </c>
      <c r="Y1813" s="12">
        <v>0</v>
      </c>
      <c r="Z1813" s="18">
        <v>0</v>
      </c>
      <c r="AA1813" s="18">
        <v>0</v>
      </c>
      <c r="AB1813" s="18">
        <v>0</v>
      </c>
      <c r="AC1813" s="18">
        <v>0</v>
      </c>
      <c r="AD1813" s="18">
        <v>1</v>
      </c>
      <c r="AE1813" s="18">
        <v>0</v>
      </c>
      <c r="AF1813" s="18">
        <v>1</v>
      </c>
      <c r="AG1813" s="18">
        <v>0</v>
      </c>
      <c r="AH1813" s="18">
        <v>0</v>
      </c>
      <c r="AI1813" s="12">
        <v>7</v>
      </c>
      <c r="AJ1813" s="12">
        <v>0</v>
      </c>
      <c r="AK1813" s="12">
        <v>0</v>
      </c>
      <c r="AL1813" s="12">
        <v>9</v>
      </c>
      <c r="AM1813" s="18">
        <v>0</v>
      </c>
      <c r="AN1813" s="18">
        <v>0</v>
      </c>
      <c r="AO1813" s="21">
        <v>0</v>
      </c>
      <c r="AP1813" s="16">
        <v>0.1</v>
      </c>
      <c r="AQ1813" s="18">
        <v>3000</v>
      </c>
      <c r="AR1813" s="18">
        <v>0.5</v>
      </c>
      <c r="AS1813" s="18">
        <v>20</v>
      </c>
      <c r="AT1813" s="12">
        <v>0</v>
      </c>
      <c r="AU1813" s="18" t="s">
        <v>198</v>
      </c>
      <c r="AV1813" s="18"/>
      <c r="AW1813" s="19" t="s">
        <v>741</v>
      </c>
      <c r="AX1813" s="18" t="s">
        <v>249</v>
      </c>
      <c r="AY1813" s="18">
        <v>12000006</v>
      </c>
      <c r="AZ1813" s="26">
        <v>20000040</v>
      </c>
      <c r="BA1813" s="19" t="s">
        <v>250</v>
      </c>
      <c r="BB1813" s="19" t="s">
        <v>198</v>
      </c>
      <c r="BC1813" s="27">
        <v>0</v>
      </c>
      <c r="BD1813" s="27">
        <v>0</v>
      </c>
      <c r="BE1813" s="44"/>
      <c r="BF1813" s="44"/>
      <c r="BG1813" s="18">
        <v>0</v>
      </c>
      <c r="BH1813" s="18">
        <v>0</v>
      </c>
      <c r="BI1813" s="18">
        <v>0</v>
      </c>
      <c r="BJ1813" s="18">
        <v>0</v>
      </c>
      <c r="BK1813" s="18">
        <v>0</v>
      </c>
      <c r="BL1813" s="18">
        <v>0</v>
      </c>
      <c r="BM1813" s="18">
        <v>0</v>
      </c>
      <c r="BN1813" s="12">
        <v>0</v>
      </c>
      <c r="BO1813" s="12">
        <v>0</v>
      </c>
      <c r="BP1813" s="12">
        <v>0</v>
      </c>
      <c r="BQ1813" s="12">
        <v>0</v>
      </c>
      <c r="BR1813" s="12">
        <v>0</v>
      </c>
      <c r="BS1813" s="12">
        <v>0</v>
      </c>
      <c r="BT1813" s="12">
        <v>0</v>
      </c>
      <c r="BU1813" s="47">
        <v>0</v>
      </c>
      <c r="BV1813" s="47"/>
      <c r="BW1813" s="47"/>
    </row>
    <row r="1814" spans="3:75" ht="20.100000000000001" customHeight="1">
      <c r="C1814" s="18">
        <v>70000011</v>
      </c>
      <c r="D1814" s="19" t="s">
        <v>4363</v>
      </c>
      <c r="E1814" s="19" t="s">
        <v>4364</v>
      </c>
      <c r="F1814" s="18">
        <v>1</v>
      </c>
      <c r="G1814" s="18">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1000</v>
      </c>
      <c r="AR1814" s="18">
        <v>0.5</v>
      </c>
      <c r="AS1814" s="18">
        <v>0</v>
      </c>
      <c r="AT1814" s="12">
        <v>0</v>
      </c>
      <c r="AU1814" s="18" t="s">
        <v>198</v>
      </c>
      <c r="AV1814" s="18"/>
      <c r="AW1814" s="19" t="s">
        <v>741</v>
      </c>
      <c r="AX1814" s="64">
        <v>0</v>
      </c>
      <c r="AY1814" s="26">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64">
        <v>70000012</v>
      </c>
      <c r="D1815" s="63" t="s">
        <v>4365</v>
      </c>
      <c r="E1815" s="63" t="s">
        <v>4366</v>
      </c>
      <c r="F1815" s="64">
        <v>1</v>
      </c>
      <c r="G1815" s="64">
        <v>60010500</v>
      </c>
      <c r="H1815" s="64">
        <v>0</v>
      </c>
      <c r="I1815" s="66">
        <v>0</v>
      </c>
      <c r="J1815" s="64">
        <v>1</v>
      </c>
      <c r="K1815" s="64">
        <v>0</v>
      </c>
      <c r="L1815" s="60">
        <v>0</v>
      </c>
      <c r="M1815" s="64">
        <v>0</v>
      </c>
      <c r="N1815" s="64">
        <v>0</v>
      </c>
      <c r="O1815" s="64">
        <v>1</v>
      </c>
      <c r="P1815" s="64">
        <v>0</v>
      </c>
      <c r="Q1815" s="64">
        <v>0</v>
      </c>
      <c r="R1815" s="64">
        <v>0</v>
      </c>
      <c r="S1815" s="12">
        <v>0</v>
      </c>
      <c r="T1815" s="64">
        <v>0</v>
      </c>
      <c r="U1815" s="60">
        <v>0</v>
      </c>
      <c r="V1815" s="64">
        <v>2</v>
      </c>
      <c r="W1815" s="64">
        <v>0</v>
      </c>
      <c r="X1815" s="64">
        <v>1</v>
      </c>
      <c r="Y1815" s="12">
        <v>0</v>
      </c>
      <c r="Z1815" s="64">
        <v>0</v>
      </c>
      <c r="AA1815" s="64">
        <v>0</v>
      </c>
      <c r="AB1815" s="64">
        <v>0</v>
      </c>
      <c r="AC1815" s="64">
        <v>0</v>
      </c>
      <c r="AD1815" s="64">
        <v>1</v>
      </c>
      <c r="AE1815" s="64">
        <v>0</v>
      </c>
      <c r="AF1815" s="64">
        <v>1</v>
      </c>
      <c r="AG1815" s="64">
        <v>1</v>
      </c>
      <c r="AH1815" s="64">
        <v>9</v>
      </c>
      <c r="AI1815" s="68">
        <v>7</v>
      </c>
      <c r="AJ1815" s="68">
        <v>0</v>
      </c>
      <c r="AK1815" s="12">
        <v>0</v>
      </c>
      <c r="AL1815" s="68">
        <v>9</v>
      </c>
      <c r="AM1815" s="64">
        <v>0</v>
      </c>
      <c r="AN1815" s="64">
        <v>0</v>
      </c>
      <c r="AO1815" s="64">
        <v>0</v>
      </c>
      <c r="AP1815" s="64">
        <v>0.5</v>
      </c>
      <c r="AQ1815" s="64">
        <v>3000</v>
      </c>
      <c r="AR1815" s="64">
        <v>0.2</v>
      </c>
      <c r="AS1815" s="64">
        <v>20</v>
      </c>
      <c r="AT1815" s="68">
        <v>0</v>
      </c>
      <c r="AU1815" s="64" t="s">
        <v>198</v>
      </c>
      <c r="AV1815" s="64"/>
      <c r="AW1815" s="19" t="s">
        <v>741</v>
      </c>
      <c r="AX1815" s="64" t="s">
        <v>249</v>
      </c>
      <c r="AY1815" s="64">
        <v>12000006</v>
      </c>
      <c r="AZ1815" s="125">
        <v>20000025</v>
      </c>
      <c r="BA1815" s="63" t="s">
        <v>250</v>
      </c>
      <c r="BB1815" s="63" t="s">
        <v>198</v>
      </c>
      <c r="BC1815" s="66">
        <v>0</v>
      </c>
      <c r="BD1815" s="66">
        <v>0</v>
      </c>
      <c r="BE1815" s="90"/>
      <c r="BF1815" s="90"/>
      <c r="BG1815" s="64">
        <v>0</v>
      </c>
      <c r="BH1815" s="64">
        <v>0</v>
      </c>
      <c r="BI1815" s="64">
        <v>0</v>
      </c>
      <c r="BJ1815" s="64">
        <v>0</v>
      </c>
      <c r="BK1815" s="64">
        <v>0</v>
      </c>
      <c r="BL1815" s="64">
        <v>0</v>
      </c>
      <c r="BM1815" s="64">
        <v>0</v>
      </c>
      <c r="BN1815" s="12">
        <v>0</v>
      </c>
      <c r="BO1815" s="12">
        <v>0</v>
      </c>
      <c r="BP1815" s="12">
        <v>0</v>
      </c>
      <c r="BQ1815" s="12">
        <v>0</v>
      </c>
      <c r="BR1815" s="12">
        <v>0</v>
      </c>
      <c r="BS1815" s="12">
        <v>0</v>
      </c>
      <c r="BT1815" s="12">
        <v>0</v>
      </c>
      <c r="BU1815" s="47">
        <v>0</v>
      </c>
      <c r="BV1815" s="47"/>
      <c r="BW1815" s="47"/>
    </row>
    <row r="1816" spans="3:75" ht="20.100000000000001" customHeight="1">
      <c r="C1816" s="18">
        <v>70000101</v>
      </c>
      <c r="D1816" s="19" t="s">
        <v>4349</v>
      </c>
      <c r="E1816" s="19" t="s">
        <v>4350</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0.05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70000102</v>
      </c>
      <c r="D1817" s="19" t="s">
        <v>4349</v>
      </c>
      <c r="E1817" s="19" t="s">
        <v>4350</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0.1</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70000103</v>
      </c>
      <c r="D1818" s="19" t="s">
        <v>4349</v>
      </c>
      <c r="E1818" s="19" t="s">
        <v>4350</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0.15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70000104</v>
      </c>
      <c r="D1819" s="19" t="s">
        <v>4349</v>
      </c>
      <c r="E1819" s="19" t="s">
        <v>4350</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0.2</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70000105</v>
      </c>
      <c r="D1820" s="19" t="s">
        <v>4349</v>
      </c>
      <c r="E1820" s="19" t="s">
        <v>4350</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0.25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70000106</v>
      </c>
      <c r="D1821" s="19" t="s">
        <v>4349</v>
      </c>
      <c r="E1821" s="19" t="s">
        <v>4350</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0.3</v>
      </c>
      <c r="AS1821" s="18">
        <v>0</v>
      </c>
      <c r="AT1821" s="12">
        <v>0</v>
      </c>
      <c r="AU1821" s="18" t="s">
        <v>198</v>
      </c>
      <c r="AV1821" s="18"/>
      <c r="AW1821" s="19" t="s">
        <v>741</v>
      </c>
      <c r="AX1821" s="18">
        <v>0</v>
      </c>
      <c r="AY1821" s="64">
        <v>12000006</v>
      </c>
      <c r="AZ1821" s="18">
        <v>0</v>
      </c>
      <c r="BA1821" s="19" t="s">
        <v>200</v>
      </c>
      <c r="BB1821" s="19" t="s">
        <v>198</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70000107</v>
      </c>
      <c r="D1822" s="19" t="s">
        <v>4349</v>
      </c>
      <c r="E1822" s="19" t="s">
        <v>4350</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0.35</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70000108</v>
      </c>
      <c r="D1823" s="19" t="s">
        <v>4349</v>
      </c>
      <c r="E1823" s="19" t="s">
        <v>4350</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0.4</v>
      </c>
      <c r="AS1823" s="18">
        <v>0</v>
      </c>
      <c r="AT1823" s="12">
        <v>0</v>
      </c>
      <c r="AU1823" s="18" t="s">
        <v>198</v>
      </c>
      <c r="AV1823" s="18"/>
      <c r="AW1823" s="19" t="s">
        <v>741</v>
      </c>
      <c r="AX1823" s="18">
        <v>0</v>
      </c>
      <c r="AY1823" s="64">
        <v>12000006</v>
      </c>
      <c r="AZ1823" s="18">
        <v>0</v>
      </c>
      <c r="BA1823" s="19" t="s">
        <v>200</v>
      </c>
      <c r="BB1823" s="19" t="s">
        <v>198</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70000109</v>
      </c>
      <c r="D1824" s="19" t="s">
        <v>4349</v>
      </c>
      <c r="E1824" s="19" t="s">
        <v>4350</v>
      </c>
      <c r="F1824" s="18">
        <v>1</v>
      </c>
      <c r="G1824" s="74">
        <v>0</v>
      </c>
      <c r="H1824" s="18">
        <v>0</v>
      </c>
      <c r="I1824" s="27">
        <v>0</v>
      </c>
      <c r="J1824" s="18">
        <v>1</v>
      </c>
      <c r="K1824" s="18">
        <v>0</v>
      </c>
      <c r="L1824" s="18">
        <v>0</v>
      </c>
      <c r="M1824" s="18">
        <v>0</v>
      </c>
      <c r="N1824" s="18">
        <v>0</v>
      </c>
      <c r="O1824" s="18">
        <v>1</v>
      </c>
      <c r="P1824" s="18">
        <v>0</v>
      </c>
      <c r="Q1824" s="18">
        <v>0</v>
      </c>
      <c r="R1824" s="18">
        <v>0</v>
      </c>
      <c r="S1824" s="12">
        <v>0</v>
      </c>
      <c r="T1824" s="27">
        <v>0</v>
      </c>
      <c r="U1824" s="16">
        <v>0</v>
      </c>
      <c r="V1824" s="18">
        <v>1</v>
      </c>
      <c r="W1824" s="18">
        <v>0</v>
      </c>
      <c r="X1824" s="18">
        <v>1</v>
      </c>
      <c r="Y1824" s="12">
        <v>0</v>
      </c>
      <c r="Z1824" s="18">
        <v>0</v>
      </c>
      <c r="AA1824" s="18">
        <v>0</v>
      </c>
      <c r="AB1824" s="18">
        <v>0</v>
      </c>
      <c r="AC1824" s="18">
        <v>0</v>
      </c>
      <c r="AD1824" s="18">
        <v>1</v>
      </c>
      <c r="AE1824" s="18">
        <v>0</v>
      </c>
      <c r="AF1824" s="18">
        <v>1</v>
      </c>
      <c r="AG1824" s="18">
        <v>1</v>
      </c>
      <c r="AH1824" s="18">
        <v>2</v>
      </c>
      <c r="AI1824" s="12">
        <v>7</v>
      </c>
      <c r="AJ1824" s="12">
        <v>0</v>
      </c>
      <c r="AK1824" s="12">
        <v>0</v>
      </c>
      <c r="AL1824" s="12">
        <v>0</v>
      </c>
      <c r="AM1824" s="18">
        <v>0</v>
      </c>
      <c r="AN1824" s="18">
        <v>0</v>
      </c>
      <c r="AO1824" s="18">
        <v>0</v>
      </c>
      <c r="AP1824" s="18">
        <v>0</v>
      </c>
      <c r="AQ1824" s="18">
        <v>700</v>
      </c>
      <c r="AR1824" s="18">
        <v>0.45</v>
      </c>
      <c r="AS1824" s="18">
        <v>0</v>
      </c>
      <c r="AT1824" s="12">
        <v>0</v>
      </c>
      <c r="AU1824" s="18" t="s">
        <v>198</v>
      </c>
      <c r="AV1824" s="18"/>
      <c r="AW1824" s="19" t="s">
        <v>741</v>
      </c>
      <c r="AX1824" s="18">
        <v>0</v>
      </c>
      <c r="AY1824" s="64">
        <v>12000006</v>
      </c>
      <c r="AZ1824" s="18">
        <v>0</v>
      </c>
      <c r="BA1824" s="19" t="s">
        <v>200</v>
      </c>
      <c r="BB1824" s="19" t="s">
        <v>198</v>
      </c>
      <c r="BC1824" s="27">
        <v>0</v>
      </c>
      <c r="BD1824" s="27">
        <v>0</v>
      </c>
      <c r="BE1824" s="87"/>
      <c r="BF1824" s="87"/>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70000110</v>
      </c>
      <c r="D1825" s="19" t="s">
        <v>4349</v>
      </c>
      <c r="E1825" s="19" t="s">
        <v>4350</v>
      </c>
      <c r="F1825" s="18">
        <v>1</v>
      </c>
      <c r="G1825" s="74">
        <v>0</v>
      </c>
      <c r="H1825" s="18">
        <v>0</v>
      </c>
      <c r="I1825" s="27">
        <v>0</v>
      </c>
      <c r="J1825" s="18">
        <v>1</v>
      </c>
      <c r="K1825" s="18">
        <v>0</v>
      </c>
      <c r="L1825" s="18">
        <v>0</v>
      </c>
      <c r="M1825" s="18">
        <v>0</v>
      </c>
      <c r="N1825" s="18">
        <v>0</v>
      </c>
      <c r="O1825" s="18">
        <v>1</v>
      </c>
      <c r="P1825" s="18">
        <v>0</v>
      </c>
      <c r="Q1825" s="18">
        <v>0</v>
      </c>
      <c r="R1825" s="18">
        <v>0</v>
      </c>
      <c r="S1825" s="12">
        <v>0</v>
      </c>
      <c r="T1825" s="27">
        <v>0</v>
      </c>
      <c r="U1825" s="16">
        <v>0</v>
      </c>
      <c r="V1825" s="18">
        <v>1</v>
      </c>
      <c r="W1825" s="18">
        <v>0</v>
      </c>
      <c r="X1825" s="18">
        <v>1</v>
      </c>
      <c r="Y1825" s="12">
        <v>0</v>
      </c>
      <c r="Z1825" s="18">
        <v>0</v>
      </c>
      <c r="AA1825" s="18">
        <v>0</v>
      </c>
      <c r="AB1825" s="18">
        <v>0</v>
      </c>
      <c r="AC1825" s="18">
        <v>0</v>
      </c>
      <c r="AD1825" s="18">
        <v>1</v>
      </c>
      <c r="AE1825" s="18">
        <v>0</v>
      </c>
      <c r="AF1825" s="18">
        <v>1</v>
      </c>
      <c r="AG1825" s="18">
        <v>1</v>
      </c>
      <c r="AH1825" s="18">
        <v>2</v>
      </c>
      <c r="AI1825" s="12">
        <v>7</v>
      </c>
      <c r="AJ1825" s="12">
        <v>0</v>
      </c>
      <c r="AK1825" s="12">
        <v>0</v>
      </c>
      <c r="AL1825" s="12">
        <v>0</v>
      </c>
      <c r="AM1825" s="18">
        <v>0</v>
      </c>
      <c r="AN1825" s="18">
        <v>0</v>
      </c>
      <c r="AO1825" s="18">
        <v>0</v>
      </c>
      <c r="AP1825" s="18">
        <v>0</v>
      </c>
      <c r="AQ1825" s="18">
        <v>700</v>
      </c>
      <c r="AR1825" s="18">
        <v>0.5</v>
      </c>
      <c r="AS1825" s="18">
        <v>0</v>
      </c>
      <c r="AT1825" s="12">
        <v>0</v>
      </c>
      <c r="AU1825" s="18">
        <v>0</v>
      </c>
      <c r="AV1825" s="18"/>
      <c r="AW1825" s="19" t="s">
        <v>741</v>
      </c>
      <c r="AX1825" s="18">
        <v>0</v>
      </c>
      <c r="AY1825" s="64">
        <v>12000006</v>
      </c>
      <c r="AZ1825" s="18">
        <v>0</v>
      </c>
      <c r="BA1825" s="19" t="s">
        <v>200</v>
      </c>
      <c r="BB1825" s="19" t="s">
        <v>371</v>
      </c>
      <c r="BC1825" s="27">
        <v>0</v>
      </c>
      <c r="BD1825" s="27">
        <v>0</v>
      </c>
      <c r="BE1825" s="87"/>
      <c r="BF1825" s="87"/>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19.5" customHeight="1">
      <c r="C1826" s="18">
        <v>70000111</v>
      </c>
      <c r="D1826" s="19" t="s">
        <v>4349</v>
      </c>
      <c r="E1826" s="19" t="s">
        <v>4350</v>
      </c>
      <c r="F1826" s="18">
        <v>1</v>
      </c>
      <c r="G1826" s="74">
        <v>0</v>
      </c>
      <c r="H1826" s="18">
        <v>0</v>
      </c>
      <c r="I1826" s="27">
        <v>0</v>
      </c>
      <c r="J1826" s="18">
        <v>1</v>
      </c>
      <c r="K1826" s="18">
        <v>0</v>
      </c>
      <c r="L1826" s="18">
        <v>0</v>
      </c>
      <c r="M1826" s="18">
        <v>0</v>
      </c>
      <c r="N1826" s="18">
        <v>0</v>
      </c>
      <c r="O1826" s="18">
        <v>1</v>
      </c>
      <c r="P1826" s="18">
        <v>0</v>
      </c>
      <c r="Q1826" s="18">
        <v>0</v>
      </c>
      <c r="R1826" s="18">
        <v>0</v>
      </c>
      <c r="S1826" s="12">
        <v>0</v>
      </c>
      <c r="T1826" s="27">
        <v>0</v>
      </c>
      <c r="U1826" s="16">
        <v>0</v>
      </c>
      <c r="V1826" s="18">
        <v>1</v>
      </c>
      <c r="W1826" s="18">
        <v>0</v>
      </c>
      <c r="X1826" s="18">
        <v>1</v>
      </c>
      <c r="Y1826" s="12">
        <v>0</v>
      </c>
      <c r="Z1826" s="18">
        <v>0</v>
      </c>
      <c r="AA1826" s="18">
        <v>0</v>
      </c>
      <c r="AB1826" s="18">
        <v>0</v>
      </c>
      <c r="AC1826" s="18">
        <v>0</v>
      </c>
      <c r="AD1826" s="18">
        <v>1</v>
      </c>
      <c r="AE1826" s="18">
        <v>0</v>
      </c>
      <c r="AF1826" s="18">
        <v>1</v>
      </c>
      <c r="AG1826" s="18">
        <v>1</v>
      </c>
      <c r="AH1826" s="18">
        <v>2</v>
      </c>
      <c r="AI1826" s="12">
        <v>7</v>
      </c>
      <c r="AJ1826" s="12">
        <v>0</v>
      </c>
      <c r="AK1826" s="12">
        <v>0</v>
      </c>
      <c r="AL1826" s="12">
        <v>0</v>
      </c>
      <c r="AM1826" s="18">
        <v>0</v>
      </c>
      <c r="AN1826" s="18">
        <v>0</v>
      </c>
      <c r="AO1826" s="18">
        <v>0</v>
      </c>
      <c r="AP1826" s="18">
        <v>0</v>
      </c>
      <c r="AQ1826" s="18">
        <v>700</v>
      </c>
      <c r="AR1826" s="18">
        <v>0.8</v>
      </c>
      <c r="AS1826" s="18">
        <v>0</v>
      </c>
      <c r="AT1826" s="12">
        <v>0</v>
      </c>
      <c r="AU1826" s="18" t="s">
        <v>198</v>
      </c>
      <c r="AV1826" s="18"/>
      <c r="AW1826" s="19" t="s">
        <v>741</v>
      </c>
      <c r="AX1826" s="18">
        <v>0</v>
      </c>
      <c r="AY1826" s="64">
        <v>12000006</v>
      </c>
      <c r="AZ1826" s="18">
        <v>0</v>
      </c>
      <c r="BA1826" s="19" t="s">
        <v>200</v>
      </c>
      <c r="BB1826" s="19" t="s">
        <v>198</v>
      </c>
      <c r="BC1826" s="27">
        <v>0</v>
      </c>
      <c r="BD1826" s="27">
        <v>0</v>
      </c>
      <c r="BE1826" s="87"/>
      <c r="BF1826" s="87"/>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70001001</v>
      </c>
      <c r="D1827" s="17" t="s">
        <v>598</v>
      </c>
      <c r="E1827" s="17" t="s">
        <v>1162</v>
      </c>
      <c r="F1827" s="18">
        <v>1</v>
      </c>
      <c r="G1827" s="16">
        <v>60010300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350</v>
      </c>
      <c r="AA1827" s="16">
        <v>0</v>
      </c>
      <c r="AB1827" s="16">
        <v>0</v>
      </c>
      <c r="AC1827" s="16">
        <v>0</v>
      </c>
      <c r="AD1827" s="16">
        <v>0</v>
      </c>
      <c r="AE1827" s="16">
        <v>0</v>
      </c>
      <c r="AF1827" s="16">
        <v>9</v>
      </c>
      <c r="AG1827" s="16">
        <v>2</v>
      </c>
      <c r="AH1827" s="16" t="s">
        <v>213</v>
      </c>
      <c r="AI1827" s="12">
        <v>0</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7" t="s">
        <v>287</v>
      </c>
      <c r="AX1827" s="16" t="s">
        <v>545</v>
      </c>
      <c r="AY1827" s="18">
        <v>10000007</v>
      </c>
      <c r="AZ1827" s="18">
        <v>21000110</v>
      </c>
      <c r="BA1827" s="17" t="s">
        <v>200</v>
      </c>
      <c r="BB1827" s="16">
        <v>0</v>
      </c>
      <c r="BC1827" s="27">
        <v>0</v>
      </c>
      <c r="BD1827" s="27">
        <v>0</v>
      </c>
      <c r="BE1827" s="44" t="s">
        <v>577</v>
      </c>
      <c r="BF1827" s="44" t="s">
        <v>578</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70101001</v>
      </c>
      <c r="D1828" s="17" t="s">
        <v>589</v>
      </c>
      <c r="E1828" s="17" t="s">
        <v>590</v>
      </c>
      <c r="F1828" s="18">
        <v>1</v>
      </c>
      <c r="G1828" s="16">
        <v>60010300</v>
      </c>
      <c r="H1828" s="18">
        <v>0</v>
      </c>
      <c r="I1828" s="27">
        <v>0</v>
      </c>
      <c r="J1828" s="18">
        <v>1</v>
      </c>
      <c r="K1828" s="18">
        <v>0</v>
      </c>
      <c r="L1828" s="18">
        <v>0</v>
      </c>
      <c r="M1828" s="16">
        <v>0</v>
      </c>
      <c r="N1828" s="16">
        <v>0</v>
      </c>
      <c r="O1828" s="16">
        <v>2</v>
      </c>
      <c r="P1828" s="16">
        <v>2</v>
      </c>
      <c r="Q1828" s="16">
        <v>0.8</v>
      </c>
      <c r="R1828" s="16">
        <v>0</v>
      </c>
      <c r="S1828" s="12">
        <v>0</v>
      </c>
      <c r="T1828" s="16">
        <v>0</v>
      </c>
      <c r="U1828" s="16">
        <v>1</v>
      </c>
      <c r="V1828" s="16">
        <v>2</v>
      </c>
      <c r="W1828" s="16">
        <v>0</v>
      </c>
      <c r="X1828" s="16">
        <v>0</v>
      </c>
      <c r="Y1828" s="12">
        <v>0</v>
      </c>
      <c r="Z1828" s="16">
        <v>0</v>
      </c>
      <c r="AA1828" s="16">
        <v>0</v>
      </c>
      <c r="AB1828" s="16">
        <v>0</v>
      </c>
      <c r="AC1828" s="16">
        <v>0</v>
      </c>
      <c r="AD1828" s="16">
        <v>0</v>
      </c>
      <c r="AE1828" s="16">
        <v>0</v>
      </c>
      <c r="AF1828" s="16">
        <v>20</v>
      </c>
      <c r="AG1828" s="16">
        <v>0</v>
      </c>
      <c r="AH1828" s="16">
        <v>0</v>
      </c>
      <c r="AI1828" s="12">
        <v>2</v>
      </c>
      <c r="AJ1828" s="12">
        <v>2</v>
      </c>
      <c r="AK1828" s="12">
        <v>0</v>
      </c>
      <c r="AL1828" s="12">
        <v>1.5</v>
      </c>
      <c r="AM1828" s="16">
        <v>0</v>
      </c>
      <c r="AN1828" s="16">
        <v>0</v>
      </c>
      <c r="AO1828" s="16">
        <v>0</v>
      </c>
      <c r="AP1828" s="16">
        <v>1</v>
      </c>
      <c r="AQ1828" s="16">
        <v>3000</v>
      </c>
      <c r="AR1828" s="16">
        <v>0.5</v>
      </c>
      <c r="AS1828" s="16">
        <v>0</v>
      </c>
      <c r="AT1828" s="12">
        <v>0</v>
      </c>
      <c r="AU1828" s="16" t="s">
        <v>198</v>
      </c>
      <c r="AV1828" s="16"/>
      <c r="AW1828" s="17" t="s">
        <v>199</v>
      </c>
      <c r="AX1828" s="16" t="s">
        <v>545</v>
      </c>
      <c r="AY1828" s="18">
        <v>0</v>
      </c>
      <c r="AZ1828" s="18">
        <v>0</v>
      </c>
      <c r="BA1828" s="17" t="s">
        <v>528</v>
      </c>
      <c r="BB1828" s="16" t="s">
        <v>4367</v>
      </c>
      <c r="BC1828" s="27">
        <v>0</v>
      </c>
      <c r="BD1828" s="27">
        <v>0</v>
      </c>
      <c r="BE1828" s="44" t="s">
        <v>4368</v>
      </c>
      <c r="BF1828" s="44" t="s">
        <v>4369</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1.75" customHeight="1">
      <c r="C1829" s="18">
        <v>70102001</v>
      </c>
      <c r="D1829" s="17" t="s">
        <v>532</v>
      </c>
      <c r="E1829" s="17" t="s">
        <v>255</v>
      </c>
      <c r="F1829" s="18">
        <v>1</v>
      </c>
      <c r="G1829" s="16">
        <v>60010100</v>
      </c>
      <c r="H1829" s="18">
        <v>0</v>
      </c>
      <c r="I1829" s="27">
        <v>0</v>
      </c>
      <c r="J1829" s="18">
        <v>1</v>
      </c>
      <c r="K1829" s="18">
        <v>0</v>
      </c>
      <c r="L1829" s="18">
        <v>0</v>
      </c>
      <c r="M1829" s="16">
        <v>0</v>
      </c>
      <c r="N1829" s="16">
        <v>0</v>
      </c>
      <c r="O1829" s="16">
        <v>2</v>
      </c>
      <c r="P1829" s="16">
        <v>3</v>
      </c>
      <c r="Q1829" s="16">
        <v>1</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9</v>
      </c>
      <c r="AG1829" s="16">
        <v>1</v>
      </c>
      <c r="AH1829" s="16">
        <v>4</v>
      </c>
      <c r="AI1829" s="12">
        <v>0</v>
      </c>
      <c r="AJ1829" s="12">
        <v>1</v>
      </c>
      <c r="AK1829" s="12">
        <v>0</v>
      </c>
      <c r="AL1829" s="12">
        <v>2</v>
      </c>
      <c r="AM1829" s="16">
        <v>0</v>
      </c>
      <c r="AN1829" s="16">
        <v>0</v>
      </c>
      <c r="AO1829" s="16">
        <v>0</v>
      </c>
      <c r="AP1829" s="16">
        <v>3</v>
      </c>
      <c r="AQ1829" s="16">
        <v>5000</v>
      </c>
      <c r="AR1829" s="16">
        <v>2.5</v>
      </c>
      <c r="AS1829" s="16">
        <v>0</v>
      </c>
      <c r="AT1829" s="12">
        <v>0</v>
      </c>
      <c r="AU1829" s="16" t="s">
        <v>533</v>
      </c>
      <c r="AV1829" s="16"/>
      <c r="AW1829" s="17" t="s">
        <v>287</v>
      </c>
      <c r="AX1829" s="16" t="s">
        <v>534</v>
      </c>
      <c r="AY1829" s="18">
        <v>10000007</v>
      </c>
      <c r="AZ1829" s="18">
        <v>70102001</v>
      </c>
      <c r="BA1829" s="17" t="s">
        <v>200</v>
      </c>
      <c r="BB1829" s="16" t="s">
        <v>4370</v>
      </c>
      <c r="BC1829" s="27">
        <v>0</v>
      </c>
      <c r="BD1829" s="27">
        <v>0</v>
      </c>
      <c r="BE1829" s="44" t="s">
        <v>536</v>
      </c>
      <c r="BF1829" s="44" t="s">
        <v>537</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70102002</v>
      </c>
      <c r="D1830" s="19" t="s">
        <v>538</v>
      </c>
      <c r="E1830" s="19" t="s">
        <v>539</v>
      </c>
      <c r="F1830" s="18">
        <v>1</v>
      </c>
      <c r="G1830" s="18">
        <v>60010500</v>
      </c>
      <c r="H1830" s="18">
        <v>0</v>
      </c>
      <c r="I1830" s="27">
        <v>0</v>
      </c>
      <c r="J1830" s="18">
        <v>1</v>
      </c>
      <c r="K1830" s="18">
        <v>0</v>
      </c>
      <c r="L1830" s="18">
        <v>0</v>
      </c>
      <c r="M1830" s="18">
        <v>0</v>
      </c>
      <c r="N1830" s="18">
        <v>0</v>
      </c>
      <c r="O1830" s="16">
        <v>2</v>
      </c>
      <c r="P1830" s="18">
        <v>2</v>
      </c>
      <c r="Q1830" s="18">
        <v>0.6</v>
      </c>
      <c r="R1830" s="18">
        <v>0</v>
      </c>
      <c r="S1830" s="12">
        <v>0</v>
      </c>
      <c r="T1830" s="27">
        <v>0</v>
      </c>
      <c r="U1830" s="16">
        <v>1</v>
      </c>
      <c r="V1830" s="18">
        <v>2</v>
      </c>
      <c r="W1830" s="18">
        <v>0</v>
      </c>
      <c r="X1830" s="18">
        <v>0</v>
      </c>
      <c r="Y1830" s="12">
        <v>0</v>
      </c>
      <c r="Z1830" s="18">
        <v>0</v>
      </c>
      <c r="AA1830" s="18">
        <v>0</v>
      </c>
      <c r="AB1830" s="18">
        <v>0</v>
      </c>
      <c r="AC1830" s="18">
        <v>0</v>
      </c>
      <c r="AD1830" s="18">
        <v>0</v>
      </c>
      <c r="AE1830" s="18">
        <v>0</v>
      </c>
      <c r="AF1830" s="18">
        <v>20</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v>90102001</v>
      </c>
      <c r="AU1830" s="18" t="s">
        <v>198</v>
      </c>
      <c r="AV1830" s="18"/>
      <c r="AW1830" s="19" t="s">
        <v>199</v>
      </c>
      <c r="AX1830" s="18" t="s">
        <v>348</v>
      </c>
      <c r="AY1830" s="18">
        <v>0</v>
      </c>
      <c r="AZ1830" s="18">
        <v>40000003</v>
      </c>
      <c r="BA1830" s="19" t="s">
        <v>200</v>
      </c>
      <c r="BB1830" s="19" t="s">
        <v>198</v>
      </c>
      <c r="BC1830" s="27">
        <v>0</v>
      </c>
      <c r="BD1830" s="27">
        <v>0</v>
      </c>
      <c r="BE1830" s="87" t="s">
        <v>540</v>
      </c>
      <c r="BF1830" s="87" t="s">
        <v>541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70103001</v>
      </c>
      <c r="D1831" s="17" t="s">
        <v>543</v>
      </c>
      <c r="E1831" s="17" t="s">
        <v>544</v>
      </c>
      <c r="F1831" s="18">
        <v>1</v>
      </c>
      <c r="G1831" s="16">
        <v>60010300</v>
      </c>
      <c r="H1831" s="18">
        <v>0</v>
      </c>
      <c r="I1831" s="27">
        <v>0</v>
      </c>
      <c r="J1831" s="18">
        <v>1</v>
      </c>
      <c r="K1831" s="18">
        <v>0</v>
      </c>
      <c r="L1831" s="18">
        <v>0</v>
      </c>
      <c r="M1831" s="16">
        <v>0</v>
      </c>
      <c r="N1831" s="16">
        <v>0</v>
      </c>
      <c r="O1831" s="16">
        <v>2</v>
      </c>
      <c r="P1831" s="16">
        <v>1</v>
      </c>
      <c r="Q1831" s="16">
        <v>0.5</v>
      </c>
      <c r="R1831" s="16">
        <v>0</v>
      </c>
      <c r="S1831" s="12">
        <v>0</v>
      </c>
      <c r="T1831" s="16">
        <v>0</v>
      </c>
      <c r="U1831" s="16">
        <v>1</v>
      </c>
      <c r="V1831" s="16">
        <v>2</v>
      </c>
      <c r="W1831" s="16">
        <v>0</v>
      </c>
      <c r="X1831" s="16">
        <v>3</v>
      </c>
      <c r="Y1831" s="12">
        <v>0</v>
      </c>
      <c r="Z1831" s="16">
        <v>0</v>
      </c>
      <c r="AA1831" s="16">
        <v>0</v>
      </c>
      <c r="AB1831" s="16">
        <v>0</v>
      </c>
      <c r="AC1831" s="16">
        <v>0</v>
      </c>
      <c r="AD1831" s="16">
        <v>0</v>
      </c>
      <c r="AE1831" s="16">
        <v>0</v>
      </c>
      <c r="AF1831" s="16">
        <v>12</v>
      </c>
      <c r="AG1831" s="16">
        <v>2</v>
      </c>
      <c r="AH1831" s="16" t="s">
        <v>213</v>
      </c>
      <c r="AI1831" s="12">
        <v>0</v>
      </c>
      <c r="AJ1831" s="12">
        <v>2</v>
      </c>
      <c r="AK1831" s="12">
        <v>0</v>
      </c>
      <c r="AL1831" s="12">
        <v>1.5</v>
      </c>
      <c r="AM1831" s="16">
        <v>0</v>
      </c>
      <c r="AN1831" s="16">
        <v>0</v>
      </c>
      <c r="AO1831" s="16">
        <v>0</v>
      </c>
      <c r="AP1831" s="16">
        <v>1.1000000000000001</v>
      </c>
      <c r="AQ1831" s="16">
        <v>3000</v>
      </c>
      <c r="AR1831" s="16">
        <v>1.1000000000000001</v>
      </c>
      <c r="AS1831" s="16">
        <v>0</v>
      </c>
      <c r="AT1831" s="12">
        <v>0</v>
      </c>
      <c r="AU1831" s="16" t="s">
        <v>198</v>
      </c>
      <c r="AV1831" s="16"/>
      <c r="AW1831" s="19" t="s">
        <v>287</v>
      </c>
      <c r="AX1831" s="16" t="s">
        <v>545</v>
      </c>
      <c r="AY1831" s="18">
        <v>10001007</v>
      </c>
      <c r="AZ1831" s="18">
        <v>70103001</v>
      </c>
      <c r="BA1831" s="17" t="s">
        <v>200</v>
      </c>
      <c r="BB1831" s="16">
        <v>0</v>
      </c>
      <c r="BC1831" s="27">
        <v>0</v>
      </c>
      <c r="BD1831" s="27">
        <v>0</v>
      </c>
      <c r="BE1831" s="44" t="s">
        <v>546</v>
      </c>
      <c r="BF1831" s="44" t="s">
        <v>547</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70103002</v>
      </c>
      <c r="D1832" s="19" t="s">
        <v>538</v>
      </c>
      <c r="E1832" s="19" t="s">
        <v>539</v>
      </c>
      <c r="F1832" s="18">
        <v>1</v>
      </c>
      <c r="G1832" s="18">
        <v>60010500</v>
      </c>
      <c r="H1832" s="18">
        <v>0</v>
      </c>
      <c r="I1832" s="27">
        <v>0</v>
      </c>
      <c r="J1832" s="18">
        <v>1</v>
      </c>
      <c r="K1832" s="18">
        <v>0</v>
      </c>
      <c r="L1832" s="18">
        <v>0</v>
      </c>
      <c r="M1832" s="18">
        <v>0</v>
      </c>
      <c r="N1832" s="18">
        <v>0</v>
      </c>
      <c r="O1832" s="16">
        <v>2</v>
      </c>
      <c r="P1832" s="18">
        <v>2</v>
      </c>
      <c r="Q1832" s="18">
        <v>0.6</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20</v>
      </c>
      <c r="AG1832" s="18">
        <v>0</v>
      </c>
      <c r="AH1832" s="18">
        <v>0</v>
      </c>
      <c r="AI1832" s="12">
        <v>0</v>
      </c>
      <c r="AJ1832" s="12">
        <v>0</v>
      </c>
      <c r="AK1832" s="12">
        <v>0</v>
      </c>
      <c r="AL1832" s="12">
        <v>0</v>
      </c>
      <c r="AM1832" s="18">
        <v>0</v>
      </c>
      <c r="AN1832" s="18">
        <v>0</v>
      </c>
      <c r="AO1832" s="18">
        <v>0</v>
      </c>
      <c r="AP1832" s="18">
        <v>0</v>
      </c>
      <c r="AQ1832" s="18">
        <v>1000</v>
      </c>
      <c r="AR1832" s="18">
        <v>0</v>
      </c>
      <c r="AS1832" s="18">
        <v>0</v>
      </c>
      <c r="AT1832" s="12">
        <v>90103001</v>
      </c>
      <c r="AU1832" s="18" t="s">
        <v>198</v>
      </c>
      <c r="AV1832" s="18"/>
      <c r="AW1832" s="19" t="s">
        <v>198</v>
      </c>
      <c r="AX1832" s="18" t="s">
        <v>348</v>
      </c>
      <c r="AY1832" s="18">
        <v>0</v>
      </c>
      <c r="AZ1832" s="18">
        <v>40000003</v>
      </c>
      <c r="BA1832" s="19" t="s">
        <v>200</v>
      </c>
      <c r="BB1832" s="19" t="s">
        <v>198</v>
      </c>
      <c r="BC1832" s="27">
        <v>0</v>
      </c>
      <c r="BD1832" s="27">
        <v>0</v>
      </c>
      <c r="BE1832" s="87" t="s">
        <v>548</v>
      </c>
      <c r="BF1832" s="87" t="s">
        <v>549</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70103003</v>
      </c>
      <c r="D1833" s="17" t="s">
        <v>3115</v>
      </c>
      <c r="E1833" s="17" t="s">
        <v>3116</v>
      </c>
      <c r="F1833" s="18">
        <v>1</v>
      </c>
      <c r="G1833" s="16">
        <v>60010100</v>
      </c>
      <c r="H1833" s="18">
        <v>0</v>
      </c>
      <c r="I1833" s="27">
        <v>0</v>
      </c>
      <c r="J1833" s="18">
        <v>1</v>
      </c>
      <c r="K1833" s="18">
        <v>0</v>
      </c>
      <c r="L1833" s="18">
        <v>0</v>
      </c>
      <c r="M1833" s="16">
        <v>0</v>
      </c>
      <c r="N1833" s="16">
        <v>0</v>
      </c>
      <c r="O1833" s="16">
        <v>2</v>
      </c>
      <c r="P1833" s="16">
        <v>1</v>
      </c>
      <c r="Q1833" s="16">
        <v>0.5</v>
      </c>
      <c r="R1833" s="16">
        <v>0</v>
      </c>
      <c r="S1833" s="12">
        <v>0</v>
      </c>
      <c r="T1833" s="16">
        <v>0</v>
      </c>
      <c r="U1833" s="16">
        <v>1</v>
      </c>
      <c r="V1833" s="16">
        <v>2</v>
      </c>
      <c r="W1833" s="16">
        <v>0</v>
      </c>
      <c r="X1833" s="16">
        <v>3</v>
      </c>
      <c r="Y1833" s="12">
        <v>0</v>
      </c>
      <c r="Z1833" s="16">
        <v>0</v>
      </c>
      <c r="AA1833" s="16">
        <v>1</v>
      </c>
      <c r="AB1833" s="16">
        <v>0</v>
      </c>
      <c r="AC1833" s="16">
        <v>0</v>
      </c>
      <c r="AD1833" s="16">
        <v>0</v>
      </c>
      <c r="AE1833" s="16">
        <v>0</v>
      </c>
      <c r="AF1833" s="16">
        <v>8</v>
      </c>
      <c r="AG1833" s="16">
        <v>1</v>
      </c>
      <c r="AH1833" s="16">
        <v>3</v>
      </c>
      <c r="AI1833" s="12">
        <v>1</v>
      </c>
      <c r="AJ1833" s="12">
        <v>1</v>
      </c>
      <c r="AK1833" s="12">
        <v>0</v>
      </c>
      <c r="AL1833" s="12">
        <v>1.5</v>
      </c>
      <c r="AM1833" s="16">
        <v>0</v>
      </c>
      <c r="AN1833" s="16">
        <v>0</v>
      </c>
      <c r="AO1833" s="16">
        <v>0</v>
      </c>
      <c r="AP1833" s="16">
        <v>0.5</v>
      </c>
      <c r="AQ1833" s="16">
        <v>5000</v>
      </c>
      <c r="AR1833" s="16">
        <v>3</v>
      </c>
      <c r="AS1833" s="16">
        <v>0</v>
      </c>
      <c r="AT1833" s="12">
        <v>0</v>
      </c>
      <c r="AU1833" s="16" t="s">
        <v>198</v>
      </c>
      <c r="AV1833" s="16"/>
      <c r="AW1833" s="19" t="s">
        <v>199</v>
      </c>
      <c r="AX1833" s="16" t="s">
        <v>534</v>
      </c>
      <c r="AY1833" s="18">
        <v>10000007</v>
      </c>
      <c r="AZ1833" s="18">
        <v>70103003</v>
      </c>
      <c r="BA1833" s="17" t="s">
        <v>200</v>
      </c>
      <c r="BB1833" s="16" t="s">
        <v>3117</v>
      </c>
      <c r="BC1833" s="27">
        <v>0</v>
      </c>
      <c r="BD1833" s="27">
        <v>0</v>
      </c>
      <c r="BE1833" s="44" t="s">
        <v>3118</v>
      </c>
      <c r="BF1833" s="44" t="s">
        <v>3119</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70104001</v>
      </c>
      <c r="D1834" s="17" t="s">
        <v>889</v>
      </c>
      <c r="E1834" s="17" t="s">
        <v>890</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3</v>
      </c>
      <c r="Y1834" s="12">
        <v>0</v>
      </c>
      <c r="Z1834" s="16">
        <v>0</v>
      </c>
      <c r="AA1834" s="16">
        <v>1</v>
      </c>
      <c r="AB1834" s="16">
        <v>0</v>
      </c>
      <c r="AC1834" s="16">
        <v>0</v>
      </c>
      <c r="AD1834" s="16">
        <v>0</v>
      </c>
      <c r="AE1834" s="16">
        <v>0</v>
      </c>
      <c r="AF1834" s="16">
        <v>5</v>
      </c>
      <c r="AG1834" s="16">
        <v>1</v>
      </c>
      <c r="AH1834" s="16" t="s">
        <v>861</v>
      </c>
      <c r="AI1834" s="12">
        <v>1</v>
      </c>
      <c r="AJ1834" s="12">
        <v>1</v>
      </c>
      <c r="AK1834" s="12">
        <v>0</v>
      </c>
      <c r="AL1834" s="12">
        <v>1.5</v>
      </c>
      <c r="AM1834" s="16">
        <v>0</v>
      </c>
      <c r="AN1834" s="16">
        <v>0</v>
      </c>
      <c r="AO1834" s="16">
        <v>0</v>
      </c>
      <c r="AP1834" s="16">
        <v>0.5</v>
      </c>
      <c r="AQ1834" s="16">
        <v>5000</v>
      </c>
      <c r="AR1834" s="16">
        <v>2</v>
      </c>
      <c r="AS1834" s="16">
        <v>0</v>
      </c>
      <c r="AT1834" s="12">
        <v>0</v>
      </c>
      <c r="AU1834" s="16" t="s">
        <v>198</v>
      </c>
      <c r="AV1834" s="16"/>
      <c r="AW1834" s="17" t="s">
        <v>287</v>
      </c>
      <c r="AX1834" s="16" t="s">
        <v>534</v>
      </c>
      <c r="AY1834" s="18">
        <v>10000007</v>
      </c>
      <c r="AZ1834" s="18">
        <v>70104001</v>
      </c>
      <c r="BA1834" s="17" t="s">
        <v>200</v>
      </c>
      <c r="BB1834" s="16" t="s">
        <v>4371</v>
      </c>
      <c r="BC1834" s="27">
        <v>0</v>
      </c>
      <c r="BD1834" s="27">
        <v>0</v>
      </c>
      <c r="BE1834" s="44" t="s">
        <v>892</v>
      </c>
      <c r="BF1834" s="44" t="s">
        <v>893</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70104002</v>
      </c>
      <c r="D1835" s="19" t="s">
        <v>567</v>
      </c>
      <c r="E1835" s="19" t="s">
        <v>568</v>
      </c>
      <c r="F1835" s="18">
        <v>1</v>
      </c>
      <c r="G1835" s="18">
        <v>60010500</v>
      </c>
      <c r="H1835" s="18">
        <v>0</v>
      </c>
      <c r="I1835" s="27">
        <v>0</v>
      </c>
      <c r="J1835" s="18">
        <v>1</v>
      </c>
      <c r="K1835" s="18">
        <v>0</v>
      </c>
      <c r="L1835" s="18">
        <v>0</v>
      </c>
      <c r="M1835" s="18">
        <v>0</v>
      </c>
      <c r="N1835" s="18">
        <v>0</v>
      </c>
      <c r="O1835" s="16">
        <v>2</v>
      </c>
      <c r="P1835" s="18">
        <v>2</v>
      </c>
      <c r="Q1835" s="18">
        <v>0.3</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8">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198</v>
      </c>
      <c r="AV1835" s="18"/>
      <c r="AW1835" s="19" t="s">
        <v>199</v>
      </c>
      <c r="AX1835" s="18" t="s">
        <v>348</v>
      </c>
      <c r="AY1835" s="18">
        <v>0</v>
      </c>
      <c r="AZ1835" s="18">
        <v>0</v>
      </c>
      <c r="BA1835" s="19" t="s">
        <v>200</v>
      </c>
      <c r="BB1835" s="19" t="s">
        <v>198</v>
      </c>
      <c r="BC1835" s="27">
        <v>0</v>
      </c>
      <c r="BD1835" s="27">
        <v>0</v>
      </c>
      <c r="BE1835" s="87" t="s">
        <v>675</v>
      </c>
      <c r="BF1835" s="87" t="s">
        <v>676</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70104003</v>
      </c>
      <c r="D1836" s="17" t="s">
        <v>744</v>
      </c>
      <c r="E1836" s="17" t="s">
        <v>745</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5</v>
      </c>
      <c r="Y1836" s="12">
        <v>0</v>
      </c>
      <c r="Z1836" s="16">
        <v>0</v>
      </c>
      <c r="AA1836" s="16">
        <v>1</v>
      </c>
      <c r="AB1836" s="16">
        <v>0</v>
      </c>
      <c r="AC1836" s="16">
        <v>0</v>
      </c>
      <c r="AD1836" s="16">
        <v>0</v>
      </c>
      <c r="AE1836" s="16">
        <v>0</v>
      </c>
      <c r="AF1836" s="16">
        <v>10</v>
      </c>
      <c r="AG1836" s="16">
        <v>1</v>
      </c>
      <c r="AH1836" s="16" t="s">
        <v>607</v>
      </c>
      <c r="AI1836" s="12">
        <v>0</v>
      </c>
      <c r="AJ1836" s="12">
        <v>1</v>
      </c>
      <c r="AK1836" s="12">
        <v>0</v>
      </c>
      <c r="AL1836" s="12">
        <v>3</v>
      </c>
      <c r="AM1836" s="16">
        <v>0</v>
      </c>
      <c r="AN1836" s="16">
        <v>0</v>
      </c>
      <c r="AO1836" s="16">
        <v>0</v>
      </c>
      <c r="AP1836" s="16">
        <v>3.5</v>
      </c>
      <c r="AQ1836" s="16">
        <v>5000</v>
      </c>
      <c r="AR1836" s="16">
        <v>3</v>
      </c>
      <c r="AS1836" s="16">
        <v>0</v>
      </c>
      <c r="AT1836" s="12">
        <v>0</v>
      </c>
      <c r="AU1836" s="16" t="s">
        <v>198</v>
      </c>
      <c r="AV1836" s="16"/>
      <c r="AW1836" s="17" t="s">
        <v>256</v>
      </c>
      <c r="AX1836" s="16" t="s">
        <v>534</v>
      </c>
      <c r="AY1836" s="18">
        <v>10000007</v>
      </c>
      <c r="AZ1836" s="18">
        <v>70104003</v>
      </c>
      <c r="BA1836" s="17" t="s">
        <v>200</v>
      </c>
      <c r="BB1836" s="16" t="s">
        <v>4372</v>
      </c>
      <c r="BC1836" s="27">
        <v>0</v>
      </c>
      <c r="BD1836" s="27">
        <v>0</v>
      </c>
      <c r="BE1836" s="44" t="s">
        <v>4373</v>
      </c>
      <c r="BF1836" s="44" t="s">
        <v>4374</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70105001</v>
      </c>
      <c r="D1837" s="17" t="s">
        <v>532</v>
      </c>
      <c r="E1837" s="17" t="s">
        <v>255</v>
      </c>
      <c r="F1837" s="18">
        <v>1</v>
      </c>
      <c r="G1837" s="16">
        <v>60010100</v>
      </c>
      <c r="H1837" s="18">
        <v>0</v>
      </c>
      <c r="I1837" s="27">
        <v>0</v>
      </c>
      <c r="J1837" s="18">
        <v>1</v>
      </c>
      <c r="K1837" s="18">
        <v>0</v>
      </c>
      <c r="L1837" s="18">
        <v>0</v>
      </c>
      <c r="M1837" s="16">
        <v>0</v>
      </c>
      <c r="N1837" s="16">
        <v>0</v>
      </c>
      <c r="O1837" s="16">
        <v>2</v>
      </c>
      <c r="P1837" s="16">
        <v>1</v>
      </c>
      <c r="Q1837" s="16">
        <v>1</v>
      </c>
      <c r="R1837" s="16">
        <v>0</v>
      </c>
      <c r="S1837" s="12">
        <v>0</v>
      </c>
      <c r="T1837" s="16">
        <v>0</v>
      </c>
      <c r="U1837" s="16">
        <v>1</v>
      </c>
      <c r="V1837" s="16">
        <v>2</v>
      </c>
      <c r="W1837" s="16">
        <v>0</v>
      </c>
      <c r="X1837" s="16">
        <v>2</v>
      </c>
      <c r="Y1837" s="12">
        <v>0</v>
      </c>
      <c r="Z1837" s="16">
        <v>0</v>
      </c>
      <c r="AA1837" s="16">
        <v>1</v>
      </c>
      <c r="AB1837" s="16">
        <v>0</v>
      </c>
      <c r="AC1837" s="16">
        <v>0</v>
      </c>
      <c r="AD1837" s="16">
        <v>0</v>
      </c>
      <c r="AE1837" s="16">
        <v>0</v>
      </c>
      <c r="AF1837" s="16">
        <v>6</v>
      </c>
      <c r="AG1837" s="16">
        <v>1</v>
      </c>
      <c r="AH1837" s="16">
        <v>3</v>
      </c>
      <c r="AI1837" s="12">
        <v>0</v>
      </c>
      <c r="AJ1837" s="12">
        <v>0</v>
      </c>
      <c r="AK1837" s="12">
        <v>0</v>
      </c>
      <c r="AL1837" s="12">
        <v>1.5</v>
      </c>
      <c r="AM1837" s="16">
        <v>0</v>
      </c>
      <c r="AN1837" s="16">
        <v>0</v>
      </c>
      <c r="AO1837" s="16">
        <v>0</v>
      </c>
      <c r="AP1837" s="16">
        <v>1</v>
      </c>
      <c r="AQ1837" s="16">
        <v>5000</v>
      </c>
      <c r="AR1837" s="16">
        <v>0.5</v>
      </c>
      <c r="AS1837" s="16">
        <v>0</v>
      </c>
      <c r="AT1837" s="12">
        <v>0</v>
      </c>
      <c r="AU1837" s="16" t="s">
        <v>198</v>
      </c>
      <c r="AV1837" s="16"/>
      <c r="AW1837" s="19" t="s">
        <v>199</v>
      </c>
      <c r="AX1837" s="16" t="s">
        <v>534</v>
      </c>
      <c r="AY1837" s="18">
        <v>10000007</v>
      </c>
      <c r="AZ1837" s="18">
        <v>70105001</v>
      </c>
      <c r="BA1837" s="17" t="s">
        <v>200</v>
      </c>
      <c r="BB1837" s="16" t="s">
        <v>4375</v>
      </c>
      <c r="BC1837" s="27">
        <v>0</v>
      </c>
      <c r="BD1837" s="27">
        <v>0</v>
      </c>
      <c r="BE1837" s="44" t="s">
        <v>4376</v>
      </c>
      <c r="BF1837" s="44" t="s">
        <v>4377</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70105002</v>
      </c>
      <c r="D1838" s="19" t="s">
        <v>567</v>
      </c>
      <c r="E1838" s="19" t="s">
        <v>568</v>
      </c>
      <c r="F1838" s="18">
        <v>1</v>
      </c>
      <c r="G1838" s="18">
        <v>60010500</v>
      </c>
      <c r="H1838" s="18">
        <v>0</v>
      </c>
      <c r="I1838" s="27">
        <v>0</v>
      </c>
      <c r="J1838" s="18">
        <v>1</v>
      </c>
      <c r="K1838" s="18">
        <v>0</v>
      </c>
      <c r="L1838" s="18">
        <v>0</v>
      </c>
      <c r="M1838" s="18">
        <v>0</v>
      </c>
      <c r="N1838" s="18">
        <v>0</v>
      </c>
      <c r="O1838" s="16">
        <v>2</v>
      </c>
      <c r="P1838" s="18">
        <v>2</v>
      </c>
      <c r="Q1838" s="18">
        <v>0.6</v>
      </c>
      <c r="R1838" s="18">
        <v>0</v>
      </c>
      <c r="S1838" s="12">
        <v>0</v>
      </c>
      <c r="T1838" s="27">
        <v>0</v>
      </c>
      <c r="U1838" s="16">
        <v>1</v>
      </c>
      <c r="V1838" s="18">
        <v>2</v>
      </c>
      <c r="W1838" s="18">
        <v>0</v>
      </c>
      <c r="X1838" s="18">
        <v>0</v>
      </c>
      <c r="Y1838" s="12">
        <v>0</v>
      </c>
      <c r="Z1838" s="18">
        <v>0</v>
      </c>
      <c r="AA1838" s="18">
        <v>0</v>
      </c>
      <c r="AB1838" s="18">
        <v>0</v>
      </c>
      <c r="AC1838" s="18">
        <v>0</v>
      </c>
      <c r="AD1838" s="18">
        <v>0</v>
      </c>
      <c r="AE1838" s="18">
        <v>0</v>
      </c>
      <c r="AF1838" s="16">
        <v>99999</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v>90104002</v>
      </c>
      <c r="AU1838" s="18" t="s">
        <v>198</v>
      </c>
      <c r="AV1838" s="18"/>
      <c r="AW1838" s="19" t="s">
        <v>199</v>
      </c>
      <c r="AX1838" s="18" t="s">
        <v>348</v>
      </c>
      <c r="AY1838" s="18">
        <v>0</v>
      </c>
      <c r="AZ1838" s="18">
        <v>0</v>
      </c>
      <c r="BA1838" s="19" t="s">
        <v>200</v>
      </c>
      <c r="BB1838" s="19" t="s">
        <v>198</v>
      </c>
      <c r="BC1838" s="27">
        <v>0</v>
      </c>
      <c r="BD1838" s="27">
        <v>0</v>
      </c>
      <c r="BE1838" s="87" t="s">
        <v>675</v>
      </c>
      <c r="BF1838" s="87" t="s">
        <v>676</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70105003</v>
      </c>
      <c r="D1839" s="17" t="s">
        <v>4378</v>
      </c>
      <c r="E1839" s="17" t="s">
        <v>4379</v>
      </c>
      <c r="F1839" s="18">
        <v>1</v>
      </c>
      <c r="G1839" s="16">
        <v>60010300</v>
      </c>
      <c r="H1839" s="18">
        <v>0</v>
      </c>
      <c r="I1839" s="27">
        <v>0</v>
      </c>
      <c r="J1839" s="18">
        <v>1</v>
      </c>
      <c r="K1839" s="18">
        <v>0</v>
      </c>
      <c r="L1839" s="18">
        <v>0</v>
      </c>
      <c r="M1839" s="16">
        <v>0</v>
      </c>
      <c r="N1839" s="16">
        <v>0</v>
      </c>
      <c r="O1839" s="16">
        <v>2</v>
      </c>
      <c r="P1839" s="16">
        <v>2</v>
      </c>
      <c r="Q1839" s="16">
        <v>0.8</v>
      </c>
      <c r="R1839" s="16">
        <v>0</v>
      </c>
      <c r="S1839" s="12">
        <v>0</v>
      </c>
      <c r="T1839" s="16">
        <v>0</v>
      </c>
      <c r="U1839" s="16">
        <v>1</v>
      </c>
      <c r="V1839" s="16">
        <v>2</v>
      </c>
      <c r="W1839" s="16">
        <v>0</v>
      </c>
      <c r="X1839" s="16">
        <v>0</v>
      </c>
      <c r="Y1839" s="12">
        <v>0</v>
      </c>
      <c r="Z1839" s="16">
        <v>0</v>
      </c>
      <c r="AA1839" s="16">
        <v>0</v>
      </c>
      <c r="AB1839" s="16">
        <v>0</v>
      </c>
      <c r="AC1839" s="16">
        <v>0</v>
      </c>
      <c r="AD1839" s="16">
        <v>0</v>
      </c>
      <c r="AE1839" s="16">
        <v>0</v>
      </c>
      <c r="AF1839" s="16">
        <v>20</v>
      </c>
      <c r="AG1839" s="16">
        <v>0</v>
      </c>
      <c r="AH1839" s="16">
        <v>0</v>
      </c>
      <c r="AI1839" s="12">
        <v>2</v>
      </c>
      <c r="AJ1839" s="12">
        <v>2</v>
      </c>
      <c r="AK1839" s="12">
        <v>0</v>
      </c>
      <c r="AL1839" s="12">
        <v>1.5</v>
      </c>
      <c r="AM1839" s="16">
        <v>0</v>
      </c>
      <c r="AN1839" s="16">
        <v>0</v>
      </c>
      <c r="AO1839" s="16">
        <v>0</v>
      </c>
      <c r="AP1839" s="16">
        <v>1</v>
      </c>
      <c r="AQ1839" s="16">
        <v>3000</v>
      </c>
      <c r="AR1839" s="16">
        <v>0.5</v>
      </c>
      <c r="AS1839" s="16">
        <v>0</v>
      </c>
      <c r="AT1839" s="12">
        <v>0</v>
      </c>
      <c r="AU1839" s="16" t="s">
        <v>198</v>
      </c>
      <c r="AV1839" s="16"/>
      <c r="AW1839" s="19" t="s">
        <v>199</v>
      </c>
      <c r="AX1839" s="16" t="s">
        <v>545</v>
      </c>
      <c r="AY1839" s="18">
        <v>0</v>
      </c>
      <c r="AZ1839" s="18">
        <v>0</v>
      </c>
      <c r="BA1839" s="17" t="s">
        <v>528</v>
      </c>
      <c r="BB1839" s="16" t="s">
        <v>4380</v>
      </c>
      <c r="BC1839" s="27">
        <v>0</v>
      </c>
      <c r="BD1839" s="27">
        <v>0</v>
      </c>
      <c r="BE1839" s="44" t="s">
        <v>4381</v>
      </c>
      <c r="BF1839" s="44" t="s">
        <v>4382</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70105004</v>
      </c>
      <c r="D1840" s="19" t="s">
        <v>538</v>
      </c>
      <c r="E1840" s="19" t="s">
        <v>539</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8">
        <v>20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90103001</v>
      </c>
      <c r="AU1840" s="18" t="s">
        <v>198</v>
      </c>
      <c r="AV1840" s="18"/>
      <c r="AW1840" s="19" t="s">
        <v>198</v>
      </c>
      <c r="AX1840" s="18" t="s">
        <v>348</v>
      </c>
      <c r="AY1840" s="18">
        <v>0</v>
      </c>
      <c r="AZ1840" s="18">
        <v>40000003</v>
      </c>
      <c r="BA1840" s="19" t="s">
        <v>200</v>
      </c>
      <c r="BB1840" s="19" t="s">
        <v>198</v>
      </c>
      <c r="BC1840" s="27">
        <v>0</v>
      </c>
      <c r="BD1840" s="27">
        <v>0</v>
      </c>
      <c r="BE1840" s="87" t="s">
        <v>548</v>
      </c>
      <c r="BF1840" s="87" t="s">
        <v>549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70106001</v>
      </c>
      <c r="D1841" s="19" t="s">
        <v>573</v>
      </c>
      <c r="E1841" s="19" t="s">
        <v>574</v>
      </c>
      <c r="F1841" s="18">
        <v>1</v>
      </c>
      <c r="G1841" s="18">
        <v>60010300</v>
      </c>
      <c r="H1841" s="18">
        <v>0</v>
      </c>
      <c r="I1841" s="27">
        <v>0</v>
      </c>
      <c r="J1841" s="18">
        <v>1</v>
      </c>
      <c r="K1841" s="18">
        <v>0</v>
      </c>
      <c r="L1841" s="18">
        <v>0</v>
      </c>
      <c r="M1841" s="18">
        <v>0</v>
      </c>
      <c r="N1841" s="18">
        <v>0</v>
      </c>
      <c r="O1841" s="16">
        <v>2</v>
      </c>
      <c r="P1841" s="18">
        <v>1</v>
      </c>
      <c r="Q1841" s="18">
        <v>0.5</v>
      </c>
      <c r="R1841" s="18">
        <v>0</v>
      </c>
      <c r="S1841" s="12">
        <v>0</v>
      </c>
      <c r="T1841" s="27">
        <v>0</v>
      </c>
      <c r="U1841" s="16">
        <v>1</v>
      </c>
      <c r="V1841" s="18">
        <v>2</v>
      </c>
      <c r="W1841" s="18">
        <v>0</v>
      </c>
      <c r="X1841" s="18">
        <v>0.5</v>
      </c>
      <c r="Y1841" s="12">
        <v>0</v>
      </c>
      <c r="Z1841" s="18">
        <v>0</v>
      </c>
      <c r="AA1841" s="18">
        <v>0</v>
      </c>
      <c r="AB1841" s="18">
        <v>0</v>
      </c>
      <c r="AC1841" s="18">
        <v>0</v>
      </c>
      <c r="AD1841" s="18">
        <v>0</v>
      </c>
      <c r="AE1841" s="18">
        <v>0</v>
      </c>
      <c r="AF1841" s="18">
        <v>15</v>
      </c>
      <c r="AG1841" s="18">
        <v>1</v>
      </c>
      <c r="AH1841" s="18">
        <v>3</v>
      </c>
      <c r="AI1841" s="12">
        <v>1</v>
      </c>
      <c r="AJ1841" s="12">
        <v>0</v>
      </c>
      <c r="AK1841" s="12">
        <v>0</v>
      </c>
      <c r="AL1841" s="12">
        <v>1.5</v>
      </c>
      <c r="AM1841" s="18">
        <v>0</v>
      </c>
      <c r="AN1841" s="18">
        <v>0</v>
      </c>
      <c r="AO1841" s="18">
        <v>0</v>
      </c>
      <c r="AP1841" s="18">
        <v>1</v>
      </c>
      <c r="AQ1841" s="18">
        <v>360000</v>
      </c>
      <c r="AR1841" s="18">
        <v>0.5</v>
      </c>
      <c r="AS1841" s="18">
        <v>0</v>
      </c>
      <c r="AT1841" s="12">
        <v>0</v>
      </c>
      <c r="AU1841" s="18" t="s">
        <v>575</v>
      </c>
      <c r="AV1841" s="18"/>
      <c r="AW1841" s="19" t="s">
        <v>199</v>
      </c>
      <c r="AX1841" s="18" t="s">
        <v>545</v>
      </c>
      <c r="AY1841" s="18">
        <v>10002001</v>
      </c>
      <c r="AZ1841" s="18">
        <v>70106001</v>
      </c>
      <c r="BA1841" s="19" t="s">
        <v>315</v>
      </c>
      <c r="BB1841" s="19" t="s">
        <v>576</v>
      </c>
      <c r="BC1841" s="27">
        <v>0</v>
      </c>
      <c r="BD1841" s="27">
        <v>0</v>
      </c>
      <c r="BE1841" s="87" t="s">
        <v>577</v>
      </c>
      <c r="BF1841" s="87" t="s">
        <v>578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20.100000000000001" customHeight="1">
      <c r="C1842" s="18">
        <v>70106002</v>
      </c>
      <c r="D1842" s="17" t="s">
        <v>579</v>
      </c>
      <c r="E1842" s="17" t="s">
        <v>580</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0</v>
      </c>
      <c r="AB1842" s="16">
        <v>0</v>
      </c>
      <c r="AC1842" s="16">
        <v>0</v>
      </c>
      <c r="AD1842" s="16">
        <v>0</v>
      </c>
      <c r="AE1842" s="16">
        <v>0</v>
      </c>
      <c r="AF1842" s="16">
        <v>12</v>
      </c>
      <c r="AG1842" s="16">
        <v>1</v>
      </c>
      <c r="AH1842" s="16">
        <v>3</v>
      </c>
      <c r="AI1842" s="12">
        <v>6</v>
      </c>
      <c r="AJ1842" s="12">
        <v>1</v>
      </c>
      <c r="AK1842" s="12">
        <v>0</v>
      </c>
      <c r="AL1842" s="12">
        <v>1.5</v>
      </c>
      <c r="AM1842" s="16">
        <v>0</v>
      </c>
      <c r="AN1842" s="16">
        <v>0</v>
      </c>
      <c r="AO1842" s="16">
        <v>0</v>
      </c>
      <c r="AP1842" s="16">
        <v>3</v>
      </c>
      <c r="AQ1842" s="16">
        <v>5000</v>
      </c>
      <c r="AR1842" s="16">
        <v>3</v>
      </c>
      <c r="AS1842" s="16">
        <v>0</v>
      </c>
      <c r="AT1842" s="12">
        <v>0</v>
      </c>
      <c r="AU1842" s="16" t="s">
        <v>198</v>
      </c>
      <c r="AV1842" s="16"/>
      <c r="AW1842" s="19" t="s">
        <v>199</v>
      </c>
      <c r="AX1842" s="16" t="s">
        <v>534</v>
      </c>
      <c r="AY1842" s="18">
        <v>10000007</v>
      </c>
      <c r="AZ1842" s="18">
        <v>70106004</v>
      </c>
      <c r="BA1842" s="17" t="s">
        <v>200</v>
      </c>
      <c r="BB1842" s="16" t="s">
        <v>4383</v>
      </c>
      <c r="BC1842" s="27">
        <v>0</v>
      </c>
      <c r="BD1842" s="27">
        <v>0</v>
      </c>
      <c r="BE1842" s="44" t="s">
        <v>582</v>
      </c>
      <c r="BF1842" s="44" t="s">
        <v>583</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19.5" customHeight="1">
      <c r="C1843" s="18">
        <v>70106003</v>
      </c>
      <c r="D1843" s="19" t="s">
        <v>584</v>
      </c>
      <c r="E1843" s="19" t="s">
        <v>585</v>
      </c>
      <c r="F1843" s="18">
        <v>1</v>
      </c>
      <c r="G1843" s="18">
        <v>60010300</v>
      </c>
      <c r="H1843" s="18">
        <v>0</v>
      </c>
      <c r="I1843" s="27">
        <v>0</v>
      </c>
      <c r="J1843" s="18">
        <v>1</v>
      </c>
      <c r="K1843" s="18">
        <v>0</v>
      </c>
      <c r="L1843" s="18">
        <v>0</v>
      </c>
      <c r="M1843" s="18">
        <v>0</v>
      </c>
      <c r="N1843" s="18">
        <v>0</v>
      </c>
      <c r="O1843" s="16">
        <v>2</v>
      </c>
      <c r="P1843" s="18">
        <v>1</v>
      </c>
      <c r="Q1843" s="18">
        <v>0.5</v>
      </c>
      <c r="R1843" s="18">
        <v>0</v>
      </c>
      <c r="S1843" s="12">
        <v>0</v>
      </c>
      <c r="T1843" s="27">
        <v>0</v>
      </c>
      <c r="U1843" s="16">
        <v>1</v>
      </c>
      <c r="V1843" s="18">
        <v>2</v>
      </c>
      <c r="W1843" s="18">
        <v>0</v>
      </c>
      <c r="X1843" s="18">
        <v>3</v>
      </c>
      <c r="Y1843" s="12">
        <v>0</v>
      </c>
      <c r="Z1843" s="18">
        <v>0</v>
      </c>
      <c r="AA1843" s="18">
        <v>0</v>
      </c>
      <c r="AB1843" s="18">
        <v>0</v>
      </c>
      <c r="AC1843" s="18">
        <v>0</v>
      </c>
      <c r="AD1843" s="18">
        <v>0</v>
      </c>
      <c r="AE1843" s="18">
        <v>0</v>
      </c>
      <c r="AF1843" s="18">
        <v>9</v>
      </c>
      <c r="AG1843" s="18">
        <v>1</v>
      </c>
      <c r="AH1843" s="18">
        <v>2</v>
      </c>
      <c r="AI1843" s="12">
        <v>2</v>
      </c>
      <c r="AJ1843" s="12">
        <v>2</v>
      </c>
      <c r="AK1843" s="12">
        <v>0</v>
      </c>
      <c r="AL1843" s="12">
        <v>3</v>
      </c>
      <c r="AM1843" s="18">
        <v>0</v>
      </c>
      <c r="AN1843" s="18">
        <v>0</v>
      </c>
      <c r="AO1843" s="18">
        <v>0</v>
      </c>
      <c r="AP1843" s="18">
        <v>2</v>
      </c>
      <c r="AQ1843" s="18">
        <v>30000</v>
      </c>
      <c r="AR1843" s="18">
        <v>2</v>
      </c>
      <c r="AS1843" s="18">
        <v>4</v>
      </c>
      <c r="AT1843" s="12">
        <v>0</v>
      </c>
      <c r="AU1843" s="18" t="s">
        <v>198</v>
      </c>
      <c r="AV1843" s="18"/>
      <c r="AW1843" s="19" t="s">
        <v>199</v>
      </c>
      <c r="AX1843" s="18" t="s">
        <v>545</v>
      </c>
      <c r="AY1843" s="18">
        <v>10003002</v>
      </c>
      <c r="AZ1843" s="18">
        <v>70106005</v>
      </c>
      <c r="BA1843" s="19" t="s">
        <v>586</v>
      </c>
      <c r="BB1843" s="19">
        <v>0</v>
      </c>
      <c r="BC1843" s="27">
        <v>0</v>
      </c>
      <c r="BD1843" s="27">
        <v>0</v>
      </c>
      <c r="BE1843" s="87" t="s">
        <v>577</v>
      </c>
      <c r="BF1843" s="87" t="s">
        <v>578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70106004</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0.6</v>
      </c>
      <c r="R1844" s="18">
        <v>0</v>
      </c>
      <c r="S1844" s="12">
        <v>0</v>
      </c>
      <c r="T1844" s="27">
        <v>0</v>
      </c>
      <c r="U1844" s="16">
        <v>1</v>
      </c>
      <c r="V1844" s="18">
        <v>2</v>
      </c>
      <c r="W1844" s="18">
        <v>0</v>
      </c>
      <c r="X1844" s="18">
        <v>0</v>
      </c>
      <c r="Y1844" s="12">
        <v>0</v>
      </c>
      <c r="Z1844" s="18">
        <v>0</v>
      </c>
      <c r="AA1844" s="18">
        <v>0</v>
      </c>
      <c r="AB1844" s="18">
        <v>0</v>
      </c>
      <c r="AC1844" s="18">
        <v>0</v>
      </c>
      <c r="AD1844" s="18">
        <v>0</v>
      </c>
      <c r="AE1844" s="18">
        <v>0</v>
      </c>
      <c r="AF1844" s="16">
        <v>30</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v>90104002</v>
      </c>
      <c r="AU1844" s="18" t="s">
        <v>198</v>
      </c>
      <c r="AV1844" s="18"/>
      <c r="AW1844" s="19" t="s">
        <v>199</v>
      </c>
      <c r="AX1844" s="18" t="s">
        <v>348</v>
      </c>
      <c r="AY1844" s="18">
        <v>0</v>
      </c>
      <c r="AZ1844" s="18">
        <v>0</v>
      </c>
      <c r="BA1844" s="19" t="s">
        <v>200</v>
      </c>
      <c r="BB1844" s="19" t="s">
        <v>198</v>
      </c>
      <c r="BC1844" s="27">
        <v>0</v>
      </c>
      <c r="BD1844" s="27">
        <v>0</v>
      </c>
      <c r="BE1844" s="87" t="s">
        <v>587</v>
      </c>
      <c r="BF1844" s="87" t="s">
        <v>588</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70106005</v>
      </c>
      <c r="D1845" s="17" t="s">
        <v>589</v>
      </c>
      <c r="E1845" s="17" t="s">
        <v>590</v>
      </c>
      <c r="F1845" s="18">
        <v>1</v>
      </c>
      <c r="G1845" s="16">
        <v>60010300</v>
      </c>
      <c r="H1845" s="18">
        <v>0</v>
      </c>
      <c r="I1845" s="27">
        <v>0</v>
      </c>
      <c r="J1845" s="18">
        <v>1</v>
      </c>
      <c r="K1845" s="18">
        <v>0</v>
      </c>
      <c r="L1845" s="18">
        <v>0</v>
      </c>
      <c r="M1845" s="16">
        <v>0</v>
      </c>
      <c r="N1845" s="16">
        <v>0</v>
      </c>
      <c r="O1845" s="16">
        <v>2</v>
      </c>
      <c r="P1845" s="16">
        <v>1</v>
      </c>
      <c r="Q1845" s="16">
        <v>0.6</v>
      </c>
      <c r="R1845" s="16">
        <v>0</v>
      </c>
      <c r="S1845" s="12">
        <v>0</v>
      </c>
      <c r="T1845" s="16">
        <v>0</v>
      </c>
      <c r="U1845" s="16">
        <v>1</v>
      </c>
      <c r="V1845" s="16">
        <v>2</v>
      </c>
      <c r="W1845" s="16">
        <v>0</v>
      </c>
      <c r="X1845" s="16">
        <v>0</v>
      </c>
      <c r="Y1845" s="12">
        <v>0</v>
      </c>
      <c r="Z1845" s="16">
        <v>0</v>
      </c>
      <c r="AA1845" s="16">
        <v>0</v>
      </c>
      <c r="AB1845" s="16">
        <v>0</v>
      </c>
      <c r="AC1845" s="16">
        <v>0</v>
      </c>
      <c r="AD1845" s="16">
        <v>0</v>
      </c>
      <c r="AE1845" s="16">
        <v>0</v>
      </c>
      <c r="AF1845" s="16">
        <v>20</v>
      </c>
      <c r="AG1845" s="16">
        <v>0</v>
      </c>
      <c r="AH1845" s="16">
        <v>0</v>
      </c>
      <c r="AI1845" s="12">
        <v>2</v>
      </c>
      <c r="AJ1845" s="12">
        <v>2</v>
      </c>
      <c r="AK1845" s="12">
        <v>0</v>
      </c>
      <c r="AL1845" s="12">
        <v>1.5</v>
      </c>
      <c r="AM1845" s="16">
        <v>0</v>
      </c>
      <c r="AN1845" s="16">
        <v>0</v>
      </c>
      <c r="AO1845" s="16">
        <v>0</v>
      </c>
      <c r="AP1845" s="16">
        <v>1</v>
      </c>
      <c r="AQ1845" s="16">
        <v>3000</v>
      </c>
      <c r="AR1845" s="16">
        <v>0.5</v>
      </c>
      <c r="AS1845" s="16">
        <v>0</v>
      </c>
      <c r="AT1845" s="12">
        <v>0</v>
      </c>
      <c r="AU1845" s="16" t="s">
        <v>198</v>
      </c>
      <c r="AV1845" s="16"/>
      <c r="AW1845" s="19" t="s">
        <v>199</v>
      </c>
      <c r="AX1845" s="16" t="s">
        <v>545</v>
      </c>
      <c r="AY1845" s="18">
        <v>0</v>
      </c>
      <c r="AZ1845" s="18">
        <v>0</v>
      </c>
      <c r="BA1845" s="17" t="s">
        <v>528</v>
      </c>
      <c r="BB1845" s="16" t="s">
        <v>591</v>
      </c>
      <c r="BC1845" s="27">
        <v>0</v>
      </c>
      <c r="BD1845" s="27">
        <v>0</v>
      </c>
      <c r="BE1845" s="44" t="s">
        <v>592</v>
      </c>
      <c r="BF1845" s="44" t="s">
        <v>593</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19.5" customHeight="1">
      <c r="C1846" s="18">
        <v>70107001</v>
      </c>
      <c r="D1846" s="17" t="s">
        <v>605</v>
      </c>
      <c r="E1846" s="17" t="s">
        <v>606</v>
      </c>
      <c r="F1846" s="18">
        <v>1</v>
      </c>
      <c r="G1846" s="16">
        <v>60010100</v>
      </c>
      <c r="H1846" s="18">
        <v>0</v>
      </c>
      <c r="I1846" s="27">
        <v>0</v>
      </c>
      <c r="J1846" s="18">
        <v>1</v>
      </c>
      <c r="K1846" s="18">
        <v>0</v>
      </c>
      <c r="L1846" s="18">
        <v>0</v>
      </c>
      <c r="M1846" s="16">
        <v>0</v>
      </c>
      <c r="N1846" s="16">
        <v>0</v>
      </c>
      <c r="O1846" s="16">
        <v>2</v>
      </c>
      <c r="P1846" s="16">
        <v>1</v>
      </c>
      <c r="Q1846" s="16">
        <v>0.3</v>
      </c>
      <c r="R1846" s="16">
        <v>0</v>
      </c>
      <c r="S1846" s="12">
        <v>0</v>
      </c>
      <c r="T1846" s="16">
        <v>0</v>
      </c>
      <c r="U1846" s="16">
        <v>1</v>
      </c>
      <c r="V1846" s="16">
        <v>2</v>
      </c>
      <c r="W1846" s="16">
        <v>0</v>
      </c>
      <c r="X1846" s="16">
        <v>3</v>
      </c>
      <c r="Y1846" s="12">
        <v>0</v>
      </c>
      <c r="Z1846" s="16">
        <v>0</v>
      </c>
      <c r="AA1846" s="16">
        <v>1</v>
      </c>
      <c r="AB1846" s="16">
        <v>0</v>
      </c>
      <c r="AC1846" s="16">
        <v>0</v>
      </c>
      <c r="AD1846" s="16">
        <v>0</v>
      </c>
      <c r="AE1846" s="16">
        <v>0</v>
      </c>
      <c r="AF1846" s="16">
        <v>12</v>
      </c>
      <c r="AG1846" s="16">
        <v>1</v>
      </c>
      <c r="AH1846" s="16" t="s">
        <v>607</v>
      </c>
      <c r="AI1846" s="12">
        <v>1</v>
      </c>
      <c r="AJ1846" s="12">
        <v>1</v>
      </c>
      <c r="AK1846" s="12">
        <v>0</v>
      </c>
      <c r="AL1846" s="12">
        <v>3</v>
      </c>
      <c r="AM1846" s="16">
        <v>0</v>
      </c>
      <c r="AN1846" s="16">
        <v>0</v>
      </c>
      <c r="AO1846" s="16">
        <v>0</v>
      </c>
      <c r="AP1846" s="16">
        <v>3</v>
      </c>
      <c r="AQ1846" s="16">
        <v>5000</v>
      </c>
      <c r="AR1846" s="16">
        <v>2.5</v>
      </c>
      <c r="AS1846" s="16">
        <v>0</v>
      </c>
      <c r="AT1846" s="12">
        <v>0</v>
      </c>
      <c r="AU1846" s="16" t="s">
        <v>198</v>
      </c>
      <c r="AV1846" s="16"/>
      <c r="AW1846" s="19" t="s">
        <v>287</v>
      </c>
      <c r="AX1846" s="16" t="s">
        <v>534</v>
      </c>
      <c r="AY1846" s="18">
        <v>10000007</v>
      </c>
      <c r="AZ1846" s="18">
        <v>70107001</v>
      </c>
      <c r="BA1846" s="17" t="s">
        <v>200</v>
      </c>
      <c r="BB1846" s="16">
        <v>0</v>
      </c>
      <c r="BC1846" s="27">
        <v>0</v>
      </c>
      <c r="BD1846" s="27">
        <v>0</v>
      </c>
      <c r="BE1846" s="44" t="s">
        <v>608</v>
      </c>
      <c r="BF1846" s="44" t="s">
        <v>609</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70107002</v>
      </c>
      <c r="D1847" s="17" t="s">
        <v>660</v>
      </c>
      <c r="E1847" s="17" t="s">
        <v>661</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12</v>
      </c>
      <c r="AG1847" s="16">
        <v>1</v>
      </c>
      <c r="AH1847" s="16">
        <v>3</v>
      </c>
      <c r="AI1847" s="12">
        <v>4</v>
      </c>
      <c r="AJ1847" s="12">
        <v>1</v>
      </c>
      <c r="AK1847" s="12">
        <v>0</v>
      </c>
      <c r="AL1847" s="12">
        <v>1.5</v>
      </c>
      <c r="AM1847" s="16">
        <v>0</v>
      </c>
      <c r="AN1847" s="16">
        <v>0</v>
      </c>
      <c r="AO1847" s="16">
        <v>0</v>
      </c>
      <c r="AP1847" s="16">
        <v>3</v>
      </c>
      <c r="AQ1847" s="16">
        <v>5000</v>
      </c>
      <c r="AR1847" s="16">
        <v>3</v>
      </c>
      <c r="AS1847" s="16">
        <v>0</v>
      </c>
      <c r="AT1847" s="12">
        <v>0</v>
      </c>
      <c r="AU1847" s="16" t="s">
        <v>198</v>
      </c>
      <c r="AV1847" s="16"/>
      <c r="AW1847" s="19" t="s">
        <v>199</v>
      </c>
      <c r="AX1847" s="16" t="s">
        <v>534</v>
      </c>
      <c r="AY1847" s="18">
        <v>10000007</v>
      </c>
      <c r="AZ1847" s="18">
        <v>70103003</v>
      </c>
      <c r="BA1847" s="17" t="s">
        <v>200</v>
      </c>
      <c r="BB1847" s="16" t="s">
        <v>4384</v>
      </c>
      <c r="BC1847" s="27">
        <v>0</v>
      </c>
      <c r="BD1847" s="27">
        <v>0</v>
      </c>
      <c r="BE1847" s="44" t="s">
        <v>663</v>
      </c>
      <c r="BF1847" s="44" t="s">
        <v>664</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70107003</v>
      </c>
      <c r="D1848" s="17" t="s">
        <v>665</v>
      </c>
      <c r="E1848" s="17" t="s">
        <v>606</v>
      </c>
      <c r="F1848" s="16">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3</v>
      </c>
      <c r="Y1848" s="12">
        <v>0</v>
      </c>
      <c r="Z1848" s="16">
        <v>0</v>
      </c>
      <c r="AA1848" s="16">
        <v>0</v>
      </c>
      <c r="AB1848" s="16">
        <v>0</v>
      </c>
      <c r="AC1848" s="16">
        <v>0</v>
      </c>
      <c r="AD1848" s="16">
        <v>0</v>
      </c>
      <c r="AE1848" s="16">
        <v>0</v>
      </c>
      <c r="AF1848" s="16">
        <v>12</v>
      </c>
      <c r="AG1848" s="16">
        <v>1</v>
      </c>
      <c r="AH1848" s="16">
        <v>3</v>
      </c>
      <c r="AI1848" s="12">
        <v>6</v>
      </c>
      <c r="AJ1848" s="12">
        <v>1</v>
      </c>
      <c r="AK1848" s="12">
        <v>0</v>
      </c>
      <c r="AL1848" s="12">
        <v>1.5</v>
      </c>
      <c r="AM1848" s="16">
        <v>0</v>
      </c>
      <c r="AN1848" s="16">
        <v>0</v>
      </c>
      <c r="AO1848" s="16">
        <v>0</v>
      </c>
      <c r="AP1848" s="16">
        <v>3</v>
      </c>
      <c r="AQ1848" s="16">
        <v>5000</v>
      </c>
      <c r="AR1848" s="16">
        <v>3</v>
      </c>
      <c r="AS1848" s="16">
        <v>0</v>
      </c>
      <c r="AT1848" s="12">
        <v>0</v>
      </c>
      <c r="AU1848" s="16" t="s">
        <v>198</v>
      </c>
      <c r="AV1848" s="16"/>
      <c r="AW1848" s="19" t="s">
        <v>256</v>
      </c>
      <c r="AX1848" s="16" t="s">
        <v>534</v>
      </c>
      <c r="AY1848" s="18">
        <v>10000007</v>
      </c>
      <c r="AZ1848" s="18">
        <v>70103003</v>
      </c>
      <c r="BA1848" s="17" t="s">
        <v>200</v>
      </c>
      <c r="BB1848" s="16" t="s">
        <v>4385</v>
      </c>
      <c r="BC1848" s="27">
        <v>0</v>
      </c>
      <c r="BD1848" s="27">
        <v>0</v>
      </c>
      <c r="BE1848" s="44" t="s">
        <v>667</v>
      </c>
      <c r="BF1848" s="44" t="s">
        <v>668</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19.5" customHeight="1">
      <c r="C1849" s="18">
        <v>70107004</v>
      </c>
      <c r="D1849" s="19" t="s">
        <v>669</v>
      </c>
      <c r="E1849" s="19" t="s">
        <v>670</v>
      </c>
      <c r="F1849" s="18">
        <v>1</v>
      </c>
      <c r="G1849" s="18">
        <v>60010500</v>
      </c>
      <c r="H1849" s="18">
        <v>0</v>
      </c>
      <c r="I1849" s="27">
        <v>0</v>
      </c>
      <c r="J1849" s="18">
        <v>1</v>
      </c>
      <c r="K1849" s="18">
        <v>0</v>
      </c>
      <c r="L1849" s="18">
        <v>0</v>
      </c>
      <c r="M1849" s="18">
        <v>0</v>
      </c>
      <c r="N1849" s="18">
        <v>0</v>
      </c>
      <c r="O1849" s="16">
        <v>2</v>
      </c>
      <c r="P1849" s="18">
        <v>2</v>
      </c>
      <c r="Q1849" s="18">
        <v>0.6</v>
      </c>
      <c r="R1849" s="18">
        <v>0</v>
      </c>
      <c r="S1849" s="12">
        <v>0</v>
      </c>
      <c r="T1849" s="27">
        <v>0</v>
      </c>
      <c r="U1849" s="16">
        <v>1</v>
      </c>
      <c r="V1849" s="18">
        <v>2</v>
      </c>
      <c r="W1849" s="18">
        <v>0</v>
      </c>
      <c r="X1849" s="18">
        <v>0</v>
      </c>
      <c r="Y1849" s="12">
        <v>0</v>
      </c>
      <c r="Z1849" s="18">
        <v>0</v>
      </c>
      <c r="AA1849" s="18">
        <v>0</v>
      </c>
      <c r="AB1849" s="18">
        <v>0</v>
      </c>
      <c r="AC1849" s="18">
        <v>0</v>
      </c>
      <c r="AD1849" s="18">
        <v>0</v>
      </c>
      <c r="AE1849" s="18">
        <v>0</v>
      </c>
      <c r="AF1849" s="18">
        <v>20</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v>90102001</v>
      </c>
      <c r="AU1849" s="18" t="s">
        <v>198</v>
      </c>
      <c r="AV1849" s="18"/>
      <c r="AW1849" s="19" t="s">
        <v>199</v>
      </c>
      <c r="AX1849" s="18" t="s">
        <v>348</v>
      </c>
      <c r="AY1849" s="18">
        <v>0</v>
      </c>
      <c r="AZ1849" s="18">
        <v>40000003</v>
      </c>
      <c r="BA1849" s="19" t="s">
        <v>200</v>
      </c>
      <c r="BB1849" s="19" t="s">
        <v>198</v>
      </c>
      <c r="BC1849" s="27">
        <v>0</v>
      </c>
      <c r="BD1849" s="27">
        <v>0</v>
      </c>
      <c r="BE1849" s="87" t="s">
        <v>671</v>
      </c>
      <c r="BF1849" s="87" t="s">
        <v>672</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70107005</v>
      </c>
      <c r="D1850" s="19" t="s">
        <v>673</v>
      </c>
      <c r="E1850" s="19" t="s">
        <v>674</v>
      </c>
      <c r="F1850" s="18">
        <v>1</v>
      </c>
      <c r="G1850" s="18">
        <v>60010500</v>
      </c>
      <c r="H1850" s="18">
        <v>0</v>
      </c>
      <c r="I1850" s="27">
        <v>0</v>
      </c>
      <c r="J1850" s="18">
        <v>1</v>
      </c>
      <c r="K1850" s="18">
        <v>0</v>
      </c>
      <c r="L1850" s="18">
        <v>0</v>
      </c>
      <c r="M1850" s="18">
        <v>0</v>
      </c>
      <c r="N1850" s="18">
        <v>0</v>
      </c>
      <c r="O1850" s="16">
        <v>2</v>
      </c>
      <c r="P1850" s="18">
        <v>2</v>
      </c>
      <c r="Q1850" s="18">
        <v>0.6</v>
      </c>
      <c r="R1850" s="18">
        <v>0</v>
      </c>
      <c r="S1850" s="12">
        <v>0</v>
      </c>
      <c r="T1850" s="27">
        <v>0</v>
      </c>
      <c r="U1850" s="16">
        <v>1</v>
      </c>
      <c r="V1850" s="18">
        <v>2</v>
      </c>
      <c r="W1850" s="18">
        <v>0</v>
      </c>
      <c r="X1850" s="18">
        <v>0</v>
      </c>
      <c r="Y1850" s="12">
        <v>0</v>
      </c>
      <c r="Z1850" s="18">
        <v>0</v>
      </c>
      <c r="AA1850" s="18">
        <v>0</v>
      </c>
      <c r="AB1850" s="18">
        <v>0</v>
      </c>
      <c r="AC1850" s="18">
        <v>0</v>
      </c>
      <c r="AD1850" s="18">
        <v>0</v>
      </c>
      <c r="AE1850" s="18">
        <v>0</v>
      </c>
      <c r="AF1850" s="16">
        <v>99999</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v>90104002</v>
      </c>
      <c r="AU1850" s="18" t="s">
        <v>198</v>
      </c>
      <c r="AV1850" s="18"/>
      <c r="AW1850" s="19" t="s">
        <v>199</v>
      </c>
      <c r="AX1850" s="18" t="s">
        <v>348</v>
      </c>
      <c r="AY1850" s="18">
        <v>0</v>
      </c>
      <c r="AZ1850" s="18">
        <v>0</v>
      </c>
      <c r="BA1850" s="19" t="s">
        <v>200</v>
      </c>
      <c r="BB1850" s="19" t="s">
        <v>198</v>
      </c>
      <c r="BC1850" s="27">
        <v>0</v>
      </c>
      <c r="BD1850" s="27">
        <v>0</v>
      </c>
      <c r="BE1850" s="87" t="s">
        <v>675</v>
      </c>
      <c r="BF1850" s="87" t="s">
        <v>676</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70107006</v>
      </c>
      <c r="D1851" s="17" t="s">
        <v>4378</v>
      </c>
      <c r="E1851" s="17" t="s">
        <v>4379</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30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4386</v>
      </c>
      <c r="BC1851" s="27">
        <v>0</v>
      </c>
      <c r="BD1851" s="27">
        <v>0</v>
      </c>
      <c r="BE1851" s="44" t="s">
        <v>4387</v>
      </c>
      <c r="BF1851" s="44" t="s">
        <v>4388</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70201001</v>
      </c>
      <c r="D1852" s="17" t="s">
        <v>748</v>
      </c>
      <c r="E1852" s="17" t="s">
        <v>749</v>
      </c>
      <c r="F1852" s="18">
        <v>1</v>
      </c>
      <c r="G1852" s="16">
        <v>60010100</v>
      </c>
      <c r="H1852" s="18">
        <v>0</v>
      </c>
      <c r="I1852" s="27">
        <v>0</v>
      </c>
      <c r="J1852" s="18">
        <v>1</v>
      </c>
      <c r="K1852" s="18">
        <v>0</v>
      </c>
      <c r="L1852" s="18">
        <v>0</v>
      </c>
      <c r="M1852" s="16">
        <v>0</v>
      </c>
      <c r="N1852" s="16">
        <v>0</v>
      </c>
      <c r="O1852" s="16">
        <v>2</v>
      </c>
      <c r="P1852" s="16">
        <v>1</v>
      </c>
      <c r="Q1852" s="16">
        <v>1</v>
      </c>
      <c r="R1852" s="16">
        <v>0</v>
      </c>
      <c r="S1852" s="12">
        <v>0</v>
      </c>
      <c r="T1852" s="16">
        <v>0</v>
      </c>
      <c r="U1852" s="16">
        <v>1</v>
      </c>
      <c r="V1852" s="16">
        <v>2</v>
      </c>
      <c r="W1852" s="16">
        <v>0</v>
      </c>
      <c r="X1852" s="16">
        <v>2</v>
      </c>
      <c r="Y1852" s="12">
        <v>0</v>
      </c>
      <c r="Z1852" s="16">
        <v>0</v>
      </c>
      <c r="AA1852" s="16">
        <v>1</v>
      </c>
      <c r="AB1852" s="16">
        <v>0</v>
      </c>
      <c r="AC1852" s="16">
        <v>0</v>
      </c>
      <c r="AD1852" s="16">
        <v>0</v>
      </c>
      <c r="AE1852" s="16">
        <v>0</v>
      </c>
      <c r="AF1852" s="16">
        <v>12</v>
      </c>
      <c r="AG1852" s="16">
        <v>2</v>
      </c>
      <c r="AH1852" s="16" t="s">
        <v>213</v>
      </c>
      <c r="AI1852" s="12">
        <v>0</v>
      </c>
      <c r="AJ1852" s="12">
        <v>0</v>
      </c>
      <c r="AK1852" s="12">
        <v>0</v>
      </c>
      <c r="AL1852" s="12">
        <v>1.5</v>
      </c>
      <c r="AM1852" s="16">
        <v>0</v>
      </c>
      <c r="AN1852" s="16">
        <v>0</v>
      </c>
      <c r="AO1852" s="16">
        <v>0</v>
      </c>
      <c r="AP1852" s="16">
        <v>1</v>
      </c>
      <c r="AQ1852" s="16">
        <v>5000</v>
      </c>
      <c r="AR1852" s="16">
        <v>0.5</v>
      </c>
      <c r="AS1852" s="16">
        <v>0</v>
      </c>
      <c r="AT1852" s="12">
        <v>0</v>
      </c>
      <c r="AU1852" s="16" t="s">
        <v>198</v>
      </c>
      <c r="AV1852" s="16"/>
      <c r="AW1852" s="19" t="s">
        <v>287</v>
      </c>
      <c r="AX1852" s="16" t="s">
        <v>534</v>
      </c>
      <c r="AY1852" s="18">
        <v>10000007</v>
      </c>
      <c r="AZ1852" s="18">
        <v>70201001</v>
      </c>
      <c r="BA1852" s="17" t="s">
        <v>200</v>
      </c>
      <c r="BB1852" s="16">
        <v>0</v>
      </c>
      <c r="BC1852" s="27">
        <v>0</v>
      </c>
      <c r="BD1852" s="27">
        <v>0</v>
      </c>
      <c r="BE1852" s="44" t="s">
        <v>750</v>
      </c>
      <c r="BF1852" s="44" t="s">
        <v>751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70201002</v>
      </c>
      <c r="D1853" s="17" t="s">
        <v>600</v>
      </c>
      <c r="E1853" s="17" t="s">
        <v>601</v>
      </c>
      <c r="F1853" s="16">
        <v>1</v>
      </c>
      <c r="G1853" s="16">
        <v>60010300</v>
      </c>
      <c r="H1853" s="18">
        <v>0</v>
      </c>
      <c r="I1853" s="27">
        <v>0</v>
      </c>
      <c r="J1853" s="18">
        <v>1</v>
      </c>
      <c r="K1853" s="18">
        <v>0</v>
      </c>
      <c r="L1853" s="18">
        <v>0</v>
      </c>
      <c r="M1853" s="16">
        <v>0</v>
      </c>
      <c r="N1853" s="16">
        <v>0</v>
      </c>
      <c r="O1853" s="16">
        <v>2</v>
      </c>
      <c r="P1853" s="16">
        <v>2</v>
      </c>
      <c r="Q1853" s="16">
        <v>0.8</v>
      </c>
      <c r="R1853" s="16">
        <v>0</v>
      </c>
      <c r="S1853" s="12">
        <v>0</v>
      </c>
      <c r="T1853" s="16">
        <v>0</v>
      </c>
      <c r="U1853" s="16">
        <v>1</v>
      </c>
      <c r="V1853" s="16">
        <v>2</v>
      </c>
      <c r="W1853" s="16">
        <v>0</v>
      </c>
      <c r="X1853" s="16">
        <v>0</v>
      </c>
      <c r="Y1853" s="12">
        <v>0</v>
      </c>
      <c r="Z1853" s="16">
        <v>0</v>
      </c>
      <c r="AA1853" s="16">
        <v>0</v>
      </c>
      <c r="AB1853" s="16">
        <v>0</v>
      </c>
      <c r="AC1853" s="16">
        <v>0</v>
      </c>
      <c r="AD1853" s="16">
        <v>0</v>
      </c>
      <c r="AE1853" s="16">
        <v>0</v>
      </c>
      <c r="AF1853" s="16">
        <v>30</v>
      </c>
      <c r="AG1853" s="16">
        <v>0</v>
      </c>
      <c r="AH1853" s="16">
        <v>0</v>
      </c>
      <c r="AI1853" s="12">
        <v>2</v>
      </c>
      <c r="AJ1853" s="12">
        <v>2</v>
      </c>
      <c r="AK1853" s="12">
        <v>0</v>
      </c>
      <c r="AL1853" s="12">
        <v>1.5</v>
      </c>
      <c r="AM1853" s="16">
        <v>0</v>
      </c>
      <c r="AN1853" s="16">
        <v>0</v>
      </c>
      <c r="AO1853" s="16">
        <v>0</v>
      </c>
      <c r="AP1853" s="16">
        <v>1</v>
      </c>
      <c r="AQ1853" s="16">
        <v>3000</v>
      </c>
      <c r="AR1853" s="16">
        <v>0.5</v>
      </c>
      <c r="AS1853" s="16">
        <v>0</v>
      </c>
      <c r="AT1853" s="12">
        <v>0</v>
      </c>
      <c r="AU1853" s="16" t="s">
        <v>198</v>
      </c>
      <c r="AV1853" s="16"/>
      <c r="AW1853" s="19" t="s">
        <v>256</v>
      </c>
      <c r="AX1853" s="16" t="s">
        <v>545</v>
      </c>
      <c r="AY1853" s="18">
        <v>0</v>
      </c>
      <c r="AZ1853" s="18">
        <v>0</v>
      </c>
      <c r="BA1853" s="17" t="s">
        <v>528</v>
      </c>
      <c r="BB1853" s="16" t="s">
        <v>4389</v>
      </c>
      <c r="BC1853" s="27">
        <v>0</v>
      </c>
      <c r="BD1853" s="27">
        <v>0</v>
      </c>
      <c r="BE1853" s="44" t="s">
        <v>603</v>
      </c>
      <c r="BF1853" s="44" t="s">
        <v>604</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70201003</v>
      </c>
      <c r="D1854" s="17" t="s">
        <v>4390</v>
      </c>
      <c r="E1854" s="17" t="s">
        <v>4391</v>
      </c>
      <c r="F1854" s="18">
        <v>1</v>
      </c>
      <c r="G1854" s="16">
        <v>60010100</v>
      </c>
      <c r="H1854" s="18">
        <v>0</v>
      </c>
      <c r="I1854" s="27">
        <v>0</v>
      </c>
      <c r="J1854" s="18">
        <v>1</v>
      </c>
      <c r="K1854" s="18">
        <v>0</v>
      </c>
      <c r="L1854" s="18">
        <v>0</v>
      </c>
      <c r="M1854" s="16">
        <v>0</v>
      </c>
      <c r="N1854" s="16">
        <v>0</v>
      </c>
      <c r="O1854" s="16">
        <v>2</v>
      </c>
      <c r="P1854" s="16">
        <v>1</v>
      </c>
      <c r="Q1854" s="16">
        <v>1</v>
      </c>
      <c r="R1854" s="16">
        <v>0</v>
      </c>
      <c r="S1854" s="12">
        <v>0</v>
      </c>
      <c r="T1854" s="16">
        <v>0</v>
      </c>
      <c r="U1854" s="16">
        <v>1</v>
      </c>
      <c r="V1854" s="16">
        <v>2</v>
      </c>
      <c r="W1854" s="16">
        <v>0</v>
      </c>
      <c r="X1854" s="16">
        <v>2</v>
      </c>
      <c r="Y1854" s="12">
        <v>0</v>
      </c>
      <c r="Z1854" s="16">
        <v>0</v>
      </c>
      <c r="AA1854" s="16">
        <v>1</v>
      </c>
      <c r="AB1854" s="16">
        <v>0</v>
      </c>
      <c r="AC1854" s="16">
        <v>0</v>
      </c>
      <c r="AD1854" s="16">
        <v>0</v>
      </c>
      <c r="AE1854" s="16">
        <v>0</v>
      </c>
      <c r="AF1854" s="16">
        <v>15</v>
      </c>
      <c r="AG1854" s="16">
        <v>1</v>
      </c>
      <c r="AH1854" s="16" t="s">
        <v>4392</v>
      </c>
      <c r="AI1854" s="12">
        <v>0</v>
      </c>
      <c r="AJ1854" s="12">
        <v>1</v>
      </c>
      <c r="AK1854" s="12">
        <v>0</v>
      </c>
      <c r="AL1854" s="12">
        <v>2.5</v>
      </c>
      <c r="AM1854" s="16">
        <v>0</v>
      </c>
      <c r="AN1854" s="16">
        <v>0</v>
      </c>
      <c r="AO1854" s="16">
        <v>0</v>
      </c>
      <c r="AP1854" s="16">
        <v>4</v>
      </c>
      <c r="AQ1854" s="16">
        <v>5000</v>
      </c>
      <c r="AR1854" s="16">
        <v>3</v>
      </c>
      <c r="AS1854" s="16">
        <v>0</v>
      </c>
      <c r="AT1854" s="12">
        <v>0</v>
      </c>
      <c r="AU1854" s="16" t="s">
        <v>198</v>
      </c>
      <c r="AV1854" s="16"/>
      <c r="AW1854" s="19" t="s">
        <v>617</v>
      </c>
      <c r="AX1854" s="16" t="s">
        <v>534</v>
      </c>
      <c r="AY1854" s="18">
        <v>10000007</v>
      </c>
      <c r="AZ1854" s="18">
        <v>70201003</v>
      </c>
      <c r="BA1854" s="17" t="s">
        <v>200</v>
      </c>
      <c r="BB1854" s="16">
        <v>0</v>
      </c>
      <c r="BC1854" s="27">
        <v>0</v>
      </c>
      <c r="BD1854" s="27">
        <v>0</v>
      </c>
      <c r="BE1854" s="44" t="s">
        <v>4393</v>
      </c>
      <c r="BF1854" s="44" t="s">
        <v>4394</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70201004</v>
      </c>
      <c r="D1855" s="19" t="s">
        <v>4395</v>
      </c>
      <c r="E1855" s="19" t="s">
        <v>4396</v>
      </c>
      <c r="F1855" s="18">
        <v>1</v>
      </c>
      <c r="G1855" s="18">
        <v>60010500</v>
      </c>
      <c r="H1855" s="18">
        <v>0</v>
      </c>
      <c r="I1855" s="27">
        <v>0</v>
      </c>
      <c r="J1855" s="18">
        <v>1</v>
      </c>
      <c r="K1855" s="18">
        <v>0</v>
      </c>
      <c r="L1855" s="18">
        <v>0</v>
      </c>
      <c r="M1855" s="18">
        <v>0</v>
      </c>
      <c r="N1855" s="18">
        <v>0</v>
      </c>
      <c r="O1855" s="16">
        <v>2</v>
      </c>
      <c r="P1855" s="18">
        <v>2</v>
      </c>
      <c r="Q1855" s="18">
        <v>0.3</v>
      </c>
      <c r="R1855" s="18">
        <v>0</v>
      </c>
      <c r="S1855" s="12">
        <v>0</v>
      </c>
      <c r="T1855" s="27">
        <v>0</v>
      </c>
      <c r="U1855" s="16">
        <v>1</v>
      </c>
      <c r="V1855" s="18">
        <v>2</v>
      </c>
      <c r="W1855" s="18">
        <v>0</v>
      </c>
      <c r="X1855" s="18">
        <v>0</v>
      </c>
      <c r="Y1855" s="12">
        <v>0</v>
      </c>
      <c r="Z1855" s="18">
        <v>0</v>
      </c>
      <c r="AA1855" s="18">
        <v>0</v>
      </c>
      <c r="AB1855" s="18">
        <v>0</v>
      </c>
      <c r="AC1855" s="18">
        <v>0</v>
      </c>
      <c r="AD1855" s="16">
        <v>0</v>
      </c>
      <c r="AE1855" s="18">
        <v>0</v>
      </c>
      <c r="AF1855" s="16">
        <v>99999</v>
      </c>
      <c r="AG1855" s="18">
        <v>0</v>
      </c>
      <c r="AH1855" s="18">
        <v>0</v>
      </c>
      <c r="AI1855" s="12">
        <v>2</v>
      </c>
      <c r="AJ1855" s="12">
        <v>0</v>
      </c>
      <c r="AK1855" s="12">
        <v>0</v>
      </c>
      <c r="AL1855" s="12">
        <v>0</v>
      </c>
      <c r="AM1855" s="18">
        <v>0</v>
      </c>
      <c r="AN1855" s="18">
        <v>0</v>
      </c>
      <c r="AO1855" s="18">
        <v>0</v>
      </c>
      <c r="AP1855" s="18">
        <v>0</v>
      </c>
      <c r="AQ1855" s="18">
        <v>1000</v>
      </c>
      <c r="AR1855" s="18">
        <v>0</v>
      </c>
      <c r="AS1855" s="18">
        <v>0</v>
      </c>
      <c r="AT1855" s="12" t="s">
        <v>754</v>
      </c>
      <c r="AU1855" s="18" t="s">
        <v>198</v>
      </c>
      <c r="AV1855" s="18"/>
      <c r="AW1855" s="19" t="s">
        <v>199</v>
      </c>
      <c r="AX1855" s="18" t="s">
        <v>348</v>
      </c>
      <c r="AY1855" s="18">
        <v>0</v>
      </c>
      <c r="AZ1855" s="18">
        <v>0</v>
      </c>
      <c r="BA1855" s="19" t="s">
        <v>200</v>
      </c>
      <c r="BB1855" s="19" t="s">
        <v>198</v>
      </c>
      <c r="BC1855" s="27">
        <v>0</v>
      </c>
      <c r="BD1855" s="27">
        <v>0</v>
      </c>
      <c r="BE1855" s="87" t="s">
        <v>755</v>
      </c>
      <c r="BF1855" s="87" t="s">
        <v>756</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row>
    <row r="1856" spans="3:75" ht="19.5" customHeight="1">
      <c r="C1856" s="18">
        <v>70202001</v>
      </c>
      <c r="D1856" s="17" t="s">
        <v>1017</v>
      </c>
      <c r="E1856" s="17" t="s">
        <v>1018</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1</v>
      </c>
      <c r="AJ1856" s="12">
        <v>1</v>
      </c>
      <c r="AK1856" s="12">
        <v>0</v>
      </c>
      <c r="AL1856" s="12">
        <v>3</v>
      </c>
      <c r="AM1856" s="16">
        <v>0</v>
      </c>
      <c r="AN1856" s="16">
        <v>0</v>
      </c>
      <c r="AO1856" s="16">
        <v>0</v>
      </c>
      <c r="AP1856" s="16">
        <v>3</v>
      </c>
      <c r="AQ1856" s="16">
        <v>5000</v>
      </c>
      <c r="AR1856" s="16">
        <v>2.5</v>
      </c>
      <c r="AS1856" s="16">
        <v>0</v>
      </c>
      <c r="AT1856" s="12">
        <v>0</v>
      </c>
      <c r="AU1856" s="16" t="s">
        <v>198</v>
      </c>
      <c r="AV1856" s="16"/>
      <c r="AW1856" s="19" t="s">
        <v>617</v>
      </c>
      <c r="AX1856" s="16" t="s">
        <v>534</v>
      </c>
      <c r="AY1856" s="18">
        <v>10000007</v>
      </c>
      <c r="AZ1856" s="18">
        <v>70202001</v>
      </c>
      <c r="BA1856" s="17" t="s">
        <v>200</v>
      </c>
      <c r="BB1856" s="16">
        <v>0</v>
      </c>
      <c r="BC1856" s="27">
        <v>0</v>
      </c>
      <c r="BD1856" s="27">
        <v>0</v>
      </c>
      <c r="BE1856" s="44" t="s">
        <v>1020</v>
      </c>
      <c r="BF1856" s="44" t="s">
        <v>1021</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18">
        <v>70202002</v>
      </c>
      <c r="D1857" s="17" t="s">
        <v>1022</v>
      </c>
      <c r="E1857" s="17" t="s">
        <v>1023</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20</v>
      </c>
      <c r="AG1857" s="16">
        <v>1</v>
      </c>
      <c r="AH1857" s="16">
        <v>3</v>
      </c>
      <c r="AI1857" s="12">
        <v>6</v>
      </c>
      <c r="AJ1857" s="12">
        <v>1</v>
      </c>
      <c r="AK1857" s="12">
        <v>0</v>
      </c>
      <c r="AL1857" s="12">
        <v>1.5</v>
      </c>
      <c r="AM1857" s="16">
        <v>0</v>
      </c>
      <c r="AN1857" s="16">
        <v>0</v>
      </c>
      <c r="AO1857" s="16">
        <v>0</v>
      </c>
      <c r="AP1857" s="16">
        <v>3</v>
      </c>
      <c r="AQ1857" s="16">
        <v>5000</v>
      </c>
      <c r="AR1857" s="16">
        <v>3</v>
      </c>
      <c r="AS1857" s="16">
        <v>0</v>
      </c>
      <c r="AT1857" s="12">
        <v>0</v>
      </c>
      <c r="AU1857" s="16" t="s">
        <v>198</v>
      </c>
      <c r="AV1857" s="16"/>
      <c r="AW1857" s="19" t="s">
        <v>256</v>
      </c>
      <c r="AX1857" s="16" t="s">
        <v>534</v>
      </c>
      <c r="AY1857" s="18">
        <v>10000007</v>
      </c>
      <c r="AZ1857" s="18">
        <v>70202002</v>
      </c>
      <c r="BA1857" s="17" t="s">
        <v>200</v>
      </c>
      <c r="BB1857" s="16" t="s">
        <v>4397</v>
      </c>
      <c r="BC1857" s="27">
        <v>0</v>
      </c>
      <c r="BD1857" s="27">
        <v>0</v>
      </c>
      <c r="BE1857" s="44" t="s">
        <v>4398</v>
      </c>
      <c r="BF1857" s="44" t="s">
        <v>4399</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70202003</v>
      </c>
      <c r="D1858" s="19" t="s">
        <v>1324</v>
      </c>
      <c r="E1858" s="19" t="s">
        <v>1325</v>
      </c>
      <c r="F1858" s="18">
        <v>1</v>
      </c>
      <c r="G1858" s="18">
        <v>60010500</v>
      </c>
      <c r="H1858" s="18">
        <v>0</v>
      </c>
      <c r="I1858" s="27">
        <v>0</v>
      </c>
      <c r="J1858" s="18">
        <v>1</v>
      </c>
      <c r="K1858" s="18">
        <v>0</v>
      </c>
      <c r="L1858" s="18">
        <v>0</v>
      </c>
      <c r="M1858" s="18">
        <v>0</v>
      </c>
      <c r="N1858" s="18">
        <v>0</v>
      </c>
      <c r="O1858" s="16">
        <v>2</v>
      </c>
      <c r="P1858" s="18">
        <v>0</v>
      </c>
      <c r="Q1858" s="18">
        <v>0</v>
      </c>
      <c r="R1858" s="18">
        <v>0</v>
      </c>
      <c r="S1858" s="12">
        <v>0</v>
      </c>
      <c r="T1858" s="27">
        <v>0</v>
      </c>
      <c r="U1858" s="16">
        <v>1</v>
      </c>
      <c r="V1858" s="18">
        <v>1</v>
      </c>
      <c r="W1858" s="18">
        <v>0</v>
      </c>
      <c r="X1858" s="18">
        <v>1</v>
      </c>
      <c r="Y1858" s="12">
        <v>0</v>
      </c>
      <c r="Z1858" s="18">
        <v>0</v>
      </c>
      <c r="AA1858" s="18">
        <v>0</v>
      </c>
      <c r="AB1858" s="18">
        <v>0</v>
      </c>
      <c r="AC1858" s="18">
        <v>0</v>
      </c>
      <c r="AD1858" s="16">
        <v>0</v>
      </c>
      <c r="AE1858" s="18">
        <v>0</v>
      </c>
      <c r="AF1858" s="18">
        <v>15</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2">
        <v>90202001</v>
      </c>
      <c r="AV1858" s="12"/>
      <c r="AW1858" s="19" t="s">
        <v>741</v>
      </c>
      <c r="AX1858" s="18">
        <v>0</v>
      </c>
      <c r="AY1858" s="18">
        <v>10007001</v>
      </c>
      <c r="AZ1858" s="18">
        <v>0</v>
      </c>
      <c r="BA1858" s="19" t="s">
        <v>200</v>
      </c>
      <c r="BB1858" s="19" t="s">
        <v>198</v>
      </c>
      <c r="BC1858" s="27">
        <v>0</v>
      </c>
      <c r="BD1858" s="27">
        <v>0</v>
      </c>
      <c r="BE1858" s="87" t="s">
        <v>3124</v>
      </c>
      <c r="BF1858" s="87" t="s">
        <v>3125</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row>
    <row r="1859" spans="3:75" ht="19.5" customHeight="1">
      <c r="C1859" s="18">
        <v>70202004</v>
      </c>
      <c r="D1859" s="17" t="s">
        <v>1029</v>
      </c>
      <c r="E1859" s="17" t="s">
        <v>1030</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1</v>
      </c>
      <c r="Y1859" s="12">
        <v>0</v>
      </c>
      <c r="Z1859" s="16">
        <v>0</v>
      </c>
      <c r="AA1859" s="16">
        <v>1</v>
      </c>
      <c r="AB1859" s="16">
        <v>0</v>
      </c>
      <c r="AC1859" s="16">
        <v>0</v>
      </c>
      <c r="AD1859" s="16">
        <v>0</v>
      </c>
      <c r="AE1859" s="16">
        <v>0</v>
      </c>
      <c r="AF1859" s="16">
        <v>30</v>
      </c>
      <c r="AG1859" s="16">
        <v>1</v>
      </c>
      <c r="AH1859" s="16" t="s">
        <v>861</v>
      </c>
      <c r="AI1859" s="12">
        <v>0</v>
      </c>
      <c r="AJ1859" s="12">
        <v>0</v>
      </c>
      <c r="AK1859" s="12">
        <v>0</v>
      </c>
      <c r="AL1859" s="12">
        <v>0</v>
      </c>
      <c r="AM1859" s="16">
        <v>0</v>
      </c>
      <c r="AN1859" s="16">
        <v>0</v>
      </c>
      <c r="AO1859" s="16">
        <v>0</v>
      </c>
      <c r="AP1859" s="16">
        <v>0.5</v>
      </c>
      <c r="AQ1859" s="16">
        <v>999999</v>
      </c>
      <c r="AR1859" s="16">
        <v>0.5</v>
      </c>
      <c r="AS1859" s="16">
        <v>0</v>
      </c>
      <c r="AT1859" s="12">
        <v>0</v>
      </c>
      <c r="AU1859" s="341" t="s">
        <v>1019</v>
      </c>
      <c r="AV1859" s="12"/>
      <c r="AW1859" s="19" t="s">
        <v>287</v>
      </c>
      <c r="AX1859" s="16" t="s">
        <v>534</v>
      </c>
      <c r="AY1859" s="18">
        <v>10000007</v>
      </c>
      <c r="AZ1859" s="18">
        <v>70202004</v>
      </c>
      <c r="BA1859" s="19" t="s">
        <v>315</v>
      </c>
      <c r="BB1859" s="19" t="s">
        <v>371</v>
      </c>
      <c r="BC1859" s="27">
        <v>0</v>
      </c>
      <c r="BD1859" s="27">
        <v>0</v>
      </c>
      <c r="BE1859" s="44" t="s">
        <v>4400</v>
      </c>
      <c r="BF1859" s="44" t="s">
        <v>4401</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70203001</v>
      </c>
      <c r="D1860" s="17" t="s">
        <v>4402</v>
      </c>
      <c r="E1860" s="17" t="s">
        <v>4403</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2</v>
      </c>
      <c r="Y1860" s="12">
        <v>0</v>
      </c>
      <c r="Z1860" s="16">
        <v>0</v>
      </c>
      <c r="AA1860" s="16">
        <v>1</v>
      </c>
      <c r="AB1860" s="16">
        <v>0</v>
      </c>
      <c r="AC1860" s="16">
        <v>0</v>
      </c>
      <c r="AD1860" s="16">
        <v>0</v>
      </c>
      <c r="AE1860" s="16">
        <v>0</v>
      </c>
      <c r="AF1860" s="16">
        <v>20</v>
      </c>
      <c r="AG1860" s="16">
        <v>1</v>
      </c>
      <c r="AH1860" s="16" t="s">
        <v>861</v>
      </c>
      <c r="AI1860" s="12">
        <v>1</v>
      </c>
      <c r="AJ1860" s="12">
        <v>1</v>
      </c>
      <c r="AK1860" s="12">
        <v>0</v>
      </c>
      <c r="AL1860" s="12">
        <v>1.5</v>
      </c>
      <c r="AM1860" s="16">
        <v>0</v>
      </c>
      <c r="AN1860" s="16">
        <v>0</v>
      </c>
      <c r="AO1860" s="16">
        <v>0</v>
      </c>
      <c r="AP1860" s="16">
        <v>0.5</v>
      </c>
      <c r="AQ1860" s="16">
        <v>999999</v>
      </c>
      <c r="AR1860" s="16">
        <v>2</v>
      </c>
      <c r="AS1860" s="16">
        <v>0</v>
      </c>
      <c r="AT1860" s="12">
        <v>0</v>
      </c>
      <c r="AU1860" s="16" t="s">
        <v>198</v>
      </c>
      <c r="AV1860" s="16"/>
      <c r="AW1860" s="19" t="s">
        <v>199</v>
      </c>
      <c r="AX1860" s="16" t="s">
        <v>534</v>
      </c>
      <c r="AY1860" s="18">
        <v>10000007</v>
      </c>
      <c r="AZ1860" s="18">
        <v>70203001</v>
      </c>
      <c r="BA1860" s="19" t="s">
        <v>315</v>
      </c>
      <c r="BB1860" s="19" t="s">
        <v>371</v>
      </c>
      <c r="BC1860" s="27">
        <v>0</v>
      </c>
      <c r="BD1860" s="27">
        <v>0</v>
      </c>
      <c r="BE1860" s="44" t="s">
        <v>4404</v>
      </c>
      <c r="BF1860" s="44" t="s">
        <v>4405</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70203002</v>
      </c>
      <c r="D1861" s="17" t="s">
        <v>744</v>
      </c>
      <c r="E1861" s="17" t="s">
        <v>745</v>
      </c>
      <c r="F1861" s="18">
        <v>1</v>
      </c>
      <c r="G1861" s="18">
        <v>60010500</v>
      </c>
      <c r="H1861" s="18">
        <v>0</v>
      </c>
      <c r="I1861" s="27">
        <v>0</v>
      </c>
      <c r="J1861" s="18">
        <v>1</v>
      </c>
      <c r="K1861" s="18">
        <v>0</v>
      </c>
      <c r="L1861" s="18">
        <v>0</v>
      </c>
      <c r="M1861" s="18">
        <v>0</v>
      </c>
      <c r="N1861" s="18">
        <v>0</v>
      </c>
      <c r="O1861" s="16">
        <v>2</v>
      </c>
      <c r="P1861" s="18">
        <v>1</v>
      </c>
      <c r="Q1861" s="18">
        <v>0.05</v>
      </c>
      <c r="R1861" s="18">
        <v>0</v>
      </c>
      <c r="S1861" s="12">
        <v>0</v>
      </c>
      <c r="T1861" s="27">
        <v>0</v>
      </c>
      <c r="U1861" s="16">
        <v>1</v>
      </c>
      <c r="V1861" s="18">
        <v>1</v>
      </c>
      <c r="W1861" s="18">
        <v>0</v>
      </c>
      <c r="X1861" s="18">
        <v>2</v>
      </c>
      <c r="Y1861" s="12">
        <v>0</v>
      </c>
      <c r="Z1861" s="18">
        <v>0</v>
      </c>
      <c r="AA1861" s="18">
        <v>0</v>
      </c>
      <c r="AB1861" s="18">
        <v>0</v>
      </c>
      <c r="AC1861" s="18">
        <v>0</v>
      </c>
      <c r="AD1861" s="16">
        <v>0</v>
      </c>
      <c r="AE1861" s="18">
        <v>0</v>
      </c>
      <c r="AF1861" s="18">
        <v>10</v>
      </c>
      <c r="AG1861" s="18">
        <v>0</v>
      </c>
      <c r="AH1861" s="18">
        <v>0</v>
      </c>
      <c r="AI1861" s="12">
        <v>7</v>
      </c>
      <c r="AJ1861" s="12">
        <v>0</v>
      </c>
      <c r="AK1861" s="12">
        <v>0</v>
      </c>
      <c r="AL1861" s="12">
        <v>0</v>
      </c>
      <c r="AM1861" s="18">
        <v>0</v>
      </c>
      <c r="AN1861" s="18">
        <v>0</v>
      </c>
      <c r="AO1861" s="18">
        <v>0</v>
      </c>
      <c r="AP1861" s="18">
        <v>0</v>
      </c>
      <c r="AQ1861" s="18">
        <v>1000</v>
      </c>
      <c r="AR1861" s="18">
        <v>0.5</v>
      </c>
      <c r="AS1861" s="18">
        <v>0</v>
      </c>
      <c r="AT1861" s="12">
        <v>0</v>
      </c>
      <c r="AU1861" s="18" t="s">
        <v>659</v>
      </c>
      <c r="AV1861" s="18"/>
      <c r="AW1861" s="19" t="s">
        <v>741</v>
      </c>
      <c r="AX1861" s="18">
        <v>0</v>
      </c>
      <c r="AY1861" s="18">
        <v>10007001</v>
      </c>
      <c r="AZ1861" s="18">
        <v>0</v>
      </c>
      <c r="BA1861" s="19" t="s">
        <v>200</v>
      </c>
      <c r="BB1861" s="19" t="s">
        <v>198</v>
      </c>
      <c r="BC1861" s="27">
        <v>0</v>
      </c>
      <c r="BD1861" s="27">
        <v>0</v>
      </c>
      <c r="BE1861" s="87" t="s">
        <v>746</v>
      </c>
      <c r="BF1861" s="87" t="s">
        <v>747</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70203003</v>
      </c>
      <c r="D1862" s="17" t="s">
        <v>4406</v>
      </c>
      <c r="E1862" s="17" t="s">
        <v>1266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t="s">
        <v>198</v>
      </c>
      <c r="AV1862" s="16"/>
      <c r="AW1862" s="19" t="s">
        <v>256</v>
      </c>
      <c r="AX1862" s="16" t="s">
        <v>534</v>
      </c>
      <c r="AY1862" s="18">
        <v>10000007</v>
      </c>
      <c r="AZ1862" s="18">
        <v>70203003</v>
      </c>
      <c r="BA1862" s="17" t="s">
        <v>200</v>
      </c>
      <c r="BB1862" s="16" t="s">
        <v>4407</v>
      </c>
      <c r="BC1862" s="27">
        <v>0</v>
      </c>
      <c r="BD1862" s="27">
        <v>0</v>
      </c>
      <c r="BE1862" s="44" t="s">
        <v>4408</v>
      </c>
      <c r="BF1862" s="44" t="s">
        <v>4409</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19.5" customHeight="1">
      <c r="C1863" s="18">
        <v>70203004</v>
      </c>
      <c r="D1863" s="17" t="s">
        <v>1116</v>
      </c>
      <c r="E1863" s="17" t="s">
        <v>391</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15</v>
      </c>
      <c r="AG1863" s="16">
        <v>1</v>
      </c>
      <c r="AH1863" s="16" t="s">
        <v>607</v>
      </c>
      <c r="AI1863" s="12">
        <v>0</v>
      </c>
      <c r="AJ1863" s="12">
        <v>1</v>
      </c>
      <c r="AK1863" s="12">
        <v>0</v>
      </c>
      <c r="AL1863" s="12">
        <v>3</v>
      </c>
      <c r="AM1863" s="16">
        <v>0</v>
      </c>
      <c r="AN1863" s="16">
        <v>0</v>
      </c>
      <c r="AO1863" s="16">
        <v>0</v>
      </c>
      <c r="AP1863" s="16">
        <v>3</v>
      </c>
      <c r="AQ1863" s="16">
        <v>5000</v>
      </c>
      <c r="AR1863" s="16">
        <v>2.5</v>
      </c>
      <c r="AS1863" s="16">
        <v>0</v>
      </c>
      <c r="AT1863" s="12">
        <v>0</v>
      </c>
      <c r="AU1863" s="16" t="s">
        <v>659</v>
      </c>
      <c r="AV1863" s="16"/>
      <c r="AW1863" s="19" t="s">
        <v>617</v>
      </c>
      <c r="AX1863" s="16" t="s">
        <v>534</v>
      </c>
      <c r="AY1863" s="18">
        <v>10000007</v>
      </c>
      <c r="AZ1863" s="18">
        <v>70203004</v>
      </c>
      <c r="BA1863" s="17" t="s">
        <v>200</v>
      </c>
      <c r="BB1863" s="16">
        <v>0</v>
      </c>
      <c r="BC1863" s="27">
        <v>0</v>
      </c>
      <c r="BD1863" s="27">
        <v>0</v>
      </c>
      <c r="BE1863" s="44" t="s">
        <v>4410</v>
      </c>
      <c r="BF1863" s="44" t="s">
        <v>4411</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19.5" customHeight="1">
      <c r="C1864" s="18">
        <v>70204001</v>
      </c>
      <c r="D1864" s="17" t="s">
        <v>4412</v>
      </c>
      <c r="E1864" s="17" t="s">
        <v>4413</v>
      </c>
      <c r="F1864" s="18">
        <v>1</v>
      </c>
      <c r="G1864" s="16">
        <v>60010100</v>
      </c>
      <c r="H1864" s="18">
        <v>0</v>
      </c>
      <c r="I1864" s="27">
        <v>0</v>
      </c>
      <c r="J1864" s="18">
        <v>1</v>
      </c>
      <c r="K1864" s="18">
        <v>0</v>
      </c>
      <c r="L1864" s="18">
        <v>0</v>
      </c>
      <c r="M1864" s="16">
        <v>0</v>
      </c>
      <c r="N1864" s="16">
        <v>0</v>
      </c>
      <c r="O1864" s="16">
        <v>2</v>
      </c>
      <c r="P1864" s="16">
        <v>1</v>
      </c>
      <c r="Q1864" s="16">
        <v>0.3</v>
      </c>
      <c r="R1864" s="16">
        <v>0</v>
      </c>
      <c r="S1864" s="12">
        <v>0</v>
      </c>
      <c r="T1864" s="16">
        <v>0</v>
      </c>
      <c r="U1864" s="16">
        <v>1</v>
      </c>
      <c r="V1864" s="16">
        <v>2</v>
      </c>
      <c r="W1864" s="16">
        <v>0</v>
      </c>
      <c r="X1864" s="16">
        <v>3</v>
      </c>
      <c r="Y1864" s="12">
        <v>0</v>
      </c>
      <c r="Z1864" s="16">
        <v>0</v>
      </c>
      <c r="AA1864" s="16">
        <v>1</v>
      </c>
      <c r="AB1864" s="16">
        <v>0</v>
      </c>
      <c r="AC1864" s="16">
        <v>0</v>
      </c>
      <c r="AD1864" s="16">
        <v>0</v>
      </c>
      <c r="AE1864" s="16">
        <v>0</v>
      </c>
      <c r="AF1864" s="16">
        <v>12</v>
      </c>
      <c r="AG1864" s="16">
        <v>1</v>
      </c>
      <c r="AH1864" s="16" t="s">
        <v>607</v>
      </c>
      <c r="AI1864" s="12">
        <v>0</v>
      </c>
      <c r="AJ1864" s="12">
        <v>1</v>
      </c>
      <c r="AK1864" s="12">
        <v>0</v>
      </c>
      <c r="AL1864" s="12">
        <v>3</v>
      </c>
      <c r="AM1864" s="16">
        <v>0</v>
      </c>
      <c r="AN1864" s="16">
        <v>0</v>
      </c>
      <c r="AO1864" s="16">
        <v>0</v>
      </c>
      <c r="AP1864" s="16">
        <v>3</v>
      </c>
      <c r="AQ1864" s="16">
        <v>5000</v>
      </c>
      <c r="AR1864" s="16">
        <v>2.5</v>
      </c>
      <c r="AS1864" s="16">
        <v>0</v>
      </c>
      <c r="AT1864" s="12">
        <v>0</v>
      </c>
      <c r="AU1864" s="16">
        <v>80001030</v>
      </c>
      <c r="AV1864" s="16"/>
      <c r="AW1864" s="19" t="s">
        <v>287</v>
      </c>
      <c r="AX1864" s="16" t="s">
        <v>534</v>
      </c>
      <c r="AY1864" s="18">
        <v>10000007</v>
      </c>
      <c r="AZ1864" s="18">
        <v>70204001</v>
      </c>
      <c r="BA1864" s="17" t="s">
        <v>200</v>
      </c>
      <c r="BB1864" s="16">
        <v>0</v>
      </c>
      <c r="BC1864" s="27">
        <v>0</v>
      </c>
      <c r="BD1864" s="27">
        <v>0</v>
      </c>
      <c r="BE1864" s="44" t="s">
        <v>4414</v>
      </c>
      <c r="BF1864" s="44" t="s">
        <v>4415</v>
      </c>
      <c r="BG1864" s="16">
        <v>0</v>
      </c>
      <c r="BH1864" s="16">
        <v>0</v>
      </c>
      <c r="BI1864" s="16">
        <v>0</v>
      </c>
      <c r="BJ1864" s="16">
        <v>0</v>
      </c>
      <c r="BK1864" s="16">
        <v>0</v>
      </c>
      <c r="BL1864" s="16">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70204002</v>
      </c>
      <c r="D1865" s="17" t="s">
        <v>610</v>
      </c>
      <c r="E1865" s="17" t="s">
        <v>611</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2.5</v>
      </c>
      <c r="Y1865" s="12">
        <v>0</v>
      </c>
      <c r="Z1865" s="16">
        <v>0</v>
      </c>
      <c r="AA1865" s="16">
        <v>1</v>
      </c>
      <c r="AB1865" s="16">
        <v>0</v>
      </c>
      <c r="AC1865" s="16">
        <v>0</v>
      </c>
      <c r="AD1865" s="16">
        <v>0</v>
      </c>
      <c r="AE1865" s="16">
        <v>0</v>
      </c>
      <c r="AF1865" s="16">
        <v>10</v>
      </c>
      <c r="AG1865" s="16">
        <v>1</v>
      </c>
      <c r="AH1865" s="16">
        <v>3</v>
      </c>
      <c r="AI1865" s="12">
        <v>4</v>
      </c>
      <c r="AJ1865" s="12">
        <v>1</v>
      </c>
      <c r="AK1865" s="12">
        <v>0</v>
      </c>
      <c r="AL1865" s="12">
        <v>1.5</v>
      </c>
      <c r="AM1865" s="16">
        <v>0</v>
      </c>
      <c r="AN1865" s="16">
        <v>0</v>
      </c>
      <c r="AO1865" s="16">
        <v>0</v>
      </c>
      <c r="AP1865" s="16">
        <v>3</v>
      </c>
      <c r="AQ1865" s="16">
        <v>5000</v>
      </c>
      <c r="AR1865" s="16">
        <v>3</v>
      </c>
      <c r="AS1865" s="16">
        <v>0</v>
      </c>
      <c r="AT1865" s="12">
        <v>0</v>
      </c>
      <c r="AU1865" s="16">
        <v>80001030</v>
      </c>
      <c r="AV1865" s="16"/>
      <c r="AW1865" s="19" t="s">
        <v>256</v>
      </c>
      <c r="AX1865" s="16" t="s">
        <v>534</v>
      </c>
      <c r="AY1865" s="18">
        <v>10000007</v>
      </c>
      <c r="AZ1865" s="18">
        <v>70204002</v>
      </c>
      <c r="BA1865" s="17" t="s">
        <v>200</v>
      </c>
      <c r="BB1865" s="16" t="s">
        <v>4416</v>
      </c>
      <c r="BC1865" s="27">
        <v>0</v>
      </c>
      <c r="BD1865" s="27">
        <v>0</v>
      </c>
      <c r="BE1865" s="44" t="s">
        <v>1322</v>
      </c>
      <c r="BF1865" s="44" t="s">
        <v>1323</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70204003</v>
      </c>
      <c r="D1866" s="17" t="s">
        <v>615</v>
      </c>
      <c r="E1866" s="17" t="s">
        <v>616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12</v>
      </c>
      <c r="AG1866" s="16">
        <v>1</v>
      </c>
      <c r="AH1866" s="16">
        <v>3</v>
      </c>
      <c r="AI1866" s="12">
        <v>6</v>
      </c>
      <c r="AJ1866" s="12">
        <v>1</v>
      </c>
      <c r="AK1866" s="12">
        <v>0</v>
      </c>
      <c r="AL1866" s="12">
        <v>1.5</v>
      </c>
      <c r="AM1866" s="16">
        <v>0</v>
      </c>
      <c r="AN1866" s="16">
        <v>0</v>
      </c>
      <c r="AO1866" s="16">
        <v>0</v>
      </c>
      <c r="AP1866" s="16">
        <v>3</v>
      </c>
      <c r="AQ1866" s="16">
        <v>5000</v>
      </c>
      <c r="AR1866" s="16">
        <v>3</v>
      </c>
      <c r="AS1866" s="16">
        <v>0</v>
      </c>
      <c r="AT1866" s="12">
        <v>0</v>
      </c>
      <c r="AU1866" s="16">
        <v>80001030</v>
      </c>
      <c r="AV1866" s="16"/>
      <c r="AW1866" s="19" t="s">
        <v>617</v>
      </c>
      <c r="AX1866" s="16" t="s">
        <v>534</v>
      </c>
      <c r="AY1866" s="18">
        <v>10000007</v>
      </c>
      <c r="AZ1866" s="18">
        <v>70204003</v>
      </c>
      <c r="BA1866" s="17" t="s">
        <v>200</v>
      </c>
      <c r="BB1866" s="16" t="s">
        <v>4417</v>
      </c>
      <c r="BC1866" s="27">
        <v>0</v>
      </c>
      <c r="BD1866" s="27">
        <v>0</v>
      </c>
      <c r="BE1866" s="44" t="s">
        <v>4418</v>
      </c>
      <c r="BF1866" s="44" t="s">
        <v>4419</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70204004</v>
      </c>
      <c r="D1867" s="19" t="s">
        <v>621</v>
      </c>
      <c r="E1867" s="19" t="s">
        <v>622</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10</v>
      </c>
      <c r="AG1867" s="18">
        <v>0</v>
      </c>
      <c r="AH1867" s="18">
        <v>0</v>
      </c>
      <c r="AI1867" s="12">
        <v>7</v>
      </c>
      <c r="AJ1867" s="12">
        <v>0</v>
      </c>
      <c r="AK1867" s="12">
        <v>0</v>
      </c>
      <c r="AL1867" s="12">
        <v>0</v>
      </c>
      <c r="AM1867" s="18">
        <v>0</v>
      </c>
      <c r="AN1867" s="18">
        <v>0</v>
      </c>
      <c r="AO1867" s="18">
        <v>0</v>
      </c>
      <c r="AP1867" s="18">
        <v>0</v>
      </c>
      <c r="AQ1867" s="18">
        <v>1000</v>
      </c>
      <c r="AR1867" s="18">
        <v>0</v>
      </c>
      <c r="AS1867" s="18">
        <v>0</v>
      </c>
      <c r="AT1867" s="12">
        <v>0</v>
      </c>
      <c r="AU1867" s="18">
        <v>90204004</v>
      </c>
      <c r="AV1867" s="18"/>
      <c r="AW1867" s="19" t="s">
        <v>199</v>
      </c>
      <c r="AX1867" s="18" t="s">
        <v>348</v>
      </c>
      <c r="AY1867" s="18">
        <v>0</v>
      </c>
      <c r="AZ1867" s="18">
        <v>0</v>
      </c>
      <c r="BA1867" s="19" t="s">
        <v>200</v>
      </c>
      <c r="BB1867" s="19" t="s">
        <v>198</v>
      </c>
      <c r="BC1867" s="27">
        <v>0</v>
      </c>
      <c r="BD1867" s="27">
        <v>0</v>
      </c>
      <c r="BE1867" s="87" t="s">
        <v>623</v>
      </c>
      <c r="BF1867" s="87" t="s">
        <v>624</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19.5" customHeight="1">
      <c r="C1868" s="18">
        <v>70204005</v>
      </c>
      <c r="D1868" s="19" t="s">
        <v>897</v>
      </c>
      <c r="E1868" s="19" t="s">
        <v>898</v>
      </c>
      <c r="F1868" s="18">
        <v>1</v>
      </c>
      <c r="G1868" s="18">
        <v>60010300</v>
      </c>
      <c r="H1868" s="18">
        <v>0</v>
      </c>
      <c r="I1868" s="27">
        <v>0</v>
      </c>
      <c r="J1868" s="18">
        <v>1</v>
      </c>
      <c r="K1868" s="18">
        <v>0</v>
      </c>
      <c r="L1868" s="18">
        <v>0</v>
      </c>
      <c r="M1868" s="18">
        <v>0</v>
      </c>
      <c r="N1868" s="18">
        <v>0</v>
      </c>
      <c r="O1868" s="16">
        <v>2</v>
      </c>
      <c r="P1868" s="18">
        <v>2</v>
      </c>
      <c r="Q1868" s="18">
        <v>0.8</v>
      </c>
      <c r="R1868" s="18">
        <v>0</v>
      </c>
      <c r="S1868" s="12">
        <v>0</v>
      </c>
      <c r="T1868" s="27">
        <v>0</v>
      </c>
      <c r="U1868" s="16">
        <v>1</v>
      </c>
      <c r="V1868" s="18">
        <v>2</v>
      </c>
      <c r="W1868" s="18">
        <v>0</v>
      </c>
      <c r="X1868" s="18">
        <v>3</v>
      </c>
      <c r="Y1868" s="12">
        <v>0</v>
      </c>
      <c r="Z1868" s="18">
        <v>0</v>
      </c>
      <c r="AA1868" s="18">
        <v>0</v>
      </c>
      <c r="AB1868" s="18">
        <v>0</v>
      </c>
      <c r="AC1868" s="18">
        <v>0</v>
      </c>
      <c r="AD1868" s="16">
        <v>0</v>
      </c>
      <c r="AE1868" s="18">
        <v>0</v>
      </c>
      <c r="AF1868" s="18">
        <v>20</v>
      </c>
      <c r="AG1868" s="18">
        <v>1</v>
      </c>
      <c r="AH1868" s="18">
        <v>1</v>
      </c>
      <c r="AI1868" s="12">
        <v>2</v>
      </c>
      <c r="AJ1868" s="12">
        <v>2</v>
      </c>
      <c r="AK1868" s="12">
        <v>0</v>
      </c>
      <c r="AL1868" s="12">
        <v>1.5</v>
      </c>
      <c r="AM1868" s="18">
        <v>0</v>
      </c>
      <c r="AN1868" s="18">
        <v>0</v>
      </c>
      <c r="AO1868" s="18">
        <v>0</v>
      </c>
      <c r="AP1868" s="18">
        <v>1</v>
      </c>
      <c r="AQ1868" s="18">
        <v>30000</v>
      </c>
      <c r="AR1868" s="18">
        <v>0</v>
      </c>
      <c r="AS1868" s="18">
        <v>4</v>
      </c>
      <c r="AT1868" s="12">
        <v>0</v>
      </c>
      <c r="AU1868" s="16" t="s">
        <v>659</v>
      </c>
      <c r="AV1868" s="16"/>
      <c r="AW1868" s="19" t="s">
        <v>199</v>
      </c>
      <c r="AX1868" s="18" t="s">
        <v>545</v>
      </c>
      <c r="AY1868" s="18">
        <v>10003002</v>
      </c>
      <c r="AZ1868" s="18">
        <v>70106005</v>
      </c>
      <c r="BA1868" s="19" t="s">
        <v>586</v>
      </c>
      <c r="BB1868" s="19">
        <v>0</v>
      </c>
      <c r="BC1868" s="27">
        <v>0</v>
      </c>
      <c r="BD1868" s="27">
        <v>0</v>
      </c>
      <c r="BE1868" s="87" t="s">
        <v>899</v>
      </c>
      <c r="BF1868" s="87" t="s">
        <v>900</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row>
    <row r="1869" spans="3:75" ht="20.100000000000001" customHeight="1">
      <c r="C1869" s="18">
        <v>70205001</v>
      </c>
      <c r="D1869" s="17" t="s">
        <v>993</v>
      </c>
      <c r="E1869" s="17" t="s">
        <v>994</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v>3</v>
      </c>
      <c r="AI1869" s="12">
        <v>4</v>
      </c>
      <c r="AJ1869" s="12">
        <v>1</v>
      </c>
      <c r="AK1869" s="12">
        <v>0</v>
      </c>
      <c r="AL1869" s="12">
        <v>1.5</v>
      </c>
      <c r="AM1869" s="16">
        <v>0</v>
      </c>
      <c r="AN1869" s="16">
        <v>0</v>
      </c>
      <c r="AO1869" s="16">
        <v>0</v>
      </c>
      <c r="AP1869" s="16">
        <v>3</v>
      </c>
      <c r="AQ1869" s="16">
        <v>999999</v>
      </c>
      <c r="AR1869" s="16">
        <v>3</v>
      </c>
      <c r="AS1869" s="16">
        <v>0</v>
      </c>
      <c r="AT1869" s="12">
        <v>0</v>
      </c>
      <c r="AU1869" s="16" t="s">
        <v>198</v>
      </c>
      <c r="AV1869" s="16"/>
      <c r="AW1869" s="19" t="s">
        <v>287</v>
      </c>
      <c r="AX1869" s="16" t="s">
        <v>534</v>
      </c>
      <c r="AY1869" s="18">
        <v>10000007</v>
      </c>
      <c r="AZ1869" s="18">
        <v>70205001</v>
      </c>
      <c r="BA1869" s="17" t="s">
        <v>200</v>
      </c>
      <c r="BB1869" s="16" t="s">
        <v>4420</v>
      </c>
      <c r="BC1869" s="27">
        <v>0</v>
      </c>
      <c r="BD1869" s="27">
        <v>0</v>
      </c>
      <c r="BE1869" s="44" t="s">
        <v>996</v>
      </c>
      <c r="BF1869" s="44" t="s">
        <v>997</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70205002</v>
      </c>
      <c r="D1870" s="19" t="s">
        <v>567</v>
      </c>
      <c r="E1870" s="19" t="s">
        <v>568</v>
      </c>
      <c r="F1870" s="18">
        <v>1</v>
      </c>
      <c r="G1870" s="18">
        <v>60010500</v>
      </c>
      <c r="H1870" s="18">
        <v>0</v>
      </c>
      <c r="I1870" s="27">
        <v>0</v>
      </c>
      <c r="J1870" s="18">
        <v>1</v>
      </c>
      <c r="K1870" s="18">
        <v>0</v>
      </c>
      <c r="L1870" s="18">
        <v>0</v>
      </c>
      <c r="M1870" s="18">
        <v>0</v>
      </c>
      <c r="N1870" s="18">
        <v>0</v>
      </c>
      <c r="O1870" s="16">
        <v>2</v>
      </c>
      <c r="P1870" s="18">
        <v>2</v>
      </c>
      <c r="Q1870" s="18">
        <v>0.3</v>
      </c>
      <c r="R1870" s="18">
        <v>0</v>
      </c>
      <c r="S1870" s="12">
        <v>0</v>
      </c>
      <c r="T1870" s="27">
        <v>0</v>
      </c>
      <c r="U1870" s="16">
        <v>1</v>
      </c>
      <c r="V1870" s="18">
        <v>2</v>
      </c>
      <c r="W1870" s="18">
        <v>0</v>
      </c>
      <c r="X1870" s="18">
        <v>0</v>
      </c>
      <c r="Y1870" s="12">
        <v>0</v>
      </c>
      <c r="Z1870" s="18">
        <v>0</v>
      </c>
      <c r="AA1870" s="18">
        <v>0</v>
      </c>
      <c r="AB1870" s="18">
        <v>0</v>
      </c>
      <c r="AC1870" s="18">
        <v>0</v>
      </c>
      <c r="AD1870" s="16">
        <v>0</v>
      </c>
      <c r="AE1870" s="18">
        <v>0</v>
      </c>
      <c r="AF1870" s="16">
        <v>99999</v>
      </c>
      <c r="AG1870" s="18">
        <v>0</v>
      </c>
      <c r="AH1870" s="18">
        <v>0</v>
      </c>
      <c r="AI1870" s="12">
        <v>8</v>
      </c>
      <c r="AJ1870" s="12">
        <v>0</v>
      </c>
      <c r="AK1870" s="12">
        <v>0</v>
      </c>
      <c r="AL1870" s="12">
        <v>0</v>
      </c>
      <c r="AM1870" s="18">
        <v>0</v>
      </c>
      <c r="AN1870" s="18">
        <v>0</v>
      </c>
      <c r="AO1870" s="18">
        <v>0</v>
      </c>
      <c r="AP1870" s="18">
        <v>0</v>
      </c>
      <c r="AQ1870" s="18">
        <v>1000</v>
      </c>
      <c r="AR1870" s="18">
        <v>0</v>
      </c>
      <c r="AS1870" s="18">
        <v>0</v>
      </c>
      <c r="AT1870" s="12">
        <v>90105002</v>
      </c>
      <c r="AU1870" s="18" t="s">
        <v>198</v>
      </c>
      <c r="AV1870" s="18"/>
      <c r="AW1870" s="19" t="s">
        <v>199</v>
      </c>
      <c r="AX1870" s="18" t="s">
        <v>348</v>
      </c>
      <c r="AY1870" s="18">
        <v>0</v>
      </c>
      <c r="AZ1870" s="18">
        <v>0</v>
      </c>
      <c r="BA1870" s="19" t="s">
        <v>200</v>
      </c>
      <c r="BB1870" s="19" t="s">
        <v>198</v>
      </c>
      <c r="BC1870" s="27">
        <v>0</v>
      </c>
      <c r="BD1870" s="27">
        <v>0</v>
      </c>
      <c r="BE1870" s="87" t="s">
        <v>850</v>
      </c>
      <c r="BF1870" s="87" t="s">
        <v>851</v>
      </c>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70205003</v>
      </c>
      <c r="D1871" s="19" t="s">
        <v>669</v>
      </c>
      <c r="E1871" s="19" t="s">
        <v>670</v>
      </c>
      <c r="F1871" s="18">
        <v>1</v>
      </c>
      <c r="G1871" s="18">
        <v>60010500</v>
      </c>
      <c r="H1871" s="18">
        <v>0</v>
      </c>
      <c r="I1871" s="27">
        <v>0</v>
      </c>
      <c r="J1871" s="18">
        <v>1</v>
      </c>
      <c r="K1871" s="18">
        <v>0</v>
      </c>
      <c r="L1871" s="18">
        <v>0</v>
      </c>
      <c r="M1871" s="18">
        <v>0</v>
      </c>
      <c r="N1871" s="18">
        <v>0</v>
      </c>
      <c r="O1871" s="16">
        <v>2</v>
      </c>
      <c r="P1871" s="18">
        <v>2</v>
      </c>
      <c r="Q1871" s="18">
        <v>0.3</v>
      </c>
      <c r="R1871" s="18">
        <v>0</v>
      </c>
      <c r="S1871" s="12">
        <v>0</v>
      </c>
      <c r="T1871" s="27">
        <v>0</v>
      </c>
      <c r="U1871" s="16">
        <v>1</v>
      </c>
      <c r="V1871" s="18">
        <v>2</v>
      </c>
      <c r="W1871" s="18">
        <v>0</v>
      </c>
      <c r="X1871" s="18">
        <v>0</v>
      </c>
      <c r="Y1871" s="12">
        <v>0</v>
      </c>
      <c r="Z1871" s="18">
        <v>0</v>
      </c>
      <c r="AA1871" s="18">
        <v>0</v>
      </c>
      <c r="AB1871" s="18">
        <v>0</v>
      </c>
      <c r="AC1871" s="18">
        <v>0</v>
      </c>
      <c r="AD1871" s="16">
        <v>0</v>
      </c>
      <c r="AE1871" s="18">
        <v>0</v>
      </c>
      <c r="AF1871" s="16">
        <v>99999</v>
      </c>
      <c r="AG1871" s="18">
        <v>0</v>
      </c>
      <c r="AH1871" s="18">
        <v>0</v>
      </c>
      <c r="AI1871" s="12">
        <v>8</v>
      </c>
      <c r="AJ1871" s="12">
        <v>0</v>
      </c>
      <c r="AK1871" s="12">
        <v>0</v>
      </c>
      <c r="AL1871" s="12">
        <v>0</v>
      </c>
      <c r="AM1871" s="18">
        <v>0</v>
      </c>
      <c r="AN1871" s="18">
        <v>0</v>
      </c>
      <c r="AO1871" s="18">
        <v>0</v>
      </c>
      <c r="AP1871" s="18">
        <v>0</v>
      </c>
      <c r="AQ1871" s="18">
        <v>1000</v>
      </c>
      <c r="AR1871" s="18">
        <v>0</v>
      </c>
      <c r="AS1871" s="18">
        <v>0</v>
      </c>
      <c r="AT1871" s="12" t="s">
        <v>998</v>
      </c>
      <c r="AU1871" s="18" t="s">
        <v>198</v>
      </c>
      <c r="AV1871" s="18"/>
      <c r="AW1871" s="19" t="s">
        <v>199</v>
      </c>
      <c r="AX1871" s="18" t="s">
        <v>348</v>
      </c>
      <c r="AY1871" s="18">
        <v>0</v>
      </c>
      <c r="AZ1871" s="18">
        <v>0</v>
      </c>
      <c r="BA1871" s="19" t="s">
        <v>200</v>
      </c>
      <c r="BB1871" s="19" t="s">
        <v>198</v>
      </c>
      <c r="BC1871" s="27">
        <v>0</v>
      </c>
      <c r="BD1871" s="27">
        <v>0</v>
      </c>
      <c r="BE1871" s="87" t="s">
        <v>755</v>
      </c>
      <c r="BF1871" s="87" t="s">
        <v>756</v>
      </c>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70205004</v>
      </c>
      <c r="D1872" s="17" t="s">
        <v>600</v>
      </c>
      <c r="E1872" s="17" t="s">
        <v>601</v>
      </c>
      <c r="F1872" s="16">
        <v>1</v>
      </c>
      <c r="G1872" s="16">
        <v>60010300</v>
      </c>
      <c r="H1872" s="18">
        <v>0</v>
      </c>
      <c r="I1872" s="27">
        <v>0</v>
      </c>
      <c r="J1872" s="18">
        <v>1</v>
      </c>
      <c r="K1872" s="18">
        <v>0</v>
      </c>
      <c r="L1872" s="18">
        <v>0</v>
      </c>
      <c r="M1872" s="16">
        <v>0</v>
      </c>
      <c r="N1872" s="16">
        <v>0</v>
      </c>
      <c r="O1872" s="16">
        <v>2</v>
      </c>
      <c r="P1872" s="16">
        <v>2</v>
      </c>
      <c r="Q1872" s="16">
        <v>0.9</v>
      </c>
      <c r="R1872" s="16">
        <v>0</v>
      </c>
      <c r="S1872" s="12">
        <v>0</v>
      </c>
      <c r="T1872" s="16">
        <v>0</v>
      </c>
      <c r="U1872" s="16">
        <v>1</v>
      </c>
      <c r="V1872" s="16">
        <v>2</v>
      </c>
      <c r="W1872" s="16">
        <v>0</v>
      </c>
      <c r="X1872" s="16">
        <v>0</v>
      </c>
      <c r="Y1872" s="12">
        <v>0</v>
      </c>
      <c r="Z1872" s="16">
        <v>0</v>
      </c>
      <c r="AA1872" s="16">
        <v>0</v>
      </c>
      <c r="AB1872" s="16">
        <v>0</v>
      </c>
      <c r="AC1872" s="16">
        <v>0</v>
      </c>
      <c r="AD1872" s="16">
        <v>0</v>
      </c>
      <c r="AE1872" s="16">
        <v>0</v>
      </c>
      <c r="AF1872" s="16">
        <v>30</v>
      </c>
      <c r="AG1872" s="16">
        <v>0</v>
      </c>
      <c r="AH1872" s="16">
        <v>0</v>
      </c>
      <c r="AI1872" s="12">
        <v>2</v>
      </c>
      <c r="AJ1872" s="12">
        <v>2</v>
      </c>
      <c r="AK1872" s="12">
        <v>0</v>
      </c>
      <c r="AL1872" s="12">
        <v>1.5</v>
      </c>
      <c r="AM1872" s="16">
        <v>0</v>
      </c>
      <c r="AN1872" s="16">
        <v>0</v>
      </c>
      <c r="AO1872" s="16">
        <v>0</v>
      </c>
      <c r="AP1872" s="16">
        <v>1</v>
      </c>
      <c r="AQ1872" s="16">
        <v>3000</v>
      </c>
      <c r="AR1872" s="16">
        <v>0.5</v>
      </c>
      <c r="AS1872" s="16">
        <v>0</v>
      </c>
      <c r="AT1872" s="12">
        <v>0</v>
      </c>
      <c r="AU1872" s="16" t="s">
        <v>198</v>
      </c>
      <c r="AV1872" s="16"/>
      <c r="AW1872" s="19" t="s">
        <v>287</v>
      </c>
      <c r="AX1872" s="16" t="s">
        <v>545</v>
      </c>
      <c r="AY1872" s="18">
        <v>0</v>
      </c>
      <c r="AZ1872" s="18">
        <v>0</v>
      </c>
      <c r="BA1872" s="17" t="s">
        <v>528</v>
      </c>
      <c r="BB1872" s="16" t="s">
        <v>4421</v>
      </c>
      <c r="BC1872" s="27">
        <v>0</v>
      </c>
      <c r="BD1872" s="27">
        <v>0</v>
      </c>
      <c r="BE1872" s="44" t="s">
        <v>4422</v>
      </c>
      <c r="BF1872" s="44" t="s">
        <v>4423</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19.5" customHeight="1">
      <c r="C1873" s="18">
        <v>70205005</v>
      </c>
      <c r="D1873" s="17" t="s">
        <v>765</v>
      </c>
      <c r="E1873" s="17" t="s">
        <v>766</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607</v>
      </c>
      <c r="AI1873" s="12">
        <v>0</v>
      </c>
      <c r="AJ1873" s="12">
        <v>1</v>
      </c>
      <c r="AK1873" s="12">
        <v>0</v>
      </c>
      <c r="AL1873" s="12">
        <v>3</v>
      </c>
      <c r="AM1873" s="16">
        <v>0</v>
      </c>
      <c r="AN1873" s="16">
        <v>0</v>
      </c>
      <c r="AO1873" s="16">
        <v>0</v>
      </c>
      <c r="AP1873" s="16">
        <v>3</v>
      </c>
      <c r="AQ1873" s="16">
        <v>5000</v>
      </c>
      <c r="AR1873" s="16">
        <v>2.5</v>
      </c>
      <c r="AS1873" s="16">
        <v>0</v>
      </c>
      <c r="AT1873" s="12">
        <v>0</v>
      </c>
      <c r="AU1873" s="16" t="s">
        <v>659</v>
      </c>
      <c r="AV1873" s="16"/>
      <c r="AW1873" s="19" t="s">
        <v>256</v>
      </c>
      <c r="AX1873" s="16" t="s">
        <v>534</v>
      </c>
      <c r="AY1873" s="18">
        <v>10000007</v>
      </c>
      <c r="AZ1873" s="18">
        <v>70205002</v>
      </c>
      <c r="BA1873" s="17" t="s">
        <v>200</v>
      </c>
      <c r="BB1873" s="16">
        <v>0</v>
      </c>
      <c r="BC1873" s="27">
        <v>0</v>
      </c>
      <c r="BD1873" s="27">
        <v>0</v>
      </c>
      <c r="BE1873" s="44" t="s">
        <v>767</v>
      </c>
      <c r="BF1873" s="44" t="s">
        <v>768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19.5" customHeight="1">
      <c r="C1874" s="18">
        <v>70205006</v>
      </c>
      <c r="D1874" s="17" t="s">
        <v>999</v>
      </c>
      <c r="E1874" s="17" t="s">
        <v>1000</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15</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12">
        <v>90105006</v>
      </c>
      <c r="AV1874" s="12"/>
      <c r="AW1874" s="19" t="s">
        <v>617</v>
      </c>
      <c r="AX1874" s="16" t="s">
        <v>534</v>
      </c>
      <c r="AY1874" s="18">
        <v>10000007</v>
      </c>
      <c r="AZ1874" s="18">
        <v>70205003</v>
      </c>
      <c r="BA1874" s="19" t="s">
        <v>315</v>
      </c>
      <c r="BB1874" s="19" t="s">
        <v>371</v>
      </c>
      <c r="BC1874" s="27">
        <v>0</v>
      </c>
      <c r="BD1874" s="27">
        <v>0</v>
      </c>
      <c r="BE1874" s="44" t="s">
        <v>1001</v>
      </c>
      <c r="BF1874" s="44" t="s">
        <v>1002</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19.5" customHeight="1">
      <c r="C1875" s="18">
        <v>70205007</v>
      </c>
      <c r="D1875" s="17" t="s">
        <v>4424</v>
      </c>
      <c r="E1875" s="17" t="s">
        <v>4425</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2</v>
      </c>
      <c r="Y1875" s="12">
        <v>0</v>
      </c>
      <c r="Z1875" s="16">
        <v>0</v>
      </c>
      <c r="AA1875" s="16">
        <v>1</v>
      </c>
      <c r="AB1875" s="16">
        <v>0</v>
      </c>
      <c r="AC1875" s="16">
        <v>0</v>
      </c>
      <c r="AD1875" s="16">
        <v>0</v>
      </c>
      <c r="AE1875" s="16">
        <v>0</v>
      </c>
      <c r="AF1875" s="16">
        <v>15</v>
      </c>
      <c r="AG1875" s="16">
        <v>1</v>
      </c>
      <c r="AH1875" s="16" t="s">
        <v>861</v>
      </c>
      <c r="AI1875" s="12">
        <v>0</v>
      </c>
      <c r="AJ1875" s="12">
        <v>0</v>
      </c>
      <c r="AK1875" s="12">
        <v>0</v>
      </c>
      <c r="AL1875" s="12">
        <v>0</v>
      </c>
      <c r="AM1875" s="16">
        <v>0</v>
      </c>
      <c r="AN1875" s="16">
        <v>0</v>
      </c>
      <c r="AO1875" s="16">
        <v>0</v>
      </c>
      <c r="AP1875" s="16">
        <v>0.5</v>
      </c>
      <c r="AQ1875" s="16">
        <v>999999</v>
      </c>
      <c r="AR1875" s="16">
        <v>0.5</v>
      </c>
      <c r="AS1875" s="16">
        <v>0</v>
      </c>
      <c r="AT1875" s="12">
        <v>0</v>
      </c>
      <c r="AU1875" s="12">
        <v>90205007</v>
      </c>
      <c r="AV1875" s="12"/>
      <c r="AW1875" s="19" t="s">
        <v>617</v>
      </c>
      <c r="AX1875" s="16" t="s">
        <v>534</v>
      </c>
      <c r="AY1875" s="18">
        <v>10000007</v>
      </c>
      <c r="AZ1875" s="18">
        <v>70205001</v>
      </c>
      <c r="BA1875" s="19" t="s">
        <v>315</v>
      </c>
      <c r="BB1875" s="19" t="s">
        <v>371</v>
      </c>
      <c r="BC1875" s="27">
        <v>0</v>
      </c>
      <c r="BD1875" s="27">
        <v>0</v>
      </c>
      <c r="BE1875" s="44"/>
      <c r="BF1875" s="44"/>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19.5" customHeight="1">
      <c r="C1876" s="18">
        <v>70301001</v>
      </c>
      <c r="D1876" s="17" t="s">
        <v>4426</v>
      </c>
      <c r="E1876" s="17" t="s">
        <v>4427</v>
      </c>
      <c r="F1876" s="18">
        <v>1</v>
      </c>
      <c r="G1876" s="16">
        <v>60010100</v>
      </c>
      <c r="H1876" s="18">
        <v>0</v>
      </c>
      <c r="I1876" s="27">
        <v>0</v>
      </c>
      <c r="J1876" s="18">
        <v>1</v>
      </c>
      <c r="K1876" s="18">
        <v>0</v>
      </c>
      <c r="L1876" s="18">
        <v>0</v>
      </c>
      <c r="M1876" s="16">
        <v>0</v>
      </c>
      <c r="N1876" s="16">
        <v>0</v>
      </c>
      <c r="O1876" s="16">
        <v>2</v>
      </c>
      <c r="P1876" s="16">
        <v>1</v>
      </c>
      <c r="Q1876" s="16">
        <v>0.3</v>
      </c>
      <c r="R1876" s="16">
        <v>0</v>
      </c>
      <c r="S1876" s="12">
        <v>0</v>
      </c>
      <c r="T1876" s="16">
        <v>0</v>
      </c>
      <c r="U1876" s="16">
        <v>1</v>
      </c>
      <c r="V1876" s="16">
        <v>2</v>
      </c>
      <c r="W1876" s="16">
        <v>0</v>
      </c>
      <c r="X1876" s="16">
        <v>3</v>
      </c>
      <c r="Y1876" s="12">
        <v>0</v>
      </c>
      <c r="Z1876" s="16">
        <v>0</v>
      </c>
      <c r="AA1876" s="16">
        <v>1</v>
      </c>
      <c r="AB1876" s="16">
        <v>0</v>
      </c>
      <c r="AC1876" s="16">
        <v>0</v>
      </c>
      <c r="AD1876" s="16">
        <v>0</v>
      </c>
      <c r="AE1876" s="16">
        <v>0</v>
      </c>
      <c r="AF1876" s="16">
        <v>15</v>
      </c>
      <c r="AG1876" s="16">
        <v>1</v>
      </c>
      <c r="AH1876" s="16" t="s">
        <v>607</v>
      </c>
      <c r="AI1876" s="12">
        <v>0</v>
      </c>
      <c r="AJ1876" s="12">
        <v>1</v>
      </c>
      <c r="AK1876" s="12">
        <v>0</v>
      </c>
      <c r="AL1876" s="12">
        <v>3</v>
      </c>
      <c r="AM1876" s="16">
        <v>0</v>
      </c>
      <c r="AN1876" s="16">
        <v>0</v>
      </c>
      <c r="AO1876" s="16">
        <v>0</v>
      </c>
      <c r="AP1876" s="16">
        <v>3</v>
      </c>
      <c r="AQ1876" s="16">
        <v>5000</v>
      </c>
      <c r="AR1876" s="16">
        <v>2.5</v>
      </c>
      <c r="AS1876" s="16">
        <v>0</v>
      </c>
      <c r="AT1876" s="12">
        <v>0</v>
      </c>
      <c r="AU1876" s="16" t="s">
        <v>659</v>
      </c>
      <c r="AV1876" s="16"/>
      <c r="AW1876" s="19" t="s">
        <v>617</v>
      </c>
      <c r="AX1876" s="16" t="s">
        <v>534</v>
      </c>
      <c r="AY1876" s="18">
        <v>10000007</v>
      </c>
      <c r="AZ1876" s="18">
        <v>70301001</v>
      </c>
      <c r="BA1876" s="17" t="s">
        <v>200</v>
      </c>
      <c r="BB1876" s="16">
        <v>0</v>
      </c>
      <c r="BC1876" s="27">
        <v>0</v>
      </c>
      <c r="BD1876" s="27">
        <v>0</v>
      </c>
      <c r="BE1876" s="44" t="s">
        <v>4428</v>
      </c>
      <c r="BF1876" s="44" t="s">
        <v>4429</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70301002</v>
      </c>
      <c r="D1877" s="17" t="s">
        <v>4430</v>
      </c>
      <c r="E1877" s="17" t="s">
        <v>4431</v>
      </c>
      <c r="F1877" s="16">
        <v>1</v>
      </c>
      <c r="G1877" s="16">
        <v>60010300</v>
      </c>
      <c r="H1877" s="18">
        <v>0</v>
      </c>
      <c r="I1877" s="27">
        <v>0</v>
      </c>
      <c r="J1877" s="18">
        <v>1</v>
      </c>
      <c r="K1877" s="18">
        <v>0</v>
      </c>
      <c r="L1877" s="18">
        <v>0</v>
      </c>
      <c r="M1877" s="16">
        <v>0</v>
      </c>
      <c r="N1877" s="16">
        <v>0</v>
      </c>
      <c r="O1877" s="16">
        <v>2</v>
      </c>
      <c r="P1877" s="16">
        <v>2</v>
      </c>
      <c r="Q1877" s="16">
        <v>0.8</v>
      </c>
      <c r="R1877" s="16">
        <v>0</v>
      </c>
      <c r="S1877" s="12">
        <v>0</v>
      </c>
      <c r="T1877" s="16">
        <v>0</v>
      </c>
      <c r="U1877" s="16">
        <v>1</v>
      </c>
      <c r="V1877" s="16">
        <v>2</v>
      </c>
      <c r="W1877" s="16">
        <v>0</v>
      </c>
      <c r="X1877" s="16">
        <v>0</v>
      </c>
      <c r="Y1877" s="12">
        <v>0</v>
      </c>
      <c r="Z1877" s="16">
        <v>0</v>
      </c>
      <c r="AA1877" s="16">
        <v>0</v>
      </c>
      <c r="AB1877" s="16">
        <v>0</v>
      </c>
      <c r="AC1877" s="16">
        <v>0</v>
      </c>
      <c r="AD1877" s="16">
        <v>0</v>
      </c>
      <c r="AE1877" s="16">
        <v>0</v>
      </c>
      <c r="AF1877" s="16">
        <v>20</v>
      </c>
      <c r="AG1877" s="16">
        <v>0</v>
      </c>
      <c r="AH1877" s="16">
        <v>0</v>
      </c>
      <c r="AI1877" s="12">
        <v>2</v>
      </c>
      <c r="AJ1877" s="12">
        <v>2</v>
      </c>
      <c r="AK1877" s="12">
        <v>0</v>
      </c>
      <c r="AL1877" s="12">
        <v>1.5</v>
      </c>
      <c r="AM1877" s="16">
        <v>0</v>
      </c>
      <c r="AN1877" s="16">
        <v>0</v>
      </c>
      <c r="AO1877" s="16">
        <v>0</v>
      </c>
      <c r="AP1877" s="16">
        <v>1</v>
      </c>
      <c r="AQ1877" s="16">
        <v>3000</v>
      </c>
      <c r="AR1877" s="16">
        <v>0.5</v>
      </c>
      <c r="AS1877" s="16">
        <v>0</v>
      </c>
      <c r="AT1877" s="12">
        <v>0</v>
      </c>
      <c r="AU1877" s="16" t="s">
        <v>198</v>
      </c>
      <c r="AV1877" s="16"/>
      <c r="AW1877" s="19" t="s">
        <v>199</v>
      </c>
      <c r="AX1877" s="16" t="s">
        <v>545</v>
      </c>
      <c r="AY1877" s="18">
        <v>0</v>
      </c>
      <c r="AZ1877" s="18">
        <v>0</v>
      </c>
      <c r="BA1877" s="17" t="s">
        <v>528</v>
      </c>
      <c r="BB1877" s="16" t="s">
        <v>4432</v>
      </c>
      <c r="BC1877" s="27">
        <v>0</v>
      </c>
      <c r="BD1877" s="27">
        <v>0</v>
      </c>
      <c r="BE1877" s="44" t="s">
        <v>4433</v>
      </c>
      <c r="BF1877" s="44" t="s">
        <v>4434</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70301003</v>
      </c>
      <c r="D1878" s="17" t="s">
        <v>1067</v>
      </c>
      <c r="E1878" s="17" t="s">
        <v>1068</v>
      </c>
      <c r="F1878" s="18">
        <v>1</v>
      </c>
      <c r="G1878" s="16">
        <v>60010100</v>
      </c>
      <c r="H1878" s="18">
        <v>0</v>
      </c>
      <c r="I1878" s="27">
        <v>0</v>
      </c>
      <c r="J1878" s="18">
        <v>1</v>
      </c>
      <c r="K1878" s="18">
        <v>0</v>
      </c>
      <c r="L1878" s="18">
        <v>0</v>
      </c>
      <c r="M1878" s="16">
        <v>0</v>
      </c>
      <c r="N1878" s="16">
        <v>0</v>
      </c>
      <c r="O1878" s="16">
        <v>2</v>
      </c>
      <c r="P1878" s="16">
        <v>1</v>
      </c>
      <c r="Q1878" s="16">
        <v>0.3</v>
      </c>
      <c r="R1878" s="16">
        <v>0</v>
      </c>
      <c r="S1878" s="12">
        <v>0</v>
      </c>
      <c r="T1878" s="16">
        <v>0</v>
      </c>
      <c r="U1878" s="16">
        <v>1</v>
      </c>
      <c r="V1878" s="16">
        <v>2</v>
      </c>
      <c r="W1878" s="16">
        <v>0</v>
      </c>
      <c r="X1878" s="16">
        <v>3</v>
      </c>
      <c r="Y1878" s="12">
        <v>0</v>
      </c>
      <c r="Z1878" s="16">
        <v>0</v>
      </c>
      <c r="AA1878" s="16">
        <v>1</v>
      </c>
      <c r="AB1878" s="16">
        <v>0</v>
      </c>
      <c r="AC1878" s="16">
        <v>0</v>
      </c>
      <c r="AD1878" s="16">
        <v>0</v>
      </c>
      <c r="AE1878" s="16">
        <v>0</v>
      </c>
      <c r="AF1878" s="16">
        <v>12</v>
      </c>
      <c r="AG1878" s="16">
        <v>1</v>
      </c>
      <c r="AH1878" s="16">
        <v>3</v>
      </c>
      <c r="AI1878" s="12">
        <v>6</v>
      </c>
      <c r="AJ1878" s="12">
        <v>1</v>
      </c>
      <c r="AK1878" s="12">
        <v>0</v>
      </c>
      <c r="AL1878" s="12">
        <v>1.5</v>
      </c>
      <c r="AM1878" s="16">
        <v>0</v>
      </c>
      <c r="AN1878" s="16">
        <v>0</v>
      </c>
      <c r="AO1878" s="16">
        <v>0</v>
      </c>
      <c r="AP1878" s="16">
        <v>3</v>
      </c>
      <c r="AQ1878" s="16">
        <v>5000</v>
      </c>
      <c r="AR1878" s="16">
        <v>3</v>
      </c>
      <c r="AS1878" s="16">
        <v>0</v>
      </c>
      <c r="AT1878" s="12">
        <v>0</v>
      </c>
      <c r="AU1878" s="16">
        <v>80001030</v>
      </c>
      <c r="AV1878" s="16"/>
      <c r="AW1878" s="19" t="s">
        <v>256</v>
      </c>
      <c r="AX1878" s="16" t="s">
        <v>534</v>
      </c>
      <c r="AY1878" s="18">
        <v>10000007</v>
      </c>
      <c r="AZ1878" s="18">
        <v>70301003</v>
      </c>
      <c r="BA1878" s="17" t="s">
        <v>200</v>
      </c>
      <c r="BB1878" s="16" t="s">
        <v>4435</v>
      </c>
      <c r="BC1878" s="27">
        <v>0</v>
      </c>
      <c r="BD1878" s="27">
        <v>0</v>
      </c>
      <c r="BE1878" s="44" t="s">
        <v>4436</v>
      </c>
      <c r="BF1878" s="44" t="s">
        <v>4437</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70301004</v>
      </c>
      <c r="D1879" s="19" t="s">
        <v>4438</v>
      </c>
      <c r="E1879" s="19" t="s">
        <v>4439</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8">
        <v>20</v>
      </c>
      <c r="AG1879" s="18">
        <v>0</v>
      </c>
      <c r="AH1879" s="18">
        <v>0</v>
      </c>
      <c r="AI1879" s="12">
        <v>7</v>
      </c>
      <c r="AJ1879" s="12">
        <v>0</v>
      </c>
      <c r="AK1879" s="12">
        <v>0</v>
      </c>
      <c r="AL1879" s="12">
        <v>0</v>
      </c>
      <c r="AM1879" s="18">
        <v>0</v>
      </c>
      <c r="AN1879" s="18">
        <v>0</v>
      </c>
      <c r="AO1879" s="18">
        <v>0</v>
      </c>
      <c r="AP1879" s="18">
        <v>0</v>
      </c>
      <c r="AQ1879" s="18">
        <v>1000</v>
      </c>
      <c r="AR1879" s="18">
        <v>0</v>
      </c>
      <c r="AS1879" s="18">
        <v>0</v>
      </c>
      <c r="AT1879" s="12">
        <v>0</v>
      </c>
      <c r="AU1879" s="18" t="s">
        <v>4440</v>
      </c>
      <c r="AV1879" s="18"/>
      <c r="AW1879" s="19" t="s">
        <v>199</v>
      </c>
      <c r="AX1879" s="18" t="s">
        <v>348</v>
      </c>
      <c r="AY1879" s="18">
        <v>0</v>
      </c>
      <c r="AZ1879" s="18">
        <v>0</v>
      </c>
      <c r="BA1879" s="19" t="s">
        <v>200</v>
      </c>
      <c r="BB1879" s="19" t="s">
        <v>198</v>
      </c>
      <c r="BC1879" s="27">
        <v>0</v>
      </c>
      <c r="BD1879" s="27">
        <v>0</v>
      </c>
      <c r="BE1879" s="87" t="s">
        <v>4441</v>
      </c>
      <c r="BF1879" s="87" t="s">
        <v>4442</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70301005</v>
      </c>
      <c r="D1880" s="19" t="s">
        <v>4443</v>
      </c>
      <c r="E1880" s="19" t="s">
        <v>4444</v>
      </c>
      <c r="F1880" s="18">
        <v>1</v>
      </c>
      <c r="G1880" s="18">
        <v>60010500</v>
      </c>
      <c r="H1880" s="18">
        <v>0</v>
      </c>
      <c r="I1880" s="27">
        <v>0</v>
      </c>
      <c r="J1880" s="18">
        <v>1</v>
      </c>
      <c r="K1880" s="18">
        <v>0</v>
      </c>
      <c r="L1880" s="18">
        <v>0</v>
      </c>
      <c r="M1880" s="18">
        <v>0</v>
      </c>
      <c r="N1880" s="18">
        <v>0</v>
      </c>
      <c r="O1880" s="16">
        <v>2</v>
      </c>
      <c r="P1880" s="18">
        <v>0</v>
      </c>
      <c r="Q1880" s="18">
        <v>0</v>
      </c>
      <c r="R1880" s="18">
        <v>0</v>
      </c>
      <c r="S1880" s="12">
        <v>0</v>
      </c>
      <c r="T1880" s="27">
        <v>0</v>
      </c>
      <c r="U1880" s="16">
        <v>1</v>
      </c>
      <c r="V1880" s="18">
        <v>1</v>
      </c>
      <c r="W1880" s="18">
        <v>0</v>
      </c>
      <c r="X1880" s="18">
        <v>1</v>
      </c>
      <c r="Y1880" s="12">
        <v>0</v>
      </c>
      <c r="Z1880" s="18">
        <v>0</v>
      </c>
      <c r="AA1880" s="18">
        <v>0</v>
      </c>
      <c r="AB1880" s="18">
        <v>0</v>
      </c>
      <c r="AC1880" s="18">
        <v>0</v>
      </c>
      <c r="AD1880" s="16">
        <v>0</v>
      </c>
      <c r="AE1880" s="18">
        <v>0</v>
      </c>
      <c r="AF1880" s="18">
        <v>1</v>
      </c>
      <c r="AG1880" s="18">
        <v>0</v>
      </c>
      <c r="AH1880" s="18">
        <v>0</v>
      </c>
      <c r="AI1880" s="12">
        <v>7</v>
      </c>
      <c r="AJ1880" s="12">
        <v>0</v>
      </c>
      <c r="AK1880" s="12">
        <v>0</v>
      </c>
      <c r="AL1880" s="12">
        <v>0</v>
      </c>
      <c r="AM1880" s="18">
        <v>0</v>
      </c>
      <c r="AN1880" s="18">
        <v>0</v>
      </c>
      <c r="AO1880" s="18">
        <v>0</v>
      </c>
      <c r="AP1880" s="18">
        <v>0</v>
      </c>
      <c r="AQ1880" s="18">
        <v>1000</v>
      </c>
      <c r="AR1880" s="18">
        <v>0.5</v>
      </c>
      <c r="AS1880" s="18">
        <v>10</v>
      </c>
      <c r="AT1880" s="12">
        <v>0</v>
      </c>
      <c r="AU1880" s="18" t="s">
        <v>4445</v>
      </c>
      <c r="AV1880" s="18"/>
      <c r="AW1880" s="19" t="s">
        <v>741</v>
      </c>
      <c r="AX1880" s="18">
        <v>0</v>
      </c>
      <c r="AY1880" s="18">
        <v>10000011</v>
      </c>
      <c r="AZ1880" s="18">
        <v>50000001</v>
      </c>
      <c r="BA1880" s="19" t="s">
        <v>250</v>
      </c>
      <c r="BB1880" s="19" t="s">
        <v>198</v>
      </c>
      <c r="BC1880" s="27">
        <v>0</v>
      </c>
      <c r="BD1880" s="27">
        <v>0</v>
      </c>
      <c r="BE1880" s="87" t="s">
        <v>4446</v>
      </c>
      <c r="BF1880" s="87" t="s">
        <v>4447</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spans="3:75" ht="19.5" customHeight="1">
      <c r="C1881" s="18">
        <v>70302001</v>
      </c>
      <c r="D1881" s="17" t="s">
        <v>1017</v>
      </c>
      <c r="E1881" s="17" t="s">
        <v>1018</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1</v>
      </c>
      <c r="Y1881" s="12">
        <v>0</v>
      </c>
      <c r="Z1881" s="16">
        <v>0</v>
      </c>
      <c r="AA1881" s="16">
        <v>1</v>
      </c>
      <c r="AB1881" s="16">
        <v>0</v>
      </c>
      <c r="AC1881" s="16">
        <v>0</v>
      </c>
      <c r="AD1881" s="16">
        <v>0</v>
      </c>
      <c r="AE1881" s="16">
        <v>0</v>
      </c>
      <c r="AF1881" s="16">
        <v>10</v>
      </c>
      <c r="AG1881" s="16">
        <v>1</v>
      </c>
      <c r="AH1881" s="16" t="s">
        <v>861</v>
      </c>
      <c r="AI1881" s="12">
        <v>0</v>
      </c>
      <c r="AJ1881" s="12">
        <v>0</v>
      </c>
      <c r="AK1881" s="12">
        <v>0</v>
      </c>
      <c r="AL1881" s="12">
        <v>0</v>
      </c>
      <c r="AM1881" s="16">
        <v>0</v>
      </c>
      <c r="AN1881" s="16">
        <v>0</v>
      </c>
      <c r="AO1881" s="16">
        <v>0</v>
      </c>
      <c r="AP1881" s="16">
        <v>0.5</v>
      </c>
      <c r="AQ1881" s="16">
        <v>999999</v>
      </c>
      <c r="AR1881" s="16">
        <v>0.5</v>
      </c>
      <c r="AS1881" s="16">
        <v>0</v>
      </c>
      <c r="AT1881" s="12">
        <v>0</v>
      </c>
      <c r="AU1881" s="341" t="s">
        <v>1019</v>
      </c>
      <c r="AV1881" s="12"/>
      <c r="AW1881" s="19" t="s">
        <v>256</v>
      </c>
      <c r="AX1881" s="16" t="s">
        <v>534</v>
      </c>
      <c r="AY1881" s="18">
        <v>10000007</v>
      </c>
      <c r="AZ1881" s="18">
        <v>70302001</v>
      </c>
      <c r="BA1881" s="19" t="s">
        <v>315</v>
      </c>
      <c r="BB1881" s="19" t="s">
        <v>371</v>
      </c>
      <c r="BC1881" s="27">
        <v>0</v>
      </c>
      <c r="BD1881" s="27">
        <v>0</v>
      </c>
      <c r="BE1881" s="44" t="s">
        <v>1020</v>
      </c>
      <c r="BF1881" s="44" t="s">
        <v>1021</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70302002</v>
      </c>
      <c r="D1882" s="19" t="s">
        <v>1022</v>
      </c>
      <c r="E1882" s="19" t="s">
        <v>1023</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30</v>
      </c>
      <c r="AG1882" s="18">
        <v>0</v>
      </c>
      <c r="AH1882" s="18">
        <v>0</v>
      </c>
      <c r="AI1882" s="12">
        <v>8</v>
      </c>
      <c r="AJ1882" s="12">
        <v>0</v>
      </c>
      <c r="AK1882" s="12">
        <v>0</v>
      </c>
      <c r="AL1882" s="12">
        <v>0</v>
      </c>
      <c r="AM1882" s="18">
        <v>0</v>
      </c>
      <c r="AN1882" s="18">
        <v>0</v>
      </c>
      <c r="AO1882" s="18">
        <v>0</v>
      </c>
      <c r="AP1882" s="18">
        <v>0</v>
      </c>
      <c r="AQ1882" s="18">
        <v>1000</v>
      </c>
      <c r="AR1882" s="18">
        <v>0</v>
      </c>
      <c r="AS1882" s="18">
        <v>0</v>
      </c>
      <c r="AT1882" s="12">
        <v>90301006</v>
      </c>
      <c r="AU1882" s="18" t="s">
        <v>198</v>
      </c>
      <c r="AV1882" s="18"/>
      <c r="AW1882" s="19" t="s">
        <v>199</v>
      </c>
      <c r="AX1882" s="18" t="s">
        <v>348</v>
      </c>
      <c r="AY1882" s="18">
        <v>0</v>
      </c>
      <c r="AZ1882" s="18">
        <v>0</v>
      </c>
      <c r="BA1882" s="19" t="s">
        <v>200</v>
      </c>
      <c r="BB1882" s="19" t="s">
        <v>198</v>
      </c>
      <c r="BC1882" s="27">
        <v>0</v>
      </c>
      <c r="BD1882" s="27">
        <v>0</v>
      </c>
      <c r="BE1882" s="87" t="s">
        <v>4398</v>
      </c>
      <c r="BF1882" s="87" t="s">
        <v>4399</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spans="3:75" ht="19.5" customHeight="1">
      <c r="C1883" s="18">
        <v>70302003</v>
      </c>
      <c r="D1883" s="17" t="s">
        <v>1324</v>
      </c>
      <c r="E1883" s="17" t="s">
        <v>1325</v>
      </c>
      <c r="F1883" s="18">
        <v>1</v>
      </c>
      <c r="G1883" s="16">
        <v>60010100</v>
      </c>
      <c r="H1883" s="18">
        <v>0</v>
      </c>
      <c r="I1883" s="27">
        <v>0</v>
      </c>
      <c r="J1883" s="18">
        <v>1</v>
      </c>
      <c r="K1883" s="18">
        <v>0</v>
      </c>
      <c r="L1883" s="18">
        <v>0</v>
      </c>
      <c r="M1883" s="16">
        <v>0</v>
      </c>
      <c r="N1883" s="16">
        <v>0</v>
      </c>
      <c r="O1883" s="16">
        <v>2</v>
      </c>
      <c r="P1883" s="16">
        <v>1</v>
      </c>
      <c r="Q1883" s="16">
        <v>0.5</v>
      </c>
      <c r="R1883" s="16">
        <v>0</v>
      </c>
      <c r="S1883" s="12">
        <v>0</v>
      </c>
      <c r="T1883" s="16">
        <v>0</v>
      </c>
      <c r="U1883" s="16">
        <v>1</v>
      </c>
      <c r="V1883" s="16">
        <v>2</v>
      </c>
      <c r="W1883" s="16">
        <v>0</v>
      </c>
      <c r="X1883" s="16">
        <v>2</v>
      </c>
      <c r="Y1883" s="12">
        <v>0</v>
      </c>
      <c r="Z1883" s="16">
        <v>0</v>
      </c>
      <c r="AA1883" s="16">
        <v>1</v>
      </c>
      <c r="AB1883" s="16">
        <v>0</v>
      </c>
      <c r="AC1883" s="16">
        <v>0</v>
      </c>
      <c r="AD1883" s="16">
        <v>0</v>
      </c>
      <c r="AE1883" s="16">
        <v>0</v>
      </c>
      <c r="AF1883" s="16">
        <v>12</v>
      </c>
      <c r="AG1883" s="16">
        <v>2</v>
      </c>
      <c r="AH1883" s="16" t="s">
        <v>213</v>
      </c>
      <c r="AI1883" s="12">
        <v>0</v>
      </c>
      <c r="AJ1883" s="12">
        <v>2</v>
      </c>
      <c r="AK1883" s="12">
        <v>0</v>
      </c>
      <c r="AL1883" s="12">
        <v>1.5</v>
      </c>
      <c r="AM1883" s="16">
        <v>0</v>
      </c>
      <c r="AN1883" s="16">
        <v>0</v>
      </c>
      <c r="AO1883" s="16">
        <v>0</v>
      </c>
      <c r="AP1883" s="16">
        <v>1.5</v>
      </c>
      <c r="AQ1883" s="16">
        <v>10000</v>
      </c>
      <c r="AR1883" s="16">
        <v>1</v>
      </c>
      <c r="AS1883" s="16">
        <v>5</v>
      </c>
      <c r="AT1883" s="12">
        <v>0</v>
      </c>
      <c r="AU1883" s="16" t="s">
        <v>198</v>
      </c>
      <c r="AV1883" s="16"/>
      <c r="AW1883" s="19" t="s">
        <v>617</v>
      </c>
      <c r="AX1883" s="16" t="s">
        <v>534</v>
      </c>
      <c r="AY1883" s="18">
        <v>10000007</v>
      </c>
      <c r="AZ1883" s="18">
        <v>70302003</v>
      </c>
      <c r="BA1883" s="19" t="s">
        <v>586</v>
      </c>
      <c r="BB1883" s="16">
        <v>0</v>
      </c>
      <c r="BC1883" s="27">
        <v>0</v>
      </c>
      <c r="BD1883" s="27">
        <v>0</v>
      </c>
      <c r="BE1883" s="44" t="s">
        <v>3124</v>
      </c>
      <c r="BF1883" s="44" t="s">
        <v>3125</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70302004</v>
      </c>
      <c r="D1884" s="17" t="s">
        <v>1029</v>
      </c>
      <c r="E1884" s="17" t="s">
        <v>1030</v>
      </c>
      <c r="F1884" s="18">
        <v>1</v>
      </c>
      <c r="G1884" s="16">
        <v>60010100</v>
      </c>
      <c r="H1884" s="18">
        <v>0</v>
      </c>
      <c r="I1884" s="27">
        <v>0</v>
      </c>
      <c r="J1884" s="18">
        <v>1</v>
      </c>
      <c r="K1884" s="18">
        <v>0</v>
      </c>
      <c r="L1884" s="18">
        <v>0</v>
      </c>
      <c r="M1884" s="16">
        <v>0</v>
      </c>
      <c r="N1884" s="16">
        <v>0</v>
      </c>
      <c r="O1884" s="16">
        <v>2</v>
      </c>
      <c r="P1884" s="16">
        <v>1</v>
      </c>
      <c r="Q1884" s="16">
        <v>0.5</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999999</v>
      </c>
      <c r="AR1884" s="16">
        <v>3</v>
      </c>
      <c r="AS1884" s="16">
        <v>0</v>
      </c>
      <c r="AT1884" s="12">
        <v>0</v>
      </c>
      <c r="AU1884" s="16" t="s">
        <v>198</v>
      </c>
      <c r="AV1884" s="16"/>
      <c r="AW1884" s="19" t="s">
        <v>287</v>
      </c>
      <c r="AX1884" s="16" t="s">
        <v>534</v>
      </c>
      <c r="AY1884" s="18">
        <v>10000007</v>
      </c>
      <c r="AZ1884" s="18">
        <v>70302004</v>
      </c>
      <c r="BA1884" s="17" t="s">
        <v>200</v>
      </c>
      <c r="BB1884" s="16" t="s">
        <v>4448</v>
      </c>
      <c r="BC1884" s="27">
        <v>0</v>
      </c>
      <c r="BD1884" s="27">
        <v>0</v>
      </c>
      <c r="BE1884" s="44" t="s">
        <v>4400</v>
      </c>
      <c r="BF1884" s="44" t="s">
        <v>4401</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70303001</v>
      </c>
      <c r="D1885" s="17" t="s">
        <v>1086</v>
      </c>
      <c r="E1885" s="17" t="s">
        <v>1087</v>
      </c>
      <c r="F1885" s="16">
        <v>1</v>
      </c>
      <c r="G1885" s="16">
        <v>60010300</v>
      </c>
      <c r="H1885" s="18">
        <v>0</v>
      </c>
      <c r="I1885" s="27">
        <v>0</v>
      </c>
      <c r="J1885" s="18">
        <v>1</v>
      </c>
      <c r="K1885" s="18">
        <v>0</v>
      </c>
      <c r="L1885" s="18">
        <v>0</v>
      </c>
      <c r="M1885" s="16">
        <v>0</v>
      </c>
      <c r="N1885" s="16">
        <v>0</v>
      </c>
      <c r="O1885" s="16">
        <v>2</v>
      </c>
      <c r="P1885" s="16">
        <v>2</v>
      </c>
      <c r="Q1885" s="16">
        <v>0.8</v>
      </c>
      <c r="R1885" s="16">
        <v>1</v>
      </c>
      <c r="S1885" s="12">
        <v>0</v>
      </c>
      <c r="T1885" s="16">
        <v>0</v>
      </c>
      <c r="U1885" s="16">
        <v>1</v>
      </c>
      <c r="V1885" s="16">
        <v>2</v>
      </c>
      <c r="W1885" s="16">
        <v>0</v>
      </c>
      <c r="X1885" s="16">
        <v>0</v>
      </c>
      <c r="Y1885" s="12">
        <v>0</v>
      </c>
      <c r="Z1885" s="16">
        <v>0</v>
      </c>
      <c r="AA1885" s="16">
        <v>0</v>
      </c>
      <c r="AB1885" s="16">
        <v>0</v>
      </c>
      <c r="AC1885" s="16">
        <v>0</v>
      </c>
      <c r="AD1885" s="16">
        <v>0</v>
      </c>
      <c r="AE1885" s="16">
        <v>0</v>
      </c>
      <c r="AF1885" s="16">
        <v>99999</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4449</v>
      </c>
      <c r="BC1885" s="27">
        <v>0</v>
      </c>
      <c r="BD1885" s="27">
        <v>0</v>
      </c>
      <c r="BE1885" s="44" t="s">
        <v>1089</v>
      </c>
      <c r="BF1885" s="44" t="s">
        <v>1090</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19.5" customHeight="1">
      <c r="C1886" s="18">
        <v>70303002</v>
      </c>
      <c r="D1886" s="17" t="s">
        <v>1091</v>
      </c>
      <c r="E1886" s="17" t="s">
        <v>1092</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12</v>
      </c>
      <c r="AG1886" s="16">
        <v>1</v>
      </c>
      <c r="AH1886" s="16" t="s">
        <v>607</v>
      </c>
      <c r="AI1886" s="12">
        <v>0</v>
      </c>
      <c r="AJ1886" s="12">
        <v>1</v>
      </c>
      <c r="AK1886" s="12">
        <v>0</v>
      </c>
      <c r="AL1886" s="12">
        <v>3</v>
      </c>
      <c r="AM1886" s="16">
        <v>0</v>
      </c>
      <c r="AN1886" s="16">
        <v>0</v>
      </c>
      <c r="AO1886" s="16">
        <v>0</v>
      </c>
      <c r="AP1886" s="16">
        <v>3</v>
      </c>
      <c r="AQ1886" s="16">
        <v>5000</v>
      </c>
      <c r="AR1886" s="16">
        <v>2.5</v>
      </c>
      <c r="AS1886" s="16">
        <v>0</v>
      </c>
      <c r="AT1886" s="12">
        <v>0</v>
      </c>
      <c r="AU1886" s="16">
        <v>80001030</v>
      </c>
      <c r="AV1886" s="16"/>
      <c r="AW1886" s="19" t="s">
        <v>287</v>
      </c>
      <c r="AX1886" s="16" t="s">
        <v>534</v>
      </c>
      <c r="AY1886" s="18">
        <v>10000007</v>
      </c>
      <c r="AZ1886" s="18">
        <v>70204001</v>
      </c>
      <c r="BA1886" s="17" t="s">
        <v>200</v>
      </c>
      <c r="BB1886" s="16">
        <v>0</v>
      </c>
      <c r="BC1886" s="27">
        <v>0</v>
      </c>
      <c r="BD1886" s="27">
        <v>0</v>
      </c>
      <c r="BE1886" s="44" t="s">
        <v>1093</v>
      </c>
      <c r="BF1886" s="44" t="s">
        <v>1094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70303003</v>
      </c>
      <c r="D1887" s="17" t="s">
        <v>946</v>
      </c>
      <c r="E1887" s="17" t="s">
        <v>947</v>
      </c>
      <c r="F1887" s="18">
        <v>1</v>
      </c>
      <c r="G1887" s="16">
        <v>60010100</v>
      </c>
      <c r="H1887" s="18">
        <v>0</v>
      </c>
      <c r="I1887" s="27">
        <v>0</v>
      </c>
      <c r="J1887" s="18">
        <v>1</v>
      </c>
      <c r="K1887" s="18">
        <v>0</v>
      </c>
      <c r="L1887" s="18">
        <v>0</v>
      </c>
      <c r="M1887" s="16">
        <v>0</v>
      </c>
      <c r="N1887" s="16">
        <v>0</v>
      </c>
      <c r="O1887" s="16">
        <v>2</v>
      </c>
      <c r="P1887" s="16">
        <v>1</v>
      </c>
      <c r="Q1887" s="16">
        <v>0.3</v>
      </c>
      <c r="R1887" s="16">
        <v>0</v>
      </c>
      <c r="S1887" s="12">
        <v>0</v>
      </c>
      <c r="T1887" s="16">
        <v>0</v>
      </c>
      <c r="U1887" s="16">
        <v>1</v>
      </c>
      <c r="V1887" s="16">
        <v>2</v>
      </c>
      <c r="W1887" s="16">
        <v>0</v>
      </c>
      <c r="X1887" s="16">
        <v>2.5</v>
      </c>
      <c r="Y1887" s="12">
        <v>0</v>
      </c>
      <c r="Z1887" s="16">
        <v>0</v>
      </c>
      <c r="AA1887" s="16">
        <v>1</v>
      </c>
      <c r="AB1887" s="16">
        <v>0</v>
      </c>
      <c r="AC1887" s="16">
        <v>0</v>
      </c>
      <c r="AD1887" s="16">
        <v>0</v>
      </c>
      <c r="AE1887" s="16">
        <v>0</v>
      </c>
      <c r="AF1887" s="16">
        <v>12</v>
      </c>
      <c r="AG1887" s="16">
        <v>1</v>
      </c>
      <c r="AH1887" s="16">
        <v>3</v>
      </c>
      <c r="AI1887" s="12">
        <v>4</v>
      </c>
      <c r="AJ1887" s="12">
        <v>1</v>
      </c>
      <c r="AK1887" s="12">
        <v>0</v>
      </c>
      <c r="AL1887" s="12">
        <v>1.5</v>
      </c>
      <c r="AM1887" s="16">
        <v>0</v>
      </c>
      <c r="AN1887" s="16">
        <v>0</v>
      </c>
      <c r="AO1887" s="16">
        <v>0</v>
      </c>
      <c r="AP1887" s="16">
        <v>3</v>
      </c>
      <c r="AQ1887" s="16">
        <v>5000</v>
      </c>
      <c r="AR1887" s="16">
        <v>3</v>
      </c>
      <c r="AS1887" s="16">
        <v>0</v>
      </c>
      <c r="AT1887" s="12">
        <v>0</v>
      </c>
      <c r="AU1887" s="16">
        <v>80001030</v>
      </c>
      <c r="AV1887" s="16"/>
      <c r="AW1887" s="19" t="s">
        <v>256</v>
      </c>
      <c r="AX1887" s="16" t="s">
        <v>534</v>
      </c>
      <c r="AY1887" s="18">
        <v>10000007</v>
      </c>
      <c r="AZ1887" s="18">
        <v>70204002</v>
      </c>
      <c r="BA1887" s="17" t="s">
        <v>200</v>
      </c>
      <c r="BB1887" s="16" t="s">
        <v>4450</v>
      </c>
      <c r="BC1887" s="27">
        <v>0</v>
      </c>
      <c r="BD1887" s="27">
        <v>0</v>
      </c>
      <c r="BE1887" s="44" t="s">
        <v>1096</v>
      </c>
      <c r="BF1887" s="44" t="s">
        <v>1097</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70303004</v>
      </c>
      <c r="D1888" s="17" t="s">
        <v>951</v>
      </c>
      <c r="E1888" s="17" t="s">
        <v>952</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12</v>
      </c>
      <c r="AG1888" s="16">
        <v>1</v>
      </c>
      <c r="AH1888" s="16">
        <v>3</v>
      </c>
      <c r="AI1888" s="12">
        <v>6</v>
      </c>
      <c r="AJ1888" s="12">
        <v>1</v>
      </c>
      <c r="AK1888" s="12">
        <v>0</v>
      </c>
      <c r="AL1888" s="12">
        <v>1.5</v>
      </c>
      <c r="AM1888" s="16">
        <v>0</v>
      </c>
      <c r="AN1888" s="16">
        <v>0</v>
      </c>
      <c r="AO1888" s="16">
        <v>0</v>
      </c>
      <c r="AP1888" s="16">
        <v>3</v>
      </c>
      <c r="AQ1888" s="16">
        <v>5000</v>
      </c>
      <c r="AR1888" s="16">
        <v>3</v>
      </c>
      <c r="AS1888" s="16">
        <v>0</v>
      </c>
      <c r="AT1888" s="12">
        <v>0</v>
      </c>
      <c r="AU1888" s="16">
        <v>80001030</v>
      </c>
      <c r="AV1888" s="16"/>
      <c r="AW1888" s="19" t="s">
        <v>617</v>
      </c>
      <c r="AX1888" s="16" t="s">
        <v>534</v>
      </c>
      <c r="AY1888" s="18">
        <v>10000007</v>
      </c>
      <c r="AZ1888" s="18">
        <v>70204003</v>
      </c>
      <c r="BA1888" s="17" t="s">
        <v>200</v>
      </c>
      <c r="BB1888" s="16" t="s">
        <v>4417</v>
      </c>
      <c r="BC1888" s="27">
        <v>0</v>
      </c>
      <c r="BD1888" s="27">
        <v>0</v>
      </c>
      <c r="BE1888" s="44" t="s">
        <v>1099</v>
      </c>
      <c r="BF1888" s="44" t="s">
        <v>1100</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70304001</v>
      </c>
      <c r="D1889" s="17" t="s">
        <v>4451</v>
      </c>
      <c r="E1889" s="17" t="s">
        <v>4452</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20</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4453</v>
      </c>
      <c r="BC1889" s="27">
        <v>0</v>
      </c>
      <c r="BD1889" s="27">
        <v>0</v>
      </c>
      <c r="BE1889" s="44" t="s">
        <v>4454</v>
      </c>
      <c r="BF1889" s="44" t="s">
        <v>4455</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70304002</v>
      </c>
      <c r="D1890" s="19" t="s">
        <v>744</v>
      </c>
      <c r="E1890" s="19" t="s">
        <v>745</v>
      </c>
      <c r="F1890" s="18">
        <v>1</v>
      </c>
      <c r="G1890" s="18">
        <v>60010500</v>
      </c>
      <c r="H1890" s="18">
        <v>0</v>
      </c>
      <c r="I1890" s="27">
        <v>0</v>
      </c>
      <c r="J1890" s="18">
        <v>1</v>
      </c>
      <c r="K1890" s="18">
        <v>0</v>
      </c>
      <c r="L1890" s="18">
        <v>0</v>
      </c>
      <c r="M1890" s="18">
        <v>0</v>
      </c>
      <c r="N1890" s="18">
        <v>0</v>
      </c>
      <c r="O1890" s="16">
        <v>2</v>
      </c>
      <c r="P1890" s="18">
        <v>1</v>
      </c>
      <c r="Q1890" s="18">
        <v>0.05</v>
      </c>
      <c r="R1890" s="18">
        <v>0</v>
      </c>
      <c r="S1890" s="12">
        <v>0</v>
      </c>
      <c r="T1890" s="27">
        <v>0</v>
      </c>
      <c r="U1890" s="16">
        <v>1</v>
      </c>
      <c r="V1890" s="18">
        <v>1</v>
      </c>
      <c r="W1890" s="18">
        <v>0</v>
      </c>
      <c r="X1890" s="18">
        <v>2</v>
      </c>
      <c r="Y1890" s="12">
        <v>0</v>
      </c>
      <c r="Z1890" s="18">
        <v>0</v>
      </c>
      <c r="AA1890" s="18">
        <v>0</v>
      </c>
      <c r="AB1890" s="18">
        <v>0</v>
      </c>
      <c r="AC1890" s="18">
        <v>0</v>
      </c>
      <c r="AD1890" s="16">
        <v>0</v>
      </c>
      <c r="AE1890" s="18">
        <v>0</v>
      </c>
      <c r="AF1890" s="18">
        <v>10</v>
      </c>
      <c r="AG1890" s="18">
        <v>0</v>
      </c>
      <c r="AH1890" s="18">
        <v>0</v>
      </c>
      <c r="AI1890" s="12">
        <v>7</v>
      </c>
      <c r="AJ1890" s="12">
        <v>0</v>
      </c>
      <c r="AK1890" s="12">
        <v>0</v>
      </c>
      <c r="AL1890" s="12">
        <v>0</v>
      </c>
      <c r="AM1890" s="18">
        <v>0</v>
      </c>
      <c r="AN1890" s="18">
        <v>0</v>
      </c>
      <c r="AO1890" s="18">
        <v>0</v>
      </c>
      <c r="AP1890" s="18">
        <v>0</v>
      </c>
      <c r="AQ1890" s="18">
        <v>1000</v>
      </c>
      <c r="AR1890" s="18">
        <v>0.5</v>
      </c>
      <c r="AS1890" s="18">
        <v>0</v>
      </c>
      <c r="AT1890" s="12">
        <v>0</v>
      </c>
      <c r="AU1890" s="18" t="s">
        <v>659</v>
      </c>
      <c r="AV1890" s="18"/>
      <c r="AW1890" s="19" t="s">
        <v>741</v>
      </c>
      <c r="AX1890" s="18">
        <v>0</v>
      </c>
      <c r="AY1890" s="18">
        <v>10007001</v>
      </c>
      <c r="AZ1890" s="18">
        <v>0</v>
      </c>
      <c r="BA1890" s="19" t="s">
        <v>200</v>
      </c>
      <c r="BB1890" s="19" t="s">
        <v>198</v>
      </c>
      <c r="BC1890" s="27">
        <v>0</v>
      </c>
      <c r="BD1890" s="27">
        <v>0</v>
      </c>
      <c r="BE1890" s="87" t="s">
        <v>746</v>
      </c>
      <c r="BF1890" s="87" t="s">
        <v>747</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70304003</v>
      </c>
      <c r="D1891" s="17" t="s">
        <v>748</v>
      </c>
      <c r="E1891" s="17" t="s">
        <v>749</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0</v>
      </c>
      <c r="AK1891" s="12">
        <v>0</v>
      </c>
      <c r="AL1891" s="12">
        <v>1.5</v>
      </c>
      <c r="AM1891" s="16">
        <v>0</v>
      </c>
      <c r="AN1891" s="16">
        <v>0</v>
      </c>
      <c r="AO1891" s="16">
        <v>0</v>
      </c>
      <c r="AP1891" s="16">
        <v>1</v>
      </c>
      <c r="AQ1891" s="16">
        <v>5000</v>
      </c>
      <c r="AR1891" s="16">
        <v>0.5</v>
      </c>
      <c r="AS1891" s="16">
        <v>0</v>
      </c>
      <c r="AT1891" s="12">
        <v>0</v>
      </c>
      <c r="AU1891" s="16" t="s">
        <v>198</v>
      </c>
      <c r="AV1891" s="16"/>
      <c r="AW1891" s="19" t="s">
        <v>617</v>
      </c>
      <c r="AX1891" s="16" t="s">
        <v>534</v>
      </c>
      <c r="AY1891" s="18">
        <v>10000007</v>
      </c>
      <c r="AZ1891" s="18">
        <v>70201001</v>
      </c>
      <c r="BA1891" s="17" t="s">
        <v>200</v>
      </c>
      <c r="BB1891" s="16">
        <v>0</v>
      </c>
      <c r="BC1891" s="27">
        <v>0</v>
      </c>
      <c r="BD1891" s="27">
        <v>0</v>
      </c>
      <c r="BE1891" s="44" t="s">
        <v>750</v>
      </c>
      <c r="BF1891" s="44" t="s">
        <v>751</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70304004</v>
      </c>
      <c r="D1892" s="19" t="s">
        <v>4395</v>
      </c>
      <c r="E1892" s="19" t="s">
        <v>4396</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99999</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t="s">
        <v>754</v>
      </c>
      <c r="AU1892" s="18" t="s">
        <v>198</v>
      </c>
      <c r="AV1892" s="18"/>
      <c r="AW1892" s="19" t="s">
        <v>199</v>
      </c>
      <c r="AX1892" s="18" t="s">
        <v>348</v>
      </c>
      <c r="AY1892" s="18">
        <v>0</v>
      </c>
      <c r="AZ1892" s="18">
        <v>0</v>
      </c>
      <c r="BA1892" s="19" t="s">
        <v>200</v>
      </c>
      <c r="BB1892" s="19" t="s">
        <v>198</v>
      </c>
      <c r="BC1892" s="27">
        <v>0</v>
      </c>
      <c r="BD1892" s="27">
        <v>0</v>
      </c>
      <c r="BE1892" s="87" t="s">
        <v>755</v>
      </c>
      <c r="BF1892" s="87" t="s">
        <v>756</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70304005</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1</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20</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90304001</v>
      </c>
      <c r="AU1893" s="18" t="s">
        <v>198</v>
      </c>
      <c r="AV1893" s="18"/>
      <c r="AW1893" s="19" t="s">
        <v>199</v>
      </c>
      <c r="AX1893" s="18" t="s">
        <v>348</v>
      </c>
      <c r="AY1893" s="18">
        <v>0</v>
      </c>
      <c r="AZ1893" s="18">
        <v>0</v>
      </c>
      <c r="BA1893" s="19" t="s">
        <v>200</v>
      </c>
      <c r="BB1893" s="19" t="s">
        <v>198</v>
      </c>
      <c r="BC1893" s="27">
        <v>0</v>
      </c>
      <c r="BD1893" s="27">
        <v>0</v>
      </c>
      <c r="BE1893" s="87" t="s">
        <v>758</v>
      </c>
      <c r="BF1893" s="87" t="s">
        <v>759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70304006</v>
      </c>
      <c r="D1894" s="17" t="s">
        <v>760</v>
      </c>
      <c r="E1894" s="17" t="s">
        <v>761</v>
      </c>
      <c r="F1894" s="16">
        <v>2</v>
      </c>
      <c r="G1894" s="16">
        <v>61012301</v>
      </c>
      <c r="H1894" s="16">
        <v>0</v>
      </c>
      <c r="I1894" s="27">
        <v>0</v>
      </c>
      <c r="J1894" s="18">
        <v>1</v>
      </c>
      <c r="K1894" s="18">
        <v>0</v>
      </c>
      <c r="L1894" s="18">
        <v>0</v>
      </c>
      <c r="M1894" s="16">
        <v>0</v>
      </c>
      <c r="N1894" s="16">
        <v>0</v>
      </c>
      <c r="O1894" s="16">
        <v>2</v>
      </c>
      <c r="P1894" s="16">
        <v>1</v>
      </c>
      <c r="Q1894" s="16">
        <v>0.5</v>
      </c>
      <c r="R1894" s="16">
        <v>0</v>
      </c>
      <c r="S1894" s="12">
        <v>0</v>
      </c>
      <c r="T1894" s="16">
        <v>0</v>
      </c>
      <c r="U1894" s="16">
        <v>1</v>
      </c>
      <c r="V1894" s="16">
        <v>2</v>
      </c>
      <c r="W1894" s="16">
        <v>0</v>
      </c>
      <c r="X1894" s="16">
        <v>1.4</v>
      </c>
      <c r="Y1894" s="12">
        <v>0</v>
      </c>
      <c r="Z1894" s="16">
        <v>150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1200</v>
      </c>
      <c r="AR1894" s="16">
        <v>1</v>
      </c>
      <c r="AS1894" s="16">
        <v>15</v>
      </c>
      <c r="AT1894" s="12">
        <v>0</v>
      </c>
      <c r="AU1894" s="16" t="s">
        <v>198</v>
      </c>
      <c r="AV1894" s="16"/>
      <c r="AW1894" s="17" t="s">
        <v>256</v>
      </c>
      <c r="AX1894" s="16" t="s">
        <v>215</v>
      </c>
      <c r="AY1894" s="18">
        <v>10000011</v>
      </c>
      <c r="AZ1894" s="18">
        <v>70404001</v>
      </c>
      <c r="BA1894" s="17" t="s">
        <v>216</v>
      </c>
      <c r="BB1894" s="16">
        <v>0</v>
      </c>
      <c r="BC1894" s="27">
        <v>0</v>
      </c>
      <c r="BD1894" s="27">
        <v>0</v>
      </c>
      <c r="BE1894" s="44" t="s">
        <v>798</v>
      </c>
      <c r="BF1894" s="44" t="s">
        <v>799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70304007</v>
      </c>
      <c r="D1895" s="17" t="s">
        <v>765</v>
      </c>
      <c r="E1895" s="17" t="s">
        <v>766</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15</v>
      </c>
      <c r="AG1895" s="16">
        <v>1</v>
      </c>
      <c r="AH1895" s="16" t="s">
        <v>607</v>
      </c>
      <c r="AI1895" s="12">
        <v>0</v>
      </c>
      <c r="AJ1895" s="12">
        <v>1</v>
      </c>
      <c r="AK1895" s="12">
        <v>0</v>
      </c>
      <c r="AL1895" s="12">
        <v>3</v>
      </c>
      <c r="AM1895" s="16">
        <v>0</v>
      </c>
      <c r="AN1895" s="16">
        <v>0</v>
      </c>
      <c r="AO1895" s="16">
        <v>0</v>
      </c>
      <c r="AP1895" s="16">
        <v>3</v>
      </c>
      <c r="AQ1895" s="16">
        <v>5000</v>
      </c>
      <c r="AR1895" s="16">
        <v>2.5</v>
      </c>
      <c r="AS1895" s="16">
        <v>0</v>
      </c>
      <c r="AT1895" s="12">
        <v>0</v>
      </c>
      <c r="AU1895" s="16" t="s">
        <v>659</v>
      </c>
      <c r="AV1895" s="16"/>
      <c r="AW1895" s="19" t="s">
        <v>256</v>
      </c>
      <c r="AX1895" s="16" t="s">
        <v>534</v>
      </c>
      <c r="AY1895" s="18">
        <v>10000007</v>
      </c>
      <c r="AZ1895" s="18">
        <v>70205002</v>
      </c>
      <c r="BA1895" s="17" t="s">
        <v>200</v>
      </c>
      <c r="BB1895" s="16">
        <v>0</v>
      </c>
      <c r="BC1895" s="27">
        <v>0</v>
      </c>
      <c r="BD1895" s="27">
        <v>0</v>
      </c>
      <c r="BE1895" s="44" t="s">
        <v>767</v>
      </c>
      <c r="BF1895" s="44" t="s">
        <v>768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70304008</v>
      </c>
      <c r="D1896" s="15" t="s">
        <v>800</v>
      </c>
      <c r="E1896" s="15" t="s">
        <v>455</v>
      </c>
      <c r="F1896" s="15">
        <v>1</v>
      </c>
      <c r="G1896" s="15">
        <v>60010002</v>
      </c>
      <c r="H1896" s="15">
        <v>0</v>
      </c>
      <c r="I1896" s="26">
        <v>0</v>
      </c>
      <c r="J1896" s="15">
        <v>0</v>
      </c>
      <c r="K1896" s="15">
        <v>0</v>
      </c>
      <c r="L1896" s="26">
        <v>0</v>
      </c>
      <c r="M1896" s="26">
        <v>0</v>
      </c>
      <c r="N1896" s="15">
        <v>0</v>
      </c>
      <c r="O1896" s="16">
        <v>2</v>
      </c>
      <c r="P1896" s="15">
        <v>2</v>
      </c>
      <c r="Q1896" s="15">
        <v>0.95</v>
      </c>
      <c r="R1896" s="15">
        <v>0</v>
      </c>
      <c r="S1896" s="12">
        <v>0</v>
      </c>
      <c r="T1896" s="15">
        <v>0</v>
      </c>
      <c r="U1896" s="16">
        <v>1</v>
      </c>
      <c r="V1896" s="15">
        <v>2</v>
      </c>
      <c r="W1896" s="26">
        <v>0</v>
      </c>
      <c r="X1896" s="15">
        <v>3</v>
      </c>
      <c r="Y1896" s="12">
        <v>0</v>
      </c>
      <c r="Z1896" s="15">
        <v>0</v>
      </c>
      <c r="AA1896" s="15">
        <v>0</v>
      </c>
      <c r="AB1896" s="15">
        <v>0</v>
      </c>
      <c r="AC1896" s="26">
        <v>0</v>
      </c>
      <c r="AD1896" s="15">
        <v>0</v>
      </c>
      <c r="AE1896" s="15">
        <v>0</v>
      </c>
      <c r="AF1896" s="15">
        <v>15</v>
      </c>
      <c r="AG1896" s="15">
        <v>2</v>
      </c>
      <c r="AH1896" s="15" t="s">
        <v>801</v>
      </c>
      <c r="AI1896" s="69">
        <v>0</v>
      </c>
      <c r="AJ1896" s="69">
        <v>2</v>
      </c>
      <c r="AK1896" s="12">
        <v>0</v>
      </c>
      <c r="AL1896" s="15">
        <v>4</v>
      </c>
      <c r="AM1896" s="33">
        <v>0</v>
      </c>
      <c r="AN1896" s="15">
        <v>0</v>
      </c>
      <c r="AO1896" s="15">
        <v>0</v>
      </c>
      <c r="AP1896" s="15">
        <v>2</v>
      </c>
      <c r="AQ1896" s="16">
        <v>4000</v>
      </c>
      <c r="AR1896" s="15">
        <v>2</v>
      </c>
      <c r="AS1896" s="15">
        <v>0</v>
      </c>
      <c r="AT1896" s="12">
        <v>0</v>
      </c>
      <c r="AU1896" s="16" t="s">
        <v>659</v>
      </c>
      <c r="AV1896" s="16"/>
      <c r="AW1896" s="19" t="s">
        <v>287</v>
      </c>
      <c r="AX1896" s="26">
        <v>0</v>
      </c>
      <c r="AY1896" s="26">
        <v>0</v>
      </c>
      <c r="AZ1896" s="26">
        <v>70205004</v>
      </c>
      <c r="BA1896" s="19" t="s">
        <v>200</v>
      </c>
      <c r="BB1896" s="16">
        <v>0</v>
      </c>
      <c r="BC1896" s="27">
        <v>0</v>
      </c>
      <c r="BD1896" s="27">
        <v>0</v>
      </c>
      <c r="BE1896" s="44" t="s">
        <v>802</v>
      </c>
      <c r="BF1896" s="86" t="s">
        <v>803</v>
      </c>
      <c r="BG1896" s="15">
        <v>2</v>
      </c>
      <c r="BH1896" s="15">
        <v>0</v>
      </c>
      <c r="BI1896" s="18">
        <v>0</v>
      </c>
      <c r="BJ1896" s="15">
        <v>1</v>
      </c>
      <c r="BK1896" s="15">
        <v>2</v>
      </c>
      <c r="BL1896" s="33">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70305001</v>
      </c>
      <c r="D1897" s="17" t="s">
        <v>1116</v>
      </c>
      <c r="E1897" s="17" t="s">
        <v>391</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2.5</v>
      </c>
      <c r="Y1897" s="12">
        <v>0</v>
      </c>
      <c r="Z1897" s="16">
        <v>0</v>
      </c>
      <c r="AA1897" s="16">
        <v>1</v>
      </c>
      <c r="AB1897" s="16">
        <v>0</v>
      </c>
      <c r="AC1897" s="16">
        <v>0</v>
      </c>
      <c r="AD1897" s="16">
        <v>0</v>
      </c>
      <c r="AE1897" s="16">
        <v>0</v>
      </c>
      <c r="AF1897" s="16">
        <v>12</v>
      </c>
      <c r="AG1897" s="16">
        <v>1</v>
      </c>
      <c r="AH1897" s="16">
        <v>3</v>
      </c>
      <c r="AI1897" s="12">
        <v>4</v>
      </c>
      <c r="AJ1897" s="12">
        <v>1</v>
      </c>
      <c r="AK1897" s="12">
        <v>0</v>
      </c>
      <c r="AL1897" s="12">
        <v>1.5</v>
      </c>
      <c r="AM1897" s="16">
        <v>0</v>
      </c>
      <c r="AN1897" s="16">
        <v>0</v>
      </c>
      <c r="AO1897" s="16">
        <v>0</v>
      </c>
      <c r="AP1897" s="16">
        <v>3</v>
      </c>
      <c r="AQ1897" s="16">
        <v>5000</v>
      </c>
      <c r="AR1897" s="16">
        <v>3</v>
      </c>
      <c r="AS1897" s="16">
        <v>0</v>
      </c>
      <c r="AT1897" s="12">
        <v>0</v>
      </c>
      <c r="AU1897" s="16">
        <v>80001030</v>
      </c>
      <c r="AV1897" s="16"/>
      <c r="AW1897" s="19" t="s">
        <v>256</v>
      </c>
      <c r="AX1897" s="16" t="s">
        <v>534</v>
      </c>
      <c r="AY1897" s="18">
        <v>10000007</v>
      </c>
      <c r="AZ1897" s="18">
        <v>70204002</v>
      </c>
      <c r="BA1897" s="17" t="s">
        <v>200</v>
      </c>
      <c r="BB1897" s="16" t="s">
        <v>4456</v>
      </c>
      <c r="BC1897" s="27">
        <v>0</v>
      </c>
      <c r="BD1897" s="27">
        <v>0</v>
      </c>
      <c r="BE1897" s="44" t="s">
        <v>1322</v>
      </c>
      <c r="BF1897" s="44" t="s">
        <v>1323</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70305002</v>
      </c>
      <c r="D1898" s="17" t="s">
        <v>1324</v>
      </c>
      <c r="E1898" s="17" t="s">
        <v>1325</v>
      </c>
      <c r="F1898" s="18">
        <v>1</v>
      </c>
      <c r="G1898" s="16">
        <v>60010100</v>
      </c>
      <c r="H1898" s="18">
        <v>0</v>
      </c>
      <c r="I1898" s="27">
        <v>0</v>
      </c>
      <c r="J1898" s="18">
        <v>1</v>
      </c>
      <c r="K1898" s="18">
        <v>0</v>
      </c>
      <c r="L1898" s="18">
        <v>0</v>
      </c>
      <c r="M1898" s="16">
        <v>0</v>
      </c>
      <c r="N1898" s="16">
        <v>0</v>
      </c>
      <c r="O1898" s="16">
        <v>2</v>
      </c>
      <c r="P1898" s="16">
        <v>1</v>
      </c>
      <c r="Q1898" s="16">
        <v>1</v>
      </c>
      <c r="R1898" s="16">
        <v>0</v>
      </c>
      <c r="S1898" s="12">
        <v>0</v>
      </c>
      <c r="T1898" s="16">
        <v>0</v>
      </c>
      <c r="U1898" s="16">
        <v>1</v>
      </c>
      <c r="V1898" s="16">
        <v>2</v>
      </c>
      <c r="W1898" s="16">
        <v>0</v>
      </c>
      <c r="X1898" s="16">
        <v>2</v>
      </c>
      <c r="Y1898" s="12">
        <v>0</v>
      </c>
      <c r="Z1898" s="16">
        <v>0</v>
      </c>
      <c r="AA1898" s="16">
        <v>1</v>
      </c>
      <c r="AB1898" s="16">
        <v>0</v>
      </c>
      <c r="AC1898" s="16">
        <v>0</v>
      </c>
      <c r="AD1898" s="16">
        <v>0</v>
      </c>
      <c r="AE1898" s="16">
        <v>0</v>
      </c>
      <c r="AF1898" s="16">
        <v>12</v>
      </c>
      <c r="AG1898" s="16">
        <v>2</v>
      </c>
      <c r="AH1898" s="16" t="s">
        <v>213</v>
      </c>
      <c r="AI1898" s="12">
        <v>0</v>
      </c>
      <c r="AJ1898" s="12">
        <v>2</v>
      </c>
      <c r="AK1898" s="12">
        <v>0</v>
      </c>
      <c r="AL1898" s="12">
        <v>1.5</v>
      </c>
      <c r="AM1898" s="16">
        <v>0</v>
      </c>
      <c r="AN1898" s="16">
        <v>0</v>
      </c>
      <c r="AO1898" s="16">
        <v>0</v>
      </c>
      <c r="AP1898" s="16">
        <v>1.5</v>
      </c>
      <c r="AQ1898" s="16">
        <v>10000</v>
      </c>
      <c r="AR1898" s="16">
        <v>1</v>
      </c>
      <c r="AS1898" s="16">
        <v>5</v>
      </c>
      <c r="AT1898" s="12">
        <v>0</v>
      </c>
      <c r="AU1898" s="16" t="s">
        <v>198</v>
      </c>
      <c r="AV1898" s="16"/>
      <c r="AW1898" s="19" t="s">
        <v>617</v>
      </c>
      <c r="AX1898" s="16" t="s">
        <v>534</v>
      </c>
      <c r="AY1898" s="18">
        <v>10000007</v>
      </c>
      <c r="AZ1898" s="18">
        <v>70302003</v>
      </c>
      <c r="BA1898" s="19" t="s">
        <v>586</v>
      </c>
      <c r="BB1898" s="16">
        <v>0</v>
      </c>
      <c r="BC1898" s="27">
        <v>0</v>
      </c>
      <c r="BD1898" s="27">
        <v>0</v>
      </c>
      <c r="BE1898" s="44" t="s">
        <v>1108</v>
      </c>
      <c r="BF1898" s="44" t="s">
        <v>1109</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70305003</v>
      </c>
      <c r="D1899" s="19" t="s">
        <v>621</v>
      </c>
      <c r="E1899" s="19" t="s">
        <v>622</v>
      </c>
      <c r="F1899" s="18">
        <v>1</v>
      </c>
      <c r="G1899" s="18">
        <v>60010500</v>
      </c>
      <c r="H1899" s="18">
        <v>0</v>
      </c>
      <c r="I1899" s="27">
        <v>0</v>
      </c>
      <c r="J1899" s="18">
        <v>1</v>
      </c>
      <c r="K1899" s="18">
        <v>0</v>
      </c>
      <c r="L1899" s="18">
        <v>0</v>
      </c>
      <c r="M1899" s="18">
        <v>0</v>
      </c>
      <c r="N1899" s="18">
        <v>0</v>
      </c>
      <c r="O1899" s="16">
        <v>2</v>
      </c>
      <c r="P1899" s="18">
        <v>2</v>
      </c>
      <c r="Q1899" s="18">
        <v>0.3</v>
      </c>
      <c r="R1899" s="18">
        <v>0</v>
      </c>
      <c r="S1899" s="12">
        <v>0</v>
      </c>
      <c r="T1899" s="27">
        <v>0</v>
      </c>
      <c r="U1899" s="16">
        <v>1</v>
      </c>
      <c r="V1899" s="18">
        <v>2</v>
      </c>
      <c r="W1899" s="18">
        <v>0</v>
      </c>
      <c r="X1899" s="18">
        <v>0</v>
      </c>
      <c r="Y1899" s="12">
        <v>0</v>
      </c>
      <c r="Z1899" s="18">
        <v>0</v>
      </c>
      <c r="AA1899" s="18">
        <v>0</v>
      </c>
      <c r="AB1899" s="18">
        <v>0</v>
      </c>
      <c r="AC1899" s="18">
        <v>0</v>
      </c>
      <c r="AD1899" s="16">
        <v>0</v>
      </c>
      <c r="AE1899" s="18">
        <v>0</v>
      </c>
      <c r="AF1899" s="16">
        <v>12</v>
      </c>
      <c r="AG1899" s="18">
        <v>0</v>
      </c>
      <c r="AH1899" s="18">
        <v>0</v>
      </c>
      <c r="AI1899" s="12">
        <v>7</v>
      </c>
      <c r="AJ1899" s="12">
        <v>0</v>
      </c>
      <c r="AK1899" s="12">
        <v>0</v>
      </c>
      <c r="AL1899" s="12">
        <v>0</v>
      </c>
      <c r="AM1899" s="18">
        <v>0</v>
      </c>
      <c r="AN1899" s="18">
        <v>0</v>
      </c>
      <c r="AO1899" s="18">
        <v>0</v>
      </c>
      <c r="AP1899" s="18">
        <v>0</v>
      </c>
      <c r="AQ1899" s="18">
        <v>1000</v>
      </c>
      <c r="AR1899" s="18">
        <v>0</v>
      </c>
      <c r="AS1899" s="18">
        <v>0</v>
      </c>
      <c r="AT1899" s="12">
        <v>0</v>
      </c>
      <c r="AU1899" s="18">
        <v>90204004</v>
      </c>
      <c r="AV1899" s="18"/>
      <c r="AW1899" s="19" t="s">
        <v>199</v>
      </c>
      <c r="AX1899" s="18" t="s">
        <v>348</v>
      </c>
      <c r="AY1899" s="18">
        <v>0</v>
      </c>
      <c r="AZ1899" s="18">
        <v>0</v>
      </c>
      <c r="BA1899" s="19" t="s">
        <v>200</v>
      </c>
      <c r="BB1899" s="19" t="s">
        <v>198</v>
      </c>
      <c r="BC1899" s="27">
        <v>0</v>
      </c>
      <c r="BD1899" s="27">
        <v>0</v>
      </c>
      <c r="BE1899" s="87" t="s">
        <v>623</v>
      </c>
      <c r="BF1899" s="87" t="s">
        <v>624</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19.5" customHeight="1">
      <c r="C1900" s="18">
        <v>70305004</v>
      </c>
      <c r="D1900" s="19" t="s">
        <v>757</v>
      </c>
      <c r="E1900" s="19" t="s">
        <v>399</v>
      </c>
      <c r="F1900" s="18">
        <v>1</v>
      </c>
      <c r="G1900" s="18">
        <v>60010500</v>
      </c>
      <c r="H1900" s="18">
        <v>0</v>
      </c>
      <c r="I1900" s="27">
        <v>0</v>
      </c>
      <c r="J1900" s="18">
        <v>1</v>
      </c>
      <c r="K1900" s="18">
        <v>0</v>
      </c>
      <c r="L1900" s="18">
        <v>0</v>
      </c>
      <c r="M1900" s="18">
        <v>0</v>
      </c>
      <c r="N1900" s="18">
        <v>0</v>
      </c>
      <c r="O1900" s="16">
        <v>2</v>
      </c>
      <c r="P1900" s="18">
        <v>2</v>
      </c>
      <c r="Q1900" s="18">
        <v>0.3</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6">
        <v>15</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t="s">
        <v>754</v>
      </c>
      <c r="AU1900" s="18" t="s">
        <v>198</v>
      </c>
      <c r="AV1900" s="18"/>
      <c r="AW1900" s="19" t="s">
        <v>199</v>
      </c>
      <c r="AX1900" s="18" t="s">
        <v>348</v>
      </c>
      <c r="AY1900" s="18">
        <v>0</v>
      </c>
      <c r="AZ1900" s="18">
        <v>0</v>
      </c>
      <c r="BA1900" s="19" t="s">
        <v>200</v>
      </c>
      <c r="BB1900" s="19" t="s">
        <v>198</v>
      </c>
      <c r="BC1900" s="27">
        <v>0</v>
      </c>
      <c r="BD1900" s="27">
        <v>0</v>
      </c>
      <c r="BE1900" s="87" t="s">
        <v>1118</v>
      </c>
      <c r="BF1900" s="87" t="s">
        <v>1119</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19.5" customHeight="1">
      <c r="C1901" s="18">
        <v>70305005</v>
      </c>
      <c r="D1901" s="17" t="s">
        <v>1326</v>
      </c>
      <c r="E1901" s="17" t="s">
        <v>1327</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3</v>
      </c>
      <c r="AQ1901" s="16">
        <v>5000</v>
      </c>
      <c r="AR1901" s="16">
        <v>2.5</v>
      </c>
      <c r="AS1901" s="16">
        <v>0</v>
      </c>
      <c r="AT1901" s="12">
        <v>0</v>
      </c>
      <c r="AU1901" s="16" t="s">
        <v>659</v>
      </c>
      <c r="AV1901" s="16"/>
      <c r="AW1901" s="19" t="s">
        <v>287</v>
      </c>
      <c r="AX1901" s="16" t="s">
        <v>534</v>
      </c>
      <c r="AY1901" s="18">
        <v>10000007</v>
      </c>
      <c r="AZ1901" s="18">
        <v>70305005</v>
      </c>
      <c r="BA1901" s="17" t="s">
        <v>200</v>
      </c>
      <c r="BB1901" s="16">
        <v>0</v>
      </c>
      <c r="BC1901" s="27">
        <v>0</v>
      </c>
      <c r="BD1901" s="27">
        <v>0</v>
      </c>
      <c r="BE1901" s="44" t="s">
        <v>4457</v>
      </c>
      <c r="BF1901" s="44" t="s">
        <v>4458</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19.5" customHeight="1">
      <c r="C1902" s="18">
        <v>70305006</v>
      </c>
      <c r="D1902" s="17" t="s">
        <v>4459</v>
      </c>
      <c r="E1902" s="17" t="s">
        <v>4460</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15</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198</v>
      </c>
      <c r="AV1902" s="16"/>
      <c r="AW1902" s="19" t="s">
        <v>199</v>
      </c>
      <c r="AX1902" s="16" t="s">
        <v>545</v>
      </c>
      <c r="AY1902" s="18">
        <v>0</v>
      </c>
      <c r="AZ1902" s="18">
        <v>0</v>
      </c>
      <c r="BA1902" s="17" t="s">
        <v>528</v>
      </c>
      <c r="BB1902" s="16" t="s">
        <v>4461</v>
      </c>
      <c r="BC1902" s="27">
        <v>0</v>
      </c>
      <c r="BD1902" s="27">
        <v>0</v>
      </c>
      <c r="BE1902" s="44" t="s">
        <v>4462</v>
      </c>
      <c r="BF1902" s="44" t="s">
        <v>4463</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70305007</v>
      </c>
      <c r="D1903" s="17" t="s">
        <v>4464</v>
      </c>
      <c r="E1903" s="17" t="s">
        <v>4465</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7</v>
      </c>
      <c r="AG1903" s="16">
        <v>1</v>
      </c>
      <c r="AH1903" s="16" t="s">
        <v>607</v>
      </c>
      <c r="AI1903" s="12">
        <v>0</v>
      </c>
      <c r="AJ1903" s="12">
        <v>1</v>
      </c>
      <c r="AK1903" s="12">
        <v>0</v>
      </c>
      <c r="AL1903" s="12">
        <v>3</v>
      </c>
      <c r="AM1903" s="16">
        <v>0</v>
      </c>
      <c r="AN1903" s="16">
        <v>0</v>
      </c>
      <c r="AO1903" s="16">
        <v>0</v>
      </c>
      <c r="AP1903" s="16">
        <v>3</v>
      </c>
      <c r="AQ1903" s="16">
        <v>5000</v>
      </c>
      <c r="AR1903" s="16">
        <v>2.5</v>
      </c>
      <c r="AS1903" s="16">
        <v>0</v>
      </c>
      <c r="AT1903" s="12">
        <v>0</v>
      </c>
      <c r="AU1903" s="16" t="s">
        <v>198</v>
      </c>
      <c r="AV1903" s="16"/>
      <c r="AW1903" s="19" t="s">
        <v>199</v>
      </c>
      <c r="AX1903" s="16" t="s">
        <v>534</v>
      </c>
      <c r="AY1903" s="18">
        <v>10000007</v>
      </c>
      <c r="AZ1903" s="18">
        <v>70305007</v>
      </c>
      <c r="BA1903" s="17" t="s">
        <v>200</v>
      </c>
      <c r="BB1903" s="16">
        <v>0</v>
      </c>
      <c r="BC1903" s="27">
        <v>0</v>
      </c>
      <c r="BD1903" s="27">
        <v>0</v>
      </c>
      <c r="BE1903" s="44" t="s">
        <v>582</v>
      </c>
      <c r="BF1903" s="44" t="s">
        <v>583</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70401001</v>
      </c>
      <c r="D1904" s="17" t="s">
        <v>600</v>
      </c>
      <c r="E1904" s="17" t="s">
        <v>601</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20</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4466</v>
      </c>
      <c r="BC1904" s="27">
        <v>0</v>
      </c>
      <c r="BD1904" s="27">
        <v>0</v>
      </c>
      <c r="BE1904" s="44" t="s">
        <v>4467</v>
      </c>
      <c r="BF1904" s="44" t="s">
        <v>4468</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70401002</v>
      </c>
      <c r="D1905" s="17" t="s">
        <v>4469</v>
      </c>
      <c r="E1905" s="17" t="s">
        <v>4470</v>
      </c>
      <c r="F1905" s="16">
        <v>1</v>
      </c>
      <c r="G1905" s="16">
        <v>60010300</v>
      </c>
      <c r="H1905" s="18">
        <v>0</v>
      </c>
      <c r="I1905" s="27">
        <v>0</v>
      </c>
      <c r="J1905" s="18">
        <v>1</v>
      </c>
      <c r="K1905" s="18">
        <v>0</v>
      </c>
      <c r="L1905" s="18">
        <v>0</v>
      </c>
      <c r="M1905" s="16">
        <v>0</v>
      </c>
      <c r="N1905" s="16">
        <v>0</v>
      </c>
      <c r="O1905" s="16">
        <v>2</v>
      </c>
      <c r="P1905" s="16">
        <v>2</v>
      </c>
      <c r="Q1905" s="16">
        <v>0.8</v>
      </c>
      <c r="R1905" s="16">
        <v>0</v>
      </c>
      <c r="S1905" s="12">
        <v>0</v>
      </c>
      <c r="T1905" s="16">
        <v>0</v>
      </c>
      <c r="U1905" s="16">
        <v>1</v>
      </c>
      <c r="V1905" s="16">
        <v>2</v>
      </c>
      <c r="W1905" s="16">
        <v>0</v>
      </c>
      <c r="X1905" s="16">
        <v>0</v>
      </c>
      <c r="Y1905" s="12">
        <v>0</v>
      </c>
      <c r="Z1905" s="16">
        <v>0</v>
      </c>
      <c r="AA1905" s="16">
        <v>0</v>
      </c>
      <c r="AB1905" s="16">
        <v>0</v>
      </c>
      <c r="AC1905" s="16">
        <v>0</v>
      </c>
      <c r="AD1905" s="16">
        <v>0</v>
      </c>
      <c r="AE1905" s="16">
        <v>0</v>
      </c>
      <c r="AF1905" s="16">
        <v>30</v>
      </c>
      <c r="AG1905" s="16">
        <v>0</v>
      </c>
      <c r="AH1905" s="16">
        <v>0</v>
      </c>
      <c r="AI1905" s="12">
        <v>2</v>
      </c>
      <c r="AJ1905" s="12">
        <v>2</v>
      </c>
      <c r="AK1905" s="12">
        <v>0</v>
      </c>
      <c r="AL1905" s="12">
        <v>1.5</v>
      </c>
      <c r="AM1905" s="16">
        <v>0</v>
      </c>
      <c r="AN1905" s="16">
        <v>0</v>
      </c>
      <c r="AO1905" s="16">
        <v>0</v>
      </c>
      <c r="AP1905" s="16">
        <v>1</v>
      </c>
      <c r="AQ1905" s="16">
        <v>3000</v>
      </c>
      <c r="AR1905" s="16">
        <v>0.5</v>
      </c>
      <c r="AS1905" s="16">
        <v>0</v>
      </c>
      <c r="AT1905" s="12">
        <v>0</v>
      </c>
      <c r="AU1905" s="16" t="s">
        <v>198</v>
      </c>
      <c r="AV1905" s="16"/>
      <c r="AW1905" s="19" t="s">
        <v>199</v>
      </c>
      <c r="AX1905" s="16" t="s">
        <v>545</v>
      </c>
      <c r="AY1905" s="18">
        <v>0</v>
      </c>
      <c r="AZ1905" s="18">
        <v>0</v>
      </c>
      <c r="BA1905" s="17" t="s">
        <v>528</v>
      </c>
      <c r="BB1905" s="16" t="s">
        <v>4471</v>
      </c>
      <c r="BC1905" s="27">
        <v>0</v>
      </c>
      <c r="BD1905" s="27">
        <v>0</v>
      </c>
      <c r="BE1905" s="44" t="s">
        <v>4472</v>
      </c>
      <c r="BF1905" s="44" t="s">
        <v>4473</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70401003</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659</v>
      </c>
      <c r="AV1906" s="18"/>
      <c r="AW1906" s="19" t="s">
        <v>741</v>
      </c>
      <c r="AX1906" s="18">
        <v>0</v>
      </c>
      <c r="AY1906" s="18">
        <v>10007001</v>
      </c>
      <c r="AZ1906" s="18">
        <v>0</v>
      </c>
      <c r="BA1906" s="19" t="s">
        <v>200</v>
      </c>
      <c r="BB1906" s="19" t="s">
        <v>198</v>
      </c>
      <c r="BC1906" s="27">
        <v>0</v>
      </c>
      <c r="BD1906" s="27">
        <v>0</v>
      </c>
      <c r="BE1906" s="87" t="s">
        <v>746</v>
      </c>
      <c r="BF1906" s="87" t="s">
        <v>747</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70401004</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198</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70401005</v>
      </c>
      <c r="D1908" s="19" t="s">
        <v>757</v>
      </c>
      <c r="E1908" s="19" t="s">
        <v>399</v>
      </c>
      <c r="F1908" s="18">
        <v>1</v>
      </c>
      <c r="G1908" s="18">
        <v>60010500</v>
      </c>
      <c r="H1908" s="18">
        <v>0</v>
      </c>
      <c r="I1908" s="27">
        <v>0</v>
      </c>
      <c r="J1908" s="18">
        <v>1</v>
      </c>
      <c r="K1908" s="18">
        <v>0</v>
      </c>
      <c r="L1908" s="18">
        <v>0</v>
      </c>
      <c r="M1908" s="18">
        <v>0</v>
      </c>
      <c r="N1908" s="18">
        <v>0</v>
      </c>
      <c r="O1908" s="16">
        <v>2</v>
      </c>
      <c r="P1908" s="18">
        <v>2</v>
      </c>
      <c r="Q1908" s="18">
        <v>0.3</v>
      </c>
      <c r="R1908" s="18">
        <v>0</v>
      </c>
      <c r="S1908" s="12">
        <v>0</v>
      </c>
      <c r="T1908" s="27">
        <v>0</v>
      </c>
      <c r="U1908" s="16">
        <v>1</v>
      </c>
      <c r="V1908" s="18">
        <v>2</v>
      </c>
      <c r="W1908" s="18">
        <v>0</v>
      </c>
      <c r="X1908" s="18">
        <v>0</v>
      </c>
      <c r="Y1908" s="12">
        <v>0</v>
      </c>
      <c r="Z1908" s="18">
        <v>0</v>
      </c>
      <c r="AA1908" s="18">
        <v>0</v>
      </c>
      <c r="AB1908" s="18">
        <v>0</v>
      </c>
      <c r="AC1908" s="18">
        <v>0</v>
      </c>
      <c r="AD1908" s="16">
        <v>0</v>
      </c>
      <c r="AE1908" s="18">
        <v>0</v>
      </c>
      <c r="AF1908" s="16">
        <v>15</v>
      </c>
      <c r="AG1908" s="18">
        <v>0</v>
      </c>
      <c r="AH1908" s="18">
        <v>0</v>
      </c>
      <c r="AI1908" s="12">
        <v>2</v>
      </c>
      <c r="AJ1908" s="12">
        <v>0</v>
      </c>
      <c r="AK1908" s="12">
        <v>0</v>
      </c>
      <c r="AL1908" s="12">
        <v>0</v>
      </c>
      <c r="AM1908" s="18">
        <v>0</v>
      </c>
      <c r="AN1908" s="18">
        <v>0</v>
      </c>
      <c r="AO1908" s="18">
        <v>0</v>
      </c>
      <c r="AP1908" s="18">
        <v>0</v>
      </c>
      <c r="AQ1908" s="18">
        <v>1000</v>
      </c>
      <c r="AR1908" s="18">
        <v>0</v>
      </c>
      <c r="AS1908" s="18">
        <v>0</v>
      </c>
      <c r="AT1908" s="12">
        <v>90304001</v>
      </c>
      <c r="AU1908" s="18" t="s">
        <v>198</v>
      </c>
      <c r="AV1908" s="18"/>
      <c r="AW1908" s="19" t="s">
        <v>287</v>
      </c>
      <c r="AX1908" s="18" t="s">
        <v>348</v>
      </c>
      <c r="AY1908" s="18">
        <v>0</v>
      </c>
      <c r="AZ1908" s="18">
        <v>0</v>
      </c>
      <c r="BA1908" s="19" t="s">
        <v>200</v>
      </c>
      <c r="BB1908" s="19" t="s">
        <v>198</v>
      </c>
      <c r="BC1908" s="27">
        <v>0</v>
      </c>
      <c r="BD1908" s="27">
        <v>0</v>
      </c>
      <c r="BE1908" s="87" t="s">
        <v>758</v>
      </c>
      <c r="BF1908" s="87" t="s">
        <v>759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70401006</v>
      </c>
      <c r="D1909" s="17" t="s">
        <v>4474</v>
      </c>
      <c r="E1909" s="17" t="s">
        <v>4475</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1.5</v>
      </c>
      <c r="AQ1909" s="16">
        <v>3000</v>
      </c>
      <c r="AR1909" s="16">
        <v>1</v>
      </c>
      <c r="AS1909" s="16">
        <v>0</v>
      </c>
      <c r="AT1909" s="12">
        <v>0</v>
      </c>
      <c r="AU1909" s="16" t="s">
        <v>4476</v>
      </c>
      <c r="AV1909" s="16"/>
      <c r="AW1909" s="19" t="s">
        <v>617</v>
      </c>
      <c r="AX1909" s="16" t="s">
        <v>545</v>
      </c>
      <c r="AY1909" s="18">
        <v>10000007</v>
      </c>
      <c r="AZ1909" s="18">
        <v>70401006</v>
      </c>
      <c r="BA1909" s="17" t="s">
        <v>200</v>
      </c>
      <c r="BB1909" s="16">
        <v>0</v>
      </c>
      <c r="BC1909" s="27">
        <v>0</v>
      </c>
      <c r="BD1909" s="27">
        <v>0</v>
      </c>
      <c r="BE1909" s="44" t="s">
        <v>4477</v>
      </c>
      <c r="BF1909" s="44" t="s">
        <v>4478</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70402001</v>
      </c>
      <c r="D1910" s="17" t="s">
        <v>1124</v>
      </c>
      <c r="E1910" s="17" t="s">
        <v>1125</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1</v>
      </c>
      <c r="Y1910" s="12">
        <v>0</v>
      </c>
      <c r="Z1910" s="16">
        <v>0</v>
      </c>
      <c r="AA1910" s="16">
        <v>1</v>
      </c>
      <c r="AB1910" s="16">
        <v>0</v>
      </c>
      <c r="AC1910" s="16">
        <v>0</v>
      </c>
      <c r="AD1910" s="16">
        <v>0</v>
      </c>
      <c r="AE1910" s="16">
        <v>0</v>
      </c>
      <c r="AF1910" s="16">
        <v>30</v>
      </c>
      <c r="AG1910" s="16">
        <v>1</v>
      </c>
      <c r="AH1910" s="16" t="s">
        <v>861</v>
      </c>
      <c r="AI1910" s="12">
        <v>0</v>
      </c>
      <c r="AJ1910" s="12">
        <v>0</v>
      </c>
      <c r="AK1910" s="12">
        <v>0</v>
      </c>
      <c r="AL1910" s="12">
        <v>0</v>
      </c>
      <c r="AM1910" s="16">
        <v>0</v>
      </c>
      <c r="AN1910" s="16">
        <v>0</v>
      </c>
      <c r="AO1910" s="16">
        <v>0</v>
      </c>
      <c r="AP1910" s="16">
        <v>0.5</v>
      </c>
      <c r="AQ1910" s="16">
        <v>999999</v>
      </c>
      <c r="AR1910" s="16">
        <v>0.5</v>
      </c>
      <c r="AS1910" s="16">
        <v>0</v>
      </c>
      <c r="AT1910" s="12">
        <v>0</v>
      </c>
      <c r="AU1910" s="341" t="s">
        <v>1019</v>
      </c>
      <c r="AV1910" s="12"/>
      <c r="AW1910" s="19" t="s">
        <v>287</v>
      </c>
      <c r="AX1910" s="16" t="s">
        <v>534</v>
      </c>
      <c r="AY1910" s="18">
        <v>10000007</v>
      </c>
      <c r="AZ1910" s="18">
        <v>70202004</v>
      </c>
      <c r="BA1910" s="19" t="s">
        <v>315</v>
      </c>
      <c r="BB1910" s="19" t="s">
        <v>371</v>
      </c>
      <c r="BC1910" s="27">
        <v>0</v>
      </c>
      <c r="BD1910" s="27">
        <v>0</v>
      </c>
      <c r="BE1910" s="44" t="s">
        <v>1001</v>
      </c>
      <c r="BF1910" s="44" t="s">
        <v>1002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70402002</v>
      </c>
      <c r="D1911" s="17" t="s">
        <v>4479</v>
      </c>
      <c r="E1911" s="17" t="s">
        <v>4480</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4481</v>
      </c>
      <c r="BC1911" s="27">
        <v>0</v>
      </c>
      <c r="BD1911" s="27">
        <v>0</v>
      </c>
      <c r="BE1911" s="44" t="s">
        <v>4482</v>
      </c>
      <c r="BF1911" s="44" t="s">
        <v>4483</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19.5" customHeight="1">
      <c r="C1912" s="18">
        <v>70402003</v>
      </c>
      <c r="D1912" s="17" t="s">
        <v>4426</v>
      </c>
      <c r="E1912" s="17" t="s">
        <v>4427</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15</v>
      </c>
      <c r="AG1912" s="16">
        <v>1</v>
      </c>
      <c r="AH1912" s="16" t="s">
        <v>607</v>
      </c>
      <c r="AI1912" s="12">
        <v>0</v>
      </c>
      <c r="AJ1912" s="12">
        <v>1</v>
      </c>
      <c r="AK1912" s="12">
        <v>0</v>
      </c>
      <c r="AL1912" s="12">
        <v>3</v>
      </c>
      <c r="AM1912" s="16">
        <v>0</v>
      </c>
      <c r="AN1912" s="16">
        <v>0</v>
      </c>
      <c r="AO1912" s="16">
        <v>0</v>
      </c>
      <c r="AP1912" s="16">
        <v>2.5</v>
      </c>
      <c r="AQ1912" s="16">
        <v>5000</v>
      </c>
      <c r="AR1912" s="16">
        <v>2</v>
      </c>
      <c r="AS1912" s="16">
        <v>0</v>
      </c>
      <c r="AT1912" s="12">
        <v>0</v>
      </c>
      <c r="AU1912" s="16" t="s">
        <v>659</v>
      </c>
      <c r="AV1912" s="16"/>
      <c r="AW1912" s="19" t="s">
        <v>617</v>
      </c>
      <c r="AX1912" s="16" t="s">
        <v>534</v>
      </c>
      <c r="AY1912" s="18">
        <v>10000007</v>
      </c>
      <c r="AZ1912" s="18">
        <v>70402003</v>
      </c>
      <c r="BA1912" s="17" t="s">
        <v>200</v>
      </c>
      <c r="BB1912" s="16">
        <v>0</v>
      </c>
      <c r="BC1912" s="27">
        <v>0</v>
      </c>
      <c r="BD1912" s="27">
        <v>0</v>
      </c>
      <c r="BE1912" s="44" t="s">
        <v>4457</v>
      </c>
      <c r="BF1912" s="44" t="s">
        <v>4458</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70402004</v>
      </c>
      <c r="D1913" s="19" t="s">
        <v>744</v>
      </c>
      <c r="E1913" s="19" t="s">
        <v>745</v>
      </c>
      <c r="F1913" s="18">
        <v>1</v>
      </c>
      <c r="G1913" s="18">
        <v>60010500</v>
      </c>
      <c r="H1913" s="18">
        <v>0</v>
      </c>
      <c r="I1913" s="27">
        <v>0</v>
      </c>
      <c r="J1913" s="18">
        <v>1</v>
      </c>
      <c r="K1913" s="18">
        <v>0</v>
      </c>
      <c r="L1913" s="18">
        <v>0</v>
      </c>
      <c r="M1913" s="18">
        <v>0</v>
      </c>
      <c r="N1913" s="18">
        <v>0</v>
      </c>
      <c r="O1913" s="16">
        <v>2</v>
      </c>
      <c r="P1913" s="18">
        <v>1</v>
      </c>
      <c r="Q1913" s="18">
        <v>0.05</v>
      </c>
      <c r="R1913" s="18">
        <v>0</v>
      </c>
      <c r="S1913" s="12">
        <v>0</v>
      </c>
      <c r="T1913" s="27">
        <v>0</v>
      </c>
      <c r="U1913" s="16">
        <v>1</v>
      </c>
      <c r="V1913" s="18">
        <v>1</v>
      </c>
      <c r="W1913" s="18">
        <v>0</v>
      </c>
      <c r="X1913" s="18">
        <v>2</v>
      </c>
      <c r="Y1913" s="12">
        <v>0</v>
      </c>
      <c r="Z1913" s="18">
        <v>0</v>
      </c>
      <c r="AA1913" s="18">
        <v>0</v>
      </c>
      <c r="AB1913" s="18">
        <v>0</v>
      </c>
      <c r="AC1913" s="18">
        <v>0</v>
      </c>
      <c r="AD1913" s="16">
        <v>0</v>
      </c>
      <c r="AE1913" s="18">
        <v>0</v>
      </c>
      <c r="AF1913" s="18">
        <v>10</v>
      </c>
      <c r="AG1913" s="18">
        <v>0</v>
      </c>
      <c r="AH1913" s="18">
        <v>0</v>
      </c>
      <c r="AI1913" s="12">
        <v>7</v>
      </c>
      <c r="AJ1913" s="12">
        <v>0</v>
      </c>
      <c r="AK1913" s="12">
        <v>0</v>
      </c>
      <c r="AL1913" s="12">
        <v>0</v>
      </c>
      <c r="AM1913" s="18">
        <v>0</v>
      </c>
      <c r="AN1913" s="18">
        <v>0</v>
      </c>
      <c r="AO1913" s="18">
        <v>0</v>
      </c>
      <c r="AP1913" s="18">
        <v>0</v>
      </c>
      <c r="AQ1913" s="18">
        <v>1000</v>
      </c>
      <c r="AR1913" s="18">
        <v>0.5</v>
      </c>
      <c r="AS1913" s="18">
        <v>0</v>
      </c>
      <c r="AT1913" s="12">
        <v>0</v>
      </c>
      <c r="AU1913" s="18" t="s">
        <v>854</v>
      </c>
      <c r="AV1913" s="18"/>
      <c r="AW1913" s="19" t="s">
        <v>741</v>
      </c>
      <c r="AX1913" s="18">
        <v>0</v>
      </c>
      <c r="AY1913" s="18">
        <v>10007001</v>
      </c>
      <c r="AZ1913" s="18">
        <v>0</v>
      </c>
      <c r="BA1913" s="19" t="s">
        <v>200</v>
      </c>
      <c r="BB1913" s="19" t="s">
        <v>198</v>
      </c>
      <c r="BC1913" s="27">
        <v>0</v>
      </c>
      <c r="BD1913" s="27">
        <v>0</v>
      </c>
      <c r="BE1913" s="87" t="s">
        <v>4484</v>
      </c>
      <c r="BF1913" s="87" t="s">
        <v>4485</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70402005</v>
      </c>
      <c r="D1914" s="19" t="s">
        <v>567</v>
      </c>
      <c r="E1914" s="19" t="s">
        <v>568</v>
      </c>
      <c r="F1914" s="18">
        <v>1</v>
      </c>
      <c r="G1914" s="18">
        <v>60010500</v>
      </c>
      <c r="H1914" s="18">
        <v>0</v>
      </c>
      <c r="I1914" s="27">
        <v>0</v>
      </c>
      <c r="J1914" s="18">
        <v>1</v>
      </c>
      <c r="K1914" s="18">
        <v>0</v>
      </c>
      <c r="L1914" s="18">
        <v>0</v>
      </c>
      <c r="M1914" s="18">
        <v>0</v>
      </c>
      <c r="N1914" s="18">
        <v>0</v>
      </c>
      <c r="O1914" s="16">
        <v>2</v>
      </c>
      <c r="P1914" s="18">
        <v>2</v>
      </c>
      <c r="Q1914" s="18">
        <v>0.3</v>
      </c>
      <c r="R1914" s="18">
        <v>1</v>
      </c>
      <c r="S1914" s="12">
        <v>0</v>
      </c>
      <c r="T1914" s="27">
        <v>0</v>
      </c>
      <c r="U1914" s="16">
        <v>1</v>
      </c>
      <c r="V1914" s="18">
        <v>2</v>
      </c>
      <c r="W1914" s="18">
        <v>0</v>
      </c>
      <c r="X1914" s="18">
        <v>0</v>
      </c>
      <c r="Y1914" s="12">
        <v>0</v>
      </c>
      <c r="Z1914" s="18">
        <v>0</v>
      </c>
      <c r="AA1914" s="18">
        <v>0</v>
      </c>
      <c r="AB1914" s="18">
        <v>0</v>
      </c>
      <c r="AC1914" s="18">
        <v>0</v>
      </c>
      <c r="AD1914" s="16">
        <v>0</v>
      </c>
      <c r="AE1914" s="18">
        <v>0</v>
      </c>
      <c r="AF1914" s="16">
        <v>15</v>
      </c>
      <c r="AG1914" s="18">
        <v>0</v>
      </c>
      <c r="AH1914" s="18">
        <v>0</v>
      </c>
      <c r="AI1914" s="12">
        <v>2</v>
      </c>
      <c r="AJ1914" s="12">
        <v>0</v>
      </c>
      <c r="AK1914" s="12">
        <v>0</v>
      </c>
      <c r="AL1914" s="12">
        <v>0</v>
      </c>
      <c r="AM1914" s="18">
        <v>0</v>
      </c>
      <c r="AN1914" s="18">
        <v>0</v>
      </c>
      <c r="AO1914" s="18">
        <v>0</v>
      </c>
      <c r="AP1914" s="18">
        <v>0</v>
      </c>
      <c r="AQ1914" s="18">
        <v>1000</v>
      </c>
      <c r="AR1914" s="18">
        <v>0</v>
      </c>
      <c r="AS1914" s="18">
        <v>0</v>
      </c>
      <c r="AT1914" s="12">
        <v>90402005</v>
      </c>
      <c r="AU1914" s="18" t="s">
        <v>198</v>
      </c>
      <c r="AV1914" s="18"/>
      <c r="AW1914" s="19" t="s">
        <v>199</v>
      </c>
      <c r="AX1914" s="18" t="s">
        <v>348</v>
      </c>
      <c r="AY1914" s="18">
        <v>0</v>
      </c>
      <c r="AZ1914" s="18">
        <v>0</v>
      </c>
      <c r="BA1914" s="19" t="s">
        <v>200</v>
      </c>
      <c r="BB1914" s="19" t="s">
        <v>198</v>
      </c>
      <c r="BC1914" s="27">
        <v>0</v>
      </c>
      <c r="BD1914" s="27">
        <v>0</v>
      </c>
      <c r="BE1914" s="87" t="s">
        <v>850</v>
      </c>
      <c r="BF1914" s="87" t="s">
        <v>851</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70403001</v>
      </c>
      <c r="D1915" s="17" t="s">
        <v>4486</v>
      </c>
      <c r="E1915" s="17" t="s">
        <v>4487</v>
      </c>
      <c r="F1915" s="16">
        <v>1</v>
      </c>
      <c r="G1915" s="16">
        <v>60010300</v>
      </c>
      <c r="H1915" s="18">
        <v>0</v>
      </c>
      <c r="I1915" s="27">
        <v>0</v>
      </c>
      <c r="J1915" s="18">
        <v>1</v>
      </c>
      <c r="K1915" s="18">
        <v>0</v>
      </c>
      <c r="L1915" s="18">
        <v>0</v>
      </c>
      <c r="M1915" s="16">
        <v>0</v>
      </c>
      <c r="N1915" s="16">
        <v>0</v>
      </c>
      <c r="O1915" s="16">
        <v>2</v>
      </c>
      <c r="P1915" s="16">
        <v>2</v>
      </c>
      <c r="Q1915" s="16">
        <v>0.8</v>
      </c>
      <c r="R1915" s="16">
        <v>0</v>
      </c>
      <c r="S1915" s="12">
        <v>0</v>
      </c>
      <c r="T1915" s="16">
        <v>0</v>
      </c>
      <c r="U1915" s="16">
        <v>1</v>
      </c>
      <c r="V1915" s="16">
        <v>2</v>
      </c>
      <c r="W1915" s="16">
        <v>0</v>
      </c>
      <c r="X1915" s="16">
        <v>0</v>
      </c>
      <c r="Y1915" s="12">
        <v>0</v>
      </c>
      <c r="Z1915" s="16">
        <v>0</v>
      </c>
      <c r="AA1915" s="16">
        <v>0</v>
      </c>
      <c r="AB1915" s="16">
        <v>0</v>
      </c>
      <c r="AC1915" s="16">
        <v>0</v>
      </c>
      <c r="AD1915" s="16">
        <v>0</v>
      </c>
      <c r="AE1915" s="16">
        <v>0</v>
      </c>
      <c r="AF1915" s="16">
        <v>15</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199</v>
      </c>
      <c r="AX1915" s="16" t="s">
        <v>545</v>
      </c>
      <c r="AY1915" s="18">
        <v>0</v>
      </c>
      <c r="AZ1915" s="18">
        <v>0</v>
      </c>
      <c r="BA1915" s="17" t="s">
        <v>528</v>
      </c>
      <c r="BB1915" s="16" t="s">
        <v>4488</v>
      </c>
      <c r="BC1915" s="27">
        <v>0</v>
      </c>
      <c r="BD1915" s="27">
        <v>0</v>
      </c>
      <c r="BE1915" s="44" t="s">
        <v>4489</v>
      </c>
      <c r="BF1915" s="44" t="s">
        <v>4490</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70403002</v>
      </c>
      <c r="D1916" s="17" t="s">
        <v>4491</v>
      </c>
      <c r="E1916" s="17" t="s">
        <v>4492</v>
      </c>
      <c r="F1916" s="18">
        <v>1</v>
      </c>
      <c r="G1916" s="16">
        <v>60010300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350</v>
      </c>
      <c r="AA1916" s="16">
        <v>0</v>
      </c>
      <c r="AB1916" s="16">
        <v>0</v>
      </c>
      <c r="AC1916" s="16">
        <v>0</v>
      </c>
      <c r="AD1916" s="16">
        <v>0</v>
      </c>
      <c r="AE1916" s="16">
        <v>0</v>
      </c>
      <c r="AF1916" s="16">
        <v>9</v>
      </c>
      <c r="AG1916" s="16">
        <v>2</v>
      </c>
      <c r="AH1916" s="16" t="s">
        <v>213</v>
      </c>
      <c r="AI1916" s="12">
        <v>0</v>
      </c>
      <c r="AJ1916" s="12">
        <v>2</v>
      </c>
      <c r="AK1916" s="12">
        <v>0</v>
      </c>
      <c r="AL1916" s="12">
        <v>1.5</v>
      </c>
      <c r="AM1916" s="16">
        <v>0</v>
      </c>
      <c r="AN1916" s="16">
        <v>0</v>
      </c>
      <c r="AO1916" s="16">
        <v>0</v>
      </c>
      <c r="AP1916" s="16">
        <v>1</v>
      </c>
      <c r="AQ1916" s="16">
        <v>3000</v>
      </c>
      <c r="AR1916" s="16">
        <v>0.5</v>
      </c>
      <c r="AS1916" s="16">
        <v>0</v>
      </c>
      <c r="AT1916" s="12">
        <v>0</v>
      </c>
      <c r="AU1916" s="16" t="s">
        <v>854</v>
      </c>
      <c r="AV1916" s="16"/>
      <c r="AW1916" s="17" t="s">
        <v>287</v>
      </c>
      <c r="AX1916" s="16" t="s">
        <v>545</v>
      </c>
      <c r="AY1916" s="18">
        <v>10000007</v>
      </c>
      <c r="AZ1916" s="18">
        <v>70403002</v>
      </c>
      <c r="BA1916" s="17" t="s">
        <v>200</v>
      </c>
      <c r="BB1916" s="16">
        <v>0</v>
      </c>
      <c r="BC1916" s="27">
        <v>0</v>
      </c>
      <c r="BD1916" s="27">
        <v>0</v>
      </c>
      <c r="BE1916" s="44" t="s">
        <v>4477</v>
      </c>
      <c r="BF1916" s="44" t="s">
        <v>4478</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spans="3:75" ht="19.5" customHeight="1">
      <c r="C1917" s="18">
        <v>70403003</v>
      </c>
      <c r="D1917" s="17" t="s">
        <v>1091</v>
      </c>
      <c r="E1917" s="17" t="s">
        <v>1092</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t="s">
        <v>607</v>
      </c>
      <c r="AI1917" s="12">
        <v>0</v>
      </c>
      <c r="AJ1917" s="12">
        <v>1</v>
      </c>
      <c r="AK1917" s="12">
        <v>0</v>
      </c>
      <c r="AL1917" s="12">
        <v>3</v>
      </c>
      <c r="AM1917" s="16">
        <v>0</v>
      </c>
      <c r="AN1917" s="16">
        <v>0</v>
      </c>
      <c r="AO1917" s="16">
        <v>0</v>
      </c>
      <c r="AP1917" s="16">
        <v>3</v>
      </c>
      <c r="AQ1917" s="16">
        <v>5000</v>
      </c>
      <c r="AR1917" s="16">
        <v>2.5</v>
      </c>
      <c r="AS1917" s="16">
        <v>0</v>
      </c>
      <c r="AT1917" s="12">
        <v>0</v>
      </c>
      <c r="AU1917" s="16" t="s">
        <v>659</v>
      </c>
      <c r="AV1917" s="16"/>
      <c r="AW1917" s="19" t="s">
        <v>256</v>
      </c>
      <c r="AX1917" s="16" t="s">
        <v>534</v>
      </c>
      <c r="AY1917" s="18">
        <v>10000007</v>
      </c>
      <c r="AZ1917" s="18">
        <v>70403003</v>
      </c>
      <c r="BA1917" s="17" t="s">
        <v>200</v>
      </c>
      <c r="BB1917" s="16">
        <v>0</v>
      </c>
      <c r="BC1917" s="27">
        <v>0</v>
      </c>
      <c r="BD1917" s="27">
        <v>0</v>
      </c>
      <c r="BE1917" s="44" t="s">
        <v>4457</v>
      </c>
      <c r="BF1917" s="44" t="s">
        <v>4458</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70403004</v>
      </c>
      <c r="D1918" s="17" t="s">
        <v>951</v>
      </c>
      <c r="E1918" s="17" t="s">
        <v>952</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80001030</v>
      </c>
      <c r="AV1918" s="16"/>
      <c r="AW1918" s="19" t="s">
        <v>617</v>
      </c>
      <c r="AX1918" s="16" t="s">
        <v>534</v>
      </c>
      <c r="AY1918" s="18">
        <v>10000007</v>
      </c>
      <c r="AZ1918" s="18">
        <v>70403004</v>
      </c>
      <c r="BA1918" s="17" t="s">
        <v>200</v>
      </c>
      <c r="BB1918" s="16" t="s">
        <v>4493</v>
      </c>
      <c r="BC1918" s="27">
        <v>0</v>
      </c>
      <c r="BD1918" s="27">
        <v>0</v>
      </c>
      <c r="BE1918" s="44" t="s">
        <v>4494</v>
      </c>
      <c r="BF1918" s="44" t="s">
        <v>4495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70403005</v>
      </c>
      <c r="D1919" s="19" t="s">
        <v>567</v>
      </c>
      <c r="E1919" s="19" t="s">
        <v>568</v>
      </c>
      <c r="F1919" s="18">
        <v>1</v>
      </c>
      <c r="G1919" s="18">
        <v>60010500</v>
      </c>
      <c r="H1919" s="18">
        <v>0</v>
      </c>
      <c r="I1919" s="27">
        <v>0</v>
      </c>
      <c r="J1919" s="18">
        <v>1</v>
      </c>
      <c r="K1919" s="18">
        <v>0</v>
      </c>
      <c r="L1919" s="18">
        <v>0</v>
      </c>
      <c r="M1919" s="18">
        <v>0</v>
      </c>
      <c r="N1919" s="18">
        <v>0</v>
      </c>
      <c r="O1919" s="16">
        <v>2</v>
      </c>
      <c r="P1919" s="18">
        <v>2</v>
      </c>
      <c r="Q1919" s="18">
        <v>0.3</v>
      </c>
      <c r="R1919" s="18">
        <v>1</v>
      </c>
      <c r="S1919" s="12">
        <v>0</v>
      </c>
      <c r="T1919" s="27">
        <v>0</v>
      </c>
      <c r="U1919" s="16">
        <v>1</v>
      </c>
      <c r="V1919" s="18">
        <v>2</v>
      </c>
      <c r="W1919" s="18">
        <v>0</v>
      </c>
      <c r="X1919" s="18">
        <v>0</v>
      </c>
      <c r="Y1919" s="12">
        <v>0</v>
      </c>
      <c r="Z1919" s="18">
        <v>0</v>
      </c>
      <c r="AA1919" s="18">
        <v>0</v>
      </c>
      <c r="AB1919" s="18">
        <v>0</v>
      </c>
      <c r="AC1919" s="18">
        <v>0</v>
      </c>
      <c r="AD1919" s="16">
        <v>0</v>
      </c>
      <c r="AE1919" s="18">
        <v>0</v>
      </c>
      <c r="AF1919" s="16">
        <v>15</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90402005</v>
      </c>
      <c r="AU1919" s="18" t="s">
        <v>198</v>
      </c>
      <c r="AV1919" s="18"/>
      <c r="AW1919" s="19" t="s">
        <v>199</v>
      </c>
      <c r="AX1919" s="18" t="s">
        <v>348</v>
      </c>
      <c r="AY1919" s="18">
        <v>0</v>
      </c>
      <c r="AZ1919" s="18">
        <v>0</v>
      </c>
      <c r="BA1919" s="19" t="s">
        <v>200</v>
      </c>
      <c r="BB1919" s="19" t="s">
        <v>198</v>
      </c>
      <c r="BC1919" s="27">
        <v>0</v>
      </c>
      <c r="BD1919" s="27">
        <v>0</v>
      </c>
      <c r="BE1919" s="87" t="s">
        <v>798</v>
      </c>
      <c r="BF1919" s="87" t="s">
        <v>799</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19.5" customHeight="1">
      <c r="C1920" s="18">
        <v>70404001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4496</v>
      </c>
      <c r="BC1921" s="27">
        <v>0</v>
      </c>
      <c r="BD1921" s="27">
        <v>0</v>
      </c>
      <c r="BE1921" s="44" t="s">
        <v>4497</v>
      </c>
      <c r="BF1921" s="44" t="s">
        <v>4498</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70404003</v>
      </c>
      <c r="D1922" s="17" t="s">
        <v>793</v>
      </c>
      <c r="E1922" s="17" t="s">
        <v>794</v>
      </c>
      <c r="F1922" s="16">
        <v>1</v>
      </c>
      <c r="G1922" s="16">
        <v>60010300</v>
      </c>
      <c r="H1922" s="18">
        <v>0</v>
      </c>
      <c r="I1922" s="27">
        <v>0</v>
      </c>
      <c r="J1922" s="18">
        <v>1</v>
      </c>
      <c r="K1922" s="18">
        <v>0</v>
      </c>
      <c r="L1922" s="18">
        <v>0</v>
      </c>
      <c r="M1922" s="16">
        <v>0</v>
      </c>
      <c r="N1922" s="16">
        <v>0</v>
      </c>
      <c r="O1922" s="16">
        <v>2</v>
      </c>
      <c r="P1922" s="16">
        <v>2</v>
      </c>
      <c r="Q1922" s="16">
        <v>0.5</v>
      </c>
      <c r="R1922" s="16">
        <v>1</v>
      </c>
      <c r="S1922" s="12">
        <v>0</v>
      </c>
      <c r="T1922" s="16">
        <v>0</v>
      </c>
      <c r="U1922" s="16">
        <v>1</v>
      </c>
      <c r="V1922" s="16">
        <v>2</v>
      </c>
      <c r="W1922" s="16">
        <v>0</v>
      </c>
      <c r="X1922" s="16">
        <v>0</v>
      </c>
      <c r="Y1922" s="12">
        <v>0</v>
      </c>
      <c r="Z1922" s="16">
        <v>0</v>
      </c>
      <c r="AA1922" s="16">
        <v>0</v>
      </c>
      <c r="AB1922" s="16">
        <v>0</v>
      </c>
      <c r="AC1922" s="16">
        <v>0</v>
      </c>
      <c r="AD1922" s="16">
        <v>0</v>
      </c>
      <c r="AE1922" s="16">
        <v>0</v>
      </c>
      <c r="AF1922" s="16">
        <v>99999</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287</v>
      </c>
      <c r="AX1922" s="16" t="s">
        <v>545</v>
      </c>
      <c r="AY1922" s="18">
        <v>0</v>
      </c>
      <c r="AZ1922" s="18">
        <v>0</v>
      </c>
      <c r="BA1922" s="17" t="s">
        <v>528</v>
      </c>
      <c r="BB1922" s="16" t="s">
        <v>4499</v>
      </c>
      <c r="BC1922" s="27">
        <v>0</v>
      </c>
      <c r="BD1922" s="27">
        <v>0</v>
      </c>
      <c r="BE1922" s="44" t="s">
        <v>864</v>
      </c>
      <c r="BF1922" s="44" t="s">
        <v>865</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70404004</v>
      </c>
      <c r="D1923" s="19" t="s">
        <v>538</v>
      </c>
      <c r="E1923" s="19" t="s">
        <v>539</v>
      </c>
      <c r="F1923" s="18">
        <v>1</v>
      </c>
      <c r="G1923" s="18">
        <v>60010500</v>
      </c>
      <c r="H1923" s="18">
        <v>0</v>
      </c>
      <c r="I1923" s="27">
        <v>0</v>
      </c>
      <c r="J1923" s="18">
        <v>1</v>
      </c>
      <c r="K1923" s="18">
        <v>0</v>
      </c>
      <c r="L1923" s="18">
        <v>0</v>
      </c>
      <c r="M1923" s="18">
        <v>0</v>
      </c>
      <c r="N1923" s="18">
        <v>0</v>
      </c>
      <c r="O1923" s="16">
        <v>2</v>
      </c>
      <c r="P1923" s="18">
        <v>2</v>
      </c>
      <c r="Q1923" s="18">
        <v>0.6</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8">
        <v>20</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90401004</v>
      </c>
      <c r="AU1923" s="18" t="s">
        <v>198</v>
      </c>
      <c r="AV1923" s="18"/>
      <c r="AW1923" s="19" t="s">
        <v>198</v>
      </c>
      <c r="AX1923" s="18" t="s">
        <v>348</v>
      </c>
      <c r="AY1923" s="18">
        <v>0</v>
      </c>
      <c r="AZ1923" s="18">
        <v>40000003</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70404005</v>
      </c>
      <c r="D1924" s="19" t="s">
        <v>567</v>
      </c>
      <c r="E1924" s="19" t="s">
        <v>568</v>
      </c>
      <c r="F1924" s="18">
        <v>1</v>
      </c>
      <c r="G1924" s="18">
        <v>60010500</v>
      </c>
      <c r="H1924" s="18">
        <v>0</v>
      </c>
      <c r="I1924" s="27">
        <v>0</v>
      </c>
      <c r="J1924" s="18">
        <v>1</v>
      </c>
      <c r="K1924" s="18">
        <v>0</v>
      </c>
      <c r="L1924" s="18">
        <v>0</v>
      </c>
      <c r="M1924" s="18">
        <v>0</v>
      </c>
      <c r="N1924" s="18">
        <v>0</v>
      </c>
      <c r="O1924" s="16">
        <v>2</v>
      </c>
      <c r="P1924" s="18">
        <v>2</v>
      </c>
      <c r="Q1924" s="18">
        <v>0.3</v>
      </c>
      <c r="R1924" s="18">
        <v>0</v>
      </c>
      <c r="S1924" s="12">
        <v>0</v>
      </c>
      <c r="T1924" s="27">
        <v>0</v>
      </c>
      <c r="U1924" s="16">
        <v>1</v>
      </c>
      <c r="V1924" s="18">
        <v>2</v>
      </c>
      <c r="W1924" s="18">
        <v>0</v>
      </c>
      <c r="X1924" s="18">
        <v>0</v>
      </c>
      <c r="Y1924" s="12">
        <v>0</v>
      </c>
      <c r="Z1924" s="18">
        <v>0</v>
      </c>
      <c r="AA1924" s="18">
        <v>0</v>
      </c>
      <c r="AB1924" s="18">
        <v>0</v>
      </c>
      <c r="AC1924" s="18">
        <v>0</v>
      </c>
      <c r="AD1924" s="16">
        <v>0</v>
      </c>
      <c r="AE1924" s="18">
        <v>0</v>
      </c>
      <c r="AF1924" s="16">
        <v>15</v>
      </c>
      <c r="AG1924" s="18">
        <v>0</v>
      </c>
      <c r="AH1924" s="18">
        <v>0</v>
      </c>
      <c r="AI1924" s="12">
        <v>2</v>
      </c>
      <c r="AJ1924" s="12">
        <v>0</v>
      </c>
      <c r="AK1924" s="12">
        <v>0</v>
      </c>
      <c r="AL1924" s="12">
        <v>0</v>
      </c>
      <c r="AM1924" s="18">
        <v>0</v>
      </c>
      <c r="AN1924" s="18">
        <v>0</v>
      </c>
      <c r="AO1924" s="18">
        <v>0</v>
      </c>
      <c r="AP1924" s="18">
        <v>0</v>
      </c>
      <c r="AQ1924" s="18">
        <v>1000</v>
      </c>
      <c r="AR1924" s="18">
        <v>0</v>
      </c>
      <c r="AS1924" s="18">
        <v>0</v>
      </c>
      <c r="AT1924" s="12">
        <v>90402005</v>
      </c>
      <c r="AU1924" s="18" t="s">
        <v>198</v>
      </c>
      <c r="AV1924" s="18"/>
      <c r="AW1924" s="19" t="s">
        <v>199</v>
      </c>
      <c r="AX1924" s="18" t="s">
        <v>348</v>
      </c>
      <c r="AY1924" s="18">
        <v>0</v>
      </c>
      <c r="AZ1924" s="18">
        <v>0</v>
      </c>
      <c r="BA1924" s="19" t="s">
        <v>200</v>
      </c>
      <c r="BB1924" s="19" t="s">
        <v>198</v>
      </c>
      <c r="BC1924" s="27">
        <v>0</v>
      </c>
      <c r="BD1924" s="27">
        <v>0</v>
      </c>
      <c r="BE1924" s="87" t="s">
        <v>755</v>
      </c>
      <c r="BF1924" s="87" t="s">
        <v>756</v>
      </c>
      <c r="BG1924" s="18">
        <v>0</v>
      </c>
      <c r="BH1924" s="16">
        <v>0</v>
      </c>
      <c r="BI1924" s="18">
        <v>0</v>
      </c>
      <c r="BJ1924" s="18">
        <v>0</v>
      </c>
      <c r="BK1924" s="18">
        <v>0</v>
      </c>
      <c r="BL1924" s="18">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70404006</v>
      </c>
      <c r="D1925" s="17" t="s">
        <v>1512</v>
      </c>
      <c r="E1925" s="17" t="s">
        <v>1513</v>
      </c>
      <c r="F1925" s="16">
        <v>2</v>
      </c>
      <c r="G1925" s="16">
        <v>61012301</v>
      </c>
      <c r="H1925" s="16">
        <v>0</v>
      </c>
      <c r="I1925" s="27">
        <v>0</v>
      </c>
      <c r="J1925" s="18">
        <v>1</v>
      </c>
      <c r="K1925" s="18">
        <v>0</v>
      </c>
      <c r="L1925" s="18">
        <v>0</v>
      </c>
      <c r="M1925" s="16">
        <v>0</v>
      </c>
      <c r="N1925" s="16">
        <v>0</v>
      </c>
      <c r="O1925" s="16">
        <v>2</v>
      </c>
      <c r="P1925" s="16">
        <v>1</v>
      </c>
      <c r="Q1925" s="16">
        <v>0.5</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12</v>
      </c>
      <c r="AG1925" s="16">
        <v>2</v>
      </c>
      <c r="AH1925" s="16" t="s">
        <v>213</v>
      </c>
      <c r="AI1925" s="12">
        <v>0</v>
      </c>
      <c r="AJ1925" s="12">
        <v>2</v>
      </c>
      <c r="AK1925" s="12">
        <v>0</v>
      </c>
      <c r="AL1925" s="12">
        <v>1.5</v>
      </c>
      <c r="AM1925" s="16">
        <v>0</v>
      </c>
      <c r="AN1925" s="16">
        <v>0</v>
      </c>
      <c r="AO1925" s="16">
        <v>0</v>
      </c>
      <c r="AP1925" s="16">
        <v>1.5</v>
      </c>
      <c r="AQ1925" s="16">
        <v>1200</v>
      </c>
      <c r="AR1925" s="16">
        <v>1</v>
      </c>
      <c r="AS1925" s="16">
        <v>30</v>
      </c>
      <c r="AT1925" s="12">
        <v>0</v>
      </c>
      <c r="AU1925" s="16" t="s">
        <v>198</v>
      </c>
      <c r="AV1925" s="16"/>
      <c r="AW1925" s="17" t="s">
        <v>256</v>
      </c>
      <c r="AX1925" s="16" t="s">
        <v>215</v>
      </c>
      <c r="AY1925" s="18">
        <v>10000011</v>
      </c>
      <c r="AZ1925" s="18">
        <v>70404001</v>
      </c>
      <c r="BA1925" s="17" t="s">
        <v>216</v>
      </c>
      <c r="BB1925" s="16">
        <v>0</v>
      </c>
      <c r="BC1925" s="27">
        <v>0</v>
      </c>
      <c r="BD1925" s="27">
        <v>0</v>
      </c>
      <c r="BE1925" s="44" t="s">
        <v>4500</v>
      </c>
      <c r="BF1925" s="44" t="s">
        <v>4501</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19.5" customHeight="1">
      <c r="C1926" s="18">
        <v>70405001</v>
      </c>
      <c r="D1926" s="17" t="s">
        <v>600</v>
      </c>
      <c r="E1926" s="17" t="s">
        <v>601</v>
      </c>
      <c r="F1926" s="16">
        <v>1</v>
      </c>
      <c r="G1926" s="16">
        <v>60010300</v>
      </c>
      <c r="H1926" s="18">
        <v>0</v>
      </c>
      <c r="I1926" s="27">
        <v>0</v>
      </c>
      <c r="J1926" s="18">
        <v>1</v>
      </c>
      <c r="K1926" s="18">
        <v>0</v>
      </c>
      <c r="L1926" s="18">
        <v>0</v>
      </c>
      <c r="M1926" s="16">
        <v>0</v>
      </c>
      <c r="N1926" s="16">
        <v>0</v>
      </c>
      <c r="O1926" s="16">
        <v>2</v>
      </c>
      <c r="P1926" s="16">
        <v>2</v>
      </c>
      <c r="Q1926" s="16">
        <v>0.8</v>
      </c>
      <c r="R1926" s="16">
        <v>0</v>
      </c>
      <c r="S1926" s="12">
        <v>0</v>
      </c>
      <c r="T1926" s="16">
        <v>0</v>
      </c>
      <c r="U1926" s="16">
        <v>1</v>
      </c>
      <c r="V1926" s="16">
        <v>2</v>
      </c>
      <c r="W1926" s="16">
        <v>0</v>
      </c>
      <c r="X1926" s="16">
        <v>0</v>
      </c>
      <c r="Y1926" s="12">
        <v>0</v>
      </c>
      <c r="Z1926" s="16">
        <v>0</v>
      </c>
      <c r="AA1926" s="16">
        <v>0</v>
      </c>
      <c r="AB1926" s="16">
        <v>0</v>
      </c>
      <c r="AC1926" s="16">
        <v>0</v>
      </c>
      <c r="AD1926" s="16">
        <v>0</v>
      </c>
      <c r="AE1926" s="16">
        <v>0</v>
      </c>
      <c r="AF1926" s="16">
        <v>30</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838</v>
      </c>
      <c r="BC1926" s="27">
        <v>0</v>
      </c>
      <c r="BD1926" s="27">
        <v>0</v>
      </c>
      <c r="BE1926" s="44" t="s">
        <v>4502</v>
      </c>
      <c r="BF1926" s="44" t="s">
        <v>4503</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19.5" customHeight="1">
      <c r="C1927" s="18">
        <v>70405002</v>
      </c>
      <c r="D1927" s="17" t="s">
        <v>1101</v>
      </c>
      <c r="E1927" s="17" t="s">
        <v>1102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0</v>
      </c>
      <c r="AA1927" s="16">
        <v>1</v>
      </c>
      <c r="AB1927" s="16">
        <v>0</v>
      </c>
      <c r="AC1927" s="16">
        <v>0</v>
      </c>
      <c r="AD1927" s="16">
        <v>0</v>
      </c>
      <c r="AE1927" s="16">
        <v>0</v>
      </c>
      <c r="AF1927" s="16">
        <v>15</v>
      </c>
      <c r="AG1927" s="16">
        <v>1</v>
      </c>
      <c r="AH1927" s="16" t="s">
        <v>607</v>
      </c>
      <c r="AI1927" s="12">
        <v>0</v>
      </c>
      <c r="AJ1927" s="12">
        <v>1</v>
      </c>
      <c r="AK1927" s="12">
        <v>0</v>
      </c>
      <c r="AL1927" s="12">
        <v>3</v>
      </c>
      <c r="AM1927" s="16">
        <v>0</v>
      </c>
      <c r="AN1927" s="16">
        <v>0</v>
      </c>
      <c r="AO1927" s="16">
        <v>0</v>
      </c>
      <c r="AP1927" s="16">
        <v>2.5</v>
      </c>
      <c r="AQ1927" s="16">
        <v>5000</v>
      </c>
      <c r="AR1927" s="16">
        <v>2</v>
      </c>
      <c r="AS1927" s="16">
        <v>0</v>
      </c>
      <c r="AT1927" s="12">
        <v>0</v>
      </c>
      <c r="AU1927" s="16">
        <v>80001030</v>
      </c>
      <c r="AV1927" s="16"/>
      <c r="AW1927" s="19" t="s">
        <v>256</v>
      </c>
      <c r="AX1927" s="16" t="s">
        <v>534</v>
      </c>
      <c r="AY1927" s="18">
        <v>10000007</v>
      </c>
      <c r="AZ1927" s="18">
        <v>70405001</v>
      </c>
      <c r="BA1927" s="17" t="s">
        <v>200</v>
      </c>
      <c r="BB1927" s="16">
        <v>0</v>
      </c>
      <c r="BC1927" s="27">
        <v>0</v>
      </c>
      <c r="BD1927" s="27">
        <v>0</v>
      </c>
      <c r="BE1927" s="44" t="s">
        <v>1103</v>
      </c>
      <c r="BF1927" s="44" t="s">
        <v>1104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70405003</v>
      </c>
      <c r="D1928" s="17" t="s">
        <v>4406</v>
      </c>
      <c r="E1928" s="17" t="s">
        <v>1266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2.5</v>
      </c>
      <c r="Y1928" s="12">
        <v>0</v>
      </c>
      <c r="Z1928" s="16">
        <v>0</v>
      </c>
      <c r="AA1928" s="16">
        <v>1</v>
      </c>
      <c r="AB1928" s="16">
        <v>0</v>
      </c>
      <c r="AC1928" s="16">
        <v>0</v>
      </c>
      <c r="AD1928" s="16">
        <v>0</v>
      </c>
      <c r="AE1928" s="16">
        <v>0</v>
      </c>
      <c r="AF1928" s="16">
        <v>15</v>
      </c>
      <c r="AG1928" s="16">
        <v>1</v>
      </c>
      <c r="AH1928" s="16">
        <v>3</v>
      </c>
      <c r="AI1928" s="12">
        <v>4</v>
      </c>
      <c r="AJ1928" s="12">
        <v>1</v>
      </c>
      <c r="AK1928" s="12">
        <v>0</v>
      </c>
      <c r="AL1928" s="12">
        <v>1.5</v>
      </c>
      <c r="AM1928" s="16">
        <v>0</v>
      </c>
      <c r="AN1928" s="16">
        <v>0</v>
      </c>
      <c r="AO1928" s="16">
        <v>0</v>
      </c>
      <c r="AP1928" s="16">
        <v>2.5</v>
      </c>
      <c r="AQ1928" s="16">
        <v>5000</v>
      </c>
      <c r="AR1928" s="16">
        <v>2</v>
      </c>
      <c r="AS1928" s="16">
        <v>0</v>
      </c>
      <c r="AT1928" s="12">
        <v>0</v>
      </c>
      <c r="AU1928" s="16">
        <v>80001030</v>
      </c>
      <c r="AV1928" s="16"/>
      <c r="AW1928" s="19" t="s">
        <v>256</v>
      </c>
      <c r="AX1928" s="16" t="s">
        <v>534</v>
      </c>
      <c r="AY1928" s="18">
        <v>10000007</v>
      </c>
      <c r="AZ1928" s="18">
        <v>70405002</v>
      </c>
      <c r="BA1928" s="17" t="s">
        <v>200</v>
      </c>
      <c r="BB1928" s="16" t="s">
        <v>4504</v>
      </c>
      <c r="BC1928" s="27">
        <v>0</v>
      </c>
      <c r="BD1928" s="27">
        <v>0</v>
      </c>
      <c r="BE1928" s="44" t="s">
        <v>1322</v>
      </c>
      <c r="BF1928" s="44" t="s">
        <v>1323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70405004</v>
      </c>
      <c r="D1929" s="17" t="s">
        <v>1116</v>
      </c>
      <c r="E1929" s="17" t="s">
        <v>391</v>
      </c>
      <c r="F1929" s="18">
        <v>1</v>
      </c>
      <c r="G1929" s="16">
        <v>60010100</v>
      </c>
      <c r="H1929" s="18">
        <v>0</v>
      </c>
      <c r="I1929" s="27">
        <v>0</v>
      </c>
      <c r="J1929" s="18">
        <v>1</v>
      </c>
      <c r="K1929" s="18">
        <v>0</v>
      </c>
      <c r="L1929" s="18">
        <v>0</v>
      </c>
      <c r="M1929" s="16">
        <v>0</v>
      </c>
      <c r="N1929" s="16">
        <v>0</v>
      </c>
      <c r="O1929" s="16">
        <v>2</v>
      </c>
      <c r="P1929" s="16">
        <v>1</v>
      </c>
      <c r="Q1929" s="16">
        <v>1</v>
      </c>
      <c r="R1929" s="16">
        <v>0</v>
      </c>
      <c r="S1929" s="12">
        <v>0</v>
      </c>
      <c r="T1929" s="16">
        <v>0</v>
      </c>
      <c r="U1929" s="16">
        <v>1</v>
      </c>
      <c r="V1929" s="16">
        <v>2</v>
      </c>
      <c r="W1929" s="16">
        <v>0</v>
      </c>
      <c r="X1929" s="16">
        <v>3</v>
      </c>
      <c r="Y1929" s="12">
        <v>0</v>
      </c>
      <c r="Z1929" s="16">
        <v>0</v>
      </c>
      <c r="AA1929" s="16">
        <v>1</v>
      </c>
      <c r="AB1929" s="16">
        <v>0</v>
      </c>
      <c r="AC1929" s="16">
        <v>0</v>
      </c>
      <c r="AD1929" s="16">
        <v>0</v>
      </c>
      <c r="AE1929" s="16">
        <v>0</v>
      </c>
      <c r="AF1929" s="16">
        <v>6</v>
      </c>
      <c r="AG1929" s="16">
        <v>1</v>
      </c>
      <c r="AH1929" s="16">
        <v>3</v>
      </c>
      <c r="AI1929" s="12">
        <v>6</v>
      </c>
      <c r="AJ1929" s="12">
        <v>1</v>
      </c>
      <c r="AK1929" s="12">
        <v>0</v>
      </c>
      <c r="AL1929" s="12">
        <v>1.5</v>
      </c>
      <c r="AM1929" s="16">
        <v>0</v>
      </c>
      <c r="AN1929" s="16">
        <v>0</v>
      </c>
      <c r="AO1929" s="16">
        <v>0</v>
      </c>
      <c r="AP1929" s="16">
        <v>2.5</v>
      </c>
      <c r="AQ1929" s="16">
        <v>5000</v>
      </c>
      <c r="AR1929" s="16">
        <v>2</v>
      </c>
      <c r="AS1929" s="16">
        <v>0</v>
      </c>
      <c r="AT1929" s="12">
        <v>0</v>
      </c>
      <c r="AU1929" s="16">
        <v>80001030</v>
      </c>
      <c r="AV1929" s="16"/>
      <c r="AW1929" s="19" t="s">
        <v>256</v>
      </c>
      <c r="AX1929" s="16" t="s">
        <v>534</v>
      </c>
      <c r="AY1929" s="18">
        <v>10000007</v>
      </c>
      <c r="AZ1929" s="18">
        <v>70405003</v>
      </c>
      <c r="BA1929" s="17" t="s">
        <v>200</v>
      </c>
      <c r="BB1929" s="16" t="s">
        <v>4505</v>
      </c>
      <c r="BC1929" s="27">
        <v>0</v>
      </c>
      <c r="BD1929" s="27">
        <v>0</v>
      </c>
      <c r="BE1929" s="44" t="s">
        <v>4436</v>
      </c>
      <c r="BF1929" s="44" t="s">
        <v>4437</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70405005</v>
      </c>
      <c r="D1930" s="19" t="s">
        <v>567</v>
      </c>
      <c r="E1930" s="19" t="s">
        <v>568</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15</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90402005</v>
      </c>
      <c r="AU1930" s="18" t="s">
        <v>198</v>
      </c>
      <c r="AV1930" s="18"/>
      <c r="AW1930" s="19" t="s">
        <v>199</v>
      </c>
      <c r="AX1930" s="18" t="s">
        <v>348</v>
      </c>
      <c r="AY1930" s="18">
        <v>0</v>
      </c>
      <c r="AZ1930" s="18">
        <v>0</v>
      </c>
      <c r="BA1930" s="19" t="s">
        <v>200</v>
      </c>
      <c r="BB1930" s="19" t="s">
        <v>198</v>
      </c>
      <c r="BC1930" s="27">
        <v>0</v>
      </c>
      <c r="BD1930" s="27">
        <v>0</v>
      </c>
      <c r="BE1930" s="87" t="s">
        <v>850</v>
      </c>
      <c r="BF1930" s="87" t="s">
        <v>851</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70405006</v>
      </c>
      <c r="D1931" s="17" t="s">
        <v>748</v>
      </c>
      <c r="E1931" s="17" t="s">
        <v>749</v>
      </c>
      <c r="F1931" s="18">
        <v>1</v>
      </c>
      <c r="G1931" s="16">
        <v>60010300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3</v>
      </c>
      <c r="Y1931" s="12">
        <v>0</v>
      </c>
      <c r="Z1931" s="16">
        <v>350</v>
      </c>
      <c r="AA1931" s="16">
        <v>0</v>
      </c>
      <c r="AB1931" s="16">
        <v>0</v>
      </c>
      <c r="AC1931" s="16">
        <v>0</v>
      </c>
      <c r="AD1931" s="16">
        <v>0</v>
      </c>
      <c r="AE1931" s="16">
        <v>0</v>
      </c>
      <c r="AF1931" s="16">
        <v>9</v>
      </c>
      <c r="AG1931" s="16">
        <v>2</v>
      </c>
      <c r="AH1931" s="16" t="s">
        <v>213</v>
      </c>
      <c r="AI1931" s="12">
        <v>0</v>
      </c>
      <c r="AJ1931" s="12">
        <v>2</v>
      </c>
      <c r="AK1931" s="12">
        <v>0</v>
      </c>
      <c r="AL1931" s="12">
        <v>1.5</v>
      </c>
      <c r="AM1931" s="16">
        <v>0</v>
      </c>
      <c r="AN1931" s="16">
        <v>0</v>
      </c>
      <c r="AO1931" s="16">
        <v>0</v>
      </c>
      <c r="AP1931" s="16">
        <v>1</v>
      </c>
      <c r="AQ1931" s="16">
        <v>3000</v>
      </c>
      <c r="AR1931" s="16">
        <v>0.5</v>
      </c>
      <c r="AS1931" s="16">
        <v>0</v>
      </c>
      <c r="AT1931" s="12">
        <v>0</v>
      </c>
      <c r="AU1931" s="16" t="s">
        <v>854</v>
      </c>
      <c r="AV1931" s="16"/>
      <c r="AW1931" s="17" t="s">
        <v>617</v>
      </c>
      <c r="AX1931" s="16" t="s">
        <v>545</v>
      </c>
      <c r="AY1931" s="18">
        <v>10000007</v>
      </c>
      <c r="AZ1931" s="18">
        <v>70403002</v>
      </c>
      <c r="BA1931" s="17" t="s">
        <v>200</v>
      </c>
      <c r="BB1931" s="16">
        <v>0</v>
      </c>
      <c r="BC1931" s="27">
        <v>0</v>
      </c>
      <c r="BD1931" s="27">
        <v>0</v>
      </c>
      <c r="BE1931" s="44" t="s">
        <v>750</v>
      </c>
      <c r="BF1931" s="44" t="s">
        <v>751</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19.5" customHeight="1">
      <c r="C1932" s="18">
        <v>70405007</v>
      </c>
      <c r="D1932" s="17" t="s">
        <v>4506</v>
      </c>
      <c r="E1932" s="17" t="s">
        <v>4507</v>
      </c>
      <c r="F1932" s="18">
        <v>1</v>
      </c>
      <c r="G1932" s="16">
        <v>60010100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20</v>
      </c>
      <c r="AG1932" s="16">
        <v>1</v>
      </c>
      <c r="AH1932" s="16" t="s">
        <v>861</v>
      </c>
      <c r="AI1932" s="12">
        <v>1</v>
      </c>
      <c r="AJ1932" s="12">
        <v>0</v>
      </c>
      <c r="AK1932" s="12">
        <v>0</v>
      </c>
      <c r="AL1932" s="12">
        <v>0</v>
      </c>
      <c r="AM1932" s="16">
        <v>0</v>
      </c>
      <c r="AN1932" s="16">
        <v>0</v>
      </c>
      <c r="AO1932" s="16">
        <v>0</v>
      </c>
      <c r="AP1932" s="16">
        <v>0.5</v>
      </c>
      <c r="AQ1932" s="16">
        <v>999999</v>
      </c>
      <c r="AR1932" s="16">
        <v>2</v>
      </c>
      <c r="AS1932" s="16">
        <v>0</v>
      </c>
      <c r="AT1932" s="12">
        <v>0</v>
      </c>
      <c r="AU1932" s="16" t="s">
        <v>854</v>
      </c>
      <c r="AV1932" s="16"/>
      <c r="AW1932" s="19" t="s">
        <v>287</v>
      </c>
      <c r="AX1932" s="16" t="s">
        <v>534</v>
      </c>
      <c r="AY1932" s="18">
        <v>10000007</v>
      </c>
      <c r="AZ1932" s="18">
        <v>70405007</v>
      </c>
      <c r="BA1932" s="19" t="s">
        <v>315</v>
      </c>
      <c r="BB1932" s="19" t="s">
        <v>371</v>
      </c>
      <c r="BC1932" s="27">
        <v>0</v>
      </c>
      <c r="BD1932" s="27">
        <v>0</v>
      </c>
      <c r="BE1932" s="44" t="s">
        <v>4508</v>
      </c>
      <c r="BF1932" s="44" t="s">
        <v>4509</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70405008</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199</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70405009</v>
      </c>
      <c r="D1934" s="19" t="s">
        <v>1324</v>
      </c>
      <c r="E1934" s="19" t="s">
        <v>1325</v>
      </c>
      <c r="F1934" s="18">
        <v>1</v>
      </c>
      <c r="G1934" s="18">
        <v>60010300</v>
      </c>
      <c r="H1934" s="18">
        <v>0</v>
      </c>
      <c r="I1934" s="27">
        <v>0</v>
      </c>
      <c r="J1934" s="18">
        <v>1</v>
      </c>
      <c r="K1934" s="18">
        <v>0</v>
      </c>
      <c r="L1934" s="18">
        <v>0</v>
      </c>
      <c r="M1934" s="18">
        <v>0</v>
      </c>
      <c r="N1934" s="18">
        <v>0</v>
      </c>
      <c r="O1934" s="16">
        <v>2</v>
      </c>
      <c r="P1934" s="18">
        <v>2</v>
      </c>
      <c r="Q1934" s="18">
        <v>0.8</v>
      </c>
      <c r="R1934" s="18">
        <v>0</v>
      </c>
      <c r="S1934" s="12">
        <v>0</v>
      </c>
      <c r="T1934" s="27">
        <v>0</v>
      </c>
      <c r="U1934" s="16">
        <v>1</v>
      </c>
      <c r="V1934" s="18">
        <v>2</v>
      </c>
      <c r="W1934" s="18">
        <v>0</v>
      </c>
      <c r="X1934" s="18">
        <v>5</v>
      </c>
      <c r="Y1934" s="12">
        <v>0</v>
      </c>
      <c r="Z1934" s="18">
        <v>0</v>
      </c>
      <c r="AA1934" s="18">
        <v>0</v>
      </c>
      <c r="AB1934" s="18">
        <v>0</v>
      </c>
      <c r="AC1934" s="18">
        <v>0</v>
      </c>
      <c r="AD1934" s="16">
        <v>0</v>
      </c>
      <c r="AE1934" s="18">
        <v>0</v>
      </c>
      <c r="AF1934" s="18">
        <v>30</v>
      </c>
      <c r="AG1934" s="18">
        <v>1</v>
      </c>
      <c r="AH1934" s="18">
        <v>1</v>
      </c>
      <c r="AI1934" s="12">
        <v>2</v>
      </c>
      <c r="AJ1934" s="12">
        <v>2</v>
      </c>
      <c r="AK1934" s="12">
        <v>0</v>
      </c>
      <c r="AL1934" s="12">
        <v>1.5</v>
      </c>
      <c r="AM1934" s="18">
        <v>0</v>
      </c>
      <c r="AN1934" s="18">
        <v>0</v>
      </c>
      <c r="AO1934" s="18">
        <v>0</v>
      </c>
      <c r="AP1934" s="18">
        <v>1</v>
      </c>
      <c r="AQ1934" s="18">
        <v>30000</v>
      </c>
      <c r="AR1934" s="18">
        <v>0</v>
      </c>
      <c r="AS1934" s="18">
        <v>4</v>
      </c>
      <c r="AT1934" s="12">
        <v>0</v>
      </c>
      <c r="AU1934" s="18" t="s">
        <v>198</v>
      </c>
      <c r="AV1934" s="18"/>
      <c r="AW1934" s="19" t="s">
        <v>199</v>
      </c>
      <c r="AX1934" s="18" t="s">
        <v>545</v>
      </c>
      <c r="AY1934" s="18">
        <v>10003002</v>
      </c>
      <c r="AZ1934" s="18">
        <v>70405007</v>
      </c>
      <c r="BA1934" s="19" t="s">
        <v>586</v>
      </c>
      <c r="BB1934" s="19">
        <v>0</v>
      </c>
      <c r="BC1934" s="27">
        <v>0</v>
      </c>
      <c r="BD1934" s="27">
        <v>0</v>
      </c>
      <c r="BE1934" s="87" t="s">
        <v>868</v>
      </c>
      <c r="BF1934" s="87" t="s">
        <v>869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19.5" customHeight="1">
      <c r="C1935" s="18">
        <v>70501001</v>
      </c>
      <c r="D1935" s="17" t="s">
        <v>600</v>
      </c>
      <c r="E1935" s="17" t="s">
        <v>601</v>
      </c>
      <c r="F1935" s="16">
        <v>1</v>
      </c>
      <c r="G1935" s="16">
        <v>60010300</v>
      </c>
      <c r="H1935" s="18">
        <v>0</v>
      </c>
      <c r="I1935" s="27">
        <v>0</v>
      </c>
      <c r="J1935" s="18">
        <v>1</v>
      </c>
      <c r="K1935" s="18">
        <v>0</v>
      </c>
      <c r="L1935" s="18">
        <v>0</v>
      </c>
      <c r="M1935" s="16">
        <v>0</v>
      </c>
      <c r="N1935" s="16">
        <v>0</v>
      </c>
      <c r="O1935" s="16">
        <v>2</v>
      </c>
      <c r="P1935" s="16">
        <v>2</v>
      </c>
      <c r="Q1935" s="16">
        <v>0.8</v>
      </c>
      <c r="R1935" s="16">
        <v>0</v>
      </c>
      <c r="S1935" s="12">
        <v>0</v>
      </c>
      <c r="T1935" s="16">
        <v>0</v>
      </c>
      <c r="U1935" s="16">
        <v>1</v>
      </c>
      <c r="V1935" s="16">
        <v>2</v>
      </c>
      <c r="W1935" s="16">
        <v>0</v>
      </c>
      <c r="X1935" s="16">
        <v>0</v>
      </c>
      <c r="Y1935" s="12">
        <v>0</v>
      </c>
      <c r="Z1935" s="16">
        <v>0</v>
      </c>
      <c r="AA1935" s="16">
        <v>0</v>
      </c>
      <c r="AB1935" s="16">
        <v>0</v>
      </c>
      <c r="AC1935" s="16">
        <v>0</v>
      </c>
      <c r="AD1935" s="16">
        <v>0</v>
      </c>
      <c r="AE1935" s="16">
        <v>0</v>
      </c>
      <c r="AF1935" s="16">
        <v>15</v>
      </c>
      <c r="AG1935" s="16">
        <v>0</v>
      </c>
      <c r="AH1935" s="16">
        <v>0</v>
      </c>
      <c r="AI1935" s="12">
        <v>2</v>
      </c>
      <c r="AJ1935" s="12">
        <v>2</v>
      </c>
      <c r="AK1935" s="12">
        <v>0</v>
      </c>
      <c r="AL1935" s="12">
        <v>1.5</v>
      </c>
      <c r="AM1935" s="16">
        <v>0</v>
      </c>
      <c r="AN1935" s="16">
        <v>0</v>
      </c>
      <c r="AO1935" s="16">
        <v>0</v>
      </c>
      <c r="AP1935" s="16">
        <v>1</v>
      </c>
      <c r="AQ1935" s="16">
        <v>3000</v>
      </c>
      <c r="AR1935" s="16">
        <v>0.5</v>
      </c>
      <c r="AS1935" s="16">
        <v>0</v>
      </c>
      <c r="AT1935" s="12">
        <v>0</v>
      </c>
      <c r="AU1935" s="16" t="s">
        <v>198</v>
      </c>
      <c r="AV1935" s="16"/>
      <c r="AW1935" s="19" t="s">
        <v>199</v>
      </c>
      <c r="AX1935" s="16" t="s">
        <v>545</v>
      </c>
      <c r="AY1935" s="18">
        <v>0</v>
      </c>
      <c r="AZ1935" s="18">
        <v>0</v>
      </c>
      <c r="BA1935" s="17" t="s">
        <v>528</v>
      </c>
      <c r="BB1935" s="16" t="s">
        <v>4510</v>
      </c>
      <c r="BC1935" s="27">
        <v>0</v>
      </c>
      <c r="BD1935" s="27">
        <v>0</v>
      </c>
      <c r="BE1935" s="44" t="s">
        <v>4502</v>
      </c>
      <c r="BF1935" s="44" t="s">
        <v>4503</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70501002</v>
      </c>
      <c r="D1936" s="19" t="s">
        <v>744</v>
      </c>
      <c r="E1936" s="19" t="s">
        <v>745</v>
      </c>
      <c r="F1936" s="18">
        <v>1</v>
      </c>
      <c r="G1936" s="18">
        <v>60010500</v>
      </c>
      <c r="H1936" s="18">
        <v>0</v>
      </c>
      <c r="I1936" s="27">
        <v>0</v>
      </c>
      <c r="J1936" s="18">
        <v>1</v>
      </c>
      <c r="K1936" s="18">
        <v>0</v>
      </c>
      <c r="L1936" s="18">
        <v>0</v>
      </c>
      <c r="M1936" s="18">
        <v>0</v>
      </c>
      <c r="N1936" s="18">
        <v>0</v>
      </c>
      <c r="O1936" s="16">
        <v>2</v>
      </c>
      <c r="P1936" s="18">
        <v>1</v>
      </c>
      <c r="Q1936" s="18">
        <v>0.05</v>
      </c>
      <c r="R1936" s="18">
        <v>0</v>
      </c>
      <c r="S1936" s="12">
        <v>0</v>
      </c>
      <c r="T1936" s="27">
        <v>0</v>
      </c>
      <c r="U1936" s="16">
        <v>1</v>
      </c>
      <c r="V1936" s="18">
        <v>1</v>
      </c>
      <c r="W1936" s="18">
        <v>0</v>
      </c>
      <c r="X1936" s="18">
        <v>2</v>
      </c>
      <c r="Y1936" s="12">
        <v>0</v>
      </c>
      <c r="Z1936" s="18">
        <v>0</v>
      </c>
      <c r="AA1936" s="18">
        <v>0</v>
      </c>
      <c r="AB1936" s="18">
        <v>0</v>
      </c>
      <c r="AC1936" s="18">
        <v>0</v>
      </c>
      <c r="AD1936" s="16">
        <v>0</v>
      </c>
      <c r="AE1936" s="18">
        <v>0</v>
      </c>
      <c r="AF1936" s="18">
        <v>10</v>
      </c>
      <c r="AG1936" s="18">
        <v>0</v>
      </c>
      <c r="AH1936" s="18">
        <v>0</v>
      </c>
      <c r="AI1936" s="12">
        <v>7</v>
      </c>
      <c r="AJ1936" s="12">
        <v>0</v>
      </c>
      <c r="AK1936" s="12">
        <v>0</v>
      </c>
      <c r="AL1936" s="12">
        <v>0</v>
      </c>
      <c r="AM1936" s="18">
        <v>0</v>
      </c>
      <c r="AN1936" s="18">
        <v>0</v>
      </c>
      <c r="AO1936" s="18">
        <v>0</v>
      </c>
      <c r="AP1936" s="18">
        <v>0</v>
      </c>
      <c r="AQ1936" s="18">
        <v>1000</v>
      </c>
      <c r="AR1936" s="18">
        <v>0.5</v>
      </c>
      <c r="AS1936" s="18">
        <v>0</v>
      </c>
      <c r="AT1936" s="12">
        <v>0</v>
      </c>
      <c r="AU1936" s="18" t="s">
        <v>659</v>
      </c>
      <c r="AV1936" s="18"/>
      <c r="AW1936" s="19" t="s">
        <v>741</v>
      </c>
      <c r="AX1936" s="18">
        <v>0</v>
      </c>
      <c r="AY1936" s="18">
        <v>10007001</v>
      </c>
      <c r="AZ1936" s="18">
        <v>0</v>
      </c>
      <c r="BA1936" s="19" t="s">
        <v>200</v>
      </c>
      <c r="BB1936" s="19" t="s">
        <v>198</v>
      </c>
      <c r="BC1936" s="27">
        <v>0</v>
      </c>
      <c r="BD1936" s="27">
        <v>0</v>
      </c>
      <c r="BE1936" s="87" t="s">
        <v>746</v>
      </c>
      <c r="BF1936" s="87" t="s">
        <v>747</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70501003</v>
      </c>
      <c r="D1937" s="19" t="s">
        <v>538</v>
      </c>
      <c r="E1937" s="19" t="s">
        <v>539</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6">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90401004</v>
      </c>
      <c r="AU1937" s="18" t="s">
        <v>198</v>
      </c>
      <c r="AV1937" s="18"/>
      <c r="AW1937" s="19" t="s">
        <v>198</v>
      </c>
      <c r="AX1937" s="18" t="s">
        <v>348</v>
      </c>
      <c r="AY1937" s="18">
        <v>0</v>
      </c>
      <c r="AZ1937" s="18">
        <v>40000003</v>
      </c>
      <c r="BA1937" s="19" t="s">
        <v>200</v>
      </c>
      <c r="BB1937" s="19" t="s">
        <v>198</v>
      </c>
      <c r="BC1937" s="27">
        <v>0</v>
      </c>
      <c r="BD1937" s="27">
        <v>0</v>
      </c>
      <c r="BE1937" s="87" t="s">
        <v>864</v>
      </c>
      <c r="BF1937" s="87" t="s">
        <v>865</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70501004</v>
      </c>
      <c r="D1938" s="19" t="s">
        <v>757</v>
      </c>
      <c r="E1938" s="19" t="s">
        <v>399</v>
      </c>
      <c r="F1938" s="18">
        <v>1</v>
      </c>
      <c r="G1938" s="18">
        <v>60010500</v>
      </c>
      <c r="H1938" s="18">
        <v>0</v>
      </c>
      <c r="I1938" s="27">
        <v>0</v>
      </c>
      <c r="J1938" s="18">
        <v>1</v>
      </c>
      <c r="K1938" s="18">
        <v>0</v>
      </c>
      <c r="L1938" s="18">
        <v>0</v>
      </c>
      <c r="M1938" s="18">
        <v>0</v>
      </c>
      <c r="N1938" s="18">
        <v>0</v>
      </c>
      <c r="O1938" s="16">
        <v>2</v>
      </c>
      <c r="P1938" s="18">
        <v>2</v>
      </c>
      <c r="Q1938" s="18">
        <v>0.3</v>
      </c>
      <c r="R1938" s="18">
        <v>0</v>
      </c>
      <c r="S1938" s="12">
        <v>0</v>
      </c>
      <c r="T1938" s="27">
        <v>0</v>
      </c>
      <c r="U1938" s="16">
        <v>1</v>
      </c>
      <c r="V1938" s="18">
        <v>2</v>
      </c>
      <c r="W1938" s="18">
        <v>0</v>
      </c>
      <c r="X1938" s="18">
        <v>0</v>
      </c>
      <c r="Y1938" s="12">
        <v>0</v>
      </c>
      <c r="Z1938" s="18">
        <v>0</v>
      </c>
      <c r="AA1938" s="18">
        <v>0</v>
      </c>
      <c r="AB1938" s="18">
        <v>0</v>
      </c>
      <c r="AC1938" s="18">
        <v>0</v>
      </c>
      <c r="AD1938" s="16">
        <v>0</v>
      </c>
      <c r="AE1938" s="18">
        <v>0</v>
      </c>
      <c r="AF1938" s="16">
        <v>15</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90304001</v>
      </c>
      <c r="AU1938" s="18" t="s">
        <v>198</v>
      </c>
      <c r="AV1938" s="18"/>
      <c r="AW1938" s="19" t="s">
        <v>287</v>
      </c>
      <c r="AX1938" s="18" t="s">
        <v>348</v>
      </c>
      <c r="AY1938" s="18">
        <v>0</v>
      </c>
      <c r="AZ1938" s="18">
        <v>0</v>
      </c>
      <c r="BA1938" s="19" t="s">
        <v>200</v>
      </c>
      <c r="BB1938" s="19" t="s">
        <v>198</v>
      </c>
      <c r="BC1938" s="27">
        <v>0</v>
      </c>
      <c r="BD1938" s="27">
        <v>0</v>
      </c>
      <c r="BE1938" s="87" t="s">
        <v>4511</v>
      </c>
      <c r="BF1938" s="87" t="s">
        <v>4512</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70501005</v>
      </c>
      <c r="D1939" s="17" t="s">
        <v>4474</v>
      </c>
      <c r="E1939" s="17" t="s">
        <v>4475</v>
      </c>
      <c r="F1939" s="18">
        <v>1</v>
      </c>
      <c r="G1939" s="16">
        <v>60010300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350</v>
      </c>
      <c r="AA1939" s="16">
        <v>0</v>
      </c>
      <c r="AB1939" s="16">
        <v>0</v>
      </c>
      <c r="AC1939" s="16">
        <v>0</v>
      </c>
      <c r="AD1939" s="16">
        <v>0</v>
      </c>
      <c r="AE1939" s="16">
        <v>0</v>
      </c>
      <c r="AF1939" s="16">
        <v>9</v>
      </c>
      <c r="AG1939" s="16">
        <v>2</v>
      </c>
      <c r="AH1939" s="16" t="s">
        <v>213</v>
      </c>
      <c r="AI1939" s="12">
        <v>0</v>
      </c>
      <c r="AJ1939" s="12">
        <v>2</v>
      </c>
      <c r="AK1939" s="12">
        <v>0</v>
      </c>
      <c r="AL1939" s="12">
        <v>1.5</v>
      </c>
      <c r="AM1939" s="16">
        <v>0</v>
      </c>
      <c r="AN1939" s="16">
        <v>0</v>
      </c>
      <c r="AO1939" s="16">
        <v>0</v>
      </c>
      <c r="AP1939" s="16">
        <v>1.5</v>
      </c>
      <c r="AQ1939" s="16">
        <v>3000</v>
      </c>
      <c r="AR1939" s="16">
        <v>1</v>
      </c>
      <c r="AS1939" s="16">
        <v>0</v>
      </c>
      <c r="AT1939" s="12">
        <v>0</v>
      </c>
      <c r="AU1939" s="16" t="s">
        <v>4476</v>
      </c>
      <c r="AV1939" s="16"/>
      <c r="AW1939" s="19" t="s">
        <v>617</v>
      </c>
      <c r="AX1939" s="16" t="s">
        <v>545</v>
      </c>
      <c r="AY1939" s="18">
        <v>10000007</v>
      </c>
      <c r="AZ1939" s="18">
        <v>70401006</v>
      </c>
      <c r="BA1939" s="17" t="s">
        <v>200</v>
      </c>
      <c r="BB1939" s="16">
        <v>0</v>
      </c>
      <c r="BC1939" s="27">
        <v>0</v>
      </c>
      <c r="BD1939" s="27">
        <v>0</v>
      </c>
      <c r="BE1939" s="44" t="s">
        <v>4477</v>
      </c>
      <c r="BF1939" s="44" t="s">
        <v>4478</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19.5" customHeight="1">
      <c r="C1940" s="18">
        <v>70501006</v>
      </c>
      <c r="D1940" s="19" t="s">
        <v>1324</v>
      </c>
      <c r="E1940" s="19" t="s">
        <v>1325</v>
      </c>
      <c r="F1940" s="18">
        <v>1</v>
      </c>
      <c r="G1940" s="18">
        <v>60010300</v>
      </c>
      <c r="H1940" s="18">
        <v>0</v>
      </c>
      <c r="I1940" s="27">
        <v>0</v>
      </c>
      <c r="J1940" s="18">
        <v>1</v>
      </c>
      <c r="K1940" s="18">
        <v>0</v>
      </c>
      <c r="L1940" s="18">
        <v>0</v>
      </c>
      <c r="M1940" s="18">
        <v>0</v>
      </c>
      <c r="N1940" s="18">
        <v>0</v>
      </c>
      <c r="O1940" s="16">
        <v>2</v>
      </c>
      <c r="P1940" s="18">
        <v>2</v>
      </c>
      <c r="Q1940" s="18">
        <v>0.8</v>
      </c>
      <c r="R1940" s="18">
        <v>0</v>
      </c>
      <c r="S1940" s="12">
        <v>0</v>
      </c>
      <c r="T1940" s="27">
        <v>0</v>
      </c>
      <c r="U1940" s="16">
        <v>1</v>
      </c>
      <c r="V1940" s="18">
        <v>2</v>
      </c>
      <c r="W1940" s="18">
        <v>0</v>
      </c>
      <c r="X1940" s="18">
        <v>5</v>
      </c>
      <c r="Y1940" s="12">
        <v>0</v>
      </c>
      <c r="Z1940" s="18">
        <v>0</v>
      </c>
      <c r="AA1940" s="18">
        <v>0</v>
      </c>
      <c r="AB1940" s="18">
        <v>0</v>
      </c>
      <c r="AC1940" s="18">
        <v>0</v>
      </c>
      <c r="AD1940" s="16">
        <v>0</v>
      </c>
      <c r="AE1940" s="18">
        <v>0</v>
      </c>
      <c r="AF1940" s="18">
        <v>30</v>
      </c>
      <c r="AG1940" s="18">
        <v>1</v>
      </c>
      <c r="AH1940" s="18">
        <v>1</v>
      </c>
      <c r="AI1940" s="12">
        <v>2</v>
      </c>
      <c r="AJ1940" s="12">
        <v>2</v>
      </c>
      <c r="AK1940" s="12">
        <v>0</v>
      </c>
      <c r="AL1940" s="12">
        <v>1.5</v>
      </c>
      <c r="AM1940" s="18">
        <v>0</v>
      </c>
      <c r="AN1940" s="18">
        <v>0</v>
      </c>
      <c r="AO1940" s="18">
        <v>0</v>
      </c>
      <c r="AP1940" s="18">
        <v>1</v>
      </c>
      <c r="AQ1940" s="18">
        <v>30000</v>
      </c>
      <c r="AR1940" s="18">
        <v>0</v>
      </c>
      <c r="AS1940" s="18">
        <v>4</v>
      </c>
      <c r="AT1940" s="12">
        <v>0</v>
      </c>
      <c r="AU1940" s="18" t="s">
        <v>198</v>
      </c>
      <c r="AV1940" s="18"/>
      <c r="AW1940" s="19" t="s">
        <v>199</v>
      </c>
      <c r="AX1940" s="18" t="s">
        <v>545</v>
      </c>
      <c r="AY1940" s="18">
        <v>10003002</v>
      </c>
      <c r="AZ1940" s="18">
        <v>70405007</v>
      </c>
      <c r="BA1940" s="19" t="s">
        <v>586</v>
      </c>
      <c r="BB1940" s="19">
        <v>0</v>
      </c>
      <c r="BC1940" s="27">
        <v>0</v>
      </c>
      <c r="BD1940" s="27">
        <v>0</v>
      </c>
      <c r="BE1940" s="87" t="s">
        <v>868</v>
      </c>
      <c r="BF1940" s="87" t="s">
        <v>869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19.5" customHeight="1">
      <c r="C1941" s="18">
        <v>70502001</v>
      </c>
      <c r="D1941" s="17" t="s">
        <v>605</v>
      </c>
      <c r="E1941" s="17" t="s">
        <v>606</v>
      </c>
      <c r="F1941" s="18">
        <v>1</v>
      </c>
      <c r="G1941" s="16">
        <v>60010100</v>
      </c>
      <c r="H1941" s="18">
        <v>0</v>
      </c>
      <c r="I1941" s="27">
        <v>0</v>
      </c>
      <c r="J1941" s="18">
        <v>1</v>
      </c>
      <c r="K1941" s="18">
        <v>0</v>
      </c>
      <c r="L1941" s="18">
        <v>0</v>
      </c>
      <c r="M1941" s="16">
        <v>0</v>
      </c>
      <c r="N1941" s="16">
        <v>0</v>
      </c>
      <c r="O1941" s="16">
        <v>2</v>
      </c>
      <c r="P1941" s="16">
        <v>1</v>
      </c>
      <c r="Q1941" s="16">
        <v>0.3</v>
      </c>
      <c r="R1941" s="16">
        <v>0</v>
      </c>
      <c r="S1941" s="12">
        <v>0</v>
      </c>
      <c r="T1941" s="16">
        <v>0</v>
      </c>
      <c r="U1941" s="16">
        <v>1</v>
      </c>
      <c r="V1941" s="16">
        <v>2</v>
      </c>
      <c r="W1941" s="16">
        <v>0</v>
      </c>
      <c r="X1941" s="16">
        <v>3</v>
      </c>
      <c r="Y1941" s="12">
        <v>0</v>
      </c>
      <c r="Z1941" s="16">
        <v>0</v>
      </c>
      <c r="AA1941" s="16">
        <v>1</v>
      </c>
      <c r="AB1941" s="16">
        <v>0</v>
      </c>
      <c r="AC1941" s="16">
        <v>0</v>
      </c>
      <c r="AD1941" s="16">
        <v>0</v>
      </c>
      <c r="AE1941" s="16">
        <v>0</v>
      </c>
      <c r="AF1941" s="16">
        <v>12</v>
      </c>
      <c r="AG1941" s="16">
        <v>1</v>
      </c>
      <c r="AH1941" s="16" t="s">
        <v>607</v>
      </c>
      <c r="AI1941" s="12">
        <v>1</v>
      </c>
      <c r="AJ1941" s="12">
        <v>1</v>
      </c>
      <c r="AK1941" s="12">
        <v>0</v>
      </c>
      <c r="AL1941" s="12">
        <v>3</v>
      </c>
      <c r="AM1941" s="16">
        <v>0</v>
      </c>
      <c r="AN1941" s="16">
        <v>0</v>
      </c>
      <c r="AO1941" s="16">
        <v>0</v>
      </c>
      <c r="AP1941" s="16">
        <v>3</v>
      </c>
      <c r="AQ1941" s="16">
        <v>5000</v>
      </c>
      <c r="AR1941" s="16">
        <v>2.5</v>
      </c>
      <c r="AS1941" s="16">
        <v>0</v>
      </c>
      <c r="AT1941" s="12">
        <v>0</v>
      </c>
      <c r="AU1941" s="16" t="s">
        <v>198</v>
      </c>
      <c r="AV1941" s="16"/>
      <c r="AW1941" s="19" t="s">
        <v>287</v>
      </c>
      <c r="AX1941" s="16" t="s">
        <v>534</v>
      </c>
      <c r="AY1941" s="18">
        <v>10000007</v>
      </c>
      <c r="AZ1941" s="18">
        <v>70107001</v>
      </c>
      <c r="BA1941" s="17" t="s">
        <v>200</v>
      </c>
      <c r="BB1941" s="16">
        <v>0</v>
      </c>
      <c r="BC1941" s="27">
        <v>0</v>
      </c>
      <c r="BD1941" s="27">
        <v>0</v>
      </c>
      <c r="BE1941" s="44" t="s">
        <v>608</v>
      </c>
      <c r="BF1941" s="44" t="s">
        <v>609</v>
      </c>
      <c r="BG1941" s="16">
        <v>0</v>
      </c>
      <c r="BH1941" s="16">
        <v>0</v>
      </c>
      <c r="BI1941" s="16">
        <v>0</v>
      </c>
      <c r="BJ1941" s="16">
        <v>0</v>
      </c>
      <c r="BK1941" s="16">
        <v>0</v>
      </c>
      <c r="BL1941" s="16">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70502002</v>
      </c>
      <c r="D1942" s="17" t="s">
        <v>660</v>
      </c>
      <c r="E1942" s="17" t="s">
        <v>661</v>
      </c>
      <c r="F1942" s="18">
        <v>1</v>
      </c>
      <c r="G1942" s="16">
        <v>60010100</v>
      </c>
      <c r="H1942" s="18">
        <v>0</v>
      </c>
      <c r="I1942" s="27">
        <v>0</v>
      </c>
      <c r="J1942" s="18">
        <v>1</v>
      </c>
      <c r="K1942" s="18">
        <v>0</v>
      </c>
      <c r="L1942" s="18">
        <v>0</v>
      </c>
      <c r="M1942" s="16">
        <v>0</v>
      </c>
      <c r="N1942" s="16">
        <v>0</v>
      </c>
      <c r="O1942" s="16">
        <v>2</v>
      </c>
      <c r="P1942" s="16">
        <v>1</v>
      </c>
      <c r="Q1942" s="16">
        <v>0.3</v>
      </c>
      <c r="R1942" s="16">
        <v>0</v>
      </c>
      <c r="S1942" s="12">
        <v>0</v>
      </c>
      <c r="T1942" s="16">
        <v>0</v>
      </c>
      <c r="U1942" s="16">
        <v>1</v>
      </c>
      <c r="V1942" s="16">
        <v>2</v>
      </c>
      <c r="W1942" s="16">
        <v>0</v>
      </c>
      <c r="X1942" s="16">
        <v>3</v>
      </c>
      <c r="Y1942" s="12">
        <v>0</v>
      </c>
      <c r="Z1942" s="16">
        <v>0</v>
      </c>
      <c r="AA1942" s="16">
        <v>1</v>
      </c>
      <c r="AB1942" s="16">
        <v>0</v>
      </c>
      <c r="AC1942" s="16">
        <v>0</v>
      </c>
      <c r="AD1942" s="16">
        <v>0</v>
      </c>
      <c r="AE1942" s="16">
        <v>0</v>
      </c>
      <c r="AF1942" s="16">
        <v>12</v>
      </c>
      <c r="AG1942" s="16">
        <v>1</v>
      </c>
      <c r="AH1942" s="16">
        <v>3</v>
      </c>
      <c r="AI1942" s="12">
        <v>4</v>
      </c>
      <c r="AJ1942" s="12">
        <v>1</v>
      </c>
      <c r="AK1942" s="12">
        <v>0</v>
      </c>
      <c r="AL1942" s="12">
        <v>1.5</v>
      </c>
      <c r="AM1942" s="16">
        <v>0</v>
      </c>
      <c r="AN1942" s="16">
        <v>0</v>
      </c>
      <c r="AO1942" s="16">
        <v>0</v>
      </c>
      <c r="AP1942" s="16">
        <v>3</v>
      </c>
      <c r="AQ1942" s="16">
        <v>5000</v>
      </c>
      <c r="AR1942" s="16">
        <v>3</v>
      </c>
      <c r="AS1942" s="16">
        <v>0</v>
      </c>
      <c r="AT1942" s="12">
        <v>0</v>
      </c>
      <c r="AU1942" s="16" t="s">
        <v>198</v>
      </c>
      <c r="AV1942" s="16"/>
      <c r="AW1942" s="19" t="s">
        <v>199</v>
      </c>
      <c r="AX1942" s="16" t="s">
        <v>534</v>
      </c>
      <c r="AY1942" s="18">
        <v>10000007</v>
      </c>
      <c r="AZ1942" s="18">
        <v>70103003</v>
      </c>
      <c r="BA1942" s="17" t="s">
        <v>200</v>
      </c>
      <c r="BB1942" s="16" t="s">
        <v>4513</v>
      </c>
      <c r="BC1942" s="27">
        <v>0</v>
      </c>
      <c r="BD1942" s="27">
        <v>0</v>
      </c>
      <c r="BE1942" s="44" t="s">
        <v>663</v>
      </c>
      <c r="BF1942" s="44" t="s">
        <v>664</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70502003</v>
      </c>
      <c r="D1943" s="17" t="s">
        <v>665</v>
      </c>
      <c r="E1943" s="17" t="s">
        <v>606</v>
      </c>
      <c r="F1943" s="16">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0</v>
      </c>
      <c r="AB1943" s="16">
        <v>0</v>
      </c>
      <c r="AC1943" s="16">
        <v>0</v>
      </c>
      <c r="AD1943" s="16">
        <v>0</v>
      </c>
      <c r="AE1943" s="16">
        <v>0</v>
      </c>
      <c r="AF1943" s="16">
        <v>12</v>
      </c>
      <c r="AG1943" s="16">
        <v>1</v>
      </c>
      <c r="AH1943" s="16">
        <v>3</v>
      </c>
      <c r="AI1943" s="12">
        <v>6</v>
      </c>
      <c r="AJ1943" s="12">
        <v>1</v>
      </c>
      <c r="AK1943" s="12">
        <v>0</v>
      </c>
      <c r="AL1943" s="12">
        <v>1.5</v>
      </c>
      <c r="AM1943" s="16">
        <v>0</v>
      </c>
      <c r="AN1943" s="16">
        <v>0</v>
      </c>
      <c r="AO1943" s="16">
        <v>0</v>
      </c>
      <c r="AP1943" s="16">
        <v>3</v>
      </c>
      <c r="AQ1943" s="16">
        <v>5000</v>
      </c>
      <c r="AR1943" s="16">
        <v>3</v>
      </c>
      <c r="AS1943" s="16">
        <v>0</v>
      </c>
      <c r="AT1943" s="12">
        <v>0</v>
      </c>
      <c r="AU1943" s="16" t="s">
        <v>198</v>
      </c>
      <c r="AV1943" s="16"/>
      <c r="AW1943" s="19" t="s">
        <v>256</v>
      </c>
      <c r="AX1943" s="16" t="s">
        <v>534</v>
      </c>
      <c r="AY1943" s="18">
        <v>10000007</v>
      </c>
      <c r="AZ1943" s="18">
        <v>70103003</v>
      </c>
      <c r="BA1943" s="17" t="s">
        <v>200</v>
      </c>
      <c r="BB1943" s="16" t="s">
        <v>4514</v>
      </c>
      <c r="BC1943" s="27">
        <v>0</v>
      </c>
      <c r="BD1943" s="27">
        <v>0</v>
      </c>
      <c r="BE1943" s="44" t="s">
        <v>667</v>
      </c>
      <c r="BF1943" s="44" t="s">
        <v>668</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70502004</v>
      </c>
      <c r="D1944" s="19" t="s">
        <v>669</v>
      </c>
      <c r="E1944" s="19" t="s">
        <v>670</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8">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90102001</v>
      </c>
      <c r="AU1944" s="18" t="s">
        <v>198</v>
      </c>
      <c r="AV1944" s="18"/>
      <c r="AW1944" s="19" t="s">
        <v>199</v>
      </c>
      <c r="AX1944" s="18" t="s">
        <v>348</v>
      </c>
      <c r="AY1944" s="18">
        <v>0</v>
      </c>
      <c r="AZ1944" s="18">
        <v>40000003</v>
      </c>
      <c r="BA1944" s="19" t="s">
        <v>200</v>
      </c>
      <c r="BB1944" s="19" t="s">
        <v>198</v>
      </c>
      <c r="BC1944" s="27">
        <v>0</v>
      </c>
      <c r="BD1944" s="27">
        <v>0</v>
      </c>
      <c r="BE1944" s="87" t="s">
        <v>671</v>
      </c>
      <c r="BF1944" s="87" t="s">
        <v>672</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70502005</v>
      </c>
      <c r="D1945" s="19" t="s">
        <v>673</v>
      </c>
      <c r="E1945" s="19" t="s">
        <v>674</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8">
        <v>0</v>
      </c>
      <c r="AE1945" s="18">
        <v>0</v>
      </c>
      <c r="AF1945" s="16">
        <v>99999</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90104002</v>
      </c>
      <c r="AU1945" s="18" t="s">
        <v>198</v>
      </c>
      <c r="AV1945" s="18"/>
      <c r="AW1945" s="19" t="s">
        <v>199</v>
      </c>
      <c r="AX1945" s="18" t="s">
        <v>348</v>
      </c>
      <c r="AY1945" s="18">
        <v>0</v>
      </c>
      <c r="AZ1945" s="18">
        <v>0</v>
      </c>
      <c r="BA1945" s="19" t="s">
        <v>200</v>
      </c>
      <c r="BB1945" s="19" t="s">
        <v>198</v>
      </c>
      <c r="BC1945" s="27">
        <v>0</v>
      </c>
      <c r="BD1945" s="27">
        <v>0</v>
      </c>
      <c r="BE1945" s="87" t="s">
        <v>675</v>
      </c>
      <c r="BF1945" s="87" t="s">
        <v>676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19.5" customHeight="1">
      <c r="C1946" s="18">
        <v>70503001</v>
      </c>
      <c r="D1946" s="19" t="s">
        <v>760</v>
      </c>
      <c r="E1946" s="19" t="s">
        <v>761</v>
      </c>
      <c r="F1946" s="18">
        <v>1</v>
      </c>
      <c r="G1946" s="18">
        <v>60010300</v>
      </c>
      <c r="H1946" s="18">
        <v>0</v>
      </c>
      <c r="I1946" s="27">
        <v>0</v>
      </c>
      <c r="J1946" s="18">
        <v>1</v>
      </c>
      <c r="K1946" s="18">
        <v>0</v>
      </c>
      <c r="L1946" s="18">
        <v>0</v>
      </c>
      <c r="M1946" s="18">
        <v>0</v>
      </c>
      <c r="N1946" s="18">
        <v>0</v>
      </c>
      <c r="O1946" s="16">
        <v>2</v>
      </c>
      <c r="P1946" s="18">
        <v>0</v>
      </c>
      <c r="Q1946" s="18">
        <v>0</v>
      </c>
      <c r="R1946" s="18">
        <v>0</v>
      </c>
      <c r="S1946" s="12">
        <v>0</v>
      </c>
      <c r="T1946" s="27">
        <v>0</v>
      </c>
      <c r="U1946" s="16">
        <v>1</v>
      </c>
      <c r="V1946" s="18">
        <v>2</v>
      </c>
      <c r="W1946" s="18">
        <v>0</v>
      </c>
      <c r="X1946" s="18">
        <v>3</v>
      </c>
      <c r="Y1946" s="12">
        <v>0</v>
      </c>
      <c r="Z1946" s="18">
        <v>0</v>
      </c>
      <c r="AA1946" s="18">
        <v>0</v>
      </c>
      <c r="AB1946" s="18">
        <v>0</v>
      </c>
      <c r="AC1946" s="18">
        <v>0</v>
      </c>
      <c r="AD1946" s="16">
        <v>0</v>
      </c>
      <c r="AE1946" s="18">
        <v>0</v>
      </c>
      <c r="AF1946" s="18">
        <v>20</v>
      </c>
      <c r="AG1946" s="18">
        <v>1</v>
      </c>
      <c r="AH1946" s="18">
        <v>1</v>
      </c>
      <c r="AI1946" s="12">
        <v>2</v>
      </c>
      <c r="AJ1946" s="12">
        <v>2</v>
      </c>
      <c r="AK1946" s="12">
        <v>0</v>
      </c>
      <c r="AL1946" s="12">
        <v>1.5</v>
      </c>
      <c r="AM1946" s="18">
        <v>0</v>
      </c>
      <c r="AN1946" s="18">
        <v>0</v>
      </c>
      <c r="AO1946" s="18">
        <v>0</v>
      </c>
      <c r="AP1946" s="18">
        <v>1</v>
      </c>
      <c r="AQ1946" s="18">
        <v>30000</v>
      </c>
      <c r="AR1946" s="18">
        <v>0</v>
      </c>
      <c r="AS1946" s="18">
        <v>4</v>
      </c>
      <c r="AT1946" s="12">
        <v>0</v>
      </c>
      <c r="AU1946" s="16" t="s">
        <v>659</v>
      </c>
      <c r="AV1946" s="16"/>
      <c r="AW1946" s="19" t="s">
        <v>199</v>
      </c>
      <c r="AX1946" s="18" t="s">
        <v>545</v>
      </c>
      <c r="AY1946" s="18">
        <v>10003002</v>
      </c>
      <c r="AZ1946" s="18">
        <v>70106005</v>
      </c>
      <c r="BA1946" s="19" t="s">
        <v>586</v>
      </c>
      <c r="BB1946" s="19">
        <v>0</v>
      </c>
      <c r="BC1946" s="27">
        <v>0</v>
      </c>
      <c r="BD1946" s="27">
        <v>0</v>
      </c>
      <c r="BE1946" s="87" t="s">
        <v>1065</v>
      </c>
      <c r="BF1946" s="87" t="s">
        <v>1066</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70503002</v>
      </c>
      <c r="D1947" s="17" t="s">
        <v>1067</v>
      </c>
      <c r="E1947" s="17" t="s">
        <v>1068</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2.5</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2.5</v>
      </c>
      <c r="AQ1947" s="16">
        <v>5000</v>
      </c>
      <c r="AR1947" s="16">
        <v>2</v>
      </c>
      <c r="AS1947" s="16">
        <v>0</v>
      </c>
      <c r="AT1947" s="12">
        <v>0</v>
      </c>
      <c r="AU1947" s="16">
        <v>0</v>
      </c>
      <c r="AV1947" s="16"/>
      <c r="AW1947" s="19" t="s">
        <v>617</v>
      </c>
      <c r="AX1947" s="16" t="s">
        <v>534</v>
      </c>
      <c r="AY1947" s="18">
        <v>10000007</v>
      </c>
      <c r="AZ1947" s="18">
        <v>70404002</v>
      </c>
      <c r="BA1947" s="17" t="s">
        <v>200</v>
      </c>
      <c r="BB1947" s="16" t="s">
        <v>4515</v>
      </c>
      <c r="BC1947" s="27">
        <v>0</v>
      </c>
      <c r="BD1947" s="27">
        <v>0</v>
      </c>
      <c r="BE1947" s="44" t="s">
        <v>4497</v>
      </c>
      <c r="BF1947" s="44" t="s">
        <v>4498</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70503003</v>
      </c>
      <c r="D1948" s="19" t="s">
        <v>538</v>
      </c>
      <c r="E1948" s="19" t="s">
        <v>539</v>
      </c>
      <c r="F1948" s="18">
        <v>1</v>
      </c>
      <c r="G1948" s="18">
        <v>60010500</v>
      </c>
      <c r="H1948" s="18">
        <v>0</v>
      </c>
      <c r="I1948" s="27">
        <v>0</v>
      </c>
      <c r="J1948" s="18">
        <v>1</v>
      </c>
      <c r="K1948" s="18">
        <v>0</v>
      </c>
      <c r="L1948" s="18">
        <v>0</v>
      </c>
      <c r="M1948" s="18">
        <v>0</v>
      </c>
      <c r="N1948" s="18">
        <v>0</v>
      </c>
      <c r="O1948" s="16">
        <v>2</v>
      </c>
      <c r="P1948" s="18">
        <v>2</v>
      </c>
      <c r="Q1948" s="18">
        <v>0.6</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8">
        <v>20</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v>90401004</v>
      </c>
      <c r="AU1948" s="18" t="s">
        <v>198</v>
      </c>
      <c r="AV1948" s="18"/>
      <c r="AW1948" s="19" t="s">
        <v>198</v>
      </c>
      <c r="AX1948" s="18" t="s">
        <v>348</v>
      </c>
      <c r="AY1948" s="18">
        <v>0</v>
      </c>
      <c r="AZ1948" s="18">
        <v>40000003</v>
      </c>
      <c r="BA1948" s="19" t="s">
        <v>200</v>
      </c>
      <c r="BB1948" s="19" t="s">
        <v>198</v>
      </c>
      <c r="BC1948" s="27">
        <v>0</v>
      </c>
      <c r="BD1948" s="27">
        <v>0</v>
      </c>
      <c r="BE1948" s="87" t="s">
        <v>850</v>
      </c>
      <c r="BF1948" s="87" t="s">
        <v>851</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70503004</v>
      </c>
      <c r="D1949" s="19" t="s">
        <v>567</v>
      </c>
      <c r="E1949" s="19" t="s">
        <v>568</v>
      </c>
      <c r="F1949" s="18">
        <v>1</v>
      </c>
      <c r="G1949" s="18">
        <v>60010500</v>
      </c>
      <c r="H1949" s="18">
        <v>0</v>
      </c>
      <c r="I1949" s="27">
        <v>0</v>
      </c>
      <c r="J1949" s="18">
        <v>1</v>
      </c>
      <c r="K1949" s="18">
        <v>0</v>
      </c>
      <c r="L1949" s="18">
        <v>0</v>
      </c>
      <c r="M1949" s="18">
        <v>0</v>
      </c>
      <c r="N1949" s="18">
        <v>0</v>
      </c>
      <c r="O1949" s="16">
        <v>2</v>
      </c>
      <c r="P1949" s="18">
        <v>2</v>
      </c>
      <c r="Q1949" s="18">
        <v>0.3</v>
      </c>
      <c r="R1949" s="18">
        <v>0</v>
      </c>
      <c r="S1949" s="12">
        <v>0</v>
      </c>
      <c r="T1949" s="27">
        <v>0</v>
      </c>
      <c r="U1949" s="16">
        <v>1</v>
      </c>
      <c r="V1949" s="18">
        <v>2</v>
      </c>
      <c r="W1949" s="18">
        <v>0</v>
      </c>
      <c r="X1949" s="18">
        <v>0</v>
      </c>
      <c r="Y1949" s="12">
        <v>0</v>
      </c>
      <c r="Z1949" s="18">
        <v>0</v>
      </c>
      <c r="AA1949" s="18">
        <v>0</v>
      </c>
      <c r="AB1949" s="18">
        <v>0</v>
      </c>
      <c r="AC1949" s="18">
        <v>0</v>
      </c>
      <c r="AD1949" s="16">
        <v>0</v>
      </c>
      <c r="AE1949" s="18">
        <v>0</v>
      </c>
      <c r="AF1949" s="16">
        <v>15</v>
      </c>
      <c r="AG1949" s="18">
        <v>0</v>
      </c>
      <c r="AH1949" s="18">
        <v>0</v>
      </c>
      <c r="AI1949" s="12">
        <v>2</v>
      </c>
      <c r="AJ1949" s="12">
        <v>0</v>
      </c>
      <c r="AK1949" s="12">
        <v>0</v>
      </c>
      <c r="AL1949" s="12">
        <v>0</v>
      </c>
      <c r="AM1949" s="18">
        <v>0</v>
      </c>
      <c r="AN1949" s="18">
        <v>0</v>
      </c>
      <c r="AO1949" s="18">
        <v>0</v>
      </c>
      <c r="AP1949" s="18">
        <v>0</v>
      </c>
      <c r="AQ1949" s="18">
        <v>1000</v>
      </c>
      <c r="AR1949" s="18">
        <v>0</v>
      </c>
      <c r="AS1949" s="18">
        <v>0</v>
      </c>
      <c r="AT1949" s="12">
        <v>90402005</v>
      </c>
      <c r="AU1949" s="18" t="s">
        <v>198</v>
      </c>
      <c r="AV1949" s="18"/>
      <c r="AW1949" s="19" t="s">
        <v>199</v>
      </c>
      <c r="AX1949" s="18" t="s">
        <v>348</v>
      </c>
      <c r="AY1949" s="18">
        <v>0</v>
      </c>
      <c r="AZ1949" s="18">
        <v>0</v>
      </c>
      <c r="BA1949" s="19" t="s">
        <v>200</v>
      </c>
      <c r="BB1949" s="19" t="s">
        <v>198</v>
      </c>
      <c r="BC1949" s="27">
        <v>0</v>
      </c>
      <c r="BD1949" s="27">
        <v>0</v>
      </c>
      <c r="BE1949" s="87" t="s">
        <v>755</v>
      </c>
      <c r="BF1949" s="87" t="s">
        <v>756</v>
      </c>
      <c r="BG1949" s="18">
        <v>0</v>
      </c>
      <c r="BH1949" s="16">
        <v>0</v>
      </c>
      <c r="BI1949" s="18">
        <v>0</v>
      </c>
      <c r="BJ1949" s="18">
        <v>0</v>
      </c>
      <c r="BK1949" s="18">
        <v>0</v>
      </c>
      <c r="BL1949" s="18">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70503005</v>
      </c>
      <c r="D1950" s="17" t="s">
        <v>1512</v>
      </c>
      <c r="E1950" s="17" t="s">
        <v>1513</v>
      </c>
      <c r="F1950" s="16">
        <v>2</v>
      </c>
      <c r="G1950" s="16">
        <v>61012301</v>
      </c>
      <c r="H1950" s="16">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1</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0.2</v>
      </c>
      <c r="AQ1950" s="16">
        <v>200</v>
      </c>
      <c r="AR1950" s="16">
        <v>1</v>
      </c>
      <c r="AS1950" s="16">
        <v>30</v>
      </c>
      <c r="AT1950" s="12">
        <v>0</v>
      </c>
      <c r="AU1950" s="16" t="s">
        <v>198</v>
      </c>
      <c r="AV1950" s="16"/>
      <c r="AW1950" s="17" t="s">
        <v>256</v>
      </c>
      <c r="AX1950" s="16" t="s">
        <v>215</v>
      </c>
      <c r="AY1950" s="18">
        <v>10000011</v>
      </c>
      <c r="AZ1950" s="18">
        <v>70404001</v>
      </c>
      <c r="BA1950" s="17" t="s">
        <v>216</v>
      </c>
      <c r="BB1950" s="16">
        <v>0</v>
      </c>
      <c r="BC1950" s="27">
        <v>0</v>
      </c>
      <c r="BD1950" s="27">
        <v>0</v>
      </c>
      <c r="BE1950" s="44" t="s">
        <v>4500</v>
      </c>
      <c r="BF1950" s="44" t="s">
        <v>4501</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70503006</v>
      </c>
      <c r="D1951" s="17" t="s">
        <v>1029</v>
      </c>
      <c r="E1951" s="17" t="s">
        <v>1030</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1</v>
      </c>
      <c r="AH1951" s="16">
        <v>3</v>
      </c>
      <c r="AI1951" s="12">
        <v>4</v>
      </c>
      <c r="AJ1951" s="12">
        <v>1</v>
      </c>
      <c r="AK1951" s="12">
        <v>0</v>
      </c>
      <c r="AL1951" s="12">
        <v>1.5</v>
      </c>
      <c r="AM1951" s="16">
        <v>0</v>
      </c>
      <c r="AN1951" s="16">
        <v>0</v>
      </c>
      <c r="AO1951" s="16">
        <v>0</v>
      </c>
      <c r="AP1951" s="16">
        <v>3</v>
      </c>
      <c r="AQ1951" s="16">
        <v>999999</v>
      </c>
      <c r="AR1951" s="16">
        <v>3</v>
      </c>
      <c r="AS1951" s="16">
        <v>0</v>
      </c>
      <c r="AT1951" s="12">
        <v>0</v>
      </c>
      <c r="AU1951" s="16" t="s">
        <v>198</v>
      </c>
      <c r="AV1951" s="16"/>
      <c r="AW1951" s="19" t="s">
        <v>287</v>
      </c>
      <c r="AX1951" s="16" t="s">
        <v>534</v>
      </c>
      <c r="AY1951" s="18">
        <v>10000007</v>
      </c>
      <c r="AZ1951" s="18">
        <v>70302004</v>
      </c>
      <c r="BA1951" s="17" t="s">
        <v>200</v>
      </c>
      <c r="BB1951" s="16" t="s">
        <v>4516</v>
      </c>
      <c r="BC1951" s="27">
        <v>0</v>
      </c>
      <c r="BD1951" s="27">
        <v>0</v>
      </c>
      <c r="BE1951" s="44" t="s">
        <v>4400</v>
      </c>
      <c r="BF1951" s="44" t="s">
        <v>4401</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70504001</v>
      </c>
      <c r="D1952" s="17" t="s">
        <v>1086</v>
      </c>
      <c r="E1952" s="17" t="s">
        <v>1087</v>
      </c>
      <c r="F1952" s="16">
        <v>1</v>
      </c>
      <c r="G1952" s="16">
        <v>60010300</v>
      </c>
      <c r="H1952" s="18">
        <v>0</v>
      </c>
      <c r="I1952" s="27">
        <v>0</v>
      </c>
      <c r="J1952" s="18">
        <v>1</v>
      </c>
      <c r="K1952" s="18">
        <v>0</v>
      </c>
      <c r="L1952" s="18">
        <v>0</v>
      </c>
      <c r="M1952" s="16">
        <v>0</v>
      </c>
      <c r="N1952" s="16">
        <v>0</v>
      </c>
      <c r="O1952" s="16">
        <v>2</v>
      </c>
      <c r="P1952" s="16">
        <v>2</v>
      </c>
      <c r="Q1952" s="16">
        <v>0.8</v>
      </c>
      <c r="R1952" s="16">
        <v>1</v>
      </c>
      <c r="S1952" s="12">
        <v>0</v>
      </c>
      <c r="T1952" s="16">
        <v>0</v>
      </c>
      <c r="U1952" s="16">
        <v>1</v>
      </c>
      <c r="V1952" s="16">
        <v>2</v>
      </c>
      <c r="W1952" s="16">
        <v>0</v>
      </c>
      <c r="X1952" s="16">
        <v>0</v>
      </c>
      <c r="Y1952" s="12">
        <v>0</v>
      </c>
      <c r="Z1952" s="16">
        <v>0</v>
      </c>
      <c r="AA1952" s="16">
        <v>0</v>
      </c>
      <c r="AB1952" s="16">
        <v>0</v>
      </c>
      <c r="AC1952" s="16">
        <v>0</v>
      </c>
      <c r="AD1952" s="16">
        <v>0</v>
      </c>
      <c r="AE1952" s="16">
        <v>0</v>
      </c>
      <c r="AF1952" s="16">
        <v>99999</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198</v>
      </c>
      <c r="AV1952" s="16"/>
      <c r="AW1952" s="19" t="s">
        <v>199</v>
      </c>
      <c r="AX1952" s="16" t="s">
        <v>545</v>
      </c>
      <c r="AY1952" s="18">
        <v>0</v>
      </c>
      <c r="AZ1952" s="18">
        <v>0</v>
      </c>
      <c r="BA1952" s="17" t="s">
        <v>528</v>
      </c>
      <c r="BB1952" s="16" t="s">
        <v>1088</v>
      </c>
      <c r="BC1952" s="27">
        <v>0</v>
      </c>
      <c r="BD1952" s="27">
        <v>0</v>
      </c>
      <c r="BE1952" s="44" t="s">
        <v>1089</v>
      </c>
      <c r="BF1952" s="44" t="s">
        <v>1090</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19.5" customHeight="1">
      <c r="C1953" s="18">
        <v>70504002</v>
      </c>
      <c r="D1953" s="17" t="s">
        <v>1091</v>
      </c>
      <c r="E1953" s="17" t="s">
        <v>1092</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607</v>
      </c>
      <c r="AI1953" s="12">
        <v>0</v>
      </c>
      <c r="AJ1953" s="12">
        <v>1</v>
      </c>
      <c r="AK1953" s="12">
        <v>0</v>
      </c>
      <c r="AL1953" s="12">
        <v>3</v>
      </c>
      <c r="AM1953" s="16">
        <v>0</v>
      </c>
      <c r="AN1953" s="16">
        <v>0</v>
      </c>
      <c r="AO1953" s="16">
        <v>0</v>
      </c>
      <c r="AP1953" s="16">
        <v>3</v>
      </c>
      <c r="AQ1953" s="16">
        <v>5000</v>
      </c>
      <c r="AR1953" s="16">
        <v>2.5</v>
      </c>
      <c r="AS1953" s="16">
        <v>0</v>
      </c>
      <c r="AT1953" s="12">
        <v>0</v>
      </c>
      <c r="AU1953" s="16">
        <v>80001030</v>
      </c>
      <c r="AV1953" s="16"/>
      <c r="AW1953" s="19" t="s">
        <v>287</v>
      </c>
      <c r="AX1953" s="16" t="s">
        <v>534</v>
      </c>
      <c r="AY1953" s="18">
        <v>10000007</v>
      </c>
      <c r="AZ1953" s="18">
        <v>70204001</v>
      </c>
      <c r="BA1953" s="17" t="s">
        <v>200</v>
      </c>
      <c r="BB1953" s="16">
        <v>0</v>
      </c>
      <c r="BC1953" s="27">
        <v>0</v>
      </c>
      <c r="BD1953" s="27">
        <v>0</v>
      </c>
      <c r="BE1953" s="44" t="s">
        <v>1093</v>
      </c>
      <c r="BF1953" s="44" t="s">
        <v>1094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70504003</v>
      </c>
      <c r="D1954" s="17" t="s">
        <v>946</v>
      </c>
      <c r="E1954" s="17" t="s">
        <v>947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16</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256</v>
      </c>
      <c r="AX1954" s="16" t="s">
        <v>534</v>
      </c>
      <c r="AY1954" s="18">
        <v>10000007</v>
      </c>
      <c r="AZ1954" s="18">
        <v>70204002</v>
      </c>
      <c r="BA1954" s="17" t="s">
        <v>200</v>
      </c>
      <c r="BB1954" s="16" t="s">
        <v>4517</v>
      </c>
      <c r="BC1954" s="27">
        <v>0</v>
      </c>
      <c r="BD1954" s="27">
        <v>0</v>
      </c>
      <c r="BE1954" s="44" t="s">
        <v>1096</v>
      </c>
      <c r="BF1954" s="44" t="s">
        <v>1097</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70504004</v>
      </c>
      <c r="D1955" s="17" t="s">
        <v>951</v>
      </c>
      <c r="E1955" s="17" t="s">
        <v>952</v>
      </c>
      <c r="F1955" s="18">
        <v>1</v>
      </c>
      <c r="G1955" s="16">
        <v>60010100</v>
      </c>
      <c r="H1955" s="18">
        <v>0</v>
      </c>
      <c r="I1955" s="27">
        <v>0</v>
      </c>
      <c r="J1955" s="18">
        <v>1</v>
      </c>
      <c r="K1955" s="18">
        <v>0</v>
      </c>
      <c r="L1955" s="18">
        <v>0</v>
      </c>
      <c r="M1955" s="16">
        <v>0</v>
      </c>
      <c r="N1955" s="16">
        <v>0</v>
      </c>
      <c r="O1955" s="16">
        <v>2</v>
      </c>
      <c r="P1955" s="16">
        <v>1</v>
      </c>
      <c r="Q1955" s="16">
        <v>0.3</v>
      </c>
      <c r="R1955" s="16">
        <v>0</v>
      </c>
      <c r="S1955" s="12">
        <v>0</v>
      </c>
      <c r="T1955" s="16">
        <v>0</v>
      </c>
      <c r="U1955" s="16">
        <v>1</v>
      </c>
      <c r="V1955" s="16">
        <v>2</v>
      </c>
      <c r="W1955" s="16">
        <v>0</v>
      </c>
      <c r="X1955" s="16">
        <v>2.5</v>
      </c>
      <c r="Y1955" s="12">
        <v>0</v>
      </c>
      <c r="Z1955" s="16">
        <v>0</v>
      </c>
      <c r="AA1955" s="16">
        <v>1</v>
      </c>
      <c r="AB1955" s="16">
        <v>0</v>
      </c>
      <c r="AC1955" s="16">
        <v>0</v>
      </c>
      <c r="AD1955" s="16">
        <v>0</v>
      </c>
      <c r="AE1955" s="16">
        <v>0</v>
      </c>
      <c r="AF1955" s="16">
        <v>16</v>
      </c>
      <c r="AG1955" s="16">
        <v>1</v>
      </c>
      <c r="AH1955" s="16">
        <v>3</v>
      </c>
      <c r="AI1955" s="12">
        <v>6</v>
      </c>
      <c r="AJ1955" s="12">
        <v>1</v>
      </c>
      <c r="AK1955" s="12">
        <v>0</v>
      </c>
      <c r="AL1955" s="12">
        <v>1.5</v>
      </c>
      <c r="AM1955" s="16">
        <v>0</v>
      </c>
      <c r="AN1955" s="16">
        <v>0</v>
      </c>
      <c r="AO1955" s="16">
        <v>0</v>
      </c>
      <c r="AP1955" s="16">
        <v>3</v>
      </c>
      <c r="AQ1955" s="16">
        <v>5000</v>
      </c>
      <c r="AR1955" s="16">
        <v>3</v>
      </c>
      <c r="AS1955" s="16">
        <v>0</v>
      </c>
      <c r="AT1955" s="12">
        <v>0</v>
      </c>
      <c r="AU1955" s="16">
        <v>80001030</v>
      </c>
      <c r="AV1955" s="16"/>
      <c r="AW1955" s="19" t="s">
        <v>617</v>
      </c>
      <c r="AX1955" s="16" t="s">
        <v>534</v>
      </c>
      <c r="AY1955" s="18">
        <v>10000007</v>
      </c>
      <c r="AZ1955" s="18">
        <v>70204003</v>
      </c>
      <c r="BA1955" s="17" t="s">
        <v>200</v>
      </c>
      <c r="BB1955" s="16" t="s">
        <v>4518</v>
      </c>
      <c r="BC1955" s="27">
        <v>0</v>
      </c>
      <c r="BD1955" s="27">
        <v>0</v>
      </c>
      <c r="BE1955" s="44" t="s">
        <v>1099</v>
      </c>
      <c r="BF1955" s="44" t="s">
        <v>1100</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70504005</v>
      </c>
      <c r="D1956" s="17" t="s">
        <v>1101</v>
      </c>
      <c r="E1956" s="17" t="s">
        <v>1102</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2.5</v>
      </c>
      <c r="Y1956" s="12">
        <v>0</v>
      </c>
      <c r="Z1956" s="16">
        <v>0</v>
      </c>
      <c r="AA1956" s="16">
        <v>1</v>
      </c>
      <c r="AB1956" s="16">
        <v>0</v>
      </c>
      <c r="AC1956" s="16">
        <v>0</v>
      </c>
      <c r="AD1956" s="16">
        <v>0</v>
      </c>
      <c r="AE1956" s="16">
        <v>0</v>
      </c>
      <c r="AF1956" s="16">
        <v>16</v>
      </c>
      <c r="AG1956" s="16">
        <v>1</v>
      </c>
      <c r="AH1956" s="16" t="s">
        <v>607</v>
      </c>
      <c r="AI1956" s="12">
        <v>0</v>
      </c>
      <c r="AJ1956" s="12">
        <v>1</v>
      </c>
      <c r="AK1956" s="12">
        <v>0</v>
      </c>
      <c r="AL1956" s="12">
        <v>3</v>
      </c>
      <c r="AM1956" s="16">
        <v>0</v>
      </c>
      <c r="AN1956" s="16">
        <v>0</v>
      </c>
      <c r="AO1956" s="16">
        <v>0</v>
      </c>
      <c r="AP1956" s="16">
        <v>2.5</v>
      </c>
      <c r="AQ1956" s="16">
        <v>5000</v>
      </c>
      <c r="AR1956" s="16">
        <v>2</v>
      </c>
      <c r="AS1956" s="16">
        <v>0</v>
      </c>
      <c r="AT1956" s="12">
        <v>0</v>
      </c>
      <c r="AU1956" s="16">
        <v>80001030</v>
      </c>
      <c r="AV1956" s="16"/>
      <c r="AW1956" s="19" t="s">
        <v>256</v>
      </c>
      <c r="AX1956" s="16" t="s">
        <v>534</v>
      </c>
      <c r="AY1956" s="18">
        <v>10000007</v>
      </c>
      <c r="AZ1956" s="18">
        <v>70405001</v>
      </c>
      <c r="BA1956" s="17" t="s">
        <v>200</v>
      </c>
      <c r="BB1956" s="16">
        <v>0</v>
      </c>
      <c r="BC1956" s="27">
        <v>0</v>
      </c>
      <c r="BD1956" s="27">
        <v>0</v>
      </c>
      <c r="BE1956" s="44" t="s">
        <v>1103</v>
      </c>
      <c r="BF1956" s="44" t="s">
        <v>1104</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20.100000000000001" customHeight="1">
      <c r="C1957" s="18">
        <v>70505001</v>
      </c>
      <c r="D1957" s="17" t="s">
        <v>1116</v>
      </c>
      <c r="E1957" s="17" t="s">
        <v>391</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2</v>
      </c>
      <c r="Y1957" s="12">
        <v>0</v>
      </c>
      <c r="Z1957" s="16">
        <v>0</v>
      </c>
      <c r="AA1957" s="16">
        <v>1</v>
      </c>
      <c r="AB1957" s="16">
        <v>0</v>
      </c>
      <c r="AC1957" s="16">
        <v>0</v>
      </c>
      <c r="AD1957" s="16">
        <v>0</v>
      </c>
      <c r="AE1957" s="16">
        <v>0</v>
      </c>
      <c r="AF1957" s="16">
        <v>12</v>
      </c>
      <c r="AG1957" s="16">
        <v>1</v>
      </c>
      <c r="AH1957" s="16">
        <v>3</v>
      </c>
      <c r="AI1957" s="12">
        <v>4</v>
      </c>
      <c r="AJ1957" s="12">
        <v>1</v>
      </c>
      <c r="AK1957" s="12">
        <v>0</v>
      </c>
      <c r="AL1957" s="12">
        <v>1.5</v>
      </c>
      <c r="AM1957" s="16">
        <v>0</v>
      </c>
      <c r="AN1957" s="16">
        <v>0</v>
      </c>
      <c r="AO1957" s="16">
        <v>0</v>
      </c>
      <c r="AP1957" s="16">
        <v>3</v>
      </c>
      <c r="AQ1957" s="16">
        <v>5000</v>
      </c>
      <c r="AR1957" s="16">
        <v>3</v>
      </c>
      <c r="AS1957" s="16">
        <v>0</v>
      </c>
      <c r="AT1957" s="12">
        <v>0</v>
      </c>
      <c r="AU1957" s="16">
        <v>80001030</v>
      </c>
      <c r="AV1957" s="16"/>
      <c r="AW1957" s="19" t="s">
        <v>256</v>
      </c>
      <c r="AX1957" s="16" t="s">
        <v>534</v>
      </c>
      <c r="AY1957" s="18">
        <v>10000007</v>
      </c>
      <c r="AZ1957" s="18">
        <v>70204002</v>
      </c>
      <c r="BA1957" s="17" t="s">
        <v>200</v>
      </c>
      <c r="BB1957" s="16" t="s">
        <v>4519</v>
      </c>
      <c r="BC1957" s="27">
        <v>0</v>
      </c>
      <c r="BD1957" s="27">
        <v>0</v>
      </c>
      <c r="BE1957" s="44" t="s">
        <v>1322</v>
      </c>
      <c r="BF1957" s="44" t="s">
        <v>1323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20.100000000000001" customHeight="1">
      <c r="C1958" s="18">
        <v>70505002</v>
      </c>
      <c r="D1958" s="17" t="s">
        <v>1324</v>
      </c>
      <c r="E1958" s="17" t="s">
        <v>1325</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2</v>
      </c>
      <c r="Y1958" s="12">
        <v>0</v>
      </c>
      <c r="Z1958" s="16">
        <v>0</v>
      </c>
      <c r="AA1958" s="16">
        <v>1</v>
      </c>
      <c r="AB1958" s="16">
        <v>0</v>
      </c>
      <c r="AC1958" s="16">
        <v>0</v>
      </c>
      <c r="AD1958" s="16">
        <v>0</v>
      </c>
      <c r="AE1958" s="16">
        <v>0</v>
      </c>
      <c r="AF1958" s="16">
        <v>12</v>
      </c>
      <c r="AG1958" s="16">
        <v>2</v>
      </c>
      <c r="AH1958" s="16" t="s">
        <v>213</v>
      </c>
      <c r="AI1958" s="12">
        <v>0</v>
      </c>
      <c r="AJ1958" s="12">
        <v>2</v>
      </c>
      <c r="AK1958" s="12">
        <v>0</v>
      </c>
      <c r="AL1958" s="12">
        <v>1.5</v>
      </c>
      <c r="AM1958" s="16">
        <v>0</v>
      </c>
      <c r="AN1958" s="16">
        <v>0</v>
      </c>
      <c r="AO1958" s="16">
        <v>0</v>
      </c>
      <c r="AP1958" s="16">
        <v>1.5</v>
      </c>
      <c r="AQ1958" s="16">
        <v>10000</v>
      </c>
      <c r="AR1958" s="16">
        <v>1</v>
      </c>
      <c r="AS1958" s="16">
        <v>5</v>
      </c>
      <c r="AT1958" s="12">
        <v>0</v>
      </c>
      <c r="AU1958" s="16" t="s">
        <v>198</v>
      </c>
      <c r="AV1958" s="16"/>
      <c r="AW1958" s="19" t="s">
        <v>617</v>
      </c>
      <c r="AX1958" s="16" t="s">
        <v>534</v>
      </c>
      <c r="AY1958" s="18">
        <v>10000007</v>
      </c>
      <c r="AZ1958" s="18">
        <v>70302003</v>
      </c>
      <c r="BA1958" s="19" t="s">
        <v>586</v>
      </c>
      <c r="BB1958" s="16">
        <v>0</v>
      </c>
      <c r="BC1958" s="27">
        <v>0</v>
      </c>
      <c r="BD1958" s="27">
        <v>0</v>
      </c>
      <c r="BE1958" s="44" t="s">
        <v>1108</v>
      </c>
      <c r="BF1958" s="44" t="s">
        <v>1109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20.100000000000001" customHeight="1">
      <c r="C1959" s="18">
        <v>70505003</v>
      </c>
      <c r="D1959" s="19" t="s">
        <v>621</v>
      </c>
      <c r="E1959" s="19" t="s">
        <v>622</v>
      </c>
      <c r="F1959" s="18">
        <v>1</v>
      </c>
      <c r="G1959" s="18">
        <v>60010500</v>
      </c>
      <c r="H1959" s="18">
        <v>0</v>
      </c>
      <c r="I1959" s="27">
        <v>0</v>
      </c>
      <c r="J1959" s="18">
        <v>1</v>
      </c>
      <c r="K1959" s="18">
        <v>0</v>
      </c>
      <c r="L1959" s="18">
        <v>0</v>
      </c>
      <c r="M1959" s="18">
        <v>0</v>
      </c>
      <c r="N1959" s="18">
        <v>0</v>
      </c>
      <c r="O1959" s="16">
        <v>2</v>
      </c>
      <c r="P1959" s="18">
        <v>2</v>
      </c>
      <c r="Q1959" s="18">
        <v>0.3</v>
      </c>
      <c r="R1959" s="18">
        <v>0</v>
      </c>
      <c r="S1959" s="12">
        <v>0</v>
      </c>
      <c r="T1959" s="27">
        <v>0</v>
      </c>
      <c r="U1959" s="16">
        <v>1</v>
      </c>
      <c r="V1959" s="18">
        <v>2</v>
      </c>
      <c r="W1959" s="18">
        <v>0</v>
      </c>
      <c r="X1959" s="18">
        <v>0</v>
      </c>
      <c r="Y1959" s="12">
        <v>0</v>
      </c>
      <c r="Z1959" s="18">
        <v>0</v>
      </c>
      <c r="AA1959" s="18">
        <v>0</v>
      </c>
      <c r="AB1959" s="18">
        <v>0</v>
      </c>
      <c r="AC1959" s="18">
        <v>0</v>
      </c>
      <c r="AD1959" s="16">
        <v>0</v>
      </c>
      <c r="AE1959" s="18">
        <v>0</v>
      </c>
      <c r="AF1959" s="16">
        <v>12</v>
      </c>
      <c r="AG1959" s="18">
        <v>0</v>
      </c>
      <c r="AH1959" s="18">
        <v>0</v>
      </c>
      <c r="AI1959" s="12">
        <v>7</v>
      </c>
      <c r="AJ1959" s="12">
        <v>0</v>
      </c>
      <c r="AK1959" s="12">
        <v>0</v>
      </c>
      <c r="AL1959" s="12">
        <v>0</v>
      </c>
      <c r="AM1959" s="18">
        <v>0</v>
      </c>
      <c r="AN1959" s="18">
        <v>0</v>
      </c>
      <c r="AO1959" s="18">
        <v>0</v>
      </c>
      <c r="AP1959" s="18">
        <v>0</v>
      </c>
      <c r="AQ1959" s="18">
        <v>1000</v>
      </c>
      <c r="AR1959" s="18">
        <v>0</v>
      </c>
      <c r="AS1959" s="18">
        <v>0</v>
      </c>
      <c r="AT1959" s="12">
        <v>0</v>
      </c>
      <c r="AU1959" s="18">
        <v>90204004</v>
      </c>
      <c r="AV1959" s="18"/>
      <c r="AW1959" s="19" t="s">
        <v>199</v>
      </c>
      <c r="AX1959" s="18" t="s">
        <v>348</v>
      </c>
      <c r="AY1959" s="18">
        <v>0</v>
      </c>
      <c r="AZ1959" s="18">
        <v>0</v>
      </c>
      <c r="BA1959" s="19" t="s">
        <v>200</v>
      </c>
      <c r="BB1959" s="19" t="s">
        <v>198</v>
      </c>
      <c r="BC1959" s="27">
        <v>0</v>
      </c>
      <c r="BD1959" s="27">
        <v>0</v>
      </c>
      <c r="BE1959" s="87" t="s">
        <v>623</v>
      </c>
      <c r="BF1959" s="87" t="s">
        <v>624</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19.5" customHeight="1">
      <c r="C1960" s="18">
        <v>70505004</v>
      </c>
      <c r="D1960" s="19" t="s">
        <v>757</v>
      </c>
      <c r="E1960" s="19" t="s">
        <v>399</v>
      </c>
      <c r="F1960" s="18">
        <v>1</v>
      </c>
      <c r="G1960" s="18">
        <v>60010500</v>
      </c>
      <c r="H1960" s="18">
        <v>0</v>
      </c>
      <c r="I1960" s="27">
        <v>0</v>
      </c>
      <c r="J1960" s="18">
        <v>1</v>
      </c>
      <c r="K1960" s="18">
        <v>0</v>
      </c>
      <c r="L1960" s="18">
        <v>0</v>
      </c>
      <c r="M1960" s="18">
        <v>0</v>
      </c>
      <c r="N1960" s="18">
        <v>0</v>
      </c>
      <c r="O1960" s="16">
        <v>2</v>
      </c>
      <c r="P1960" s="18">
        <v>2</v>
      </c>
      <c r="Q1960" s="18">
        <v>0.3</v>
      </c>
      <c r="R1960" s="18">
        <v>0</v>
      </c>
      <c r="S1960" s="12">
        <v>0</v>
      </c>
      <c r="T1960" s="27">
        <v>0</v>
      </c>
      <c r="U1960" s="16">
        <v>1</v>
      </c>
      <c r="V1960" s="18">
        <v>2</v>
      </c>
      <c r="W1960" s="18">
        <v>0</v>
      </c>
      <c r="X1960" s="18">
        <v>0</v>
      </c>
      <c r="Y1960" s="12">
        <v>0</v>
      </c>
      <c r="Z1960" s="18">
        <v>0</v>
      </c>
      <c r="AA1960" s="18">
        <v>0</v>
      </c>
      <c r="AB1960" s="18">
        <v>0</v>
      </c>
      <c r="AC1960" s="18">
        <v>0</v>
      </c>
      <c r="AD1960" s="16">
        <v>0</v>
      </c>
      <c r="AE1960" s="18">
        <v>0</v>
      </c>
      <c r="AF1960" s="16">
        <v>15</v>
      </c>
      <c r="AG1960" s="18">
        <v>0</v>
      </c>
      <c r="AH1960" s="18">
        <v>0</v>
      </c>
      <c r="AI1960" s="12">
        <v>2</v>
      </c>
      <c r="AJ1960" s="12">
        <v>0</v>
      </c>
      <c r="AK1960" s="12">
        <v>0</v>
      </c>
      <c r="AL1960" s="12">
        <v>0</v>
      </c>
      <c r="AM1960" s="18">
        <v>0</v>
      </c>
      <c r="AN1960" s="18">
        <v>0</v>
      </c>
      <c r="AO1960" s="18">
        <v>0</v>
      </c>
      <c r="AP1960" s="18">
        <v>0</v>
      </c>
      <c r="AQ1960" s="18">
        <v>1000</v>
      </c>
      <c r="AR1960" s="18">
        <v>0</v>
      </c>
      <c r="AS1960" s="18">
        <v>0</v>
      </c>
      <c r="AT1960" s="12" t="s">
        <v>754</v>
      </c>
      <c r="AU1960" s="18" t="s">
        <v>198</v>
      </c>
      <c r="AV1960" s="18"/>
      <c r="AW1960" s="19" t="s">
        <v>199</v>
      </c>
      <c r="AX1960" s="18" t="s">
        <v>348</v>
      </c>
      <c r="AY1960" s="18">
        <v>0</v>
      </c>
      <c r="AZ1960" s="18">
        <v>0</v>
      </c>
      <c r="BA1960" s="19" t="s">
        <v>200</v>
      </c>
      <c r="BB1960" s="19" t="s">
        <v>198</v>
      </c>
      <c r="BC1960" s="27">
        <v>0</v>
      </c>
      <c r="BD1960" s="27">
        <v>0</v>
      </c>
      <c r="BE1960" s="87" t="s">
        <v>1118</v>
      </c>
      <c r="BF1960" s="87" t="s">
        <v>1119</v>
      </c>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19.5" customHeight="1">
      <c r="C1961" s="18">
        <v>70505005</v>
      </c>
      <c r="D1961" s="17" t="s">
        <v>1326</v>
      </c>
      <c r="E1961" s="17" t="s">
        <v>1327</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607</v>
      </c>
      <c r="AI1961" s="12">
        <v>0</v>
      </c>
      <c r="AJ1961" s="12">
        <v>1</v>
      </c>
      <c r="AK1961" s="12">
        <v>0</v>
      </c>
      <c r="AL1961" s="12">
        <v>3</v>
      </c>
      <c r="AM1961" s="16">
        <v>0</v>
      </c>
      <c r="AN1961" s="16">
        <v>0</v>
      </c>
      <c r="AO1961" s="16">
        <v>0</v>
      </c>
      <c r="AP1961" s="16">
        <v>3</v>
      </c>
      <c r="AQ1961" s="16">
        <v>5000</v>
      </c>
      <c r="AR1961" s="16">
        <v>2.5</v>
      </c>
      <c r="AS1961" s="16">
        <v>0</v>
      </c>
      <c r="AT1961" s="12">
        <v>0</v>
      </c>
      <c r="AU1961" s="16" t="s">
        <v>659</v>
      </c>
      <c r="AV1961" s="16"/>
      <c r="AW1961" s="19" t="s">
        <v>287</v>
      </c>
      <c r="AX1961" s="16" t="s">
        <v>534</v>
      </c>
      <c r="AY1961" s="18">
        <v>10000007</v>
      </c>
      <c r="AZ1961" s="18">
        <v>70305005</v>
      </c>
      <c r="BA1961" s="17" t="s">
        <v>200</v>
      </c>
      <c r="BB1961" s="16">
        <v>0</v>
      </c>
      <c r="BC1961" s="27">
        <v>0</v>
      </c>
      <c r="BD1961" s="27">
        <v>0</v>
      </c>
      <c r="BE1961" s="44" t="s">
        <v>1122</v>
      </c>
      <c r="BF1961" s="44" t="s">
        <v>1123</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19.5" customHeight="1">
      <c r="C1962" s="18">
        <v>70505006</v>
      </c>
      <c r="D1962" s="17" t="s">
        <v>4464</v>
      </c>
      <c r="E1962" s="17" t="s">
        <v>4465</v>
      </c>
      <c r="F1962" s="18">
        <v>1</v>
      </c>
      <c r="G1962" s="16">
        <v>60010100</v>
      </c>
      <c r="H1962" s="18">
        <v>0</v>
      </c>
      <c r="I1962" s="27">
        <v>0</v>
      </c>
      <c r="J1962" s="18">
        <v>1</v>
      </c>
      <c r="K1962" s="18">
        <v>0</v>
      </c>
      <c r="L1962" s="18">
        <v>0</v>
      </c>
      <c r="M1962" s="16">
        <v>0</v>
      </c>
      <c r="N1962" s="16">
        <v>0</v>
      </c>
      <c r="O1962" s="16">
        <v>2</v>
      </c>
      <c r="P1962" s="16">
        <v>1</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7</v>
      </c>
      <c r="AG1962" s="16">
        <v>1</v>
      </c>
      <c r="AH1962" s="16" t="s">
        <v>607</v>
      </c>
      <c r="AI1962" s="12">
        <v>0</v>
      </c>
      <c r="AJ1962" s="12">
        <v>1</v>
      </c>
      <c r="AK1962" s="12">
        <v>0</v>
      </c>
      <c r="AL1962" s="12">
        <v>3</v>
      </c>
      <c r="AM1962" s="16">
        <v>0</v>
      </c>
      <c r="AN1962" s="16">
        <v>0</v>
      </c>
      <c r="AO1962" s="16">
        <v>0</v>
      </c>
      <c r="AP1962" s="16">
        <v>3</v>
      </c>
      <c r="AQ1962" s="16">
        <v>5000</v>
      </c>
      <c r="AR1962" s="16">
        <v>2.5</v>
      </c>
      <c r="AS1962" s="16">
        <v>0</v>
      </c>
      <c r="AT1962" s="12">
        <v>0</v>
      </c>
      <c r="AU1962" s="16" t="s">
        <v>198</v>
      </c>
      <c r="AV1962" s="16"/>
      <c r="AW1962" s="19" t="s">
        <v>199</v>
      </c>
      <c r="AX1962" s="16" t="s">
        <v>534</v>
      </c>
      <c r="AY1962" s="18">
        <v>10000007</v>
      </c>
      <c r="AZ1962" s="18">
        <v>70305007</v>
      </c>
      <c r="BA1962" s="17" t="s">
        <v>200</v>
      </c>
      <c r="BB1962" s="16">
        <v>0</v>
      </c>
      <c r="BC1962" s="27">
        <v>0</v>
      </c>
      <c r="BD1962" s="27">
        <v>0</v>
      </c>
      <c r="BE1962" s="44" t="s">
        <v>582</v>
      </c>
      <c r="BF1962" s="44" t="s">
        <v>583</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70505007</v>
      </c>
      <c r="D1963" s="17" t="s">
        <v>1124</v>
      </c>
      <c r="E1963" s="17" t="s">
        <v>1125</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1</v>
      </c>
      <c r="Y1963" s="12">
        <v>0</v>
      </c>
      <c r="Z1963" s="16">
        <v>0</v>
      </c>
      <c r="AA1963" s="16">
        <v>1</v>
      </c>
      <c r="AB1963" s="16">
        <v>0</v>
      </c>
      <c r="AC1963" s="16">
        <v>0</v>
      </c>
      <c r="AD1963" s="16">
        <v>0</v>
      </c>
      <c r="AE1963" s="16">
        <v>0</v>
      </c>
      <c r="AF1963" s="16">
        <v>30</v>
      </c>
      <c r="AG1963" s="16">
        <v>1</v>
      </c>
      <c r="AH1963" s="16" t="s">
        <v>861</v>
      </c>
      <c r="AI1963" s="12">
        <v>0</v>
      </c>
      <c r="AJ1963" s="12">
        <v>0</v>
      </c>
      <c r="AK1963" s="12">
        <v>0</v>
      </c>
      <c r="AL1963" s="12">
        <v>0</v>
      </c>
      <c r="AM1963" s="16">
        <v>0</v>
      </c>
      <c r="AN1963" s="16">
        <v>0</v>
      </c>
      <c r="AO1963" s="16">
        <v>0</v>
      </c>
      <c r="AP1963" s="16">
        <v>0.5</v>
      </c>
      <c r="AQ1963" s="16">
        <v>999999</v>
      </c>
      <c r="AR1963" s="16">
        <v>0.5</v>
      </c>
      <c r="AS1963" s="16">
        <v>0</v>
      </c>
      <c r="AT1963" s="12">
        <v>0</v>
      </c>
      <c r="AU1963" s="341" t="s">
        <v>1019</v>
      </c>
      <c r="AV1963" s="12"/>
      <c r="AW1963" s="19" t="s">
        <v>287</v>
      </c>
      <c r="AX1963" s="16" t="s">
        <v>534</v>
      </c>
      <c r="AY1963" s="18">
        <v>10000007</v>
      </c>
      <c r="AZ1963" s="18">
        <v>70202004</v>
      </c>
      <c r="BA1963" s="19" t="s">
        <v>315</v>
      </c>
      <c r="BB1963" s="19" t="s">
        <v>371</v>
      </c>
      <c r="BC1963" s="27">
        <v>0</v>
      </c>
      <c r="BD1963" s="27">
        <v>0</v>
      </c>
      <c r="BE1963" s="44" t="s">
        <v>1001</v>
      </c>
      <c r="BF1963" s="44" t="s">
        <v>1002</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19.5" customHeight="1">
      <c r="C1964" s="18">
        <v>70505008</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1122</v>
      </c>
      <c r="BF1964" s="44" t="s">
        <v>1123</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19.5" customHeight="1">
      <c r="C1965" s="18">
        <v>71000001</v>
      </c>
      <c r="D1965" s="19" t="s">
        <v>4520</v>
      </c>
      <c r="E1965" s="19" t="s">
        <v>4521</v>
      </c>
      <c r="F1965" s="18">
        <v>1</v>
      </c>
      <c r="G1965" s="18">
        <v>60010100</v>
      </c>
      <c r="H1965" s="18">
        <v>0</v>
      </c>
      <c r="I1965" s="27">
        <v>0</v>
      </c>
      <c r="J1965" s="18">
        <v>1</v>
      </c>
      <c r="K1965" s="18">
        <v>0</v>
      </c>
      <c r="L1965" s="18">
        <v>0</v>
      </c>
      <c r="M1965" s="18">
        <v>0</v>
      </c>
      <c r="N1965" s="18">
        <v>0</v>
      </c>
      <c r="O1965" s="16">
        <v>2</v>
      </c>
      <c r="P1965" s="18">
        <v>0</v>
      </c>
      <c r="Q1965" s="18">
        <v>0</v>
      </c>
      <c r="R1965" s="18">
        <v>0</v>
      </c>
      <c r="S1965" s="12">
        <v>0</v>
      </c>
      <c r="T1965" s="27">
        <v>0</v>
      </c>
      <c r="U1965" s="16">
        <v>1</v>
      </c>
      <c r="V1965" s="18">
        <v>2</v>
      </c>
      <c r="W1965" s="18">
        <v>0</v>
      </c>
      <c r="X1965" s="18">
        <v>0</v>
      </c>
      <c r="Y1965" s="12">
        <v>0</v>
      </c>
      <c r="Z1965" s="18">
        <v>0</v>
      </c>
      <c r="AA1965" s="18">
        <v>1</v>
      </c>
      <c r="AB1965" s="18">
        <v>0</v>
      </c>
      <c r="AC1965" s="18">
        <v>0</v>
      </c>
      <c r="AD1965" s="16">
        <v>0</v>
      </c>
      <c r="AE1965" s="18">
        <v>0</v>
      </c>
      <c r="AF1965" s="18">
        <v>5</v>
      </c>
      <c r="AG1965" s="18">
        <v>1</v>
      </c>
      <c r="AH1965" s="18">
        <v>3</v>
      </c>
      <c r="AI1965" s="12">
        <v>2</v>
      </c>
      <c r="AJ1965" s="12">
        <v>0</v>
      </c>
      <c r="AK1965" s="12">
        <v>0</v>
      </c>
      <c r="AL1965" s="12">
        <v>1.6</v>
      </c>
      <c r="AM1965" s="18">
        <v>0</v>
      </c>
      <c r="AN1965" s="18">
        <v>0</v>
      </c>
      <c r="AO1965" s="18">
        <v>0</v>
      </c>
      <c r="AP1965" s="18">
        <v>0.5</v>
      </c>
      <c r="AQ1965" s="18">
        <v>3000</v>
      </c>
      <c r="AR1965" s="18">
        <v>0</v>
      </c>
      <c r="AS1965" s="18">
        <v>0</v>
      </c>
      <c r="AT1965" s="12">
        <v>0</v>
      </c>
      <c r="AU1965" s="18" t="s">
        <v>4522</v>
      </c>
      <c r="AV1965" s="18"/>
      <c r="AW1965" s="19" t="s">
        <v>256</v>
      </c>
      <c r="AX1965" s="18" t="s">
        <v>534</v>
      </c>
      <c r="AY1965" s="18" t="s">
        <v>198</v>
      </c>
      <c r="AZ1965" s="18" t="s">
        <v>198</v>
      </c>
      <c r="BA1965" s="19" t="s">
        <v>200</v>
      </c>
      <c r="BB1965" s="19">
        <v>0</v>
      </c>
      <c r="BC1965" s="27">
        <v>0</v>
      </c>
      <c r="BD1965" s="27">
        <v>0</v>
      </c>
      <c r="BE1965" s="87" t="s">
        <v>4523</v>
      </c>
      <c r="BF1965" s="87" t="s">
        <v>4524</v>
      </c>
      <c r="BG1965" s="18">
        <v>0</v>
      </c>
      <c r="BH1965" s="16">
        <v>0</v>
      </c>
      <c r="BI1965" s="18">
        <v>0</v>
      </c>
      <c r="BJ1965" s="18">
        <v>0</v>
      </c>
      <c r="BK1965" s="18">
        <v>0</v>
      </c>
      <c r="BL1965" s="18">
        <v>0</v>
      </c>
      <c r="BM1965" s="15">
        <v>0</v>
      </c>
      <c r="BN1965" s="12">
        <v>0</v>
      </c>
      <c r="BO1965" s="12">
        <v>0</v>
      </c>
      <c r="BP1965" s="12">
        <v>0</v>
      </c>
      <c r="BQ1965" s="12">
        <v>0</v>
      </c>
      <c r="BR1965" s="12">
        <v>0</v>
      </c>
      <c r="BS1965" s="12">
        <v>0</v>
      </c>
      <c r="BT1965" s="12">
        <v>0</v>
      </c>
      <c r="BU1965" s="47">
        <v>0</v>
      </c>
      <c r="BV1965" s="47"/>
      <c r="BW1965" s="47"/>
    </row>
    <row r="1966" spans="3:75" ht="19.5" customHeight="1">
      <c r="C1966" s="18">
        <v>71000002</v>
      </c>
      <c r="D1966" s="19" t="s">
        <v>4525</v>
      </c>
      <c r="E1966" s="19" t="s">
        <v>4526</v>
      </c>
      <c r="F1966" s="18">
        <v>1</v>
      </c>
      <c r="G1966" s="18">
        <v>60010100</v>
      </c>
      <c r="H1966" s="18">
        <v>0</v>
      </c>
      <c r="I1966" s="27">
        <v>0</v>
      </c>
      <c r="J1966" s="18">
        <v>1</v>
      </c>
      <c r="K1966" s="18">
        <v>0</v>
      </c>
      <c r="L1966" s="18">
        <v>0</v>
      </c>
      <c r="M1966" s="18">
        <v>0</v>
      </c>
      <c r="N1966" s="18">
        <v>0</v>
      </c>
      <c r="O1966" s="16">
        <v>2</v>
      </c>
      <c r="P1966" s="18">
        <v>0</v>
      </c>
      <c r="Q1966" s="18">
        <v>0</v>
      </c>
      <c r="R1966" s="18">
        <v>0</v>
      </c>
      <c r="S1966" s="12">
        <v>0</v>
      </c>
      <c r="T1966" s="27">
        <v>0</v>
      </c>
      <c r="U1966" s="16">
        <v>1</v>
      </c>
      <c r="V1966" s="18">
        <v>2</v>
      </c>
      <c r="W1966" s="18">
        <v>0</v>
      </c>
      <c r="X1966" s="18">
        <v>0</v>
      </c>
      <c r="Y1966" s="12">
        <v>0</v>
      </c>
      <c r="Z1966" s="18">
        <v>0</v>
      </c>
      <c r="AA1966" s="18">
        <v>1</v>
      </c>
      <c r="AB1966" s="18">
        <v>0</v>
      </c>
      <c r="AC1966" s="18">
        <v>0</v>
      </c>
      <c r="AD1966" s="16">
        <v>0</v>
      </c>
      <c r="AE1966" s="18">
        <v>0</v>
      </c>
      <c r="AF1966" s="18">
        <v>5</v>
      </c>
      <c r="AG1966" s="18">
        <v>1</v>
      </c>
      <c r="AH1966" s="18">
        <v>3</v>
      </c>
      <c r="AI1966" s="12">
        <v>2</v>
      </c>
      <c r="AJ1966" s="12">
        <v>0</v>
      </c>
      <c r="AK1966" s="12">
        <v>0</v>
      </c>
      <c r="AL1966" s="12">
        <v>1.6</v>
      </c>
      <c r="AM1966" s="18">
        <v>0</v>
      </c>
      <c r="AN1966" s="18">
        <v>0</v>
      </c>
      <c r="AO1966" s="18">
        <v>0</v>
      </c>
      <c r="AP1966" s="18">
        <v>0.5</v>
      </c>
      <c r="AQ1966" s="18">
        <v>3000</v>
      </c>
      <c r="AR1966" s="18">
        <v>0</v>
      </c>
      <c r="AS1966" s="18">
        <v>0</v>
      </c>
      <c r="AT1966" s="12">
        <v>0</v>
      </c>
      <c r="AU1966" s="18">
        <v>99004005</v>
      </c>
      <c r="AV1966" s="18"/>
      <c r="AW1966" s="19" t="s">
        <v>256</v>
      </c>
      <c r="AX1966" s="18" t="s">
        <v>534</v>
      </c>
      <c r="AY1966" s="18" t="s">
        <v>198</v>
      </c>
      <c r="AZ1966" s="18" t="s">
        <v>198</v>
      </c>
      <c r="BA1966" s="19" t="s">
        <v>200</v>
      </c>
      <c r="BB1966" s="19">
        <v>0</v>
      </c>
      <c r="BC1966" s="27">
        <v>0</v>
      </c>
      <c r="BD1966" s="27">
        <v>0</v>
      </c>
      <c r="BE1966" s="87" t="s">
        <v>4523</v>
      </c>
      <c r="BF1966" s="87" t="s">
        <v>4524</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73001101</v>
      </c>
      <c r="D1967" s="19" t="s">
        <v>1605</v>
      </c>
      <c r="E1967" s="19" t="s">
        <v>1606</v>
      </c>
      <c r="F1967" s="18">
        <v>1</v>
      </c>
      <c r="G1967" s="15">
        <v>0</v>
      </c>
      <c r="H1967" s="18">
        <v>0</v>
      </c>
      <c r="I1967" s="27">
        <v>0</v>
      </c>
      <c r="J1967" s="18">
        <v>1</v>
      </c>
      <c r="K1967" s="18">
        <v>0</v>
      </c>
      <c r="L1967" s="18">
        <v>0</v>
      </c>
      <c r="M1967" s="18">
        <v>0</v>
      </c>
      <c r="N1967" s="18">
        <v>0</v>
      </c>
      <c r="O1967" s="18">
        <v>2</v>
      </c>
      <c r="P1967" s="18">
        <v>1</v>
      </c>
      <c r="Q1967" s="18">
        <v>0.1</v>
      </c>
      <c r="R1967" s="18">
        <v>0</v>
      </c>
      <c r="S1967" s="12">
        <v>0</v>
      </c>
      <c r="T1967" s="27">
        <v>0</v>
      </c>
      <c r="U1967" s="16">
        <v>1</v>
      </c>
      <c r="V1967" s="18">
        <v>1</v>
      </c>
      <c r="W1967" s="18">
        <v>0</v>
      </c>
      <c r="X1967" s="18">
        <v>1.5</v>
      </c>
      <c r="Y1967" s="12">
        <v>0</v>
      </c>
      <c r="Z1967" s="18">
        <v>0</v>
      </c>
      <c r="AA1967" s="18">
        <v>0</v>
      </c>
      <c r="AB1967" s="18">
        <v>0</v>
      </c>
      <c r="AC1967" s="18">
        <v>0</v>
      </c>
      <c r="AD1967" s="18">
        <v>1</v>
      </c>
      <c r="AE1967" s="18">
        <v>0</v>
      </c>
      <c r="AF1967" s="18">
        <v>5</v>
      </c>
      <c r="AG1967" s="18">
        <v>1</v>
      </c>
      <c r="AH1967" s="18">
        <v>3</v>
      </c>
      <c r="AI1967" s="12">
        <v>2</v>
      </c>
      <c r="AJ1967" s="12">
        <v>1</v>
      </c>
      <c r="AK1967" s="12">
        <v>0</v>
      </c>
      <c r="AL1967" s="12">
        <v>6</v>
      </c>
      <c r="AM1967" s="18">
        <v>0</v>
      </c>
      <c r="AN1967" s="18">
        <v>0</v>
      </c>
      <c r="AO1967" s="18">
        <v>0</v>
      </c>
      <c r="AP1967" s="18">
        <v>0.5</v>
      </c>
      <c r="AQ1967" s="18">
        <v>5000</v>
      </c>
      <c r="AR1967" s="18">
        <v>0.2</v>
      </c>
      <c r="AS1967" s="18">
        <v>0</v>
      </c>
      <c r="AT1967" s="12">
        <v>0</v>
      </c>
      <c r="AU1967" s="18" t="s">
        <v>198</v>
      </c>
      <c r="AV1967" s="18"/>
      <c r="AW1967" s="19" t="s">
        <v>199</v>
      </c>
      <c r="AX1967" s="18">
        <v>0</v>
      </c>
      <c r="AY1967" s="18">
        <v>10000006</v>
      </c>
      <c r="AZ1967" s="26">
        <v>60000004</v>
      </c>
      <c r="BA1967" s="19" t="s">
        <v>1609</v>
      </c>
      <c r="BB1967" s="19" t="s">
        <v>198</v>
      </c>
      <c r="BC1967" s="27">
        <v>0</v>
      </c>
      <c r="BD1967" s="27">
        <v>0</v>
      </c>
      <c r="BE1967" s="87"/>
      <c r="BF1967" s="87"/>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73001102</v>
      </c>
      <c r="D1968" s="17" t="s">
        <v>532</v>
      </c>
      <c r="E1968" s="17" t="s">
        <v>255</v>
      </c>
      <c r="F1968" s="18">
        <v>1</v>
      </c>
      <c r="G1968" s="16">
        <v>0</v>
      </c>
      <c r="H1968" s="18">
        <v>0</v>
      </c>
      <c r="I1968" s="27">
        <v>0</v>
      </c>
      <c r="J1968" s="18">
        <v>1</v>
      </c>
      <c r="K1968" s="18">
        <v>0</v>
      </c>
      <c r="L1968" s="18">
        <v>0</v>
      </c>
      <c r="M1968" s="16">
        <v>0</v>
      </c>
      <c r="N1968" s="16">
        <v>0</v>
      </c>
      <c r="O1968" s="16">
        <v>2</v>
      </c>
      <c r="P1968" s="16">
        <v>1</v>
      </c>
      <c r="Q1968" s="16">
        <v>1</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6</v>
      </c>
      <c r="AG1968" s="16">
        <v>1</v>
      </c>
      <c r="AH1968" s="16">
        <v>3</v>
      </c>
      <c r="AI1968" s="12">
        <v>0</v>
      </c>
      <c r="AJ1968" s="12">
        <v>0</v>
      </c>
      <c r="AK1968" s="12">
        <v>0</v>
      </c>
      <c r="AL1968" s="12">
        <v>1.5</v>
      </c>
      <c r="AM1968" s="16">
        <v>0</v>
      </c>
      <c r="AN1968" s="16">
        <v>0</v>
      </c>
      <c r="AO1968" s="16">
        <v>0</v>
      </c>
      <c r="AP1968" s="16">
        <v>1</v>
      </c>
      <c r="AQ1968" s="16">
        <v>5000</v>
      </c>
      <c r="AR1968" s="16">
        <v>0.5</v>
      </c>
      <c r="AS1968" s="16">
        <v>0</v>
      </c>
      <c r="AT1968" s="12">
        <v>0</v>
      </c>
      <c r="AU1968" s="16" t="s">
        <v>198</v>
      </c>
      <c r="AV1968" s="16"/>
      <c r="AW1968" s="19" t="s">
        <v>199</v>
      </c>
      <c r="AX1968" s="16" t="s">
        <v>534</v>
      </c>
      <c r="AY1968" s="18">
        <v>10000007</v>
      </c>
      <c r="AZ1968" s="18">
        <v>70105001</v>
      </c>
      <c r="BA1968" s="17" t="s">
        <v>200</v>
      </c>
      <c r="BB1968" s="16" t="s">
        <v>4375</v>
      </c>
      <c r="BC1968" s="27">
        <v>0</v>
      </c>
      <c r="BD1968" s="27">
        <v>0</v>
      </c>
      <c r="BE1968" s="44" t="s">
        <v>4376</v>
      </c>
      <c r="BF1968" s="44" t="s">
        <v>4377</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1.75" customHeight="1">
      <c r="C1969" s="18">
        <v>73001103</v>
      </c>
      <c r="D1969" s="17" t="s">
        <v>532</v>
      </c>
      <c r="E1969" s="17" t="s">
        <v>255</v>
      </c>
      <c r="F1969" s="18">
        <v>1</v>
      </c>
      <c r="G1969" s="16">
        <v>0</v>
      </c>
      <c r="H1969" s="18">
        <v>0</v>
      </c>
      <c r="I1969" s="27">
        <v>0</v>
      </c>
      <c r="J1969" s="18">
        <v>1</v>
      </c>
      <c r="K1969" s="18">
        <v>0</v>
      </c>
      <c r="L1969" s="18">
        <v>0</v>
      </c>
      <c r="M1969" s="16">
        <v>0</v>
      </c>
      <c r="N1969" s="16">
        <v>0</v>
      </c>
      <c r="O1969" s="16">
        <v>2</v>
      </c>
      <c r="P1969" s="16">
        <v>3</v>
      </c>
      <c r="Q1969" s="16">
        <v>1</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9</v>
      </c>
      <c r="AG1969" s="16">
        <v>1</v>
      </c>
      <c r="AH1969" s="16">
        <v>4</v>
      </c>
      <c r="AI1969" s="12">
        <v>0</v>
      </c>
      <c r="AJ1969" s="12">
        <v>1</v>
      </c>
      <c r="AK1969" s="12">
        <v>0</v>
      </c>
      <c r="AL1969" s="12">
        <v>2</v>
      </c>
      <c r="AM1969" s="16">
        <v>0</v>
      </c>
      <c r="AN1969" s="16">
        <v>0</v>
      </c>
      <c r="AO1969" s="16">
        <v>0</v>
      </c>
      <c r="AP1969" s="16">
        <v>3</v>
      </c>
      <c r="AQ1969" s="16">
        <v>5000</v>
      </c>
      <c r="AR1969" s="16">
        <v>2.5</v>
      </c>
      <c r="AS1969" s="16">
        <v>0</v>
      </c>
      <c r="AT1969" s="12">
        <v>0</v>
      </c>
      <c r="AU1969" s="16" t="s">
        <v>533</v>
      </c>
      <c r="AV1969" s="16"/>
      <c r="AW1969" s="17" t="s">
        <v>287</v>
      </c>
      <c r="AX1969" s="16" t="s">
        <v>534</v>
      </c>
      <c r="AY1969" s="18">
        <v>10000007</v>
      </c>
      <c r="AZ1969" s="18">
        <v>70102001</v>
      </c>
      <c r="BA1969" s="17" t="s">
        <v>200</v>
      </c>
      <c r="BB1969" s="16" t="s">
        <v>4370</v>
      </c>
      <c r="BC1969" s="27">
        <v>0</v>
      </c>
      <c r="BD1969" s="27">
        <v>0</v>
      </c>
      <c r="BE1969" s="44" t="s">
        <v>536</v>
      </c>
      <c r="BF1969" s="44" t="s">
        <v>537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73001201</v>
      </c>
      <c r="D1970" s="17" t="s">
        <v>4506</v>
      </c>
      <c r="E1970" s="17" t="s">
        <v>4507</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2</v>
      </c>
      <c r="Y1970" s="12">
        <v>0</v>
      </c>
      <c r="Z1970" s="16">
        <v>0</v>
      </c>
      <c r="AA1970" s="16">
        <v>1</v>
      </c>
      <c r="AB1970" s="16">
        <v>0</v>
      </c>
      <c r="AC1970" s="16">
        <v>0</v>
      </c>
      <c r="AD1970" s="16">
        <v>0</v>
      </c>
      <c r="AE1970" s="16">
        <v>0</v>
      </c>
      <c r="AF1970" s="16">
        <v>20</v>
      </c>
      <c r="AG1970" s="16">
        <v>1</v>
      </c>
      <c r="AH1970" s="16" t="s">
        <v>861</v>
      </c>
      <c r="AI1970" s="12">
        <v>1</v>
      </c>
      <c r="AJ1970" s="12">
        <v>0</v>
      </c>
      <c r="AK1970" s="12">
        <v>0</v>
      </c>
      <c r="AL1970" s="12">
        <v>0</v>
      </c>
      <c r="AM1970" s="16">
        <v>0</v>
      </c>
      <c r="AN1970" s="16">
        <v>0</v>
      </c>
      <c r="AO1970" s="16">
        <v>0</v>
      </c>
      <c r="AP1970" s="16">
        <v>0.5</v>
      </c>
      <c r="AQ1970" s="16">
        <v>999999</v>
      </c>
      <c r="AR1970" s="16">
        <v>2</v>
      </c>
      <c r="AS1970" s="16">
        <v>0</v>
      </c>
      <c r="AT1970" s="12">
        <v>0</v>
      </c>
      <c r="AU1970" s="16" t="s">
        <v>854</v>
      </c>
      <c r="AV1970" s="16"/>
      <c r="AW1970" s="19" t="s">
        <v>287</v>
      </c>
      <c r="AX1970" s="16" t="s">
        <v>534</v>
      </c>
      <c r="AY1970" s="18">
        <v>10000007</v>
      </c>
      <c r="AZ1970" s="18">
        <v>70405007</v>
      </c>
      <c r="BA1970" s="19" t="s">
        <v>315</v>
      </c>
      <c r="BB1970" s="19" t="s">
        <v>371</v>
      </c>
      <c r="BC1970" s="27">
        <v>0</v>
      </c>
      <c r="BD1970" s="27">
        <v>0</v>
      </c>
      <c r="BE1970" s="44" t="s">
        <v>4508</v>
      </c>
      <c r="BF1970" s="44" t="s">
        <v>4509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73001203</v>
      </c>
      <c r="D1971" s="17" t="s">
        <v>4378</v>
      </c>
      <c r="E1971" s="17" t="s">
        <v>4379</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30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4527</v>
      </c>
      <c r="BC1971" s="27">
        <v>0</v>
      </c>
      <c r="BD1971" s="27">
        <v>0</v>
      </c>
      <c r="BE1971" s="44" t="s">
        <v>4381</v>
      </c>
      <c r="BF1971" s="44" t="s">
        <v>4382</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73001204</v>
      </c>
      <c r="D1972" s="17" t="s">
        <v>3115</v>
      </c>
      <c r="E1972" s="17" t="s">
        <v>3116</v>
      </c>
      <c r="F1972" s="18">
        <v>1</v>
      </c>
      <c r="G1972" s="16">
        <v>60010100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1</v>
      </c>
      <c r="AB1972" s="16">
        <v>0</v>
      </c>
      <c r="AC1972" s="16">
        <v>0</v>
      </c>
      <c r="AD1972" s="16">
        <v>0</v>
      </c>
      <c r="AE1972" s="16">
        <v>0</v>
      </c>
      <c r="AF1972" s="16">
        <v>10</v>
      </c>
      <c r="AG1972" s="16">
        <v>1</v>
      </c>
      <c r="AH1972" s="16">
        <v>3</v>
      </c>
      <c r="AI1972" s="12">
        <v>1</v>
      </c>
      <c r="AJ1972" s="12">
        <v>1</v>
      </c>
      <c r="AK1972" s="12">
        <v>0</v>
      </c>
      <c r="AL1972" s="12">
        <v>1.5</v>
      </c>
      <c r="AM1972" s="16">
        <v>0</v>
      </c>
      <c r="AN1972" s="16">
        <v>0</v>
      </c>
      <c r="AO1972" s="16">
        <v>0</v>
      </c>
      <c r="AP1972" s="16">
        <v>0.5</v>
      </c>
      <c r="AQ1972" s="16">
        <v>5000</v>
      </c>
      <c r="AR1972" s="16">
        <v>3</v>
      </c>
      <c r="AS1972" s="16">
        <v>0</v>
      </c>
      <c r="AT1972" s="12">
        <v>0</v>
      </c>
      <c r="AU1972" s="16" t="s">
        <v>198</v>
      </c>
      <c r="AV1972" s="16"/>
      <c r="AW1972" s="19" t="s">
        <v>199</v>
      </c>
      <c r="AX1972" s="16" t="s">
        <v>534</v>
      </c>
      <c r="AY1972" s="18">
        <v>10000007</v>
      </c>
      <c r="AZ1972" s="18">
        <v>70103003</v>
      </c>
      <c r="BA1972" s="17" t="s">
        <v>200</v>
      </c>
      <c r="BB1972" s="16" t="s">
        <v>4528</v>
      </c>
      <c r="BC1972" s="27">
        <v>0</v>
      </c>
      <c r="BD1972" s="27">
        <v>0</v>
      </c>
      <c r="BE1972" s="44" t="s">
        <v>3118</v>
      </c>
      <c r="BF1972" s="44" t="s">
        <v>3119</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19.5" customHeight="1">
      <c r="C1973" s="18">
        <v>73001205</v>
      </c>
      <c r="D1973" s="19" t="s">
        <v>584</v>
      </c>
      <c r="E1973" s="19" t="s">
        <v>585</v>
      </c>
      <c r="F1973" s="18">
        <v>1</v>
      </c>
      <c r="G1973" s="18">
        <v>60010300</v>
      </c>
      <c r="H1973" s="18">
        <v>0</v>
      </c>
      <c r="I1973" s="27">
        <v>0</v>
      </c>
      <c r="J1973" s="18">
        <v>1</v>
      </c>
      <c r="K1973" s="18">
        <v>0</v>
      </c>
      <c r="L1973" s="18">
        <v>0</v>
      </c>
      <c r="M1973" s="18">
        <v>0</v>
      </c>
      <c r="N1973" s="18">
        <v>0</v>
      </c>
      <c r="O1973" s="16">
        <v>2</v>
      </c>
      <c r="P1973" s="18">
        <v>1</v>
      </c>
      <c r="Q1973" s="18">
        <v>0.5</v>
      </c>
      <c r="R1973" s="18">
        <v>0</v>
      </c>
      <c r="S1973" s="12">
        <v>0</v>
      </c>
      <c r="T1973" s="27">
        <v>0</v>
      </c>
      <c r="U1973" s="16">
        <v>1</v>
      </c>
      <c r="V1973" s="18">
        <v>2</v>
      </c>
      <c r="W1973" s="18">
        <v>0</v>
      </c>
      <c r="X1973" s="18">
        <v>3</v>
      </c>
      <c r="Y1973" s="12">
        <v>0</v>
      </c>
      <c r="Z1973" s="18">
        <v>0</v>
      </c>
      <c r="AA1973" s="18">
        <v>0</v>
      </c>
      <c r="AB1973" s="18">
        <v>0</v>
      </c>
      <c r="AC1973" s="18">
        <v>0</v>
      </c>
      <c r="AD1973" s="18">
        <v>0</v>
      </c>
      <c r="AE1973" s="18">
        <v>0</v>
      </c>
      <c r="AF1973" s="18">
        <v>15</v>
      </c>
      <c r="AG1973" s="18">
        <v>1</v>
      </c>
      <c r="AH1973" s="18">
        <v>2</v>
      </c>
      <c r="AI1973" s="12">
        <v>2</v>
      </c>
      <c r="AJ1973" s="12">
        <v>2</v>
      </c>
      <c r="AK1973" s="12">
        <v>0</v>
      </c>
      <c r="AL1973" s="12">
        <v>3</v>
      </c>
      <c r="AM1973" s="18">
        <v>0</v>
      </c>
      <c r="AN1973" s="18">
        <v>0</v>
      </c>
      <c r="AO1973" s="18">
        <v>0</v>
      </c>
      <c r="AP1973" s="18">
        <v>2</v>
      </c>
      <c r="AQ1973" s="18">
        <v>30000</v>
      </c>
      <c r="AR1973" s="18">
        <v>2</v>
      </c>
      <c r="AS1973" s="18">
        <v>4</v>
      </c>
      <c r="AT1973" s="12">
        <v>0</v>
      </c>
      <c r="AU1973" s="18" t="s">
        <v>198</v>
      </c>
      <c r="AV1973" s="18"/>
      <c r="AW1973" s="19" t="s">
        <v>199</v>
      </c>
      <c r="AX1973" s="18" t="s">
        <v>545</v>
      </c>
      <c r="AY1973" s="18">
        <v>10003002</v>
      </c>
      <c r="AZ1973" s="18">
        <v>70106005</v>
      </c>
      <c r="BA1973" s="19" t="s">
        <v>586</v>
      </c>
      <c r="BB1973" s="19">
        <v>0</v>
      </c>
      <c r="BC1973" s="27">
        <v>0</v>
      </c>
      <c r="BD1973" s="27">
        <v>0</v>
      </c>
      <c r="BE1973" s="87" t="s">
        <v>577</v>
      </c>
      <c r="BF1973" s="87" t="s">
        <v>578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73001301</v>
      </c>
      <c r="D1974" s="17" t="s">
        <v>760</v>
      </c>
      <c r="E1974" s="17" t="s">
        <v>761</v>
      </c>
      <c r="F1974" s="16">
        <v>2</v>
      </c>
      <c r="G1974" s="16">
        <v>61012301</v>
      </c>
      <c r="H1974" s="16">
        <v>0</v>
      </c>
      <c r="I1974" s="27">
        <v>0</v>
      </c>
      <c r="J1974" s="18">
        <v>1</v>
      </c>
      <c r="K1974" s="18">
        <v>0</v>
      </c>
      <c r="L1974" s="18">
        <v>0</v>
      </c>
      <c r="M1974" s="16">
        <v>0</v>
      </c>
      <c r="N1974" s="16">
        <v>0</v>
      </c>
      <c r="O1974" s="16">
        <v>2</v>
      </c>
      <c r="P1974" s="16">
        <v>1</v>
      </c>
      <c r="Q1974" s="16">
        <v>0.5</v>
      </c>
      <c r="R1974" s="16">
        <v>0</v>
      </c>
      <c r="S1974" s="12">
        <v>0</v>
      </c>
      <c r="T1974" s="16">
        <v>0</v>
      </c>
      <c r="U1974" s="16">
        <v>1</v>
      </c>
      <c r="V1974" s="16">
        <v>2</v>
      </c>
      <c r="W1974" s="16">
        <v>0</v>
      </c>
      <c r="X1974" s="16">
        <v>1.4</v>
      </c>
      <c r="Y1974" s="12">
        <v>0</v>
      </c>
      <c r="Z1974" s="16">
        <v>150</v>
      </c>
      <c r="AA1974" s="16">
        <v>1</v>
      </c>
      <c r="AB1974" s="16">
        <v>0</v>
      </c>
      <c r="AC1974" s="16">
        <v>0</v>
      </c>
      <c r="AD1974" s="16">
        <v>0</v>
      </c>
      <c r="AE1974" s="16">
        <v>0</v>
      </c>
      <c r="AF1974" s="16">
        <v>12</v>
      </c>
      <c r="AG1974" s="16">
        <v>2</v>
      </c>
      <c r="AH1974" s="16" t="s">
        <v>213</v>
      </c>
      <c r="AI1974" s="12">
        <v>0</v>
      </c>
      <c r="AJ1974" s="12">
        <v>2</v>
      </c>
      <c r="AK1974" s="12">
        <v>0</v>
      </c>
      <c r="AL1974" s="12">
        <v>1.5</v>
      </c>
      <c r="AM1974" s="16">
        <v>0</v>
      </c>
      <c r="AN1974" s="16">
        <v>0</v>
      </c>
      <c r="AO1974" s="16">
        <v>0</v>
      </c>
      <c r="AP1974" s="16">
        <v>1.5</v>
      </c>
      <c r="AQ1974" s="16">
        <v>1200</v>
      </c>
      <c r="AR1974" s="16">
        <v>1</v>
      </c>
      <c r="AS1974" s="16">
        <v>15</v>
      </c>
      <c r="AT1974" s="12">
        <v>0</v>
      </c>
      <c r="AU1974" s="16" t="s">
        <v>198</v>
      </c>
      <c r="AV1974" s="16"/>
      <c r="AW1974" s="17" t="s">
        <v>256</v>
      </c>
      <c r="AX1974" s="16" t="s">
        <v>215</v>
      </c>
      <c r="AY1974" s="18">
        <v>10000011</v>
      </c>
      <c r="AZ1974" s="18">
        <v>70404001</v>
      </c>
      <c r="BA1974" s="17" t="s">
        <v>216</v>
      </c>
      <c r="BB1974" s="16">
        <v>0</v>
      </c>
      <c r="BC1974" s="27">
        <v>0</v>
      </c>
      <c r="BD1974" s="27">
        <v>0</v>
      </c>
      <c r="BE1974" s="44" t="s">
        <v>798</v>
      </c>
      <c r="BF1974" s="44" t="s">
        <v>799</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73001302</v>
      </c>
      <c r="D1975" s="17" t="s">
        <v>4378</v>
      </c>
      <c r="E1975" s="17" t="s">
        <v>4379</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4529</v>
      </c>
      <c r="BC1975" s="27">
        <v>0</v>
      </c>
      <c r="BD1975" s="27">
        <v>0</v>
      </c>
      <c r="BE1975" s="44" t="s">
        <v>4381</v>
      </c>
      <c r="BF1975" s="44" t="s">
        <v>4382</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73001303</v>
      </c>
      <c r="D1976" s="17" t="s">
        <v>543</v>
      </c>
      <c r="E1976" s="17" t="s">
        <v>544</v>
      </c>
      <c r="F1976" s="18">
        <v>1</v>
      </c>
      <c r="G1976" s="16">
        <v>60010300</v>
      </c>
      <c r="H1976" s="18">
        <v>0</v>
      </c>
      <c r="I1976" s="27">
        <v>0</v>
      </c>
      <c r="J1976" s="18">
        <v>1</v>
      </c>
      <c r="K1976" s="18">
        <v>0</v>
      </c>
      <c r="L1976" s="18">
        <v>0</v>
      </c>
      <c r="M1976" s="16">
        <v>0</v>
      </c>
      <c r="N1976" s="16">
        <v>0</v>
      </c>
      <c r="O1976" s="16">
        <v>2</v>
      </c>
      <c r="P1976" s="16">
        <v>1</v>
      </c>
      <c r="Q1976" s="16">
        <v>0.5</v>
      </c>
      <c r="R1976" s="16">
        <v>0</v>
      </c>
      <c r="S1976" s="12">
        <v>0</v>
      </c>
      <c r="T1976" s="16">
        <v>0</v>
      </c>
      <c r="U1976" s="16">
        <v>1</v>
      </c>
      <c r="V1976" s="16">
        <v>2</v>
      </c>
      <c r="W1976" s="16">
        <v>0</v>
      </c>
      <c r="X1976" s="16">
        <v>3</v>
      </c>
      <c r="Y1976" s="12">
        <v>0</v>
      </c>
      <c r="Z1976" s="16">
        <v>0</v>
      </c>
      <c r="AA1976" s="16">
        <v>0</v>
      </c>
      <c r="AB1976" s="16">
        <v>0</v>
      </c>
      <c r="AC1976" s="16">
        <v>0</v>
      </c>
      <c r="AD1976" s="16">
        <v>0</v>
      </c>
      <c r="AE1976" s="16">
        <v>0</v>
      </c>
      <c r="AF1976" s="16">
        <v>12</v>
      </c>
      <c r="AG1976" s="16">
        <v>2</v>
      </c>
      <c r="AH1976" s="16" t="s">
        <v>213</v>
      </c>
      <c r="AI1976" s="12">
        <v>0</v>
      </c>
      <c r="AJ1976" s="12">
        <v>2</v>
      </c>
      <c r="AK1976" s="12">
        <v>0</v>
      </c>
      <c r="AL1976" s="12">
        <v>1.5</v>
      </c>
      <c r="AM1976" s="16">
        <v>0</v>
      </c>
      <c r="AN1976" s="16">
        <v>0</v>
      </c>
      <c r="AO1976" s="16">
        <v>0</v>
      </c>
      <c r="AP1976" s="16">
        <v>2.5</v>
      </c>
      <c r="AQ1976" s="16">
        <v>4000</v>
      </c>
      <c r="AR1976" s="16">
        <v>2</v>
      </c>
      <c r="AS1976" s="16">
        <v>0</v>
      </c>
      <c r="AT1976" s="12">
        <v>0</v>
      </c>
      <c r="AU1976" s="16" t="s">
        <v>198</v>
      </c>
      <c r="AV1976" s="16"/>
      <c r="AW1976" s="19" t="s">
        <v>287</v>
      </c>
      <c r="AX1976" s="16" t="s">
        <v>545</v>
      </c>
      <c r="AY1976" s="18">
        <v>10001007</v>
      </c>
      <c r="AZ1976" s="18">
        <v>70103001</v>
      </c>
      <c r="BA1976" s="17" t="s">
        <v>200</v>
      </c>
      <c r="BB1976" s="16">
        <v>0</v>
      </c>
      <c r="BC1976" s="27">
        <v>0</v>
      </c>
      <c r="BD1976" s="27">
        <v>0</v>
      </c>
      <c r="BE1976" s="44" t="s">
        <v>546</v>
      </c>
      <c r="BF1976" s="44" t="s">
        <v>547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73001305</v>
      </c>
      <c r="D1977" s="19" t="s">
        <v>757</v>
      </c>
      <c r="E1977" s="19" t="s">
        <v>399</v>
      </c>
      <c r="F1977" s="18">
        <v>1</v>
      </c>
      <c r="G1977" s="18">
        <v>60010500</v>
      </c>
      <c r="H1977" s="18">
        <v>0</v>
      </c>
      <c r="I1977" s="27">
        <v>0</v>
      </c>
      <c r="J1977" s="18">
        <v>1</v>
      </c>
      <c r="K1977" s="18">
        <v>0</v>
      </c>
      <c r="L1977" s="18">
        <v>0</v>
      </c>
      <c r="M1977" s="18">
        <v>0</v>
      </c>
      <c r="N1977" s="18">
        <v>0</v>
      </c>
      <c r="O1977" s="16">
        <v>2</v>
      </c>
      <c r="P1977" s="18">
        <v>2</v>
      </c>
      <c r="Q1977" s="18">
        <v>0.5</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6">
        <v>15</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t="s">
        <v>754</v>
      </c>
      <c r="AU1977" s="18" t="s">
        <v>198</v>
      </c>
      <c r="AV1977" s="18"/>
      <c r="AW1977" s="19" t="s">
        <v>199</v>
      </c>
      <c r="AX1977" s="18" t="s">
        <v>348</v>
      </c>
      <c r="AY1977" s="18">
        <v>0</v>
      </c>
      <c r="AZ1977" s="18">
        <v>0</v>
      </c>
      <c r="BA1977" s="19" t="s">
        <v>200</v>
      </c>
      <c r="BB1977" s="19" t="s">
        <v>198</v>
      </c>
      <c r="BC1977" s="27">
        <v>0</v>
      </c>
      <c r="BD1977" s="27">
        <v>0</v>
      </c>
      <c r="BE1977" s="87" t="s">
        <v>1118</v>
      </c>
      <c r="BF1977" s="87" t="s">
        <v>1119</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25" customHeight="1">
      <c r="C1978" s="18">
        <v>73001306</v>
      </c>
      <c r="D1978" s="19" t="s">
        <v>2800</v>
      </c>
      <c r="E1978" s="19" t="s">
        <v>2801</v>
      </c>
      <c r="F1978" s="18">
        <v>1</v>
      </c>
      <c r="G1978" s="18">
        <v>62000101</v>
      </c>
      <c r="H1978" s="18">
        <v>0</v>
      </c>
      <c r="I1978" s="27">
        <v>0</v>
      </c>
      <c r="J1978" s="18">
        <v>1</v>
      </c>
      <c r="K1978" s="18">
        <v>0</v>
      </c>
      <c r="L1978" s="16">
        <v>0</v>
      </c>
      <c r="M1978" s="18">
        <v>0</v>
      </c>
      <c r="N1978" s="18">
        <v>0</v>
      </c>
      <c r="O1978" s="16">
        <v>2</v>
      </c>
      <c r="P1978" s="18">
        <v>1</v>
      </c>
      <c r="Q1978" s="18">
        <v>0.3</v>
      </c>
      <c r="R1978" s="18">
        <v>0</v>
      </c>
      <c r="S1978" s="12">
        <v>0</v>
      </c>
      <c r="T1978" s="27">
        <v>0</v>
      </c>
      <c r="U1978" s="16">
        <v>1</v>
      </c>
      <c r="V1978" s="18">
        <v>1</v>
      </c>
      <c r="W1978" s="18">
        <v>0</v>
      </c>
      <c r="X1978" s="18">
        <v>3</v>
      </c>
      <c r="Y1978" s="12">
        <v>0</v>
      </c>
      <c r="Z1978" s="18">
        <v>0</v>
      </c>
      <c r="AA1978" s="18">
        <v>0</v>
      </c>
      <c r="AB1978" s="18">
        <v>0</v>
      </c>
      <c r="AC1978" s="18">
        <v>0</v>
      </c>
      <c r="AD1978" s="18">
        <v>1</v>
      </c>
      <c r="AE1978" s="18">
        <v>12</v>
      </c>
      <c r="AF1978" s="18">
        <v>12</v>
      </c>
      <c r="AG1978" s="18">
        <v>0</v>
      </c>
      <c r="AH1978" s="18">
        <v>3</v>
      </c>
      <c r="AI1978" s="12">
        <v>7</v>
      </c>
      <c r="AJ1978" s="12">
        <v>0</v>
      </c>
      <c r="AK1978" s="12">
        <v>0</v>
      </c>
      <c r="AL1978" s="12">
        <v>10</v>
      </c>
      <c r="AM1978" s="18">
        <v>0</v>
      </c>
      <c r="AN1978" s="18">
        <v>0</v>
      </c>
      <c r="AO1978" s="18">
        <v>0</v>
      </c>
      <c r="AP1978" s="18">
        <v>0</v>
      </c>
      <c r="AQ1978" s="18">
        <v>3000</v>
      </c>
      <c r="AR1978" s="18">
        <v>0.5</v>
      </c>
      <c r="AS1978" s="18">
        <v>20</v>
      </c>
      <c r="AT1978" s="12">
        <v>0</v>
      </c>
      <c r="AU1978" s="18" t="s">
        <v>198</v>
      </c>
      <c r="AV1978" s="18"/>
      <c r="AW1978" s="17" t="s">
        <v>242</v>
      </c>
      <c r="AX1978" s="18" t="s">
        <v>1695</v>
      </c>
      <c r="AY1978" s="18">
        <v>10000011</v>
      </c>
      <c r="AZ1978" s="18">
        <v>20001010</v>
      </c>
      <c r="BA1978" s="19" t="s">
        <v>250</v>
      </c>
      <c r="BB1978" s="19" t="s">
        <v>198</v>
      </c>
      <c r="BC1978" s="27">
        <v>0</v>
      </c>
      <c r="BD1978" s="27">
        <v>0</v>
      </c>
      <c r="BE1978" s="44" t="s">
        <v>3122</v>
      </c>
      <c r="BF1978" s="44" t="s">
        <v>3123</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73002101</v>
      </c>
      <c r="D1979" s="17" t="s">
        <v>4378</v>
      </c>
      <c r="E1979" s="17" t="s">
        <v>4379</v>
      </c>
      <c r="F1979" s="18">
        <v>1</v>
      </c>
      <c r="G1979" s="16">
        <v>60010300</v>
      </c>
      <c r="H1979" s="18">
        <v>0</v>
      </c>
      <c r="I1979" s="27">
        <v>0</v>
      </c>
      <c r="J1979" s="18">
        <v>1</v>
      </c>
      <c r="K1979" s="18">
        <v>0</v>
      </c>
      <c r="L1979" s="18">
        <v>0</v>
      </c>
      <c r="M1979" s="16">
        <v>0</v>
      </c>
      <c r="N1979" s="16">
        <v>0</v>
      </c>
      <c r="O1979" s="16">
        <v>2</v>
      </c>
      <c r="P1979" s="16">
        <v>2</v>
      </c>
      <c r="Q1979" s="16">
        <v>0.8</v>
      </c>
      <c r="R1979" s="16">
        <v>0</v>
      </c>
      <c r="S1979" s="12">
        <v>0</v>
      </c>
      <c r="T1979" s="16">
        <v>0</v>
      </c>
      <c r="U1979" s="16">
        <v>1</v>
      </c>
      <c r="V1979" s="16">
        <v>2</v>
      </c>
      <c r="W1979" s="16">
        <v>0</v>
      </c>
      <c r="X1979" s="16">
        <v>0</v>
      </c>
      <c r="Y1979" s="12">
        <v>0</v>
      </c>
      <c r="Z1979" s="16">
        <v>0</v>
      </c>
      <c r="AA1979" s="16">
        <v>0</v>
      </c>
      <c r="AB1979" s="16">
        <v>0</v>
      </c>
      <c r="AC1979" s="16">
        <v>0</v>
      </c>
      <c r="AD1979" s="16">
        <v>0</v>
      </c>
      <c r="AE1979" s="16">
        <v>0</v>
      </c>
      <c r="AF1979" s="16">
        <v>20</v>
      </c>
      <c r="AG1979" s="16">
        <v>0</v>
      </c>
      <c r="AH1979" s="16">
        <v>0</v>
      </c>
      <c r="AI1979" s="12">
        <v>2</v>
      </c>
      <c r="AJ1979" s="12">
        <v>2</v>
      </c>
      <c r="AK1979" s="12">
        <v>0</v>
      </c>
      <c r="AL1979" s="12">
        <v>1.5</v>
      </c>
      <c r="AM1979" s="16">
        <v>0</v>
      </c>
      <c r="AN1979" s="16">
        <v>0</v>
      </c>
      <c r="AO1979" s="16">
        <v>0</v>
      </c>
      <c r="AP1979" s="16">
        <v>1</v>
      </c>
      <c r="AQ1979" s="16">
        <v>3000</v>
      </c>
      <c r="AR1979" s="16">
        <v>0.5</v>
      </c>
      <c r="AS1979" s="16">
        <v>0</v>
      </c>
      <c r="AT1979" s="12">
        <v>0</v>
      </c>
      <c r="AU1979" s="16" t="s">
        <v>198</v>
      </c>
      <c r="AV1979" s="16"/>
      <c r="AW1979" s="19" t="s">
        <v>199</v>
      </c>
      <c r="AX1979" s="16" t="s">
        <v>545</v>
      </c>
      <c r="AY1979" s="18">
        <v>0</v>
      </c>
      <c r="AZ1979" s="18">
        <v>0</v>
      </c>
      <c r="BA1979" s="17" t="s">
        <v>528</v>
      </c>
      <c r="BB1979" s="16" t="s">
        <v>4530</v>
      </c>
      <c r="BC1979" s="27">
        <v>0</v>
      </c>
      <c r="BD1979" s="27">
        <v>0</v>
      </c>
      <c r="BE1979" s="44" t="s">
        <v>4381</v>
      </c>
      <c r="BF1979" s="44" t="s">
        <v>4382</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73002102</v>
      </c>
      <c r="D1980" s="19" t="s">
        <v>4531</v>
      </c>
      <c r="E1980" s="19" t="s">
        <v>4532</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6">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90401006</v>
      </c>
      <c r="AU1980" s="18" t="s">
        <v>198</v>
      </c>
      <c r="AV1980" s="18"/>
      <c r="AW1980" s="19" t="s">
        <v>199</v>
      </c>
      <c r="AX1980" s="18" t="s">
        <v>348</v>
      </c>
      <c r="AY1980" s="18">
        <v>0</v>
      </c>
      <c r="AZ1980" s="18">
        <v>40000003</v>
      </c>
      <c r="BA1980" s="19" t="s">
        <v>200</v>
      </c>
      <c r="BB1980" s="19" t="s">
        <v>198</v>
      </c>
      <c r="BC1980" s="27">
        <v>0</v>
      </c>
      <c r="BD1980" s="27">
        <v>0</v>
      </c>
      <c r="BE1980" s="87" t="s">
        <v>4533</v>
      </c>
      <c r="BF1980" s="87" t="s">
        <v>4534</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73002103</v>
      </c>
      <c r="D1981" s="19" t="s">
        <v>4535</v>
      </c>
      <c r="E1981" s="19" t="s">
        <v>4536</v>
      </c>
      <c r="F1981" s="18">
        <v>1</v>
      </c>
      <c r="G1981" s="18">
        <v>60010300</v>
      </c>
      <c r="H1981" s="18">
        <v>0</v>
      </c>
      <c r="I1981" s="27">
        <v>0</v>
      </c>
      <c r="J1981" s="18">
        <v>1</v>
      </c>
      <c r="K1981" s="18">
        <v>0</v>
      </c>
      <c r="L1981" s="18">
        <v>0</v>
      </c>
      <c r="M1981" s="18">
        <v>0</v>
      </c>
      <c r="N1981" s="18">
        <v>0</v>
      </c>
      <c r="O1981" s="16">
        <v>2</v>
      </c>
      <c r="P1981" s="18">
        <v>6</v>
      </c>
      <c r="Q1981" s="18">
        <v>0</v>
      </c>
      <c r="R1981" s="18">
        <v>0</v>
      </c>
      <c r="S1981" s="12">
        <v>0</v>
      </c>
      <c r="T1981" s="27">
        <v>0</v>
      </c>
      <c r="U1981" s="16">
        <v>1</v>
      </c>
      <c r="V1981" s="18">
        <v>2</v>
      </c>
      <c r="W1981" s="18">
        <v>0</v>
      </c>
      <c r="X1981" s="18">
        <v>10</v>
      </c>
      <c r="Y1981" s="12">
        <v>0</v>
      </c>
      <c r="Z1981" s="18">
        <v>0</v>
      </c>
      <c r="AA1981" s="18">
        <v>0</v>
      </c>
      <c r="AB1981" s="18">
        <v>0</v>
      </c>
      <c r="AC1981" s="18">
        <v>0</v>
      </c>
      <c r="AD1981" s="18">
        <v>0</v>
      </c>
      <c r="AE1981" s="18">
        <v>0</v>
      </c>
      <c r="AF1981" s="18">
        <v>15</v>
      </c>
      <c r="AG1981" s="18">
        <v>1</v>
      </c>
      <c r="AH1981" s="18">
        <v>3</v>
      </c>
      <c r="AI1981" s="12">
        <v>1</v>
      </c>
      <c r="AJ1981" s="12">
        <v>0</v>
      </c>
      <c r="AK1981" s="12">
        <v>0</v>
      </c>
      <c r="AL1981" s="12">
        <v>1.5</v>
      </c>
      <c r="AM1981" s="18">
        <v>0</v>
      </c>
      <c r="AN1981" s="18">
        <v>0</v>
      </c>
      <c r="AO1981" s="18">
        <v>0</v>
      </c>
      <c r="AP1981" s="18">
        <v>1</v>
      </c>
      <c r="AQ1981" s="18">
        <v>1000</v>
      </c>
      <c r="AR1981" s="18">
        <v>0.5</v>
      </c>
      <c r="AS1981" s="18">
        <v>0</v>
      </c>
      <c r="AT1981" s="12">
        <v>0</v>
      </c>
      <c r="AU1981" s="18" t="s">
        <v>575</v>
      </c>
      <c r="AV1981" s="18"/>
      <c r="AW1981" s="19" t="s">
        <v>199</v>
      </c>
      <c r="AX1981" s="18" t="s">
        <v>545</v>
      </c>
      <c r="AY1981" s="18">
        <v>10002001</v>
      </c>
      <c r="AZ1981" s="18">
        <v>70106001</v>
      </c>
      <c r="BA1981" s="19" t="s">
        <v>315</v>
      </c>
      <c r="BB1981" s="19" t="s">
        <v>576</v>
      </c>
      <c r="BC1981" s="27">
        <v>0</v>
      </c>
      <c r="BD1981" s="27">
        <v>0</v>
      </c>
      <c r="BE1981" s="87" t="s">
        <v>577</v>
      </c>
      <c r="BF1981" s="87" t="s">
        <v>578</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73002104</v>
      </c>
      <c r="D1982" s="19" t="s">
        <v>4535</v>
      </c>
      <c r="E1982" s="19" t="s">
        <v>4536</v>
      </c>
      <c r="F1982" s="18">
        <v>1</v>
      </c>
      <c r="G1982" s="18">
        <v>60010500</v>
      </c>
      <c r="H1982" s="18">
        <v>0</v>
      </c>
      <c r="I1982" s="27">
        <v>0</v>
      </c>
      <c r="J1982" s="18">
        <v>1</v>
      </c>
      <c r="K1982" s="18">
        <v>0</v>
      </c>
      <c r="L1982" s="18">
        <v>0</v>
      </c>
      <c r="M1982" s="18">
        <v>0</v>
      </c>
      <c r="N1982" s="18">
        <v>0</v>
      </c>
      <c r="O1982" s="16">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6">
        <v>0</v>
      </c>
      <c r="AE1982" s="18">
        <v>0</v>
      </c>
      <c r="AF1982" s="18">
        <v>20</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90401004</v>
      </c>
      <c r="AU1982" s="18" t="s">
        <v>198</v>
      </c>
      <c r="AV1982" s="18"/>
      <c r="AW1982" s="19" t="s">
        <v>199</v>
      </c>
      <c r="AX1982" s="18" t="s">
        <v>348</v>
      </c>
      <c r="AY1982" s="18">
        <v>0</v>
      </c>
      <c r="AZ1982" s="18">
        <v>40000003</v>
      </c>
      <c r="BA1982" s="19" t="s">
        <v>200</v>
      </c>
      <c r="BB1982" s="19" t="s">
        <v>198</v>
      </c>
      <c r="BC1982" s="27">
        <v>0</v>
      </c>
      <c r="BD1982" s="27">
        <v>0</v>
      </c>
      <c r="BE1982" s="87" t="s">
        <v>864</v>
      </c>
      <c r="BF1982" s="87" t="s">
        <v>865</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spans="3:75" ht="19.5" customHeight="1">
      <c r="C1983" s="18">
        <v>73002105</v>
      </c>
      <c r="D1983" s="17" t="s">
        <v>1124</v>
      </c>
      <c r="E1983" s="17" t="s">
        <v>1125</v>
      </c>
      <c r="F1983" s="18">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30</v>
      </c>
      <c r="AG1983" s="16">
        <v>1</v>
      </c>
      <c r="AH1983" s="16" t="s">
        <v>861</v>
      </c>
      <c r="AI1983" s="12">
        <v>0</v>
      </c>
      <c r="AJ1983" s="12">
        <v>0</v>
      </c>
      <c r="AK1983" s="12">
        <v>0</v>
      </c>
      <c r="AL1983" s="12">
        <v>0</v>
      </c>
      <c r="AM1983" s="16">
        <v>0</v>
      </c>
      <c r="AN1983" s="16">
        <v>0</v>
      </c>
      <c r="AO1983" s="16">
        <v>0</v>
      </c>
      <c r="AP1983" s="16">
        <v>0.5</v>
      </c>
      <c r="AQ1983" s="16">
        <v>999999</v>
      </c>
      <c r="AR1983" s="16">
        <v>0.5</v>
      </c>
      <c r="AS1983" s="16">
        <v>0</v>
      </c>
      <c r="AT1983" s="12">
        <v>0</v>
      </c>
      <c r="AU1983" s="341" t="s">
        <v>1019</v>
      </c>
      <c r="AV1983" s="12"/>
      <c r="AW1983" s="19" t="s">
        <v>287</v>
      </c>
      <c r="AX1983" s="16" t="s">
        <v>534</v>
      </c>
      <c r="AY1983" s="18">
        <v>10000007</v>
      </c>
      <c r="AZ1983" s="18">
        <v>70202004</v>
      </c>
      <c r="BA1983" s="19" t="s">
        <v>315</v>
      </c>
      <c r="BB1983" s="19" t="s">
        <v>371</v>
      </c>
      <c r="BC1983" s="27">
        <v>0</v>
      </c>
      <c r="BD1983" s="27">
        <v>0</v>
      </c>
      <c r="BE1983" s="44" t="s">
        <v>4537</v>
      </c>
      <c r="BF1983" s="44" t="s">
        <v>4538</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19.5" customHeight="1">
      <c r="C1984" s="18">
        <v>73002201</v>
      </c>
      <c r="D1984" s="17" t="s">
        <v>605</v>
      </c>
      <c r="E1984" s="17" t="s">
        <v>606</v>
      </c>
      <c r="F1984" s="18">
        <v>1</v>
      </c>
      <c r="G1984" s="16">
        <v>60010100</v>
      </c>
      <c r="H1984" s="18">
        <v>0</v>
      </c>
      <c r="I1984" s="27">
        <v>0</v>
      </c>
      <c r="J1984" s="18">
        <v>1</v>
      </c>
      <c r="K1984" s="18">
        <v>0</v>
      </c>
      <c r="L1984" s="18">
        <v>0</v>
      </c>
      <c r="M1984" s="16">
        <v>0</v>
      </c>
      <c r="N1984" s="16">
        <v>0</v>
      </c>
      <c r="O1984" s="16">
        <v>2</v>
      </c>
      <c r="P1984" s="16">
        <v>1</v>
      </c>
      <c r="Q1984" s="16">
        <v>0.3</v>
      </c>
      <c r="R1984" s="16">
        <v>0</v>
      </c>
      <c r="S1984" s="12">
        <v>0</v>
      </c>
      <c r="T1984" s="16">
        <v>0</v>
      </c>
      <c r="U1984" s="16">
        <v>1</v>
      </c>
      <c r="V1984" s="16">
        <v>2</v>
      </c>
      <c r="W1984" s="16">
        <v>0</v>
      </c>
      <c r="X1984" s="16">
        <v>3</v>
      </c>
      <c r="Y1984" s="12">
        <v>0</v>
      </c>
      <c r="Z1984" s="16">
        <v>0</v>
      </c>
      <c r="AA1984" s="16">
        <v>1</v>
      </c>
      <c r="AB1984" s="16">
        <v>0</v>
      </c>
      <c r="AC1984" s="16">
        <v>0</v>
      </c>
      <c r="AD1984" s="16">
        <v>0</v>
      </c>
      <c r="AE1984" s="16">
        <v>0</v>
      </c>
      <c r="AF1984" s="16">
        <v>12</v>
      </c>
      <c r="AG1984" s="16">
        <v>1</v>
      </c>
      <c r="AH1984" s="16" t="s">
        <v>607</v>
      </c>
      <c r="AI1984" s="12">
        <v>1</v>
      </c>
      <c r="AJ1984" s="12">
        <v>1</v>
      </c>
      <c r="AK1984" s="12">
        <v>0</v>
      </c>
      <c r="AL1984" s="12">
        <v>3</v>
      </c>
      <c r="AM1984" s="16">
        <v>0</v>
      </c>
      <c r="AN1984" s="16">
        <v>0</v>
      </c>
      <c r="AO1984" s="16">
        <v>0</v>
      </c>
      <c r="AP1984" s="16">
        <v>3</v>
      </c>
      <c r="AQ1984" s="16">
        <v>5000</v>
      </c>
      <c r="AR1984" s="16">
        <v>2.5</v>
      </c>
      <c r="AS1984" s="16">
        <v>0</v>
      </c>
      <c r="AT1984" s="12">
        <v>0</v>
      </c>
      <c r="AU1984" s="16" t="s">
        <v>198</v>
      </c>
      <c r="AV1984" s="16"/>
      <c r="AW1984" s="19" t="s">
        <v>287</v>
      </c>
      <c r="AX1984" s="16" t="s">
        <v>534</v>
      </c>
      <c r="AY1984" s="18">
        <v>10000007</v>
      </c>
      <c r="AZ1984" s="18">
        <v>70107001</v>
      </c>
      <c r="BA1984" s="17" t="s">
        <v>200</v>
      </c>
      <c r="BB1984" s="16">
        <v>0</v>
      </c>
      <c r="BC1984" s="27">
        <v>0</v>
      </c>
      <c r="BD1984" s="27">
        <v>0</v>
      </c>
      <c r="BE1984" s="44" t="s">
        <v>608</v>
      </c>
      <c r="BF1984" s="44" t="s">
        <v>609</v>
      </c>
      <c r="BG1984" s="16">
        <v>0</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73002202</v>
      </c>
      <c r="D1985" s="17" t="s">
        <v>660</v>
      </c>
      <c r="E1985" s="17" t="s">
        <v>661</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12</v>
      </c>
      <c r="AG1985" s="16">
        <v>1</v>
      </c>
      <c r="AH1985" s="16">
        <v>3</v>
      </c>
      <c r="AI1985" s="12">
        <v>4</v>
      </c>
      <c r="AJ1985" s="12">
        <v>1</v>
      </c>
      <c r="AK1985" s="12">
        <v>0</v>
      </c>
      <c r="AL1985" s="12">
        <v>1.5</v>
      </c>
      <c r="AM1985" s="16">
        <v>0</v>
      </c>
      <c r="AN1985" s="16">
        <v>0</v>
      </c>
      <c r="AO1985" s="16">
        <v>0</v>
      </c>
      <c r="AP1985" s="16">
        <v>3</v>
      </c>
      <c r="AQ1985" s="16">
        <v>5000</v>
      </c>
      <c r="AR1985" s="16">
        <v>3</v>
      </c>
      <c r="AS1985" s="16">
        <v>0</v>
      </c>
      <c r="AT1985" s="12">
        <v>0</v>
      </c>
      <c r="AU1985" s="16" t="s">
        <v>198</v>
      </c>
      <c r="AV1985" s="16"/>
      <c r="AW1985" s="19" t="s">
        <v>199</v>
      </c>
      <c r="AX1985" s="16" t="s">
        <v>534</v>
      </c>
      <c r="AY1985" s="18">
        <v>10000007</v>
      </c>
      <c r="AZ1985" s="18">
        <v>70103003</v>
      </c>
      <c r="BA1985" s="17" t="s">
        <v>200</v>
      </c>
      <c r="BB1985" s="16" t="s">
        <v>4539</v>
      </c>
      <c r="BC1985" s="27">
        <v>0</v>
      </c>
      <c r="BD1985" s="27">
        <v>0</v>
      </c>
      <c r="BE1985" s="44" t="s">
        <v>663</v>
      </c>
      <c r="BF1985" s="44" t="s">
        <v>664</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73002203</v>
      </c>
      <c r="D1986" s="17" t="s">
        <v>665</v>
      </c>
      <c r="E1986" s="17" t="s">
        <v>606</v>
      </c>
      <c r="F1986" s="16">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0</v>
      </c>
      <c r="AB1986" s="16">
        <v>0</v>
      </c>
      <c r="AC1986" s="16">
        <v>0</v>
      </c>
      <c r="AD1986" s="16">
        <v>0</v>
      </c>
      <c r="AE1986" s="16">
        <v>0</v>
      </c>
      <c r="AF1986" s="16">
        <v>12</v>
      </c>
      <c r="AG1986" s="16">
        <v>1</v>
      </c>
      <c r="AH1986" s="16">
        <v>3</v>
      </c>
      <c r="AI1986" s="12">
        <v>6</v>
      </c>
      <c r="AJ1986" s="12">
        <v>1</v>
      </c>
      <c r="AK1986" s="12">
        <v>0</v>
      </c>
      <c r="AL1986" s="12">
        <v>1.5</v>
      </c>
      <c r="AM1986" s="16">
        <v>0</v>
      </c>
      <c r="AN1986" s="16">
        <v>0</v>
      </c>
      <c r="AO1986" s="16">
        <v>0</v>
      </c>
      <c r="AP1986" s="16">
        <v>3</v>
      </c>
      <c r="AQ1986" s="16">
        <v>5000</v>
      </c>
      <c r="AR1986" s="16">
        <v>3</v>
      </c>
      <c r="AS1986" s="16">
        <v>0</v>
      </c>
      <c r="AT1986" s="12">
        <v>0</v>
      </c>
      <c r="AU1986" s="16" t="s">
        <v>198</v>
      </c>
      <c r="AV1986" s="16"/>
      <c r="AW1986" s="19" t="s">
        <v>256</v>
      </c>
      <c r="AX1986" s="16" t="s">
        <v>534</v>
      </c>
      <c r="AY1986" s="18">
        <v>10000007</v>
      </c>
      <c r="AZ1986" s="18">
        <v>70103003</v>
      </c>
      <c r="BA1986" s="17" t="s">
        <v>200</v>
      </c>
      <c r="BB1986" s="16" t="s">
        <v>4540</v>
      </c>
      <c r="BC1986" s="27">
        <v>0</v>
      </c>
      <c r="BD1986" s="27">
        <v>0</v>
      </c>
      <c r="BE1986" s="44" t="s">
        <v>667</v>
      </c>
      <c r="BF1986" s="44" t="s">
        <v>668</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73002204</v>
      </c>
      <c r="D1987" s="19" t="s">
        <v>669</v>
      </c>
      <c r="E1987" s="19" t="s">
        <v>670</v>
      </c>
      <c r="F1987" s="18">
        <v>1</v>
      </c>
      <c r="G1987" s="18">
        <v>60010500</v>
      </c>
      <c r="H1987" s="18">
        <v>0</v>
      </c>
      <c r="I1987" s="27">
        <v>0</v>
      </c>
      <c r="J1987" s="18">
        <v>1</v>
      </c>
      <c r="K1987" s="18">
        <v>0</v>
      </c>
      <c r="L1987" s="18">
        <v>0</v>
      </c>
      <c r="M1987" s="18">
        <v>0</v>
      </c>
      <c r="N1987" s="18">
        <v>0</v>
      </c>
      <c r="O1987" s="16">
        <v>2</v>
      </c>
      <c r="P1987" s="18">
        <v>2</v>
      </c>
      <c r="Q1987" s="18">
        <v>0.6</v>
      </c>
      <c r="R1987" s="18">
        <v>0</v>
      </c>
      <c r="S1987" s="12">
        <v>0</v>
      </c>
      <c r="T1987" s="27">
        <v>0</v>
      </c>
      <c r="U1987" s="16">
        <v>1</v>
      </c>
      <c r="V1987" s="18">
        <v>2</v>
      </c>
      <c r="W1987" s="18">
        <v>0</v>
      </c>
      <c r="X1987" s="18">
        <v>0</v>
      </c>
      <c r="Y1987" s="12">
        <v>0</v>
      </c>
      <c r="Z1987" s="18">
        <v>0</v>
      </c>
      <c r="AA1987" s="18">
        <v>0</v>
      </c>
      <c r="AB1987" s="18">
        <v>0</v>
      </c>
      <c r="AC1987" s="18">
        <v>0</v>
      </c>
      <c r="AD1987" s="18">
        <v>0</v>
      </c>
      <c r="AE1987" s="18">
        <v>0</v>
      </c>
      <c r="AF1987" s="18">
        <v>20</v>
      </c>
      <c r="AG1987" s="18">
        <v>0</v>
      </c>
      <c r="AH1987" s="18">
        <v>0</v>
      </c>
      <c r="AI1987" s="12">
        <v>2</v>
      </c>
      <c r="AJ1987" s="12">
        <v>0</v>
      </c>
      <c r="AK1987" s="12">
        <v>0</v>
      </c>
      <c r="AL1987" s="12">
        <v>0</v>
      </c>
      <c r="AM1987" s="18">
        <v>0</v>
      </c>
      <c r="AN1987" s="18">
        <v>0</v>
      </c>
      <c r="AO1987" s="18">
        <v>0</v>
      </c>
      <c r="AP1987" s="18">
        <v>0</v>
      </c>
      <c r="AQ1987" s="18">
        <v>1000</v>
      </c>
      <c r="AR1987" s="18">
        <v>0</v>
      </c>
      <c r="AS1987" s="18">
        <v>0</v>
      </c>
      <c r="AT1987" s="12">
        <v>90102001</v>
      </c>
      <c r="AU1987" s="18" t="s">
        <v>198</v>
      </c>
      <c r="AV1987" s="18"/>
      <c r="AW1987" s="19" t="s">
        <v>199</v>
      </c>
      <c r="AX1987" s="18" t="s">
        <v>348</v>
      </c>
      <c r="AY1987" s="18">
        <v>0</v>
      </c>
      <c r="AZ1987" s="18">
        <v>40000003</v>
      </c>
      <c r="BA1987" s="19" t="s">
        <v>200</v>
      </c>
      <c r="BB1987" s="19" t="s">
        <v>198</v>
      </c>
      <c r="BC1987" s="27">
        <v>0</v>
      </c>
      <c r="BD1987" s="27">
        <v>0</v>
      </c>
      <c r="BE1987" s="87" t="s">
        <v>671</v>
      </c>
      <c r="BF1987" s="87" t="s">
        <v>672</v>
      </c>
      <c r="BG1987" s="18">
        <v>0</v>
      </c>
      <c r="BH1987" s="16">
        <v>0</v>
      </c>
      <c r="BI1987" s="18">
        <v>0</v>
      </c>
      <c r="BJ1987" s="18">
        <v>0</v>
      </c>
      <c r="BK1987" s="18">
        <v>0</v>
      </c>
      <c r="BL1987" s="18">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73002205</v>
      </c>
      <c r="D1988" s="19" t="s">
        <v>673</v>
      </c>
      <c r="E1988" s="19" t="s">
        <v>674</v>
      </c>
      <c r="F1988" s="18">
        <v>1</v>
      </c>
      <c r="G1988" s="18">
        <v>60010500</v>
      </c>
      <c r="H1988" s="18">
        <v>0</v>
      </c>
      <c r="I1988" s="27">
        <v>0</v>
      </c>
      <c r="J1988" s="18">
        <v>1</v>
      </c>
      <c r="K1988" s="18">
        <v>0</v>
      </c>
      <c r="L1988" s="18">
        <v>0</v>
      </c>
      <c r="M1988" s="18">
        <v>0</v>
      </c>
      <c r="N1988" s="18">
        <v>0</v>
      </c>
      <c r="O1988" s="16">
        <v>2</v>
      </c>
      <c r="P1988" s="18">
        <v>2</v>
      </c>
      <c r="Q1988" s="18">
        <v>0.6</v>
      </c>
      <c r="R1988" s="18">
        <v>0</v>
      </c>
      <c r="S1988" s="12">
        <v>0</v>
      </c>
      <c r="T1988" s="27">
        <v>0</v>
      </c>
      <c r="U1988" s="16">
        <v>1</v>
      </c>
      <c r="V1988" s="18">
        <v>2</v>
      </c>
      <c r="W1988" s="18">
        <v>0</v>
      </c>
      <c r="X1988" s="18">
        <v>0</v>
      </c>
      <c r="Y1988" s="12">
        <v>0</v>
      </c>
      <c r="Z1988" s="18">
        <v>0</v>
      </c>
      <c r="AA1988" s="18">
        <v>0</v>
      </c>
      <c r="AB1988" s="18">
        <v>0</v>
      </c>
      <c r="AC1988" s="18">
        <v>0</v>
      </c>
      <c r="AD1988" s="18">
        <v>0</v>
      </c>
      <c r="AE1988" s="18">
        <v>0</v>
      </c>
      <c r="AF1988" s="16">
        <v>99999</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90104002</v>
      </c>
      <c r="AU1988" s="18" t="s">
        <v>198</v>
      </c>
      <c r="AV1988" s="18"/>
      <c r="AW1988" s="19" t="s">
        <v>199</v>
      </c>
      <c r="AX1988" s="18" t="s">
        <v>348</v>
      </c>
      <c r="AY1988" s="18">
        <v>0</v>
      </c>
      <c r="AZ1988" s="18">
        <v>0</v>
      </c>
      <c r="BA1988" s="19" t="s">
        <v>200</v>
      </c>
      <c r="BB1988" s="19" t="s">
        <v>198</v>
      </c>
      <c r="BC1988" s="27">
        <v>0</v>
      </c>
      <c r="BD1988" s="27">
        <v>0</v>
      </c>
      <c r="BE1988" s="87" t="s">
        <v>675</v>
      </c>
      <c r="BF1988" s="87" t="s">
        <v>676</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73002301</v>
      </c>
      <c r="D1989" s="17" t="s">
        <v>993</v>
      </c>
      <c r="E1989" s="17" t="s">
        <v>994</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15</v>
      </c>
      <c r="AG1989" s="16">
        <v>1</v>
      </c>
      <c r="AH1989" s="16">
        <v>3</v>
      </c>
      <c r="AI1989" s="12">
        <v>4</v>
      </c>
      <c r="AJ1989" s="12">
        <v>1</v>
      </c>
      <c r="AK1989" s="12">
        <v>0</v>
      </c>
      <c r="AL1989" s="12">
        <v>1.5</v>
      </c>
      <c r="AM1989" s="16">
        <v>0</v>
      </c>
      <c r="AN1989" s="16">
        <v>0</v>
      </c>
      <c r="AO1989" s="16">
        <v>0</v>
      </c>
      <c r="AP1989" s="16">
        <v>3</v>
      </c>
      <c r="AQ1989" s="16">
        <v>999999</v>
      </c>
      <c r="AR1989" s="16">
        <v>3</v>
      </c>
      <c r="AS1989" s="16">
        <v>0</v>
      </c>
      <c r="AT1989" s="12">
        <v>0</v>
      </c>
      <c r="AU1989" s="16" t="s">
        <v>198</v>
      </c>
      <c r="AV1989" s="16"/>
      <c r="AW1989" s="19" t="s">
        <v>287</v>
      </c>
      <c r="AX1989" s="16" t="s">
        <v>534</v>
      </c>
      <c r="AY1989" s="18">
        <v>10000007</v>
      </c>
      <c r="AZ1989" s="18">
        <v>70205001</v>
      </c>
      <c r="BA1989" s="17" t="s">
        <v>200</v>
      </c>
      <c r="BB1989" s="16" t="s">
        <v>4541</v>
      </c>
      <c r="BC1989" s="27">
        <v>0</v>
      </c>
      <c r="BD1989" s="27">
        <v>0</v>
      </c>
      <c r="BE1989" s="44" t="s">
        <v>996</v>
      </c>
      <c r="BF1989" s="44" t="s">
        <v>997</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19.5" customHeight="1">
      <c r="C1990" s="18">
        <v>73002302</v>
      </c>
      <c r="D1990" s="17" t="s">
        <v>1091</v>
      </c>
      <c r="E1990" s="17" t="s">
        <v>1092</v>
      </c>
      <c r="F1990" s="18">
        <v>1</v>
      </c>
      <c r="G1990" s="16">
        <v>60010100</v>
      </c>
      <c r="H1990" s="18">
        <v>0</v>
      </c>
      <c r="I1990" s="27">
        <v>0</v>
      </c>
      <c r="J1990" s="18">
        <v>1</v>
      </c>
      <c r="K1990" s="18">
        <v>0</v>
      </c>
      <c r="L1990" s="18">
        <v>0</v>
      </c>
      <c r="M1990" s="16">
        <v>0</v>
      </c>
      <c r="N1990" s="16">
        <v>0</v>
      </c>
      <c r="O1990" s="16">
        <v>2</v>
      </c>
      <c r="P1990" s="16">
        <v>1</v>
      </c>
      <c r="Q1990" s="16">
        <v>0.3</v>
      </c>
      <c r="R1990" s="16">
        <v>0</v>
      </c>
      <c r="S1990" s="12">
        <v>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0</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4457</v>
      </c>
      <c r="BF1990" s="44" t="s">
        <v>4458</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73002303</v>
      </c>
      <c r="D1991" s="17" t="s">
        <v>1324</v>
      </c>
      <c r="E1991" s="17" t="s">
        <v>1325</v>
      </c>
      <c r="F1991" s="18">
        <v>1</v>
      </c>
      <c r="G1991" s="16">
        <v>60010100</v>
      </c>
      <c r="H1991" s="18">
        <v>0</v>
      </c>
      <c r="I1991" s="27">
        <v>0</v>
      </c>
      <c r="J1991" s="18">
        <v>1</v>
      </c>
      <c r="K1991" s="18">
        <v>0</v>
      </c>
      <c r="L1991" s="18">
        <v>0</v>
      </c>
      <c r="M1991" s="16">
        <v>0</v>
      </c>
      <c r="N1991" s="16">
        <v>0</v>
      </c>
      <c r="O1991" s="16">
        <v>2</v>
      </c>
      <c r="P1991" s="16">
        <v>1</v>
      </c>
      <c r="Q1991" s="16">
        <v>1</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10</v>
      </c>
      <c r="AG1991" s="16">
        <v>2</v>
      </c>
      <c r="AH1991" s="16" t="s">
        <v>213</v>
      </c>
      <c r="AI1991" s="12">
        <v>0</v>
      </c>
      <c r="AJ1991" s="12">
        <v>2</v>
      </c>
      <c r="AK1991" s="12">
        <v>0</v>
      </c>
      <c r="AL1991" s="12">
        <v>1.5</v>
      </c>
      <c r="AM1991" s="16">
        <v>0</v>
      </c>
      <c r="AN1991" s="16">
        <v>0</v>
      </c>
      <c r="AO1991" s="16">
        <v>0</v>
      </c>
      <c r="AP1991" s="16">
        <v>1.5</v>
      </c>
      <c r="AQ1991" s="16">
        <v>10000</v>
      </c>
      <c r="AR1991" s="16">
        <v>1</v>
      </c>
      <c r="AS1991" s="16">
        <v>5</v>
      </c>
      <c r="AT1991" s="12">
        <v>0</v>
      </c>
      <c r="AU1991" s="16" t="s">
        <v>198</v>
      </c>
      <c r="AV1991" s="16"/>
      <c r="AW1991" s="19" t="s">
        <v>617</v>
      </c>
      <c r="AX1991" s="16" t="s">
        <v>534</v>
      </c>
      <c r="AY1991" s="18">
        <v>10000007</v>
      </c>
      <c r="AZ1991" s="18">
        <v>70302003</v>
      </c>
      <c r="BA1991" s="19" t="s">
        <v>586</v>
      </c>
      <c r="BB1991" s="27" t="s">
        <v>4542</v>
      </c>
      <c r="BC1991" s="27">
        <v>0</v>
      </c>
      <c r="BD1991" s="27">
        <v>0</v>
      </c>
      <c r="BE1991" s="44" t="s">
        <v>1108</v>
      </c>
      <c r="BF1991" s="44" t="s">
        <v>1109</v>
      </c>
      <c r="BG1991" s="16">
        <v>1</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73002304</v>
      </c>
      <c r="D1992" s="19" t="s">
        <v>538</v>
      </c>
      <c r="E1992" s="19" t="s">
        <v>539</v>
      </c>
      <c r="F1992" s="18">
        <v>1</v>
      </c>
      <c r="G1992" s="18">
        <v>60010500</v>
      </c>
      <c r="H1992" s="18">
        <v>0</v>
      </c>
      <c r="I1992" s="27">
        <v>0</v>
      </c>
      <c r="J1992" s="18">
        <v>1</v>
      </c>
      <c r="K1992" s="18">
        <v>0</v>
      </c>
      <c r="L1992" s="18">
        <v>0</v>
      </c>
      <c r="M1992" s="18">
        <v>0</v>
      </c>
      <c r="N1992" s="18">
        <v>0</v>
      </c>
      <c r="O1992" s="16">
        <v>2</v>
      </c>
      <c r="P1992" s="18">
        <v>2</v>
      </c>
      <c r="Q1992" s="18">
        <v>0.8</v>
      </c>
      <c r="R1992" s="18">
        <v>0</v>
      </c>
      <c r="S1992" s="12">
        <v>0</v>
      </c>
      <c r="T1992" s="27">
        <v>0</v>
      </c>
      <c r="U1992" s="16">
        <v>1</v>
      </c>
      <c r="V1992" s="18">
        <v>2</v>
      </c>
      <c r="W1992" s="18">
        <v>0</v>
      </c>
      <c r="X1992" s="18">
        <v>0</v>
      </c>
      <c r="Y1992" s="12">
        <v>0</v>
      </c>
      <c r="Z1992" s="18">
        <v>0</v>
      </c>
      <c r="AA1992" s="18">
        <v>0</v>
      </c>
      <c r="AB1992" s="18">
        <v>0</v>
      </c>
      <c r="AC1992" s="18">
        <v>0</v>
      </c>
      <c r="AD1992" s="16">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90401004</v>
      </c>
      <c r="AU1992" s="18" t="s">
        <v>198</v>
      </c>
      <c r="AV1992" s="18"/>
      <c r="AW1992" s="19" t="s">
        <v>199</v>
      </c>
      <c r="AX1992" s="18" t="s">
        <v>348</v>
      </c>
      <c r="AY1992" s="18">
        <v>0</v>
      </c>
      <c r="AZ1992" s="18">
        <v>40000003</v>
      </c>
      <c r="BA1992" s="19" t="s">
        <v>200</v>
      </c>
      <c r="BB1992" s="19" t="s">
        <v>198</v>
      </c>
      <c r="BC1992" s="27">
        <v>0</v>
      </c>
      <c r="BD1992" s="27">
        <v>0</v>
      </c>
      <c r="BE1992" s="87" t="s">
        <v>864</v>
      </c>
      <c r="BF1992" s="87" t="s">
        <v>865</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row>
    <row r="1993" spans="3:75" ht="19.5" customHeight="1">
      <c r="C1993" s="18">
        <v>73002305</v>
      </c>
      <c r="D1993" s="19" t="s">
        <v>757</v>
      </c>
      <c r="E1993" s="19" t="s">
        <v>399</v>
      </c>
      <c r="F1993" s="18">
        <v>1</v>
      </c>
      <c r="G1993" s="18">
        <v>60010500</v>
      </c>
      <c r="H1993" s="18">
        <v>0</v>
      </c>
      <c r="I1993" s="27">
        <v>0</v>
      </c>
      <c r="J1993" s="18">
        <v>1</v>
      </c>
      <c r="K1993" s="18">
        <v>0</v>
      </c>
      <c r="L1993" s="18">
        <v>0</v>
      </c>
      <c r="M1993" s="18">
        <v>0</v>
      </c>
      <c r="N1993" s="18">
        <v>0</v>
      </c>
      <c r="O1993" s="16">
        <v>2</v>
      </c>
      <c r="P1993" s="18">
        <v>2</v>
      </c>
      <c r="Q1993" s="18">
        <v>0.5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6">
        <v>15</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t="s">
        <v>754</v>
      </c>
      <c r="AU1993" s="18" t="s">
        <v>198</v>
      </c>
      <c r="AV1993" s="18"/>
      <c r="AW1993" s="19" t="s">
        <v>199</v>
      </c>
      <c r="AX1993" s="18" t="s">
        <v>348</v>
      </c>
      <c r="AY1993" s="18">
        <v>0</v>
      </c>
      <c r="AZ1993" s="18">
        <v>0</v>
      </c>
      <c r="BA1993" s="19" t="s">
        <v>200</v>
      </c>
      <c r="BB1993" s="19" t="s">
        <v>198</v>
      </c>
      <c r="BC1993" s="27">
        <v>0</v>
      </c>
      <c r="BD1993" s="27">
        <v>0</v>
      </c>
      <c r="BE1993" s="87" t="s">
        <v>1118</v>
      </c>
      <c r="BF1993" s="87" t="s">
        <v>1119</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73002307</v>
      </c>
      <c r="D1994" s="17" t="s">
        <v>4543</v>
      </c>
      <c r="E1994" s="17" t="s">
        <v>4544</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15</v>
      </c>
      <c r="AG1994" s="16">
        <v>1</v>
      </c>
      <c r="AH1994" s="16" t="s">
        <v>861</v>
      </c>
      <c r="AI1994" s="12">
        <v>0</v>
      </c>
      <c r="AJ1994" s="12">
        <v>0</v>
      </c>
      <c r="AK1994" s="12">
        <v>0</v>
      </c>
      <c r="AL1994" s="12">
        <v>0</v>
      </c>
      <c r="AM1994" s="16">
        <v>0</v>
      </c>
      <c r="AN1994" s="16">
        <v>0</v>
      </c>
      <c r="AO1994" s="16">
        <v>0</v>
      </c>
      <c r="AP1994" s="16">
        <v>0.5</v>
      </c>
      <c r="AQ1994" s="16">
        <v>999999</v>
      </c>
      <c r="AR1994" s="16">
        <v>0.5</v>
      </c>
      <c r="AS1994" s="16">
        <v>0</v>
      </c>
      <c r="AT1994" s="12">
        <v>0</v>
      </c>
      <c r="AU1994" s="12">
        <v>90205007</v>
      </c>
      <c r="AV1994" s="12"/>
      <c r="AW1994" s="19" t="s">
        <v>617</v>
      </c>
      <c r="AX1994" s="16" t="s">
        <v>534</v>
      </c>
      <c r="AY1994" s="18">
        <v>10000007</v>
      </c>
      <c r="AZ1994" s="18">
        <v>70205001</v>
      </c>
      <c r="BA1994" s="19" t="s">
        <v>315</v>
      </c>
      <c r="BB1994" s="19" t="s">
        <v>371</v>
      </c>
      <c r="BC1994" s="27">
        <v>0</v>
      </c>
      <c r="BD1994" s="27">
        <v>0</v>
      </c>
      <c r="BE1994" s="44"/>
      <c r="BF1994" s="44"/>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64">
        <v>73003101</v>
      </c>
      <c r="D1995" s="59" t="s">
        <v>760</v>
      </c>
      <c r="E1995" s="59" t="s">
        <v>761</v>
      </c>
      <c r="F1995" s="60">
        <v>2</v>
      </c>
      <c r="G1995" s="60">
        <v>61012301</v>
      </c>
      <c r="H1995" s="60">
        <v>0</v>
      </c>
      <c r="I1995" s="66">
        <v>0</v>
      </c>
      <c r="J1995" s="64">
        <v>1</v>
      </c>
      <c r="K1995" s="64">
        <v>0</v>
      </c>
      <c r="L1995" s="64">
        <v>0</v>
      </c>
      <c r="M1995" s="60">
        <v>0</v>
      </c>
      <c r="N1995" s="60">
        <v>0</v>
      </c>
      <c r="O1995" s="16">
        <v>2</v>
      </c>
      <c r="P1995" s="60">
        <v>1</v>
      </c>
      <c r="Q1995" s="60">
        <v>0.5</v>
      </c>
      <c r="R1995" s="60">
        <v>0</v>
      </c>
      <c r="S1995" s="68">
        <v>1</v>
      </c>
      <c r="T1995" s="60">
        <v>0</v>
      </c>
      <c r="U1995" s="60">
        <v>1</v>
      </c>
      <c r="V1995" s="60">
        <v>2</v>
      </c>
      <c r="W1995" s="60">
        <v>0</v>
      </c>
      <c r="X1995" s="60">
        <v>1.4</v>
      </c>
      <c r="Y1995" s="12">
        <v>0</v>
      </c>
      <c r="Z1995" s="60">
        <v>150</v>
      </c>
      <c r="AA1995" s="60">
        <v>1</v>
      </c>
      <c r="AB1995" s="60">
        <v>0</v>
      </c>
      <c r="AC1995" s="60">
        <v>0</v>
      </c>
      <c r="AD1995" s="60">
        <v>0</v>
      </c>
      <c r="AE1995" s="60">
        <v>0</v>
      </c>
      <c r="AF1995" s="60">
        <v>12</v>
      </c>
      <c r="AG1995" s="60">
        <v>2</v>
      </c>
      <c r="AH1995" s="60" t="s">
        <v>213</v>
      </c>
      <c r="AI1995" s="68">
        <v>7</v>
      </c>
      <c r="AJ1995" s="68">
        <v>2</v>
      </c>
      <c r="AK1995" s="12">
        <v>0</v>
      </c>
      <c r="AL1995" s="68">
        <v>1.5</v>
      </c>
      <c r="AM1995" s="60">
        <v>0</v>
      </c>
      <c r="AN1995" s="60">
        <v>0</v>
      </c>
      <c r="AO1995" s="60">
        <v>0</v>
      </c>
      <c r="AP1995" s="60">
        <v>1.5</v>
      </c>
      <c r="AQ1995" s="60">
        <v>1200</v>
      </c>
      <c r="AR1995" s="60">
        <v>1</v>
      </c>
      <c r="AS1995" s="60">
        <v>15</v>
      </c>
      <c r="AT1995" s="68">
        <v>0</v>
      </c>
      <c r="AU1995" s="60" t="s">
        <v>198</v>
      </c>
      <c r="AV1995" s="60"/>
      <c r="AW1995" s="59" t="s">
        <v>256</v>
      </c>
      <c r="AX1995" s="60" t="s">
        <v>215</v>
      </c>
      <c r="AY1995" s="64">
        <v>10000011</v>
      </c>
      <c r="AZ1995" s="64">
        <v>70404001</v>
      </c>
      <c r="BA1995" s="59" t="s">
        <v>216</v>
      </c>
      <c r="BB1995" s="60">
        <v>0</v>
      </c>
      <c r="BC1995" s="66">
        <v>0</v>
      </c>
      <c r="BD1995" s="66">
        <v>0</v>
      </c>
      <c r="BE1995" s="90" t="s">
        <v>798</v>
      </c>
      <c r="BF1995" s="90" t="s">
        <v>799</v>
      </c>
      <c r="BG1995" s="60">
        <v>0</v>
      </c>
      <c r="BH1995" s="60">
        <v>0</v>
      </c>
      <c r="BI1995" s="60">
        <v>0</v>
      </c>
      <c r="BJ1995" s="60">
        <v>0</v>
      </c>
      <c r="BK1995" s="60">
        <v>0</v>
      </c>
      <c r="BL1995" s="60">
        <v>0</v>
      </c>
      <c r="BM1995" s="93">
        <v>0</v>
      </c>
      <c r="BN1995" s="12">
        <v>0</v>
      </c>
      <c r="BO1995" s="12">
        <v>0</v>
      </c>
      <c r="BP1995" s="12">
        <v>0</v>
      </c>
      <c r="BQ1995" s="12">
        <v>0</v>
      </c>
      <c r="BR1995" s="12">
        <v>0</v>
      </c>
      <c r="BS1995" s="12">
        <v>0</v>
      </c>
      <c r="BT1995" s="12">
        <v>0</v>
      </c>
      <c r="BU1995" s="47">
        <v>0</v>
      </c>
      <c r="BV1995" s="47"/>
      <c r="BW1995" s="47"/>
    </row>
    <row r="1996" spans="3:75" ht="19.5" customHeight="1">
      <c r="C1996" s="18">
        <v>73003102</v>
      </c>
      <c r="D1996" s="17" t="s">
        <v>1091</v>
      </c>
      <c r="E1996" s="17" t="s">
        <v>1092</v>
      </c>
      <c r="F1996" s="18">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1</v>
      </c>
      <c r="AB1996" s="16">
        <v>0</v>
      </c>
      <c r="AC1996" s="16">
        <v>0</v>
      </c>
      <c r="AD1996" s="16">
        <v>0</v>
      </c>
      <c r="AE1996" s="16">
        <v>0</v>
      </c>
      <c r="AF1996" s="16">
        <v>12</v>
      </c>
      <c r="AG1996" s="16">
        <v>1</v>
      </c>
      <c r="AH1996" s="16" t="s">
        <v>607</v>
      </c>
      <c r="AI1996" s="12">
        <v>0</v>
      </c>
      <c r="AJ1996" s="12">
        <v>1</v>
      </c>
      <c r="AK1996" s="12">
        <v>0</v>
      </c>
      <c r="AL1996" s="12">
        <v>3</v>
      </c>
      <c r="AM1996" s="16">
        <v>0</v>
      </c>
      <c r="AN1996" s="16">
        <v>0</v>
      </c>
      <c r="AO1996" s="16">
        <v>0</v>
      </c>
      <c r="AP1996" s="16">
        <v>3</v>
      </c>
      <c r="AQ1996" s="16">
        <v>5000</v>
      </c>
      <c r="AR1996" s="16">
        <v>2.5</v>
      </c>
      <c r="AS1996" s="16">
        <v>0</v>
      </c>
      <c r="AT1996" s="12">
        <v>0</v>
      </c>
      <c r="AU1996" s="16">
        <v>80001030</v>
      </c>
      <c r="AV1996" s="16"/>
      <c r="AW1996" s="19" t="s">
        <v>287</v>
      </c>
      <c r="AX1996" s="16" t="s">
        <v>534</v>
      </c>
      <c r="AY1996" s="18">
        <v>10000007</v>
      </c>
      <c r="AZ1996" s="18">
        <v>70204001</v>
      </c>
      <c r="BA1996" s="17" t="s">
        <v>200</v>
      </c>
      <c r="BB1996" s="16">
        <v>0</v>
      </c>
      <c r="BC1996" s="27">
        <v>0</v>
      </c>
      <c r="BD1996" s="27">
        <v>0</v>
      </c>
      <c r="BE1996" s="44" t="s">
        <v>1093</v>
      </c>
      <c r="BF1996" s="44" t="s">
        <v>1094</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73003103</v>
      </c>
      <c r="D1997" s="17" t="s">
        <v>532</v>
      </c>
      <c r="E1997" s="17" t="s">
        <v>255</v>
      </c>
      <c r="F1997" s="18">
        <v>1</v>
      </c>
      <c r="G1997" s="16">
        <v>0</v>
      </c>
      <c r="H1997" s="18">
        <v>0</v>
      </c>
      <c r="I1997" s="27">
        <v>0</v>
      </c>
      <c r="J1997" s="18">
        <v>1</v>
      </c>
      <c r="K1997" s="18">
        <v>0</v>
      </c>
      <c r="L1997" s="18">
        <v>0</v>
      </c>
      <c r="M1997" s="16">
        <v>0</v>
      </c>
      <c r="N1997" s="16">
        <v>0</v>
      </c>
      <c r="O1997" s="16">
        <v>2</v>
      </c>
      <c r="P1997" s="16">
        <v>1</v>
      </c>
      <c r="Q1997" s="16">
        <v>1</v>
      </c>
      <c r="R1997" s="16">
        <v>0</v>
      </c>
      <c r="S1997" s="12">
        <v>0</v>
      </c>
      <c r="T1997" s="16">
        <v>0</v>
      </c>
      <c r="U1997" s="16">
        <v>1</v>
      </c>
      <c r="V1997" s="16">
        <v>2</v>
      </c>
      <c r="W1997" s="16">
        <v>0</v>
      </c>
      <c r="X1997" s="16">
        <v>2</v>
      </c>
      <c r="Y1997" s="12">
        <v>0</v>
      </c>
      <c r="Z1997" s="16">
        <v>0</v>
      </c>
      <c r="AA1997" s="16">
        <v>1</v>
      </c>
      <c r="AB1997" s="16">
        <v>0</v>
      </c>
      <c r="AC1997" s="16">
        <v>0</v>
      </c>
      <c r="AD1997" s="16">
        <v>0</v>
      </c>
      <c r="AE1997" s="16">
        <v>0</v>
      </c>
      <c r="AF1997" s="16">
        <v>6</v>
      </c>
      <c r="AG1997" s="16">
        <v>1</v>
      </c>
      <c r="AH1997" s="16">
        <v>3</v>
      </c>
      <c r="AI1997" s="12">
        <v>0</v>
      </c>
      <c r="AJ1997" s="12">
        <v>0</v>
      </c>
      <c r="AK1997" s="12">
        <v>0</v>
      </c>
      <c r="AL1997" s="12">
        <v>1.5</v>
      </c>
      <c r="AM1997" s="16">
        <v>0</v>
      </c>
      <c r="AN1997" s="16">
        <v>0</v>
      </c>
      <c r="AO1997" s="16">
        <v>0</v>
      </c>
      <c r="AP1997" s="16">
        <v>1</v>
      </c>
      <c r="AQ1997" s="16">
        <v>5000</v>
      </c>
      <c r="AR1997" s="16">
        <v>0.5</v>
      </c>
      <c r="AS1997" s="16">
        <v>0</v>
      </c>
      <c r="AT1997" s="12">
        <v>0</v>
      </c>
      <c r="AU1997" s="16" t="s">
        <v>198</v>
      </c>
      <c r="AV1997" s="16"/>
      <c r="AW1997" s="19" t="s">
        <v>199</v>
      </c>
      <c r="AX1997" s="16" t="s">
        <v>534</v>
      </c>
      <c r="AY1997" s="18">
        <v>10000007</v>
      </c>
      <c r="AZ1997" s="18">
        <v>70105001</v>
      </c>
      <c r="BA1997" s="17" t="s">
        <v>200</v>
      </c>
      <c r="BB1997" s="16" t="s">
        <v>4375</v>
      </c>
      <c r="BC1997" s="27">
        <v>0</v>
      </c>
      <c r="BD1997" s="27">
        <v>0</v>
      </c>
      <c r="BE1997" s="44" t="s">
        <v>4376</v>
      </c>
      <c r="BF1997" s="44" t="s">
        <v>4377</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73003104</v>
      </c>
      <c r="D1998" s="17" t="s">
        <v>744</v>
      </c>
      <c r="E1998" s="17" t="s">
        <v>745</v>
      </c>
      <c r="F1998" s="18">
        <v>1</v>
      </c>
      <c r="G1998" s="18">
        <v>60010500</v>
      </c>
      <c r="H1998" s="18">
        <v>0</v>
      </c>
      <c r="I1998" s="27">
        <v>0</v>
      </c>
      <c r="J1998" s="18">
        <v>1</v>
      </c>
      <c r="K1998" s="18">
        <v>0</v>
      </c>
      <c r="L1998" s="18">
        <v>0</v>
      </c>
      <c r="M1998" s="18">
        <v>0</v>
      </c>
      <c r="N1998" s="18">
        <v>0</v>
      </c>
      <c r="O1998" s="16">
        <v>2</v>
      </c>
      <c r="P1998" s="18">
        <v>1</v>
      </c>
      <c r="Q1998" s="18">
        <v>0.05</v>
      </c>
      <c r="R1998" s="18">
        <v>0</v>
      </c>
      <c r="S1998" s="12">
        <v>0</v>
      </c>
      <c r="T1998" s="27">
        <v>0</v>
      </c>
      <c r="U1998" s="16">
        <v>1</v>
      </c>
      <c r="V1998" s="18">
        <v>1</v>
      </c>
      <c r="W1998" s="18">
        <v>0</v>
      </c>
      <c r="X1998" s="18">
        <v>2</v>
      </c>
      <c r="Y1998" s="12">
        <v>0</v>
      </c>
      <c r="Z1998" s="18">
        <v>0</v>
      </c>
      <c r="AA1998" s="18">
        <v>0</v>
      </c>
      <c r="AB1998" s="18">
        <v>0</v>
      </c>
      <c r="AC1998" s="18">
        <v>0</v>
      </c>
      <c r="AD1998" s="16">
        <v>0</v>
      </c>
      <c r="AE1998" s="18">
        <v>0</v>
      </c>
      <c r="AF1998" s="18">
        <v>10</v>
      </c>
      <c r="AG1998" s="18">
        <v>0</v>
      </c>
      <c r="AH1998" s="18">
        <v>0</v>
      </c>
      <c r="AI1998" s="12">
        <v>7</v>
      </c>
      <c r="AJ1998" s="12">
        <v>0</v>
      </c>
      <c r="AK1998" s="12">
        <v>0</v>
      </c>
      <c r="AL1998" s="12">
        <v>0</v>
      </c>
      <c r="AM1998" s="18">
        <v>0</v>
      </c>
      <c r="AN1998" s="18">
        <v>0</v>
      </c>
      <c r="AO1998" s="18">
        <v>0</v>
      </c>
      <c r="AP1998" s="18">
        <v>0</v>
      </c>
      <c r="AQ1998" s="18">
        <v>1000</v>
      </c>
      <c r="AR1998" s="18">
        <v>0.5</v>
      </c>
      <c r="AS1998" s="18">
        <v>0</v>
      </c>
      <c r="AT1998" s="12">
        <v>0</v>
      </c>
      <c r="AU1998" s="18" t="s">
        <v>659</v>
      </c>
      <c r="AV1998" s="18"/>
      <c r="AW1998" s="19" t="s">
        <v>741</v>
      </c>
      <c r="AX1998" s="18">
        <v>0</v>
      </c>
      <c r="AY1998" s="18">
        <v>10007001</v>
      </c>
      <c r="AZ1998" s="18">
        <v>0</v>
      </c>
      <c r="BA1998" s="19" t="s">
        <v>200</v>
      </c>
      <c r="BB1998" s="19" t="s">
        <v>198</v>
      </c>
      <c r="BC1998" s="27">
        <v>0</v>
      </c>
      <c r="BD1998" s="27">
        <v>0</v>
      </c>
      <c r="BE1998" s="87" t="s">
        <v>4545</v>
      </c>
      <c r="BF1998" s="87" t="s">
        <v>4546</v>
      </c>
      <c r="BG1998" s="18">
        <v>0</v>
      </c>
      <c r="BH1998" s="16">
        <v>0</v>
      </c>
      <c r="BI1998" s="18">
        <v>0</v>
      </c>
      <c r="BJ1998" s="18">
        <v>0</v>
      </c>
      <c r="BK1998" s="18">
        <v>0</v>
      </c>
      <c r="BL1998" s="18">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73003201</v>
      </c>
      <c r="D1999" s="17" t="s">
        <v>665</v>
      </c>
      <c r="E1999" s="17" t="s">
        <v>606</v>
      </c>
      <c r="F1999" s="16">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3</v>
      </c>
      <c r="Y1999" s="12">
        <v>0</v>
      </c>
      <c r="Z1999" s="16">
        <v>0</v>
      </c>
      <c r="AA1999" s="16">
        <v>0</v>
      </c>
      <c r="AB1999" s="16">
        <v>0</v>
      </c>
      <c r="AC1999" s="16">
        <v>0</v>
      </c>
      <c r="AD1999" s="16">
        <v>0</v>
      </c>
      <c r="AE1999" s="16">
        <v>0</v>
      </c>
      <c r="AF1999" s="16">
        <v>12</v>
      </c>
      <c r="AG1999" s="16">
        <v>1</v>
      </c>
      <c r="AH1999" s="16">
        <v>3</v>
      </c>
      <c r="AI1999" s="12">
        <v>6</v>
      </c>
      <c r="AJ1999" s="12">
        <v>1</v>
      </c>
      <c r="AK1999" s="12">
        <v>0</v>
      </c>
      <c r="AL1999" s="12">
        <v>1.5</v>
      </c>
      <c r="AM1999" s="16">
        <v>0</v>
      </c>
      <c r="AN1999" s="16">
        <v>0</v>
      </c>
      <c r="AO1999" s="16">
        <v>0</v>
      </c>
      <c r="AP1999" s="16">
        <v>3</v>
      </c>
      <c r="AQ1999" s="16">
        <v>5000</v>
      </c>
      <c r="AR1999" s="16">
        <v>3</v>
      </c>
      <c r="AS1999" s="16">
        <v>0</v>
      </c>
      <c r="AT1999" s="12">
        <v>0</v>
      </c>
      <c r="AU1999" s="16" t="s">
        <v>198</v>
      </c>
      <c r="AV1999" s="16"/>
      <c r="AW1999" s="19" t="s">
        <v>256</v>
      </c>
      <c r="AX1999" s="16" t="s">
        <v>534</v>
      </c>
      <c r="AY1999" s="18">
        <v>10000007</v>
      </c>
      <c r="AZ1999" s="18">
        <v>70103003</v>
      </c>
      <c r="BA1999" s="17" t="s">
        <v>200</v>
      </c>
      <c r="BB1999" s="16" t="s">
        <v>4514</v>
      </c>
      <c r="BC1999" s="27">
        <v>0</v>
      </c>
      <c r="BD1999" s="27">
        <v>0</v>
      </c>
      <c r="BE1999" s="44" t="s">
        <v>667</v>
      </c>
      <c r="BF1999" s="44" t="s">
        <v>668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row>
    <row r="2000" spans="3:75" ht="20.100000000000001" customHeight="1">
      <c r="C2000" s="18">
        <v>73003202</v>
      </c>
      <c r="D2000" s="19" t="s">
        <v>4547</v>
      </c>
      <c r="E2000" s="19" t="s">
        <v>4548</v>
      </c>
      <c r="F2000" s="18">
        <v>1</v>
      </c>
      <c r="G2000" s="18">
        <v>60010500</v>
      </c>
      <c r="H2000" s="18">
        <v>0</v>
      </c>
      <c r="I2000" s="27">
        <v>0</v>
      </c>
      <c r="J2000" s="18">
        <v>1</v>
      </c>
      <c r="K2000" s="18">
        <v>0</v>
      </c>
      <c r="L2000" s="18">
        <v>0</v>
      </c>
      <c r="M2000" s="18">
        <v>0</v>
      </c>
      <c r="N2000" s="18">
        <v>0</v>
      </c>
      <c r="O2000" s="16">
        <v>2</v>
      </c>
      <c r="P2000" s="18">
        <v>2</v>
      </c>
      <c r="Q2000" s="18">
        <v>0.95</v>
      </c>
      <c r="R2000" s="18">
        <v>0</v>
      </c>
      <c r="S2000" s="12">
        <v>0</v>
      </c>
      <c r="T2000" s="27">
        <v>0</v>
      </c>
      <c r="U2000" s="16">
        <v>1</v>
      </c>
      <c r="V2000" s="18">
        <v>2</v>
      </c>
      <c r="W2000" s="18">
        <v>0</v>
      </c>
      <c r="X2000" s="18">
        <v>0</v>
      </c>
      <c r="Y2000" s="12">
        <v>0</v>
      </c>
      <c r="Z2000" s="18">
        <v>0</v>
      </c>
      <c r="AA2000" s="18">
        <v>0</v>
      </c>
      <c r="AB2000" s="18">
        <v>0</v>
      </c>
      <c r="AC2000" s="18">
        <v>0</v>
      </c>
      <c r="AD2000" s="16">
        <v>0</v>
      </c>
      <c r="AE2000" s="18">
        <v>0</v>
      </c>
      <c r="AF2000" s="18">
        <v>20</v>
      </c>
      <c r="AG2000" s="18">
        <v>0</v>
      </c>
      <c r="AH2000" s="18">
        <v>0</v>
      </c>
      <c r="AI2000" s="12">
        <v>7</v>
      </c>
      <c r="AJ2000" s="12">
        <v>0</v>
      </c>
      <c r="AK2000" s="12">
        <v>0</v>
      </c>
      <c r="AL2000" s="12">
        <v>0</v>
      </c>
      <c r="AM2000" s="18">
        <v>0</v>
      </c>
      <c r="AN2000" s="18">
        <v>0</v>
      </c>
      <c r="AO2000" s="18">
        <v>0</v>
      </c>
      <c r="AP2000" s="18">
        <v>0</v>
      </c>
      <c r="AQ2000" s="18">
        <v>1000</v>
      </c>
      <c r="AR2000" s="18">
        <v>0.5</v>
      </c>
      <c r="AS2000" s="18">
        <v>0</v>
      </c>
      <c r="AT2000" s="12">
        <v>0</v>
      </c>
      <c r="AU2000" s="18">
        <v>83000001</v>
      </c>
      <c r="AV2000" s="18"/>
      <c r="AW2000" s="19" t="s">
        <v>741</v>
      </c>
      <c r="AX2000" s="18">
        <v>0</v>
      </c>
      <c r="AY2000" s="18">
        <v>10007001</v>
      </c>
      <c r="AZ2000" s="18">
        <v>0</v>
      </c>
      <c r="BA2000" s="19" t="s">
        <v>200</v>
      </c>
      <c r="BB2000" s="19" t="s">
        <v>198</v>
      </c>
      <c r="BC2000" s="27">
        <v>0</v>
      </c>
      <c r="BD2000" s="27">
        <v>0</v>
      </c>
      <c r="BE2000" s="87" t="s">
        <v>4549</v>
      </c>
      <c r="BF2000" s="87" t="s">
        <v>4550</v>
      </c>
      <c r="BG2000" s="18">
        <v>0</v>
      </c>
      <c r="BH2000" s="16">
        <v>0</v>
      </c>
      <c r="BI2000" s="18">
        <v>0</v>
      </c>
      <c r="BJ2000" s="18">
        <v>0</v>
      </c>
      <c r="BK2000" s="18">
        <v>0</v>
      </c>
      <c r="BL2000" s="18">
        <v>0</v>
      </c>
      <c r="BM2000" s="15">
        <v>0</v>
      </c>
      <c r="BN2000" s="12">
        <v>0</v>
      </c>
      <c r="BO2000" s="12">
        <v>0</v>
      </c>
      <c r="BP2000" s="12">
        <v>0</v>
      </c>
      <c r="BQ2000" s="12">
        <v>0</v>
      </c>
      <c r="BR2000" s="12">
        <v>0</v>
      </c>
      <c r="BS2000" s="12">
        <v>0</v>
      </c>
      <c r="BT2000" s="12">
        <v>0</v>
      </c>
      <c r="BU2000" s="47">
        <v>0</v>
      </c>
      <c r="BV2000" s="47"/>
      <c r="BW2000" s="47"/>
    </row>
    <row r="2001" spans="3:75" ht="19.5" customHeight="1">
      <c r="C2001" s="18">
        <v>73003203</v>
      </c>
      <c r="D2001" s="17" t="s">
        <v>1091</v>
      </c>
      <c r="E2001" s="17" t="s">
        <v>1092</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3</v>
      </c>
      <c r="Y2001" s="12">
        <v>0</v>
      </c>
      <c r="Z2001" s="16">
        <v>0</v>
      </c>
      <c r="AA2001" s="16">
        <v>1</v>
      </c>
      <c r="AB2001" s="16">
        <v>0</v>
      </c>
      <c r="AC2001" s="16">
        <v>0</v>
      </c>
      <c r="AD2001" s="16">
        <v>0</v>
      </c>
      <c r="AE2001" s="16">
        <v>0</v>
      </c>
      <c r="AF2001" s="16">
        <v>15</v>
      </c>
      <c r="AG2001" s="16">
        <v>1</v>
      </c>
      <c r="AH2001" s="16" t="s">
        <v>607</v>
      </c>
      <c r="AI2001" s="12">
        <v>0</v>
      </c>
      <c r="AJ2001" s="12">
        <v>1</v>
      </c>
      <c r="AK2001" s="12">
        <v>0</v>
      </c>
      <c r="AL2001" s="12">
        <v>3</v>
      </c>
      <c r="AM2001" s="16">
        <v>0</v>
      </c>
      <c r="AN2001" s="16">
        <v>0</v>
      </c>
      <c r="AO2001" s="16">
        <v>0</v>
      </c>
      <c r="AP2001" s="16">
        <v>3</v>
      </c>
      <c r="AQ2001" s="16">
        <v>5000</v>
      </c>
      <c r="AR2001" s="16">
        <v>2.5</v>
      </c>
      <c r="AS2001" s="16">
        <v>0</v>
      </c>
      <c r="AT2001" s="12">
        <v>0</v>
      </c>
      <c r="AU2001" s="16" t="s">
        <v>659</v>
      </c>
      <c r="AV2001" s="16"/>
      <c r="AW2001" s="19" t="s">
        <v>256</v>
      </c>
      <c r="AX2001" s="16" t="s">
        <v>534</v>
      </c>
      <c r="AY2001" s="18">
        <v>10000007</v>
      </c>
      <c r="AZ2001" s="18">
        <v>70403003</v>
      </c>
      <c r="BA2001" s="17" t="s">
        <v>200</v>
      </c>
      <c r="BB2001" s="16">
        <v>0</v>
      </c>
      <c r="BC2001" s="27">
        <v>0</v>
      </c>
      <c r="BD2001" s="27">
        <v>0</v>
      </c>
      <c r="BE2001" s="44" t="s">
        <v>4457</v>
      </c>
      <c r="BF2001" s="44" t="s">
        <v>4458</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73003204</v>
      </c>
      <c r="D2002" s="15" t="s">
        <v>800</v>
      </c>
      <c r="E2002" s="15" t="s">
        <v>455</v>
      </c>
      <c r="F2002" s="15">
        <v>1</v>
      </c>
      <c r="G2002" s="16">
        <v>60010002</v>
      </c>
      <c r="H2002" s="15">
        <v>0</v>
      </c>
      <c r="I2002" s="26">
        <v>0</v>
      </c>
      <c r="J2002" s="15">
        <v>0</v>
      </c>
      <c r="K2002" s="15">
        <v>0</v>
      </c>
      <c r="L2002" s="26">
        <v>0</v>
      </c>
      <c r="M2002" s="26">
        <v>0</v>
      </c>
      <c r="N2002" s="15">
        <v>0</v>
      </c>
      <c r="O2002" s="15">
        <v>2</v>
      </c>
      <c r="P2002" s="15">
        <v>2</v>
      </c>
      <c r="Q2002" s="15">
        <v>0.95</v>
      </c>
      <c r="R2002" s="15">
        <v>0</v>
      </c>
      <c r="S2002" s="12">
        <v>0</v>
      </c>
      <c r="T2002" s="15">
        <v>0</v>
      </c>
      <c r="U2002" s="16">
        <v>1</v>
      </c>
      <c r="V2002" s="15">
        <v>2</v>
      </c>
      <c r="W2002" s="26">
        <v>0</v>
      </c>
      <c r="X2002" s="15">
        <v>3</v>
      </c>
      <c r="Y2002" s="12">
        <v>0</v>
      </c>
      <c r="Z2002" s="15">
        <v>0</v>
      </c>
      <c r="AA2002" s="15">
        <v>0</v>
      </c>
      <c r="AB2002" s="15">
        <v>0</v>
      </c>
      <c r="AC2002" s="26">
        <v>0</v>
      </c>
      <c r="AD2002" s="15">
        <v>0</v>
      </c>
      <c r="AE2002" s="15">
        <v>0</v>
      </c>
      <c r="AF2002" s="15">
        <v>15</v>
      </c>
      <c r="AG2002" s="15">
        <v>2</v>
      </c>
      <c r="AH2002" s="15" t="s">
        <v>801</v>
      </c>
      <c r="AI2002" s="69">
        <v>0</v>
      </c>
      <c r="AJ2002" s="69">
        <v>2</v>
      </c>
      <c r="AK2002" s="12">
        <v>0</v>
      </c>
      <c r="AL2002" s="15">
        <v>4</v>
      </c>
      <c r="AM2002" s="33">
        <v>0</v>
      </c>
      <c r="AN2002" s="15">
        <v>0</v>
      </c>
      <c r="AO2002" s="15">
        <v>0</v>
      </c>
      <c r="AP2002" s="15">
        <v>2</v>
      </c>
      <c r="AQ2002" s="16">
        <v>4000</v>
      </c>
      <c r="AR2002" s="15">
        <v>2</v>
      </c>
      <c r="AS2002" s="15">
        <v>0</v>
      </c>
      <c r="AT2002" s="12">
        <v>0</v>
      </c>
      <c r="AU2002" s="16" t="s">
        <v>659</v>
      </c>
      <c r="AV2002" s="16"/>
      <c r="AW2002" s="19" t="s">
        <v>287</v>
      </c>
      <c r="AX2002" s="26">
        <v>0</v>
      </c>
      <c r="AY2002" s="26">
        <v>0</v>
      </c>
      <c r="AZ2002" s="26">
        <v>70205004</v>
      </c>
      <c r="BA2002" s="19" t="s">
        <v>200</v>
      </c>
      <c r="BB2002" s="19">
        <v>0</v>
      </c>
      <c r="BC2002" s="19">
        <v>0</v>
      </c>
      <c r="BD2002" s="19">
        <v>0</v>
      </c>
      <c r="BE2002" s="44" t="s">
        <v>802</v>
      </c>
      <c r="BF2002" s="86" t="s">
        <v>803</v>
      </c>
      <c r="BG2002" s="15">
        <v>2</v>
      </c>
      <c r="BH2002" s="15">
        <v>0</v>
      </c>
      <c r="BI2002" s="18">
        <v>0</v>
      </c>
      <c r="BJ2002" s="15">
        <v>1</v>
      </c>
      <c r="BK2002" s="15">
        <v>2</v>
      </c>
      <c r="BL2002" s="33">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73003301</v>
      </c>
      <c r="D2003" s="59" t="s">
        <v>625</v>
      </c>
      <c r="E2003" s="59" t="s">
        <v>626</v>
      </c>
      <c r="F2003" s="16">
        <v>1</v>
      </c>
      <c r="G2003" s="16">
        <v>90002001</v>
      </c>
      <c r="H2003" s="60">
        <v>0</v>
      </c>
      <c r="I2003" s="27">
        <v>0</v>
      </c>
      <c r="J2003" s="18">
        <v>1</v>
      </c>
      <c r="K2003" s="18">
        <v>0</v>
      </c>
      <c r="L2003" s="18">
        <v>0</v>
      </c>
      <c r="M2003" s="60">
        <v>0</v>
      </c>
      <c r="N2003" s="60">
        <v>0</v>
      </c>
      <c r="O2003" s="60">
        <v>2</v>
      </c>
      <c r="P2003" s="60">
        <v>2</v>
      </c>
      <c r="Q2003" s="60">
        <v>0.9</v>
      </c>
      <c r="R2003" s="60">
        <v>0</v>
      </c>
      <c r="S2003" s="12">
        <v>0</v>
      </c>
      <c r="T2003" s="60">
        <v>0</v>
      </c>
      <c r="U2003" s="16">
        <v>1</v>
      </c>
      <c r="V2003" s="60">
        <v>2</v>
      </c>
      <c r="W2003" s="60">
        <v>0</v>
      </c>
      <c r="X2003" s="60">
        <v>3</v>
      </c>
      <c r="Y2003" s="12">
        <v>0</v>
      </c>
      <c r="Z2003" s="60">
        <v>0</v>
      </c>
      <c r="AA2003" s="60">
        <v>0</v>
      </c>
      <c r="AB2003" s="60">
        <v>0</v>
      </c>
      <c r="AC2003" s="60">
        <v>0</v>
      </c>
      <c r="AD2003" s="60">
        <v>0</v>
      </c>
      <c r="AE2003" s="60">
        <v>0</v>
      </c>
      <c r="AF2003" s="60">
        <v>20</v>
      </c>
      <c r="AG2003" s="60">
        <v>2</v>
      </c>
      <c r="AH2003" s="60" t="s">
        <v>627</v>
      </c>
      <c r="AI2003" s="12">
        <v>0</v>
      </c>
      <c r="AJ2003" s="12">
        <v>2</v>
      </c>
      <c r="AK2003" s="12">
        <v>0</v>
      </c>
      <c r="AL2003" s="68">
        <v>0</v>
      </c>
      <c r="AM2003" s="60">
        <v>0</v>
      </c>
      <c r="AN2003" s="60">
        <v>0</v>
      </c>
      <c r="AO2003" s="60">
        <v>0</v>
      </c>
      <c r="AP2003" s="60">
        <v>5</v>
      </c>
      <c r="AQ2003" s="60">
        <v>5000</v>
      </c>
      <c r="AR2003" s="60">
        <v>0</v>
      </c>
      <c r="AS2003" s="60">
        <v>0</v>
      </c>
      <c r="AT2003" s="12">
        <v>0</v>
      </c>
      <c r="AU2003" s="60">
        <v>0</v>
      </c>
      <c r="AV2003" s="60"/>
      <c r="AW2003" s="59" t="s">
        <v>287</v>
      </c>
      <c r="AX2003" s="16">
        <v>0</v>
      </c>
      <c r="AY2003" s="64">
        <v>0</v>
      </c>
      <c r="AZ2003" s="18">
        <v>22000030</v>
      </c>
      <c r="BA2003" s="59" t="s">
        <v>628</v>
      </c>
      <c r="BB2003" s="60" t="s">
        <v>4551</v>
      </c>
      <c r="BC2003" s="66">
        <v>0</v>
      </c>
      <c r="BD2003" s="66">
        <v>0</v>
      </c>
      <c r="BE2003" s="90" t="s">
        <v>4552</v>
      </c>
      <c r="BF2003" s="90" t="s">
        <v>4553</v>
      </c>
      <c r="BG2003" s="60">
        <v>0</v>
      </c>
      <c r="BH2003" s="16">
        <v>0</v>
      </c>
      <c r="BI2003" s="60">
        <v>0</v>
      </c>
      <c r="BJ2003" s="60">
        <v>0</v>
      </c>
      <c r="BK2003" s="60">
        <v>0</v>
      </c>
      <c r="BL2003" s="60">
        <v>0</v>
      </c>
      <c r="BM2003" s="16">
        <v>0</v>
      </c>
      <c r="BN2003" s="12">
        <v>0</v>
      </c>
      <c r="BO2003" s="12">
        <v>0</v>
      </c>
      <c r="BP2003" s="12">
        <v>0</v>
      </c>
      <c r="BQ2003" s="12">
        <v>0</v>
      </c>
      <c r="BR2003" s="12">
        <v>0</v>
      </c>
      <c r="BS2003" s="12">
        <v>0</v>
      </c>
      <c r="BT2003" s="12">
        <v>0</v>
      </c>
      <c r="BU2003" s="47">
        <v>0</v>
      </c>
      <c r="BV2003" s="47"/>
      <c r="BW2003" s="47"/>
    </row>
    <row r="2004" spans="3:75" ht="20.100000000000001" customHeight="1">
      <c r="C2004" s="18">
        <v>73003302</v>
      </c>
      <c r="D2004" s="17" t="s">
        <v>600</v>
      </c>
      <c r="E2004" s="17" t="s">
        <v>601</v>
      </c>
      <c r="F2004" s="18">
        <v>1</v>
      </c>
      <c r="G2004" s="16">
        <v>60010300</v>
      </c>
      <c r="H2004" s="18">
        <v>0</v>
      </c>
      <c r="I2004" s="27">
        <v>0</v>
      </c>
      <c r="J2004" s="18">
        <v>1</v>
      </c>
      <c r="K2004" s="18">
        <v>0</v>
      </c>
      <c r="L2004" s="18">
        <v>0</v>
      </c>
      <c r="M2004" s="16">
        <v>0</v>
      </c>
      <c r="N2004" s="16">
        <v>0</v>
      </c>
      <c r="O2004" s="60">
        <v>2</v>
      </c>
      <c r="P2004" s="16">
        <v>2</v>
      </c>
      <c r="Q2004" s="16">
        <v>0.8</v>
      </c>
      <c r="R2004" s="16">
        <v>0</v>
      </c>
      <c r="S2004" s="12">
        <v>0</v>
      </c>
      <c r="T2004" s="16">
        <v>0</v>
      </c>
      <c r="U2004" s="16">
        <v>1</v>
      </c>
      <c r="V2004" s="16">
        <v>2</v>
      </c>
      <c r="W2004" s="16">
        <v>0</v>
      </c>
      <c r="X2004" s="16">
        <v>0</v>
      </c>
      <c r="Y2004" s="12">
        <v>0</v>
      </c>
      <c r="Z2004" s="16">
        <v>0</v>
      </c>
      <c r="AA2004" s="16">
        <v>0</v>
      </c>
      <c r="AB2004" s="16">
        <v>0</v>
      </c>
      <c r="AC2004" s="16">
        <v>0</v>
      </c>
      <c r="AD2004" s="16">
        <v>0</v>
      </c>
      <c r="AE2004" s="16">
        <v>0</v>
      </c>
      <c r="AF2004" s="16">
        <v>30</v>
      </c>
      <c r="AG2004" s="16">
        <v>0</v>
      </c>
      <c r="AH2004" s="16">
        <v>0</v>
      </c>
      <c r="AI2004" s="12">
        <v>2</v>
      </c>
      <c r="AJ2004" s="12">
        <v>2</v>
      </c>
      <c r="AK2004" s="12">
        <v>0</v>
      </c>
      <c r="AL2004" s="12">
        <v>1.5</v>
      </c>
      <c r="AM2004" s="16">
        <v>0</v>
      </c>
      <c r="AN2004" s="16">
        <v>0</v>
      </c>
      <c r="AO2004" s="16">
        <v>0</v>
      </c>
      <c r="AP2004" s="16">
        <v>1</v>
      </c>
      <c r="AQ2004" s="16">
        <v>3000</v>
      </c>
      <c r="AR2004" s="16">
        <v>0.5</v>
      </c>
      <c r="AS2004" s="16">
        <v>0</v>
      </c>
      <c r="AT2004" s="12">
        <v>0</v>
      </c>
      <c r="AU2004" s="16" t="s">
        <v>198</v>
      </c>
      <c r="AV2004" s="16"/>
      <c r="AW2004" s="19" t="s">
        <v>199</v>
      </c>
      <c r="AX2004" s="16" t="s">
        <v>545</v>
      </c>
      <c r="AY2004" s="18">
        <v>0</v>
      </c>
      <c r="AZ2004" s="18">
        <v>0</v>
      </c>
      <c r="BA2004" s="17" t="s">
        <v>528</v>
      </c>
      <c r="BB2004" s="16" t="s">
        <v>4554</v>
      </c>
      <c r="BC2004" s="27">
        <v>0</v>
      </c>
      <c r="BD2004" s="27">
        <v>0</v>
      </c>
      <c r="BE2004" s="44" t="s">
        <v>4381</v>
      </c>
      <c r="BF2004" s="44" t="s">
        <v>4382</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73003303</v>
      </c>
      <c r="D2005" s="17" t="s">
        <v>1324</v>
      </c>
      <c r="E2005" s="17" t="s">
        <v>1325</v>
      </c>
      <c r="F2005" s="18">
        <v>1</v>
      </c>
      <c r="G2005" s="16">
        <v>60010100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10</v>
      </c>
      <c r="AG2005" s="16">
        <v>2</v>
      </c>
      <c r="AH2005" s="16" t="s">
        <v>213</v>
      </c>
      <c r="AI2005" s="12">
        <v>0</v>
      </c>
      <c r="AJ2005" s="12">
        <v>2</v>
      </c>
      <c r="AK2005" s="12">
        <v>0</v>
      </c>
      <c r="AL2005" s="12">
        <v>1.5</v>
      </c>
      <c r="AM2005" s="16">
        <v>0</v>
      </c>
      <c r="AN2005" s="16">
        <v>0</v>
      </c>
      <c r="AO2005" s="16">
        <v>0</v>
      </c>
      <c r="AP2005" s="16">
        <v>1.5</v>
      </c>
      <c r="AQ2005" s="16">
        <v>10000</v>
      </c>
      <c r="AR2005" s="16">
        <v>1</v>
      </c>
      <c r="AS2005" s="16">
        <v>5</v>
      </c>
      <c r="AT2005" s="12">
        <v>0</v>
      </c>
      <c r="AU2005" s="16" t="s">
        <v>198</v>
      </c>
      <c r="AV2005" s="16"/>
      <c r="AW2005" s="19" t="s">
        <v>617</v>
      </c>
      <c r="AX2005" s="16" t="s">
        <v>534</v>
      </c>
      <c r="AY2005" s="18">
        <v>10000007</v>
      </c>
      <c r="AZ2005" s="18">
        <v>70302003</v>
      </c>
      <c r="BA2005" s="19" t="s">
        <v>586</v>
      </c>
      <c r="BB2005" s="27">
        <v>0</v>
      </c>
      <c r="BC2005" s="27">
        <v>0</v>
      </c>
      <c r="BD2005" s="27">
        <v>0</v>
      </c>
      <c r="BE2005" s="44" t="s">
        <v>1108</v>
      </c>
      <c r="BF2005" s="44" t="s">
        <v>1109</v>
      </c>
      <c r="BG2005" s="16">
        <v>1</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73003304</v>
      </c>
      <c r="D2006" s="59" t="s">
        <v>4555</v>
      </c>
      <c r="E2006" s="59" t="s">
        <v>4556</v>
      </c>
      <c r="F2006" s="64">
        <v>1</v>
      </c>
      <c r="G2006" s="64">
        <v>60010500</v>
      </c>
      <c r="H2006" s="64">
        <v>0</v>
      </c>
      <c r="I2006" s="66">
        <v>0</v>
      </c>
      <c r="J2006" s="64">
        <v>1</v>
      </c>
      <c r="K2006" s="64">
        <v>0</v>
      </c>
      <c r="L2006" s="64">
        <v>0</v>
      </c>
      <c r="M2006" s="64">
        <v>0</v>
      </c>
      <c r="N2006" s="64">
        <v>0</v>
      </c>
      <c r="O2006" s="60">
        <v>2</v>
      </c>
      <c r="P2006" s="64">
        <v>2</v>
      </c>
      <c r="Q2006" s="64">
        <v>0.95</v>
      </c>
      <c r="R2006" s="64">
        <v>0</v>
      </c>
      <c r="S2006" s="68">
        <v>1</v>
      </c>
      <c r="T2006" s="66">
        <v>0</v>
      </c>
      <c r="U2006" s="60">
        <v>1</v>
      </c>
      <c r="V2006" s="64">
        <v>1</v>
      </c>
      <c r="W2006" s="64">
        <v>0</v>
      </c>
      <c r="X2006" s="64">
        <v>2</v>
      </c>
      <c r="Y2006" s="12">
        <v>0</v>
      </c>
      <c r="Z2006" s="64">
        <v>0</v>
      </c>
      <c r="AA2006" s="64">
        <v>0</v>
      </c>
      <c r="AB2006" s="64">
        <v>0</v>
      </c>
      <c r="AC2006" s="64">
        <v>0</v>
      </c>
      <c r="AD2006" s="60">
        <v>0</v>
      </c>
      <c r="AE2006" s="64">
        <v>0</v>
      </c>
      <c r="AF2006" s="64">
        <v>10</v>
      </c>
      <c r="AG2006" s="64">
        <v>0</v>
      </c>
      <c r="AH2006" s="64">
        <v>0</v>
      </c>
      <c r="AI2006" s="68">
        <v>7</v>
      </c>
      <c r="AJ2006" s="68">
        <v>0</v>
      </c>
      <c r="AK2006" s="12">
        <v>0</v>
      </c>
      <c r="AL2006" s="68">
        <v>0</v>
      </c>
      <c r="AM2006" s="64">
        <v>0</v>
      </c>
      <c r="AN2006" s="64">
        <v>0</v>
      </c>
      <c r="AO2006" s="64">
        <v>0</v>
      </c>
      <c r="AP2006" s="64">
        <v>0</v>
      </c>
      <c r="AQ2006" s="64">
        <v>1000</v>
      </c>
      <c r="AR2006" s="64">
        <v>0.5</v>
      </c>
      <c r="AS2006" s="64">
        <v>0</v>
      </c>
      <c r="AT2006" s="68">
        <v>0</v>
      </c>
      <c r="AU2006" s="64">
        <v>83000003</v>
      </c>
      <c r="AV2006" s="64"/>
      <c r="AW2006" s="63" t="s">
        <v>741</v>
      </c>
      <c r="AX2006" s="64">
        <v>0</v>
      </c>
      <c r="AY2006" s="64">
        <v>10007001</v>
      </c>
      <c r="AZ2006" s="64">
        <v>0</v>
      </c>
      <c r="BA2006" s="63" t="s">
        <v>200</v>
      </c>
      <c r="BB2006" s="63" t="s">
        <v>198</v>
      </c>
      <c r="BC2006" s="66">
        <v>0</v>
      </c>
      <c r="BD2006" s="66">
        <v>0</v>
      </c>
      <c r="BE2006" s="92" t="s">
        <v>4545</v>
      </c>
      <c r="BF2006" s="92" t="s">
        <v>4546</v>
      </c>
      <c r="BG2006" s="64">
        <v>0</v>
      </c>
      <c r="BH2006" s="60">
        <v>0</v>
      </c>
      <c r="BI2006" s="64">
        <v>0</v>
      </c>
      <c r="BJ2006" s="64">
        <v>0</v>
      </c>
      <c r="BK2006" s="64">
        <v>0</v>
      </c>
      <c r="BL2006" s="64">
        <v>0</v>
      </c>
      <c r="BM2006" s="93">
        <v>0</v>
      </c>
      <c r="BN2006" s="12">
        <v>0</v>
      </c>
      <c r="BO2006" s="12">
        <v>0</v>
      </c>
      <c r="BP2006" s="12">
        <v>0</v>
      </c>
      <c r="BQ2006" s="12">
        <v>0</v>
      </c>
      <c r="BR2006" s="12">
        <v>0</v>
      </c>
      <c r="BS2006" s="12">
        <v>0</v>
      </c>
      <c r="BT2006" s="12">
        <v>0</v>
      </c>
      <c r="BU2006" s="47">
        <v>0</v>
      </c>
      <c r="BV2006" s="47"/>
      <c r="BW2006" s="47"/>
    </row>
    <row r="2007" spans="3:75" ht="19.5" customHeight="1">
      <c r="C2007" s="18">
        <v>73003305</v>
      </c>
      <c r="D2007" s="17" t="s">
        <v>1091</v>
      </c>
      <c r="E2007" s="17" t="s">
        <v>1092</v>
      </c>
      <c r="F2007" s="18">
        <v>1</v>
      </c>
      <c r="G2007" s="16">
        <v>60010100</v>
      </c>
      <c r="H2007" s="18">
        <v>0</v>
      </c>
      <c r="I2007" s="27">
        <v>0</v>
      </c>
      <c r="J2007" s="18">
        <v>1</v>
      </c>
      <c r="K2007" s="18">
        <v>0</v>
      </c>
      <c r="L2007" s="18">
        <v>0</v>
      </c>
      <c r="M2007" s="16">
        <v>0</v>
      </c>
      <c r="N2007" s="16">
        <v>0</v>
      </c>
      <c r="O2007" s="60">
        <v>2</v>
      </c>
      <c r="P2007" s="16">
        <v>2</v>
      </c>
      <c r="Q2007" s="16">
        <v>0.9</v>
      </c>
      <c r="R2007" s="16">
        <v>0</v>
      </c>
      <c r="S2007" s="12">
        <v>1</v>
      </c>
      <c r="T2007" s="16">
        <v>0</v>
      </c>
      <c r="U2007" s="16">
        <v>1</v>
      </c>
      <c r="V2007" s="16">
        <v>2</v>
      </c>
      <c r="W2007" s="16">
        <v>0</v>
      </c>
      <c r="X2007" s="16">
        <v>3</v>
      </c>
      <c r="Y2007" s="12">
        <v>0</v>
      </c>
      <c r="Z2007" s="16">
        <v>0</v>
      </c>
      <c r="AA2007" s="16">
        <v>1</v>
      </c>
      <c r="AB2007" s="16">
        <v>0</v>
      </c>
      <c r="AC2007" s="16">
        <v>0</v>
      </c>
      <c r="AD2007" s="16">
        <v>0</v>
      </c>
      <c r="AE2007" s="16">
        <v>0</v>
      </c>
      <c r="AF2007" s="16">
        <v>15</v>
      </c>
      <c r="AG2007" s="16">
        <v>1</v>
      </c>
      <c r="AH2007" s="16" t="s">
        <v>607</v>
      </c>
      <c r="AI2007" s="12">
        <v>0</v>
      </c>
      <c r="AJ2007" s="12">
        <v>1</v>
      </c>
      <c r="AK2007" s="12">
        <v>0</v>
      </c>
      <c r="AL2007" s="12">
        <v>3</v>
      </c>
      <c r="AM2007" s="16">
        <v>0</v>
      </c>
      <c r="AN2007" s="16">
        <v>0</v>
      </c>
      <c r="AO2007" s="16">
        <v>0</v>
      </c>
      <c r="AP2007" s="16">
        <v>3</v>
      </c>
      <c r="AQ2007" s="16">
        <v>5000</v>
      </c>
      <c r="AR2007" s="16">
        <v>2.5</v>
      </c>
      <c r="AS2007" s="16">
        <v>0</v>
      </c>
      <c r="AT2007" s="12">
        <v>0</v>
      </c>
      <c r="AU2007" s="16">
        <v>90001023</v>
      </c>
      <c r="AV2007" s="16"/>
      <c r="AW2007" s="19" t="s">
        <v>256</v>
      </c>
      <c r="AX2007" s="16" t="s">
        <v>534</v>
      </c>
      <c r="AY2007" s="18">
        <v>10000007</v>
      </c>
      <c r="AZ2007" s="18">
        <v>70403003</v>
      </c>
      <c r="BA2007" s="17" t="s">
        <v>200</v>
      </c>
      <c r="BB2007" s="16">
        <v>0</v>
      </c>
      <c r="BC2007" s="27">
        <v>0</v>
      </c>
      <c r="BD2007" s="27">
        <v>0</v>
      </c>
      <c r="BE2007" s="44" t="s">
        <v>4457</v>
      </c>
      <c r="BF2007" s="44" t="s">
        <v>4458</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73003306</v>
      </c>
      <c r="D2008" s="19" t="s">
        <v>673</v>
      </c>
      <c r="E2008" s="19" t="s">
        <v>674</v>
      </c>
      <c r="F2008" s="18">
        <v>1</v>
      </c>
      <c r="G2008" s="18">
        <v>60010500</v>
      </c>
      <c r="H2008" s="18">
        <v>0</v>
      </c>
      <c r="I2008" s="27">
        <v>0</v>
      </c>
      <c r="J2008" s="18">
        <v>1</v>
      </c>
      <c r="K2008" s="18">
        <v>0</v>
      </c>
      <c r="L2008" s="18">
        <v>0</v>
      </c>
      <c r="M2008" s="18">
        <v>0</v>
      </c>
      <c r="N2008" s="18">
        <v>0</v>
      </c>
      <c r="O2008" s="60">
        <v>2</v>
      </c>
      <c r="P2008" s="18">
        <v>2</v>
      </c>
      <c r="Q2008" s="18">
        <v>0.6</v>
      </c>
      <c r="R2008" s="18">
        <v>0</v>
      </c>
      <c r="S2008" s="12">
        <v>0</v>
      </c>
      <c r="T2008" s="27">
        <v>0</v>
      </c>
      <c r="U2008" s="16">
        <v>1</v>
      </c>
      <c r="V2008" s="18">
        <v>2</v>
      </c>
      <c r="W2008" s="18">
        <v>0</v>
      </c>
      <c r="X2008" s="18">
        <v>0</v>
      </c>
      <c r="Y2008" s="12">
        <v>0</v>
      </c>
      <c r="Z2008" s="18">
        <v>0</v>
      </c>
      <c r="AA2008" s="18">
        <v>0</v>
      </c>
      <c r="AB2008" s="18">
        <v>0</v>
      </c>
      <c r="AC2008" s="18">
        <v>0</v>
      </c>
      <c r="AD2008" s="18">
        <v>0</v>
      </c>
      <c r="AE2008" s="18">
        <v>0</v>
      </c>
      <c r="AF2008" s="16">
        <v>99999</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v>90104002</v>
      </c>
      <c r="AU2008" s="18" t="s">
        <v>198</v>
      </c>
      <c r="AV2008" s="18"/>
      <c r="AW2008" s="19" t="s">
        <v>199</v>
      </c>
      <c r="AX2008" s="18" t="s">
        <v>348</v>
      </c>
      <c r="AY2008" s="18">
        <v>0</v>
      </c>
      <c r="AZ2008" s="18">
        <v>0</v>
      </c>
      <c r="BA2008" s="19" t="s">
        <v>200</v>
      </c>
      <c r="BB2008" s="19" t="s">
        <v>198</v>
      </c>
      <c r="BC2008" s="27">
        <v>0</v>
      </c>
      <c r="BD2008" s="27">
        <v>0</v>
      </c>
      <c r="BE2008" s="87" t="s">
        <v>675</v>
      </c>
      <c r="BF2008" s="87" t="s">
        <v>676</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73003307</v>
      </c>
      <c r="D2009" s="17" t="s">
        <v>4557</v>
      </c>
      <c r="E2009" s="17" t="s">
        <v>4558</v>
      </c>
      <c r="F2009" s="18">
        <v>1</v>
      </c>
      <c r="G2009" s="16">
        <v>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1</v>
      </c>
      <c r="Y2009" s="12">
        <v>0</v>
      </c>
      <c r="Z2009" s="16">
        <v>0</v>
      </c>
      <c r="AA2009" s="16">
        <v>1</v>
      </c>
      <c r="AB2009" s="16">
        <v>0</v>
      </c>
      <c r="AC2009" s="16">
        <v>0</v>
      </c>
      <c r="AD2009" s="16">
        <v>0</v>
      </c>
      <c r="AE2009" s="16">
        <v>0</v>
      </c>
      <c r="AF2009" s="16">
        <v>3</v>
      </c>
      <c r="AG2009" s="16">
        <v>1</v>
      </c>
      <c r="AH2009" s="16">
        <v>3</v>
      </c>
      <c r="AI2009" s="12">
        <v>0</v>
      </c>
      <c r="AJ2009" s="12">
        <v>0</v>
      </c>
      <c r="AK2009" s="12">
        <v>0</v>
      </c>
      <c r="AL2009" s="12">
        <v>1.5</v>
      </c>
      <c r="AM2009" s="16">
        <v>0</v>
      </c>
      <c r="AN2009" s="16">
        <v>0</v>
      </c>
      <c r="AO2009" s="16">
        <v>0</v>
      </c>
      <c r="AP2009" s="16">
        <v>1</v>
      </c>
      <c r="AQ2009" s="16">
        <v>1500</v>
      </c>
      <c r="AR2009" s="16">
        <v>0.5</v>
      </c>
      <c r="AS2009" s="16">
        <v>0</v>
      </c>
      <c r="AT2009" s="12">
        <v>0</v>
      </c>
      <c r="AU2009" s="16">
        <v>83000002</v>
      </c>
      <c r="AV2009" s="16"/>
      <c r="AW2009" s="19" t="s">
        <v>199</v>
      </c>
      <c r="AX2009" s="16" t="s">
        <v>534</v>
      </c>
      <c r="AY2009" s="18">
        <v>10000007</v>
      </c>
      <c r="AZ2009" s="18">
        <v>70105001</v>
      </c>
      <c r="BA2009" s="17" t="s">
        <v>200</v>
      </c>
      <c r="BB2009" s="16" t="s">
        <v>4375</v>
      </c>
      <c r="BC2009" s="27">
        <v>0</v>
      </c>
      <c r="BD2009" s="27">
        <v>0</v>
      </c>
      <c r="BE2009" s="44" t="s">
        <v>4376</v>
      </c>
      <c r="BF2009" s="44" t="s">
        <v>4377</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73003308</v>
      </c>
      <c r="D2010" s="17" t="s">
        <v>1324</v>
      </c>
      <c r="E2010" s="17" t="s">
        <v>1325</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213</v>
      </c>
      <c r="AI2010" s="12">
        <v>0</v>
      </c>
      <c r="AJ2010" s="12">
        <v>2</v>
      </c>
      <c r="AK2010" s="12">
        <v>0</v>
      </c>
      <c r="AL2010" s="12">
        <v>1.5</v>
      </c>
      <c r="AM2010" s="16">
        <v>0</v>
      </c>
      <c r="AN2010" s="16">
        <v>0</v>
      </c>
      <c r="AO2010" s="16">
        <v>0</v>
      </c>
      <c r="AP2010" s="16">
        <v>1.5</v>
      </c>
      <c r="AQ2010" s="16">
        <v>10000</v>
      </c>
      <c r="AR2010" s="16">
        <v>1</v>
      </c>
      <c r="AS2010" s="16">
        <v>5</v>
      </c>
      <c r="AT2010" s="12">
        <v>0</v>
      </c>
      <c r="AU2010" s="16" t="s">
        <v>198</v>
      </c>
      <c r="AV2010" s="16"/>
      <c r="AW2010" s="19" t="s">
        <v>617</v>
      </c>
      <c r="AX2010" s="16" t="s">
        <v>534</v>
      </c>
      <c r="AY2010" s="18">
        <v>10000007</v>
      </c>
      <c r="AZ2010" s="18">
        <v>70302003</v>
      </c>
      <c r="BA2010" s="19" t="s">
        <v>586</v>
      </c>
      <c r="BB2010" s="27" t="s">
        <v>4559</v>
      </c>
      <c r="BC2010" s="27">
        <v>0</v>
      </c>
      <c r="BD2010" s="27">
        <v>0</v>
      </c>
      <c r="BE2010" s="44" t="s">
        <v>1108</v>
      </c>
      <c r="BF2010" s="44" t="s">
        <v>1109</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73004101</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4560</v>
      </c>
      <c r="BF2011" s="87" t="s">
        <v>4561</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73004102</v>
      </c>
      <c r="D2012" s="17" t="s">
        <v>600</v>
      </c>
      <c r="E2012" s="17" t="s">
        <v>601</v>
      </c>
      <c r="F2012" s="18">
        <v>1</v>
      </c>
      <c r="G2012" s="16">
        <v>60010300</v>
      </c>
      <c r="H2012" s="18">
        <v>0</v>
      </c>
      <c r="I2012" s="27">
        <v>0</v>
      </c>
      <c r="J2012" s="18">
        <v>1</v>
      </c>
      <c r="K2012" s="18">
        <v>0</v>
      </c>
      <c r="L2012" s="18">
        <v>0</v>
      </c>
      <c r="M2012" s="16">
        <v>0</v>
      </c>
      <c r="N2012" s="16">
        <v>0</v>
      </c>
      <c r="O2012" s="60">
        <v>2</v>
      </c>
      <c r="P2012" s="16">
        <v>2</v>
      </c>
      <c r="Q2012" s="16">
        <v>0.9</v>
      </c>
      <c r="R2012" s="16">
        <v>0</v>
      </c>
      <c r="S2012" s="12">
        <v>0</v>
      </c>
      <c r="T2012" s="16">
        <v>0</v>
      </c>
      <c r="U2012" s="16">
        <v>1</v>
      </c>
      <c r="V2012" s="16">
        <v>2</v>
      </c>
      <c r="W2012" s="16">
        <v>0</v>
      </c>
      <c r="X2012" s="16">
        <v>0</v>
      </c>
      <c r="Y2012" s="12">
        <v>0</v>
      </c>
      <c r="Z2012" s="16">
        <v>0</v>
      </c>
      <c r="AA2012" s="16">
        <v>0</v>
      </c>
      <c r="AB2012" s="16">
        <v>0</v>
      </c>
      <c r="AC2012" s="16">
        <v>0</v>
      </c>
      <c r="AD2012" s="16">
        <v>0</v>
      </c>
      <c r="AE2012" s="16">
        <v>0</v>
      </c>
      <c r="AF2012" s="16">
        <v>30</v>
      </c>
      <c r="AG2012" s="16">
        <v>0</v>
      </c>
      <c r="AH2012" s="16">
        <v>0</v>
      </c>
      <c r="AI2012" s="12">
        <v>2</v>
      </c>
      <c r="AJ2012" s="12">
        <v>2</v>
      </c>
      <c r="AK2012" s="12">
        <v>0</v>
      </c>
      <c r="AL2012" s="12">
        <v>1.5</v>
      </c>
      <c r="AM2012" s="16">
        <v>0</v>
      </c>
      <c r="AN2012" s="16">
        <v>0</v>
      </c>
      <c r="AO2012" s="16">
        <v>0</v>
      </c>
      <c r="AP2012" s="16">
        <v>1</v>
      </c>
      <c r="AQ2012" s="16">
        <v>3000</v>
      </c>
      <c r="AR2012" s="16">
        <v>0.5</v>
      </c>
      <c r="AS2012" s="16">
        <v>0</v>
      </c>
      <c r="AT2012" s="12">
        <v>0</v>
      </c>
      <c r="AU2012" s="16" t="s">
        <v>198</v>
      </c>
      <c r="AV2012" s="16"/>
      <c r="AW2012" s="19" t="s">
        <v>199</v>
      </c>
      <c r="AX2012" s="16" t="s">
        <v>545</v>
      </c>
      <c r="AY2012" s="18">
        <v>0</v>
      </c>
      <c r="AZ2012" s="18">
        <v>0</v>
      </c>
      <c r="BA2012" s="17" t="s">
        <v>528</v>
      </c>
      <c r="BB2012" s="16" t="s">
        <v>4562</v>
      </c>
      <c r="BC2012" s="27">
        <v>0</v>
      </c>
      <c r="BD2012" s="27">
        <v>0</v>
      </c>
      <c r="BE2012" s="44" t="s">
        <v>4563</v>
      </c>
      <c r="BF2012" s="44" t="s">
        <v>4564</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18">
        <v>73004103</v>
      </c>
      <c r="D2013" s="17" t="s">
        <v>1324</v>
      </c>
      <c r="E2013" s="17" t="s">
        <v>1325</v>
      </c>
      <c r="F2013" s="18">
        <v>1</v>
      </c>
      <c r="G2013" s="16">
        <v>60010100</v>
      </c>
      <c r="H2013" s="18">
        <v>0</v>
      </c>
      <c r="I2013" s="27">
        <v>0</v>
      </c>
      <c r="J2013" s="18">
        <v>1</v>
      </c>
      <c r="K2013" s="18">
        <v>0</v>
      </c>
      <c r="L2013" s="18">
        <v>0</v>
      </c>
      <c r="M2013" s="16">
        <v>0</v>
      </c>
      <c r="N2013" s="16">
        <v>0</v>
      </c>
      <c r="O2013" s="60">
        <v>2</v>
      </c>
      <c r="P2013" s="16">
        <v>1</v>
      </c>
      <c r="Q2013" s="16">
        <v>1</v>
      </c>
      <c r="R2013" s="16">
        <v>0</v>
      </c>
      <c r="S2013" s="12">
        <v>0</v>
      </c>
      <c r="T2013" s="16">
        <v>0</v>
      </c>
      <c r="U2013" s="16">
        <v>1</v>
      </c>
      <c r="V2013" s="16">
        <v>2</v>
      </c>
      <c r="W2013" s="16">
        <v>0</v>
      </c>
      <c r="X2013" s="16">
        <v>2</v>
      </c>
      <c r="Y2013" s="12">
        <v>0</v>
      </c>
      <c r="Z2013" s="16">
        <v>0</v>
      </c>
      <c r="AA2013" s="16">
        <v>1</v>
      </c>
      <c r="AB2013" s="16">
        <v>0</v>
      </c>
      <c r="AC2013" s="16">
        <v>0</v>
      </c>
      <c r="AD2013" s="16">
        <v>0</v>
      </c>
      <c r="AE2013" s="16">
        <v>0</v>
      </c>
      <c r="AF2013" s="16">
        <v>10</v>
      </c>
      <c r="AG2013" s="16">
        <v>2</v>
      </c>
      <c r="AH2013" s="16" t="s">
        <v>213</v>
      </c>
      <c r="AI2013" s="12">
        <v>0</v>
      </c>
      <c r="AJ2013" s="12">
        <v>2</v>
      </c>
      <c r="AK2013" s="12">
        <v>0</v>
      </c>
      <c r="AL2013" s="12">
        <v>1.5</v>
      </c>
      <c r="AM2013" s="16">
        <v>0</v>
      </c>
      <c r="AN2013" s="16">
        <v>0</v>
      </c>
      <c r="AO2013" s="16">
        <v>0</v>
      </c>
      <c r="AP2013" s="16">
        <v>1.5</v>
      </c>
      <c r="AQ2013" s="16">
        <v>10000</v>
      </c>
      <c r="AR2013" s="16">
        <v>1</v>
      </c>
      <c r="AS2013" s="16">
        <v>5</v>
      </c>
      <c r="AT2013" s="12">
        <v>0</v>
      </c>
      <c r="AU2013" s="16" t="s">
        <v>198</v>
      </c>
      <c r="AV2013" s="16"/>
      <c r="AW2013" s="19" t="s">
        <v>617</v>
      </c>
      <c r="AX2013" s="16" t="s">
        <v>534</v>
      </c>
      <c r="AY2013" s="18">
        <v>10000007</v>
      </c>
      <c r="AZ2013" s="18">
        <v>70302003</v>
      </c>
      <c r="BA2013" s="19" t="s">
        <v>586</v>
      </c>
      <c r="BB2013" s="27">
        <v>0</v>
      </c>
      <c r="BC2013" s="27">
        <v>0</v>
      </c>
      <c r="BD2013" s="27">
        <v>0</v>
      </c>
      <c r="BE2013" s="44" t="s">
        <v>1108</v>
      </c>
      <c r="BF2013" s="44" t="s">
        <v>1109</v>
      </c>
      <c r="BG2013" s="16">
        <v>1</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73004201</v>
      </c>
      <c r="D2014" s="17" t="s">
        <v>665</v>
      </c>
      <c r="E2014" s="17" t="s">
        <v>606</v>
      </c>
      <c r="F2014" s="16">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3</v>
      </c>
      <c r="Y2014" s="12">
        <v>0</v>
      </c>
      <c r="Z2014" s="16">
        <v>0</v>
      </c>
      <c r="AA2014" s="16">
        <v>0</v>
      </c>
      <c r="AB2014" s="16">
        <v>0</v>
      </c>
      <c r="AC2014" s="16">
        <v>0</v>
      </c>
      <c r="AD2014" s="16">
        <v>0</v>
      </c>
      <c r="AE2014" s="16">
        <v>0</v>
      </c>
      <c r="AF2014" s="16">
        <v>12</v>
      </c>
      <c r="AG2014" s="16">
        <v>1</v>
      </c>
      <c r="AH2014" s="16">
        <v>3</v>
      </c>
      <c r="AI2014" s="12">
        <v>6</v>
      </c>
      <c r="AJ2014" s="12">
        <v>1</v>
      </c>
      <c r="AK2014" s="12">
        <v>0</v>
      </c>
      <c r="AL2014" s="12">
        <v>1.5</v>
      </c>
      <c r="AM2014" s="16">
        <v>0</v>
      </c>
      <c r="AN2014" s="16">
        <v>0</v>
      </c>
      <c r="AO2014" s="16">
        <v>0</v>
      </c>
      <c r="AP2014" s="16">
        <v>3</v>
      </c>
      <c r="AQ2014" s="16">
        <v>5000</v>
      </c>
      <c r="AR2014" s="16">
        <v>3</v>
      </c>
      <c r="AS2014" s="16">
        <v>0</v>
      </c>
      <c r="AT2014" s="12">
        <v>0</v>
      </c>
      <c r="AU2014" s="16" t="s">
        <v>198</v>
      </c>
      <c r="AV2014" s="16"/>
      <c r="AW2014" s="19" t="s">
        <v>256</v>
      </c>
      <c r="AX2014" s="16" t="s">
        <v>534</v>
      </c>
      <c r="AY2014" s="18">
        <v>10000007</v>
      </c>
      <c r="AZ2014" s="18">
        <v>70103003</v>
      </c>
      <c r="BA2014" s="17" t="s">
        <v>200</v>
      </c>
      <c r="BB2014" s="16" t="s">
        <v>4565</v>
      </c>
      <c r="BC2014" s="27">
        <v>0</v>
      </c>
      <c r="BD2014" s="27">
        <v>0</v>
      </c>
      <c r="BE2014" s="44" t="s">
        <v>667</v>
      </c>
      <c r="BF2014" s="44" t="s">
        <v>668</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73004202</v>
      </c>
      <c r="D2015" s="17" t="s">
        <v>744</v>
      </c>
      <c r="E2015" s="17" t="s">
        <v>745</v>
      </c>
      <c r="F2015" s="18">
        <v>1</v>
      </c>
      <c r="G2015" s="18">
        <v>60010500</v>
      </c>
      <c r="H2015" s="18">
        <v>0</v>
      </c>
      <c r="I2015" s="27">
        <v>0</v>
      </c>
      <c r="J2015" s="18">
        <v>1</v>
      </c>
      <c r="K2015" s="18">
        <v>0</v>
      </c>
      <c r="L2015" s="18">
        <v>0</v>
      </c>
      <c r="M2015" s="18">
        <v>0</v>
      </c>
      <c r="N2015" s="18">
        <v>0</v>
      </c>
      <c r="O2015" s="60">
        <v>2</v>
      </c>
      <c r="P2015" s="18">
        <v>2</v>
      </c>
      <c r="Q2015" s="18">
        <v>0.95</v>
      </c>
      <c r="R2015" s="18">
        <v>0</v>
      </c>
      <c r="S2015" s="12">
        <v>0</v>
      </c>
      <c r="T2015" s="27">
        <v>0</v>
      </c>
      <c r="U2015" s="16">
        <v>1</v>
      </c>
      <c r="V2015" s="18">
        <v>1</v>
      </c>
      <c r="W2015" s="18">
        <v>0</v>
      </c>
      <c r="X2015" s="18">
        <v>3</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18">
        <v>0</v>
      </c>
      <c r="AV2015" s="18"/>
      <c r="AW2015" s="19" t="s">
        <v>741</v>
      </c>
      <c r="AX2015" s="18">
        <v>0</v>
      </c>
      <c r="AY2015" s="18">
        <v>10007001</v>
      </c>
      <c r="AZ2015" s="18">
        <v>0</v>
      </c>
      <c r="BA2015" s="19" t="s">
        <v>200</v>
      </c>
      <c r="BB2015" s="19" t="s">
        <v>198</v>
      </c>
      <c r="BC2015" s="27">
        <v>0</v>
      </c>
      <c r="BD2015" s="27">
        <v>0</v>
      </c>
      <c r="BE2015" s="87" t="s">
        <v>4560</v>
      </c>
      <c r="BF2015" s="87" t="s">
        <v>4561</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19.5" customHeight="1">
      <c r="C2016" s="18">
        <v>73004203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4457</v>
      </c>
      <c r="BF2016" s="44" t="s">
        <v>4458</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19.5" customHeight="1">
      <c r="C2017" s="18">
        <v>73004204</v>
      </c>
      <c r="D2017" s="17" t="s">
        <v>1124</v>
      </c>
      <c r="E2017" s="17" t="s">
        <v>1125</v>
      </c>
      <c r="F2017" s="18">
        <v>1</v>
      </c>
      <c r="G2017" s="16">
        <v>60010100</v>
      </c>
      <c r="H2017" s="18">
        <v>0</v>
      </c>
      <c r="I2017" s="27">
        <v>0</v>
      </c>
      <c r="J2017" s="18">
        <v>1</v>
      </c>
      <c r="K2017" s="18">
        <v>0</v>
      </c>
      <c r="L2017" s="18">
        <v>0</v>
      </c>
      <c r="M2017" s="16">
        <v>0</v>
      </c>
      <c r="N2017" s="16">
        <v>0</v>
      </c>
      <c r="O2017" s="60">
        <v>2</v>
      </c>
      <c r="P2017" s="16">
        <v>1</v>
      </c>
      <c r="Q2017" s="16">
        <v>0.3</v>
      </c>
      <c r="R2017" s="16">
        <v>0</v>
      </c>
      <c r="S2017" s="12">
        <v>101</v>
      </c>
      <c r="T2017" s="16">
        <v>0</v>
      </c>
      <c r="U2017" s="16">
        <v>1</v>
      </c>
      <c r="V2017" s="16">
        <v>2</v>
      </c>
      <c r="W2017" s="16">
        <v>0</v>
      </c>
      <c r="X2017" s="16">
        <v>1</v>
      </c>
      <c r="Y2017" s="12">
        <v>0</v>
      </c>
      <c r="Z2017" s="16">
        <v>0</v>
      </c>
      <c r="AA2017" s="16">
        <v>1</v>
      </c>
      <c r="AB2017" s="16">
        <v>0</v>
      </c>
      <c r="AC2017" s="16">
        <v>0</v>
      </c>
      <c r="AD2017" s="16">
        <v>0</v>
      </c>
      <c r="AE2017" s="16">
        <v>0</v>
      </c>
      <c r="AF2017" s="16">
        <v>30</v>
      </c>
      <c r="AG2017" s="16">
        <v>1</v>
      </c>
      <c r="AH2017" s="16" t="s">
        <v>861</v>
      </c>
      <c r="AI2017" s="12">
        <v>0</v>
      </c>
      <c r="AJ2017" s="12">
        <v>0</v>
      </c>
      <c r="AK2017" s="12">
        <v>0</v>
      </c>
      <c r="AL2017" s="12">
        <v>0</v>
      </c>
      <c r="AM2017" s="16">
        <v>0</v>
      </c>
      <c r="AN2017" s="16">
        <v>0</v>
      </c>
      <c r="AO2017" s="16">
        <v>0</v>
      </c>
      <c r="AP2017" s="16">
        <v>0.5</v>
      </c>
      <c r="AQ2017" s="16">
        <v>999999</v>
      </c>
      <c r="AR2017" s="16">
        <v>0.5</v>
      </c>
      <c r="AS2017" s="16">
        <v>0</v>
      </c>
      <c r="AT2017" s="12">
        <v>0</v>
      </c>
      <c r="AU2017" s="341" t="s">
        <v>1019</v>
      </c>
      <c r="AV2017" s="12"/>
      <c r="AW2017" s="19" t="s">
        <v>287</v>
      </c>
      <c r="AX2017" s="16" t="s">
        <v>534</v>
      </c>
      <c r="AY2017" s="18">
        <v>10000007</v>
      </c>
      <c r="AZ2017" s="18">
        <v>70202004</v>
      </c>
      <c r="BA2017" s="19" t="s">
        <v>315</v>
      </c>
      <c r="BB2017" s="19" t="s">
        <v>371</v>
      </c>
      <c r="BC2017" s="27">
        <v>0</v>
      </c>
      <c r="BD2017" s="27">
        <v>0</v>
      </c>
      <c r="BE2017" s="44" t="s">
        <v>4537</v>
      </c>
      <c r="BF2017" s="44" t="s">
        <v>4538</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73004301</v>
      </c>
      <c r="D2018" s="17" t="s">
        <v>4566</v>
      </c>
      <c r="E2018" s="17" t="s">
        <v>4567</v>
      </c>
      <c r="F2018" s="18">
        <v>1</v>
      </c>
      <c r="G2018" s="16">
        <v>60010100</v>
      </c>
      <c r="H2018" s="18">
        <v>0</v>
      </c>
      <c r="I2018" s="27">
        <v>0</v>
      </c>
      <c r="J2018" s="18">
        <v>1</v>
      </c>
      <c r="K2018" s="18">
        <v>0</v>
      </c>
      <c r="L2018" s="18">
        <v>0</v>
      </c>
      <c r="M2018" s="16">
        <v>0</v>
      </c>
      <c r="N2018" s="16">
        <v>0</v>
      </c>
      <c r="O2018" s="60">
        <v>2</v>
      </c>
      <c r="P2018" s="16">
        <v>1</v>
      </c>
      <c r="Q2018" s="16">
        <v>1</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10</v>
      </c>
      <c r="AG2018" s="16">
        <v>2</v>
      </c>
      <c r="AH2018" s="16" t="s">
        <v>213</v>
      </c>
      <c r="AI2018" s="12">
        <v>0</v>
      </c>
      <c r="AJ2018" s="12">
        <v>2</v>
      </c>
      <c r="AK2018" s="12">
        <v>0</v>
      </c>
      <c r="AL2018" s="12">
        <v>1.5</v>
      </c>
      <c r="AM2018" s="16">
        <v>0</v>
      </c>
      <c r="AN2018" s="16">
        <v>0</v>
      </c>
      <c r="AO2018" s="16">
        <v>0</v>
      </c>
      <c r="AP2018" s="16">
        <v>1.5</v>
      </c>
      <c r="AQ2018" s="16">
        <v>10000</v>
      </c>
      <c r="AR2018" s="16">
        <v>1</v>
      </c>
      <c r="AS2018" s="16">
        <v>5</v>
      </c>
      <c r="AT2018" s="12">
        <v>0</v>
      </c>
      <c r="AU2018" s="16" t="s">
        <v>198</v>
      </c>
      <c r="AV2018" s="16"/>
      <c r="AW2018" s="19" t="s">
        <v>617</v>
      </c>
      <c r="AX2018" s="16" t="s">
        <v>534</v>
      </c>
      <c r="AY2018" s="18">
        <v>10000007</v>
      </c>
      <c r="AZ2018" s="18">
        <v>70302003</v>
      </c>
      <c r="BA2018" s="19" t="s">
        <v>586</v>
      </c>
      <c r="BB2018" s="27">
        <v>0</v>
      </c>
      <c r="BC2018" s="27">
        <v>0</v>
      </c>
      <c r="BD2018" s="27">
        <v>0</v>
      </c>
      <c r="BE2018" s="44" t="s">
        <v>1108</v>
      </c>
      <c r="BF2018" s="44" t="s">
        <v>1109</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73004302</v>
      </c>
      <c r="D2019" s="17" t="s">
        <v>4566</v>
      </c>
      <c r="E2019" s="17" t="s">
        <v>4567</v>
      </c>
      <c r="F2019" s="18">
        <v>1</v>
      </c>
      <c r="G2019" s="16">
        <v>60010100</v>
      </c>
      <c r="H2019" s="18">
        <v>0</v>
      </c>
      <c r="I2019" s="27">
        <v>0</v>
      </c>
      <c r="J2019" s="18">
        <v>1</v>
      </c>
      <c r="K2019" s="18">
        <v>0</v>
      </c>
      <c r="L2019" s="18">
        <v>0</v>
      </c>
      <c r="M2019" s="16">
        <v>0</v>
      </c>
      <c r="N2019" s="16">
        <v>0</v>
      </c>
      <c r="O2019" s="60">
        <v>2</v>
      </c>
      <c r="P2019" s="16">
        <v>1</v>
      </c>
      <c r="Q2019" s="16">
        <v>1</v>
      </c>
      <c r="R2019" s="16">
        <v>0</v>
      </c>
      <c r="S2019" s="12">
        <v>0</v>
      </c>
      <c r="T2019" s="16">
        <v>0</v>
      </c>
      <c r="U2019" s="16">
        <v>1</v>
      </c>
      <c r="V2019" s="16">
        <v>2</v>
      </c>
      <c r="W2019" s="16">
        <v>0</v>
      </c>
      <c r="X2019" s="16">
        <v>2</v>
      </c>
      <c r="Y2019" s="12">
        <v>0</v>
      </c>
      <c r="Z2019" s="16">
        <v>0</v>
      </c>
      <c r="AA2019" s="16">
        <v>1</v>
      </c>
      <c r="AB2019" s="16">
        <v>0</v>
      </c>
      <c r="AC2019" s="16">
        <v>0</v>
      </c>
      <c r="AD2019" s="16">
        <v>0</v>
      </c>
      <c r="AE2019" s="16">
        <v>0</v>
      </c>
      <c r="AF2019" s="16">
        <v>10</v>
      </c>
      <c r="AG2019" s="16">
        <v>2</v>
      </c>
      <c r="AH2019" s="16" t="s">
        <v>213</v>
      </c>
      <c r="AI2019" s="12">
        <v>0</v>
      </c>
      <c r="AJ2019" s="12">
        <v>2</v>
      </c>
      <c r="AK2019" s="12">
        <v>0</v>
      </c>
      <c r="AL2019" s="12">
        <v>1.5</v>
      </c>
      <c r="AM2019" s="16">
        <v>0</v>
      </c>
      <c r="AN2019" s="16">
        <v>0</v>
      </c>
      <c r="AO2019" s="16">
        <v>0</v>
      </c>
      <c r="AP2019" s="16">
        <v>1.5</v>
      </c>
      <c r="AQ2019" s="16">
        <v>10000</v>
      </c>
      <c r="AR2019" s="16">
        <v>1</v>
      </c>
      <c r="AS2019" s="16">
        <v>5</v>
      </c>
      <c r="AT2019" s="12">
        <v>0</v>
      </c>
      <c r="AU2019" s="16" t="s">
        <v>198</v>
      </c>
      <c r="AV2019" s="16"/>
      <c r="AW2019" s="19" t="s">
        <v>617</v>
      </c>
      <c r="AX2019" s="16" t="s">
        <v>534</v>
      </c>
      <c r="AY2019" s="18">
        <v>10000007</v>
      </c>
      <c r="AZ2019" s="18">
        <v>70302003</v>
      </c>
      <c r="BA2019" s="19" t="s">
        <v>586</v>
      </c>
      <c r="BB2019" s="27" t="s">
        <v>4568</v>
      </c>
      <c r="BC2019" s="27">
        <v>0</v>
      </c>
      <c r="BD2019" s="27">
        <v>0</v>
      </c>
      <c r="BE2019" s="44" t="s">
        <v>1108</v>
      </c>
      <c r="BF2019" s="44" t="s">
        <v>1109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19.5" customHeight="1">
      <c r="C2020" s="18">
        <v>73004303</v>
      </c>
      <c r="D2020" s="17" t="s">
        <v>1091</v>
      </c>
      <c r="E2020" s="17" t="s">
        <v>1092</v>
      </c>
      <c r="F2020" s="18">
        <v>1</v>
      </c>
      <c r="G2020" s="16">
        <v>60010100</v>
      </c>
      <c r="H2020" s="18">
        <v>0</v>
      </c>
      <c r="I2020" s="27">
        <v>0</v>
      </c>
      <c r="J2020" s="18">
        <v>1</v>
      </c>
      <c r="K2020" s="18">
        <v>0</v>
      </c>
      <c r="L2020" s="18">
        <v>0</v>
      </c>
      <c r="M2020" s="16">
        <v>0</v>
      </c>
      <c r="N2020" s="16">
        <v>0</v>
      </c>
      <c r="O2020" s="60">
        <v>2</v>
      </c>
      <c r="P2020" s="16">
        <v>2</v>
      </c>
      <c r="Q2020" s="16">
        <v>0.9</v>
      </c>
      <c r="R2020" s="16">
        <v>0</v>
      </c>
      <c r="S2020" s="12">
        <v>101</v>
      </c>
      <c r="T2020" s="16">
        <v>0</v>
      </c>
      <c r="U2020" s="16">
        <v>1</v>
      </c>
      <c r="V2020" s="16">
        <v>2</v>
      </c>
      <c r="W2020" s="16">
        <v>0</v>
      </c>
      <c r="X2020" s="16">
        <v>3</v>
      </c>
      <c r="Y2020" s="12">
        <v>0</v>
      </c>
      <c r="Z2020" s="16">
        <v>0</v>
      </c>
      <c r="AA2020" s="16">
        <v>1</v>
      </c>
      <c r="AB2020" s="16">
        <v>0</v>
      </c>
      <c r="AC2020" s="16">
        <v>0</v>
      </c>
      <c r="AD2020" s="16">
        <v>0</v>
      </c>
      <c r="AE2020" s="16">
        <v>0</v>
      </c>
      <c r="AF2020" s="16">
        <v>15</v>
      </c>
      <c r="AG2020" s="16">
        <v>1</v>
      </c>
      <c r="AH2020" s="16" t="s">
        <v>607</v>
      </c>
      <c r="AI2020" s="12">
        <v>1</v>
      </c>
      <c r="AJ2020" s="12">
        <v>1</v>
      </c>
      <c r="AK2020" s="12">
        <v>0</v>
      </c>
      <c r="AL2020" s="12">
        <v>3</v>
      </c>
      <c r="AM2020" s="16">
        <v>0</v>
      </c>
      <c r="AN2020" s="16">
        <v>0</v>
      </c>
      <c r="AO2020" s="16">
        <v>0</v>
      </c>
      <c r="AP2020" s="16">
        <v>3</v>
      </c>
      <c r="AQ2020" s="16">
        <v>5000</v>
      </c>
      <c r="AR2020" s="16">
        <v>2.5</v>
      </c>
      <c r="AS2020" s="16">
        <v>0</v>
      </c>
      <c r="AT2020" s="12">
        <v>0</v>
      </c>
      <c r="AU2020" s="16" t="s">
        <v>659</v>
      </c>
      <c r="AV2020" s="16"/>
      <c r="AW2020" s="19" t="s">
        <v>256</v>
      </c>
      <c r="AX2020" s="16" t="s">
        <v>534</v>
      </c>
      <c r="AY2020" s="18">
        <v>10000007</v>
      </c>
      <c r="AZ2020" s="18">
        <v>70403003</v>
      </c>
      <c r="BA2020" s="17" t="s">
        <v>200</v>
      </c>
      <c r="BB2020" s="16">
        <v>0</v>
      </c>
      <c r="BC2020" s="27">
        <v>0</v>
      </c>
      <c r="BD2020" s="27">
        <v>0</v>
      </c>
      <c r="BE2020" s="44" t="s">
        <v>4457</v>
      </c>
      <c r="BF2020" s="44" t="s">
        <v>4458</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73004304</v>
      </c>
      <c r="D2021" s="19" t="s">
        <v>673</v>
      </c>
      <c r="E2021" s="19" t="s">
        <v>674</v>
      </c>
      <c r="F2021" s="18">
        <v>1</v>
      </c>
      <c r="G2021" s="18">
        <v>60010500</v>
      </c>
      <c r="H2021" s="18">
        <v>0</v>
      </c>
      <c r="I2021" s="27">
        <v>0</v>
      </c>
      <c r="J2021" s="18">
        <v>1</v>
      </c>
      <c r="K2021" s="18">
        <v>0</v>
      </c>
      <c r="L2021" s="18">
        <v>0</v>
      </c>
      <c r="M2021" s="18">
        <v>0</v>
      </c>
      <c r="N2021" s="18">
        <v>0</v>
      </c>
      <c r="O2021" s="60">
        <v>2</v>
      </c>
      <c r="P2021" s="18">
        <v>2</v>
      </c>
      <c r="Q2021" s="18">
        <v>0.6</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6">
        <v>99999</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90104002</v>
      </c>
      <c r="AU2021" s="18" t="s">
        <v>198</v>
      </c>
      <c r="AV2021" s="18"/>
      <c r="AW2021" s="19" t="s">
        <v>199</v>
      </c>
      <c r="AX2021" s="18" t="s">
        <v>348</v>
      </c>
      <c r="AY2021" s="18">
        <v>0</v>
      </c>
      <c r="AZ2021" s="18">
        <v>0</v>
      </c>
      <c r="BA2021" s="19" t="s">
        <v>200</v>
      </c>
      <c r="BB2021" s="19" t="s">
        <v>198</v>
      </c>
      <c r="BC2021" s="27">
        <v>0</v>
      </c>
      <c r="BD2021" s="27">
        <v>0</v>
      </c>
      <c r="BE2021" s="87" t="s">
        <v>675</v>
      </c>
      <c r="BF2021" s="87" t="s">
        <v>676</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spans="3:75" ht="20.100000000000001" customHeight="1">
      <c r="C2022" s="18">
        <v>73004305</v>
      </c>
      <c r="D2022" s="19" t="s">
        <v>4547</v>
      </c>
      <c r="E2022" s="19" t="s">
        <v>4548</v>
      </c>
      <c r="F2022" s="18">
        <v>1</v>
      </c>
      <c r="G2022" s="18">
        <v>60010500</v>
      </c>
      <c r="H2022" s="18">
        <v>0</v>
      </c>
      <c r="I2022" s="27">
        <v>0</v>
      </c>
      <c r="J2022" s="18">
        <v>1</v>
      </c>
      <c r="K2022" s="18">
        <v>0</v>
      </c>
      <c r="L2022" s="18">
        <v>0</v>
      </c>
      <c r="M2022" s="18">
        <v>0</v>
      </c>
      <c r="N2022" s="18">
        <v>0</v>
      </c>
      <c r="O2022" s="60">
        <v>2</v>
      </c>
      <c r="P2022" s="18">
        <v>2</v>
      </c>
      <c r="Q2022" s="18">
        <v>0.95</v>
      </c>
      <c r="R2022" s="18">
        <v>0</v>
      </c>
      <c r="S2022" s="12">
        <v>101</v>
      </c>
      <c r="T2022" s="27">
        <v>0</v>
      </c>
      <c r="U2022" s="16">
        <v>1</v>
      </c>
      <c r="V2022" s="18">
        <v>2</v>
      </c>
      <c r="W2022" s="18">
        <v>0</v>
      </c>
      <c r="X2022" s="18">
        <v>0</v>
      </c>
      <c r="Y2022" s="12">
        <v>0</v>
      </c>
      <c r="Z2022" s="18">
        <v>0</v>
      </c>
      <c r="AA2022" s="18">
        <v>0</v>
      </c>
      <c r="AB2022" s="18">
        <v>0</v>
      </c>
      <c r="AC2022" s="18">
        <v>0</v>
      </c>
      <c r="AD2022" s="16">
        <v>0</v>
      </c>
      <c r="AE2022" s="18">
        <v>0</v>
      </c>
      <c r="AF2022" s="18">
        <v>10</v>
      </c>
      <c r="AG2022" s="18">
        <v>0</v>
      </c>
      <c r="AH2022" s="18">
        <v>0</v>
      </c>
      <c r="AI2022" s="12">
        <v>7</v>
      </c>
      <c r="AJ2022" s="12">
        <v>0</v>
      </c>
      <c r="AK2022" s="12">
        <v>0</v>
      </c>
      <c r="AL2022" s="12">
        <v>0</v>
      </c>
      <c r="AM2022" s="18">
        <v>0</v>
      </c>
      <c r="AN2022" s="18">
        <v>0</v>
      </c>
      <c r="AO2022" s="18">
        <v>0</v>
      </c>
      <c r="AP2022" s="18">
        <v>0</v>
      </c>
      <c r="AQ2022" s="18">
        <v>1000</v>
      </c>
      <c r="AR2022" s="18">
        <v>0.5</v>
      </c>
      <c r="AS2022" s="18">
        <v>0</v>
      </c>
      <c r="AT2022" s="12">
        <v>0</v>
      </c>
      <c r="AU2022" s="349" t="s">
        <v>4569</v>
      </c>
      <c r="AV2022" s="18"/>
      <c r="AW2022" s="19" t="s">
        <v>741</v>
      </c>
      <c r="AX2022" s="18">
        <v>0</v>
      </c>
      <c r="AY2022" s="18">
        <v>10007001</v>
      </c>
      <c r="AZ2022" s="18">
        <v>0</v>
      </c>
      <c r="BA2022" s="19" t="s">
        <v>200</v>
      </c>
      <c r="BB2022" s="19" t="s">
        <v>198</v>
      </c>
      <c r="BC2022" s="27">
        <v>0</v>
      </c>
      <c r="BD2022" s="27">
        <v>0</v>
      </c>
      <c r="BE2022" s="87" t="s">
        <v>4549</v>
      </c>
      <c r="BF2022" s="87" t="s">
        <v>4550</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73004306</v>
      </c>
      <c r="D2023" s="17" t="s">
        <v>600</v>
      </c>
      <c r="E2023" s="17" t="s">
        <v>601</v>
      </c>
      <c r="F2023" s="18">
        <v>1</v>
      </c>
      <c r="G2023" s="16">
        <v>60010300</v>
      </c>
      <c r="H2023" s="18">
        <v>0</v>
      </c>
      <c r="I2023" s="27">
        <v>0</v>
      </c>
      <c r="J2023" s="18">
        <v>1</v>
      </c>
      <c r="K2023" s="18">
        <v>0</v>
      </c>
      <c r="L2023" s="18">
        <v>0</v>
      </c>
      <c r="M2023" s="16">
        <v>0</v>
      </c>
      <c r="N2023" s="16">
        <v>0</v>
      </c>
      <c r="O2023" s="60">
        <v>2</v>
      </c>
      <c r="P2023" s="16">
        <v>2</v>
      </c>
      <c r="Q2023" s="16">
        <v>0.9</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30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198</v>
      </c>
      <c r="AV2023" s="16"/>
      <c r="AW2023" s="19" t="s">
        <v>199</v>
      </c>
      <c r="AX2023" s="16" t="s">
        <v>545</v>
      </c>
      <c r="AY2023" s="18">
        <v>0</v>
      </c>
      <c r="AZ2023" s="18">
        <v>0</v>
      </c>
      <c r="BA2023" s="17" t="s">
        <v>528</v>
      </c>
      <c r="BB2023" s="16" t="s">
        <v>4562</v>
      </c>
      <c r="BC2023" s="27">
        <v>0</v>
      </c>
      <c r="BD2023" s="27">
        <v>0</v>
      </c>
      <c r="BE2023" s="44" t="s">
        <v>4563</v>
      </c>
      <c r="BF2023" s="44" t="s">
        <v>4564</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64">
        <v>74001001</v>
      </c>
      <c r="D2024" s="59" t="s">
        <v>760</v>
      </c>
      <c r="E2024" s="59" t="s">
        <v>761</v>
      </c>
      <c r="F2024" s="60">
        <v>2</v>
      </c>
      <c r="G2024" s="60">
        <v>61012301</v>
      </c>
      <c r="H2024" s="60">
        <v>0</v>
      </c>
      <c r="I2024" s="66">
        <v>0</v>
      </c>
      <c r="J2024" s="64">
        <v>1</v>
      </c>
      <c r="K2024" s="64">
        <v>0</v>
      </c>
      <c r="L2024" s="64">
        <v>0</v>
      </c>
      <c r="M2024" s="60">
        <v>0</v>
      </c>
      <c r="N2024" s="60">
        <v>0</v>
      </c>
      <c r="O2024" s="60">
        <v>1</v>
      </c>
      <c r="P2024" s="60">
        <v>1</v>
      </c>
      <c r="Q2024" s="60">
        <v>0.5</v>
      </c>
      <c r="R2024" s="60">
        <v>0</v>
      </c>
      <c r="S2024" s="68">
        <v>1</v>
      </c>
      <c r="T2024" s="60">
        <v>0</v>
      </c>
      <c r="U2024" s="60">
        <v>1</v>
      </c>
      <c r="V2024" s="60">
        <v>2</v>
      </c>
      <c r="W2024" s="60">
        <v>0</v>
      </c>
      <c r="X2024" s="60">
        <v>1.4</v>
      </c>
      <c r="Y2024" s="12">
        <v>0</v>
      </c>
      <c r="Z2024" s="60">
        <v>150</v>
      </c>
      <c r="AA2024" s="60">
        <v>1</v>
      </c>
      <c r="AB2024" s="60">
        <v>0</v>
      </c>
      <c r="AC2024" s="60">
        <v>0</v>
      </c>
      <c r="AD2024" s="60">
        <v>0</v>
      </c>
      <c r="AE2024" s="60">
        <v>0</v>
      </c>
      <c r="AF2024" s="60">
        <v>12</v>
      </c>
      <c r="AG2024" s="60">
        <v>2</v>
      </c>
      <c r="AH2024" s="60" t="s">
        <v>213</v>
      </c>
      <c r="AI2024" s="68">
        <v>7</v>
      </c>
      <c r="AJ2024" s="68">
        <v>2</v>
      </c>
      <c r="AK2024" s="12">
        <v>0</v>
      </c>
      <c r="AL2024" s="68">
        <v>1.5</v>
      </c>
      <c r="AM2024" s="60">
        <v>0</v>
      </c>
      <c r="AN2024" s="60">
        <v>0</v>
      </c>
      <c r="AO2024" s="60">
        <v>0</v>
      </c>
      <c r="AP2024" s="60">
        <v>1.5</v>
      </c>
      <c r="AQ2024" s="60">
        <v>1200</v>
      </c>
      <c r="AR2024" s="60">
        <v>1</v>
      </c>
      <c r="AS2024" s="60">
        <v>15</v>
      </c>
      <c r="AT2024" s="68">
        <v>0</v>
      </c>
      <c r="AU2024" s="60" t="s">
        <v>198</v>
      </c>
      <c r="AV2024" s="60"/>
      <c r="AW2024" s="59" t="s">
        <v>256</v>
      </c>
      <c r="AX2024" s="60" t="s">
        <v>215</v>
      </c>
      <c r="AY2024" s="64">
        <v>10000011</v>
      </c>
      <c r="AZ2024" s="64">
        <v>70404001</v>
      </c>
      <c r="BA2024" s="59" t="s">
        <v>216</v>
      </c>
      <c r="BB2024" s="60">
        <v>0</v>
      </c>
      <c r="BC2024" s="66">
        <v>0</v>
      </c>
      <c r="BD2024" s="66">
        <v>0</v>
      </c>
      <c r="BE2024" s="90" t="s">
        <v>798</v>
      </c>
      <c r="BF2024" s="90" t="s">
        <v>799</v>
      </c>
      <c r="BG2024" s="60">
        <v>0</v>
      </c>
      <c r="BH2024" s="60">
        <v>0</v>
      </c>
      <c r="BI2024" s="60">
        <v>0</v>
      </c>
      <c r="BJ2024" s="60">
        <v>0</v>
      </c>
      <c r="BK2024" s="60">
        <v>0</v>
      </c>
      <c r="BL2024" s="60">
        <v>0</v>
      </c>
      <c r="BM2024" s="93">
        <v>0</v>
      </c>
      <c r="BN2024" s="12">
        <v>0</v>
      </c>
      <c r="BO2024" s="12">
        <v>0</v>
      </c>
      <c r="BP2024" s="12">
        <v>0</v>
      </c>
      <c r="BQ2024" s="12">
        <v>0</v>
      </c>
      <c r="BR2024" s="12">
        <v>0</v>
      </c>
      <c r="BS2024" s="12">
        <v>0</v>
      </c>
      <c r="BT2024" s="12">
        <v>0</v>
      </c>
      <c r="BU2024" s="47">
        <v>0</v>
      </c>
      <c r="BV2024" s="47"/>
      <c r="BW2024" s="47"/>
    </row>
    <row r="2025" spans="3:75" ht="20.100000000000001" customHeight="1">
      <c r="C2025" s="64">
        <v>75001001</v>
      </c>
      <c r="D2025" s="19" t="s">
        <v>4570</v>
      </c>
      <c r="E2025" s="19" t="s">
        <v>4571</v>
      </c>
      <c r="F2025" s="18">
        <v>1</v>
      </c>
      <c r="G2025" s="18">
        <v>60010500</v>
      </c>
      <c r="H2025" s="18">
        <v>0</v>
      </c>
      <c r="I2025" s="27">
        <v>0</v>
      </c>
      <c r="J2025" s="18">
        <v>1</v>
      </c>
      <c r="K2025" s="18">
        <v>0</v>
      </c>
      <c r="L2025" s="18">
        <v>0</v>
      </c>
      <c r="M2025" s="18">
        <v>0</v>
      </c>
      <c r="N2025" s="18">
        <v>0</v>
      </c>
      <c r="O2025" s="18">
        <v>1</v>
      </c>
      <c r="P2025" s="18">
        <v>2</v>
      </c>
      <c r="Q2025" s="18">
        <v>1</v>
      </c>
      <c r="R2025" s="18">
        <v>0</v>
      </c>
      <c r="S2025" s="12">
        <v>0</v>
      </c>
      <c r="T2025" s="27">
        <v>0</v>
      </c>
      <c r="U2025" s="16">
        <v>1</v>
      </c>
      <c r="V2025" s="18">
        <v>2</v>
      </c>
      <c r="W2025" s="18">
        <v>0</v>
      </c>
      <c r="X2025" s="18">
        <v>0</v>
      </c>
      <c r="Y2025" s="12">
        <v>0</v>
      </c>
      <c r="Z2025" s="18">
        <v>0</v>
      </c>
      <c r="AA2025" s="18">
        <v>0</v>
      </c>
      <c r="AB2025" s="18">
        <v>0</v>
      </c>
      <c r="AC2025" s="18">
        <v>0</v>
      </c>
      <c r="AD2025" s="18">
        <v>0</v>
      </c>
      <c r="AE2025" s="18">
        <v>0</v>
      </c>
      <c r="AF2025" s="18">
        <v>30</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v>69000131</v>
      </c>
      <c r="AU2025" s="18" t="s">
        <v>198</v>
      </c>
      <c r="AV2025" s="18"/>
      <c r="AW2025" s="19" t="s">
        <v>199</v>
      </c>
      <c r="AX2025" s="18" t="s">
        <v>348</v>
      </c>
      <c r="AY2025" s="18">
        <v>0</v>
      </c>
      <c r="AZ2025" s="18">
        <v>40000003</v>
      </c>
      <c r="BA2025" s="19" t="s">
        <v>200</v>
      </c>
      <c r="BB2025" s="19" t="s">
        <v>198</v>
      </c>
      <c r="BC2025" s="27">
        <v>0</v>
      </c>
      <c r="BD2025" s="27">
        <v>0</v>
      </c>
      <c r="BE2025" s="87" t="s">
        <v>540</v>
      </c>
      <c r="BF2025" s="87" t="s">
        <v>541</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row>
    <row r="2026" spans="3:75" ht="19.5" customHeight="1">
      <c r="C2026" s="64">
        <v>76001001</v>
      </c>
      <c r="D2026" s="17" t="s">
        <v>4572</v>
      </c>
      <c r="E2026" s="17" t="s">
        <v>4573</v>
      </c>
      <c r="F2026" s="18">
        <v>1</v>
      </c>
      <c r="G2026" s="16">
        <v>60010100</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0</v>
      </c>
      <c r="Y2026" s="12">
        <v>0</v>
      </c>
      <c r="Z2026" s="16">
        <v>2000</v>
      </c>
      <c r="AA2026" s="16">
        <v>1</v>
      </c>
      <c r="AB2026" s="16">
        <v>0</v>
      </c>
      <c r="AC2026" s="16">
        <v>0</v>
      </c>
      <c r="AD2026" s="16">
        <v>0</v>
      </c>
      <c r="AE2026" s="16">
        <v>0</v>
      </c>
      <c r="AF2026" s="16">
        <v>5</v>
      </c>
      <c r="AG2026" s="16">
        <v>1</v>
      </c>
      <c r="AH2026" s="16">
        <v>3</v>
      </c>
      <c r="AI2026" s="12">
        <v>2</v>
      </c>
      <c r="AJ2026" s="12">
        <v>1</v>
      </c>
      <c r="AK2026" s="12">
        <v>0</v>
      </c>
      <c r="AL2026" s="12">
        <v>6</v>
      </c>
      <c r="AM2026" s="16">
        <v>0</v>
      </c>
      <c r="AN2026" s="16">
        <v>0</v>
      </c>
      <c r="AO2026" s="16">
        <v>0</v>
      </c>
      <c r="AP2026" s="16">
        <v>0</v>
      </c>
      <c r="AQ2026" s="16">
        <v>1000</v>
      </c>
      <c r="AR2026" s="16">
        <v>0</v>
      </c>
      <c r="AS2026" s="16">
        <v>0</v>
      </c>
      <c r="AT2026" s="12">
        <v>0</v>
      </c>
      <c r="AU2026" s="16">
        <v>0</v>
      </c>
      <c r="AV2026" s="16"/>
      <c r="AW2026" s="19" t="s">
        <v>199</v>
      </c>
      <c r="AX2026" s="60" t="s">
        <v>215</v>
      </c>
      <c r="AY2026" s="18">
        <v>10000007</v>
      </c>
      <c r="AZ2026" s="18">
        <v>70203005</v>
      </c>
      <c r="BA2026" s="17" t="s">
        <v>200</v>
      </c>
      <c r="BB2026" s="16">
        <v>0</v>
      </c>
      <c r="BC2026" s="27">
        <v>0</v>
      </c>
      <c r="BD2026" s="27">
        <v>0</v>
      </c>
      <c r="BE2026" s="44" t="s">
        <v>4574</v>
      </c>
      <c r="BF2026" s="44" t="s">
        <v>4575</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79000001</v>
      </c>
      <c r="D2027" s="19" t="s">
        <v>744</v>
      </c>
      <c r="E2027" s="19" t="s">
        <v>745</v>
      </c>
      <c r="F2027" s="18">
        <v>1</v>
      </c>
      <c r="G2027" s="18">
        <v>60010500</v>
      </c>
      <c r="H2027" s="18">
        <v>0</v>
      </c>
      <c r="I2027" s="27">
        <v>0</v>
      </c>
      <c r="J2027" s="18">
        <v>1</v>
      </c>
      <c r="K2027" s="18">
        <v>0</v>
      </c>
      <c r="L2027" s="18">
        <v>0</v>
      </c>
      <c r="M2027" s="18">
        <v>0</v>
      </c>
      <c r="N2027" s="18">
        <v>0</v>
      </c>
      <c r="O2027" s="16">
        <v>2</v>
      </c>
      <c r="P2027" s="18">
        <v>1</v>
      </c>
      <c r="Q2027" s="18">
        <v>0.1</v>
      </c>
      <c r="R2027" s="18">
        <v>0</v>
      </c>
      <c r="S2027" s="12">
        <v>0</v>
      </c>
      <c r="T2027" s="27">
        <v>0</v>
      </c>
      <c r="U2027" s="16">
        <v>1</v>
      </c>
      <c r="V2027" s="18">
        <v>1</v>
      </c>
      <c r="W2027" s="18">
        <v>0</v>
      </c>
      <c r="X2027" s="18">
        <v>2</v>
      </c>
      <c r="Y2027" s="12">
        <v>0</v>
      </c>
      <c r="Z2027" s="18">
        <v>0</v>
      </c>
      <c r="AA2027" s="18">
        <v>0</v>
      </c>
      <c r="AB2027" s="18">
        <v>0</v>
      </c>
      <c r="AC2027" s="18">
        <v>0</v>
      </c>
      <c r="AD2027" s="16">
        <v>0</v>
      </c>
      <c r="AE2027" s="18">
        <v>0</v>
      </c>
      <c r="AF2027" s="18">
        <v>10</v>
      </c>
      <c r="AG2027" s="18">
        <v>0</v>
      </c>
      <c r="AH2027" s="18">
        <v>0</v>
      </c>
      <c r="AI2027" s="12">
        <v>7</v>
      </c>
      <c r="AJ2027" s="12">
        <v>0</v>
      </c>
      <c r="AK2027" s="12">
        <v>0</v>
      </c>
      <c r="AL2027" s="12">
        <v>0</v>
      </c>
      <c r="AM2027" s="18">
        <v>0</v>
      </c>
      <c r="AN2027" s="18">
        <v>0</v>
      </c>
      <c r="AO2027" s="18">
        <v>0</v>
      </c>
      <c r="AP2027" s="18">
        <v>0</v>
      </c>
      <c r="AQ2027" s="18">
        <v>1000</v>
      </c>
      <c r="AR2027" s="18">
        <v>0.5</v>
      </c>
      <c r="AS2027" s="18">
        <v>0</v>
      </c>
      <c r="AT2027" s="12">
        <v>0</v>
      </c>
      <c r="AU2027" s="18" t="s">
        <v>659</v>
      </c>
      <c r="AV2027" s="18"/>
      <c r="AW2027" s="19" t="s">
        <v>741</v>
      </c>
      <c r="AX2027" s="18">
        <v>0</v>
      </c>
      <c r="AY2027" s="18">
        <v>10007001</v>
      </c>
      <c r="AZ2027" s="18">
        <v>0</v>
      </c>
      <c r="BA2027" s="19" t="s">
        <v>200</v>
      </c>
      <c r="BB2027" s="19" t="s">
        <v>198</v>
      </c>
      <c r="BC2027" s="27">
        <v>0</v>
      </c>
      <c r="BD2027" s="27">
        <v>0</v>
      </c>
      <c r="BE2027" s="87" t="s">
        <v>746</v>
      </c>
      <c r="BF2027" s="87" t="s">
        <v>747</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79000002</v>
      </c>
      <c r="D2028" s="17" t="s">
        <v>1324</v>
      </c>
      <c r="E2028" s="17" t="s">
        <v>1325</v>
      </c>
      <c r="F2028" s="18">
        <v>1</v>
      </c>
      <c r="G2028" s="16">
        <v>60010100</v>
      </c>
      <c r="H2028" s="18">
        <v>0</v>
      </c>
      <c r="I2028" s="27">
        <v>0</v>
      </c>
      <c r="J2028" s="18">
        <v>1</v>
      </c>
      <c r="K2028" s="18">
        <v>0</v>
      </c>
      <c r="L2028" s="18">
        <v>0</v>
      </c>
      <c r="M2028" s="16">
        <v>0</v>
      </c>
      <c r="N2028" s="16">
        <v>0</v>
      </c>
      <c r="O2028" s="60">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10</v>
      </c>
      <c r="AG2028" s="16">
        <v>2</v>
      </c>
      <c r="AH2028" s="16" t="s">
        <v>1036</v>
      </c>
      <c r="AI2028" s="12">
        <v>0</v>
      </c>
      <c r="AJ2028" s="12">
        <v>2</v>
      </c>
      <c r="AK2028" s="12">
        <v>0</v>
      </c>
      <c r="AL2028" s="12">
        <v>1.5</v>
      </c>
      <c r="AM2028" s="16">
        <v>0</v>
      </c>
      <c r="AN2028" s="16">
        <v>0</v>
      </c>
      <c r="AO2028" s="16">
        <v>0</v>
      </c>
      <c r="AP2028" s="16">
        <v>1.5</v>
      </c>
      <c r="AQ2028" s="16">
        <v>10000</v>
      </c>
      <c r="AR2028" s="16">
        <v>1</v>
      </c>
      <c r="AS2028" s="16">
        <v>5</v>
      </c>
      <c r="AT2028" s="12">
        <v>0</v>
      </c>
      <c r="AU2028" s="16" t="s">
        <v>198</v>
      </c>
      <c r="AV2028" s="16"/>
      <c r="AW2028" s="19" t="s">
        <v>617</v>
      </c>
      <c r="AX2028" s="16" t="s">
        <v>534</v>
      </c>
      <c r="AY2028" s="18">
        <v>10000007</v>
      </c>
      <c r="AZ2028" s="18">
        <v>70302003</v>
      </c>
      <c r="BA2028" s="19" t="s">
        <v>586</v>
      </c>
      <c r="BB2028" s="27" t="s">
        <v>4559</v>
      </c>
      <c r="BC2028" s="27">
        <v>0</v>
      </c>
      <c r="BD2028" s="27">
        <v>0</v>
      </c>
      <c r="BE2028" s="44" t="s">
        <v>1108</v>
      </c>
      <c r="BF2028" s="44" t="s">
        <v>1109</v>
      </c>
      <c r="BG2028" s="16">
        <v>1</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79000003</v>
      </c>
      <c r="D2029" s="17" t="s">
        <v>1091</v>
      </c>
      <c r="E2029" s="17" t="s">
        <v>1092</v>
      </c>
      <c r="F2029" s="18">
        <v>1</v>
      </c>
      <c r="G2029" s="16">
        <v>60010100</v>
      </c>
      <c r="H2029" s="18">
        <v>0</v>
      </c>
      <c r="I2029" s="27">
        <v>0</v>
      </c>
      <c r="J2029" s="18">
        <v>1</v>
      </c>
      <c r="K2029" s="18">
        <v>0</v>
      </c>
      <c r="L2029" s="18">
        <v>0</v>
      </c>
      <c r="M2029" s="16">
        <v>0</v>
      </c>
      <c r="N2029" s="16">
        <v>0</v>
      </c>
      <c r="O2029" s="60">
        <v>2</v>
      </c>
      <c r="P2029" s="16">
        <v>2</v>
      </c>
      <c r="Q2029" s="16">
        <v>0.9</v>
      </c>
      <c r="R2029" s="16">
        <v>0</v>
      </c>
      <c r="S2029" s="12">
        <v>1</v>
      </c>
      <c r="T2029" s="16">
        <v>0</v>
      </c>
      <c r="U2029" s="16">
        <v>1</v>
      </c>
      <c r="V2029" s="16">
        <v>2</v>
      </c>
      <c r="W2029" s="16">
        <v>0</v>
      </c>
      <c r="X2029" s="16">
        <v>2</v>
      </c>
      <c r="Y2029" s="12">
        <v>0</v>
      </c>
      <c r="Z2029" s="16">
        <v>0</v>
      </c>
      <c r="AA2029" s="16">
        <v>1</v>
      </c>
      <c r="AB2029" s="16">
        <v>0</v>
      </c>
      <c r="AC2029" s="16">
        <v>0</v>
      </c>
      <c r="AD2029" s="16">
        <v>0</v>
      </c>
      <c r="AE2029" s="16">
        <v>0</v>
      </c>
      <c r="AF2029" s="16">
        <v>15</v>
      </c>
      <c r="AG2029" s="16">
        <v>1</v>
      </c>
      <c r="AH2029" s="16" t="s">
        <v>607</v>
      </c>
      <c r="AI2029" s="12">
        <v>0</v>
      </c>
      <c r="AJ2029" s="12">
        <v>1</v>
      </c>
      <c r="AK2029" s="12">
        <v>0</v>
      </c>
      <c r="AL2029" s="12">
        <v>3</v>
      </c>
      <c r="AM2029" s="16">
        <v>0</v>
      </c>
      <c r="AN2029" s="16">
        <v>0</v>
      </c>
      <c r="AO2029" s="16">
        <v>0</v>
      </c>
      <c r="AP2029" s="16">
        <v>3</v>
      </c>
      <c r="AQ2029" s="16">
        <v>5000</v>
      </c>
      <c r="AR2029" s="16">
        <v>2.5</v>
      </c>
      <c r="AS2029" s="16">
        <v>0</v>
      </c>
      <c r="AT2029" s="12">
        <v>0</v>
      </c>
      <c r="AU2029" s="16">
        <v>90001023</v>
      </c>
      <c r="AV2029" s="16"/>
      <c r="AW2029" s="19" t="s">
        <v>256</v>
      </c>
      <c r="AX2029" s="16" t="s">
        <v>534</v>
      </c>
      <c r="AY2029" s="18">
        <v>10000007</v>
      </c>
      <c r="AZ2029" s="18">
        <v>70403003</v>
      </c>
      <c r="BA2029" s="17" t="s">
        <v>200</v>
      </c>
      <c r="BB2029" s="16">
        <v>0</v>
      </c>
      <c r="BC2029" s="27">
        <v>0</v>
      </c>
      <c r="BD2029" s="27">
        <v>0</v>
      </c>
      <c r="BE2029" s="44" t="s">
        <v>4457</v>
      </c>
      <c r="BF2029" s="44" t="s">
        <v>4458</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19.5" customHeight="1">
      <c r="C2030" s="18">
        <v>79000004</v>
      </c>
      <c r="D2030" s="17" t="s">
        <v>1091</v>
      </c>
      <c r="E2030" s="17" t="s">
        <v>1092</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2</v>
      </c>
      <c r="Y2030" s="12">
        <v>0</v>
      </c>
      <c r="Z2030" s="16">
        <v>0</v>
      </c>
      <c r="AA2030" s="16">
        <v>1</v>
      </c>
      <c r="AB2030" s="16">
        <v>0</v>
      </c>
      <c r="AC2030" s="16">
        <v>0</v>
      </c>
      <c r="AD2030" s="16">
        <v>0</v>
      </c>
      <c r="AE2030" s="16">
        <v>0</v>
      </c>
      <c r="AF2030" s="16">
        <v>12</v>
      </c>
      <c r="AG2030" s="16">
        <v>1</v>
      </c>
      <c r="AH2030" s="16" t="s">
        <v>607</v>
      </c>
      <c r="AI2030" s="12">
        <v>0</v>
      </c>
      <c r="AJ2030" s="12">
        <v>1</v>
      </c>
      <c r="AK2030" s="12">
        <v>0</v>
      </c>
      <c r="AL2030" s="12">
        <v>3</v>
      </c>
      <c r="AM2030" s="16">
        <v>0</v>
      </c>
      <c r="AN2030" s="16">
        <v>0</v>
      </c>
      <c r="AO2030" s="16">
        <v>0</v>
      </c>
      <c r="AP2030" s="16">
        <v>3</v>
      </c>
      <c r="AQ2030" s="16">
        <v>5000</v>
      </c>
      <c r="AR2030" s="16">
        <v>2.5</v>
      </c>
      <c r="AS2030" s="16">
        <v>0</v>
      </c>
      <c r="AT2030" s="12">
        <v>0</v>
      </c>
      <c r="AU2030" s="16">
        <v>80001030</v>
      </c>
      <c r="AV2030" s="16"/>
      <c r="AW2030" s="19" t="s">
        <v>287</v>
      </c>
      <c r="AX2030" s="16" t="s">
        <v>534</v>
      </c>
      <c r="AY2030" s="18">
        <v>10000007</v>
      </c>
      <c r="AZ2030" s="18">
        <v>70204001</v>
      </c>
      <c r="BA2030" s="17" t="s">
        <v>200</v>
      </c>
      <c r="BB2030" s="16">
        <v>0</v>
      </c>
      <c r="BC2030" s="27">
        <v>0</v>
      </c>
      <c r="BD2030" s="27">
        <v>0</v>
      </c>
      <c r="BE2030" s="44" t="s">
        <v>1093</v>
      </c>
      <c r="BF2030" s="44" t="s">
        <v>1094</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79000005</v>
      </c>
      <c r="D2031" s="19" t="s">
        <v>673</v>
      </c>
      <c r="E2031" s="19" t="s">
        <v>674</v>
      </c>
      <c r="F2031" s="18">
        <v>1</v>
      </c>
      <c r="G2031" s="18">
        <v>60010500</v>
      </c>
      <c r="H2031" s="18">
        <v>0</v>
      </c>
      <c r="I2031" s="27">
        <v>0</v>
      </c>
      <c r="J2031" s="18">
        <v>1</v>
      </c>
      <c r="K2031" s="18">
        <v>0</v>
      </c>
      <c r="L2031" s="18">
        <v>0</v>
      </c>
      <c r="M2031" s="18">
        <v>0</v>
      </c>
      <c r="N2031" s="18">
        <v>0</v>
      </c>
      <c r="O2031" s="60">
        <v>2</v>
      </c>
      <c r="P2031" s="18">
        <v>2</v>
      </c>
      <c r="Q2031" s="18">
        <v>0.6</v>
      </c>
      <c r="R2031" s="18">
        <v>0</v>
      </c>
      <c r="S2031" s="12">
        <v>0</v>
      </c>
      <c r="T2031" s="27">
        <v>0</v>
      </c>
      <c r="U2031" s="16">
        <v>1</v>
      </c>
      <c r="V2031" s="18">
        <v>2</v>
      </c>
      <c r="W2031" s="18">
        <v>0</v>
      </c>
      <c r="X2031" s="18">
        <v>0</v>
      </c>
      <c r="Y2031" s="12">
        <v>0</v>
      </c>
      <c r="Z2031" s="18">
        <v>0</v>
      </c>
      <c r="AA2031" s="18">
        <v>0</v>
      </c>
      <c r="AB2031" s="18">
        <v>0</v>
      </c>
      <c r="AC2031" s="18">
        <v>0</v>
      </c>
      <c r="AD2031" s="18">
        <v>0</v>
      </c>
      <c r="AE2031" s="18">
        <v>0</v>
      </c>
      <c r="AF2031" s="16">
        <v>99999</v>
      </c>
      <c r="AG2031" s="18">
        <v>0</v>
      </c>
      <c r="AH2031" s="18">
        <v>0</v>
      </c>
      <c r="AI2031" s="12">
        <v>2</v>
      </c>
      <c r="AJ2031" s="12">
        <v>0</v>
      </c>
      <c r="AK2031" s="12">
        <v>0</v>
      </c>
      <c r="AL2031" s="12">
        <v>0</v>
      </c>
      <c r="AM2031" s="18">
        <v>0</v>
      </c>
      <c r="AN2031" s="18">
        <v>0</v>
      </c>
      <c r="AO2031" s="18">
        <v>0</v>
      </c>
      <c r="AP2031" s="18">
        <v>0</v>
      </c>
      <c r="AQ2031" s="18">
        <v>1000</v>
      </c>
      <c r="AR2031" s="18">
        <v>0</v>
      </c>
      <c r="AS2031" s="18">
        <v>0</v>
      </c>
      <c r="AT2031" s="12">
        <v>90104002</v>
      </c>
      <c r="AU2031" s="18" t="s">
        <v>198</v>
      </c>
      <c r="AV2031" s="18"/>
      <c r="AW2031" s="19" t="s">
        <v>199</v>
      </c>
      <c r="AX2031" s="18" t="s">
        <v>348</v>
      </c>
      <c r="AY2031" s="18">
        <v>0</v>
      </c>
      <c r="AZ2031" s="18">
        <v>0</v>
      </c>
      <c r="BA2031" s="19" t="s">
        <v>200</v>
      </c>
      <c r="BB2031" s="19" t="s">
        <v>198</v>
      </c>
      <c r="BC2031" s="27">
        <v>0</v>
      </c>
      <c r="BD2031" s="27">
        <v>0</v>
      </c>
      <c r="BE2031" s="87" t="s">
        <v>675</v>
      </c>
      <c r="BF2031" s="87" t="s">
        <v>676</v>
      </c>
      <c r="BG2031" s="18">
        <v>0</v>
      </c>
      <c r="BH2031" s="16">
        <v>0</v>
      </c>
      <c r="BI2031" s="18">
        <v>0</v>
      </c>
      <c r="BJ2031" s="18">
        <v>0</v>
      </c>
      <c r="BK2031" s="18">
        <v>0</v>
      </c>
      <c r="BL2031" s="18">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79000006</v>
      </c>
      <c r="D2032" s="17" t="s">
        <v>532</v>
      </c>
      <c r="E2032" s="17" t="s">
        <v>255</v>
      </c>
      <c r="F2032" s="18">
        <v>1</v>
      </c>
      <c r="G2032" s="16">
        <v>0</v>
      </c>
      <c r="H2032" s="18">
        <v>0</v>
      </c>
      <c r="I2032" s="27">
        <v>0</v>
      </c>
      <c r="J2032" s="18">
        <v>1</v>
      </c>
      <c r="K2032" s="18">
        <v>0</v>
      </c>
      <c r="L2032" s="18">
        <v>0</v>
      </c>
      <c r="M2032" s="16">
        <v>0</v>
      </c>
      <c r="N2032" s="16">
        <v>0</v>
      </c>
      <c r="O2032" s="16">
        <v>2</v>
      </c>
      <c r="P2032" s="16">
        <v>1</v>
      </c>
      <c r="Q2032" s="16">
        <v>1</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6</v>
      </c>
      <c r="AG2032" s="16">
        <v>1</v>
      </c>
      <c r="AH2032" s="16">
        <v>3</v>
      </c>
      <c r="AI2032" s="12">
        <v>0</v>
      </c>
      <c r="AJ2032" s="12">
        <v>0</v>
      </c>
      <c r="AK2032" s="12">
        <v>0</v>
      </c>
      <c r="AL2032" s="12">
        <v>1.5</v>
      </c>
      <c r="AM2032" s="16">
        <v>0</v>
      </c>
      <c r="AN2032" s="16">
        <v>0</v>
      </c>
      <c r="AO2032" s="16">
        <v>0</v>
      </c>
      <c r="AP2032" s="16">
        <v>1</v>
      </c>
      <c r="AQ2032" s="16">
        <v>5000</v>
      </c>
      <c r="AR2032" s="16">
        <v>0.5</v>
      </c>
      <c r="AS2032" s="16">
        <v>0</v>
      </c>
      <c r="AT2032" s="12">
        <v>0</v>
      </c>
      <c r="AU2032" s="16" t="s">
        <v>198</v>
      </c>
      <c r="AV2032" s="16"/>
      <c r="AW2032" s="19" t="s">
        <v>199</v>
      </c>
      <c r="AX2032" s="16" t="s">
        <v>534</v>
      </c>
      <c r="AY2032" s="18">
        <v>10000007</v>
      </c>
      <c r="AZ2032" s="18">
        <v>70105001</v>
      </c>
      <c r="BA2032" s="17" t="s">
        <v>200</v>
      </c>
      <c r="BB2032" s="16" t="s">
        <v>4375</v>
      </c>
      <c r="BC2032" s="27">
        <v>0</v>
      </c>
      <c r="BD2032" s="27">
        <v>0</v>
      </c>
      <c r="BE2032" s="44" t="s">
        <v>4376</v>
      </c>
      <c r="BF2032" s="44" t="s">
        <v>4377</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79000007</v>
      </c>
      <c r="D2033" s="19" t="s">
        <v>538</v>
      </c>
      <c r="E2033" s="19" t="s">
        <v>539</v>
      </c>
      <c r="F2033" s="18">
        <v>1</v>
      </c>
      <c r="G2033" s="18">
        <v>60010500</v>
      </c>
      <c r="H2033" s="18">
        <v>0</v>
      </c>
      <c r="I2033" s="27">
        <v>0</v>
      </c>
      <c r="J2033" s="18">
        <v>1</v>
      </c>
      <c r="K2033" s="18">
        <v>0</v>
      </c>
      <c r="L2033" s="18">
        <v>0</v>
      </c>
      <c r="M2033" s="18">
        <v>0</v>
      </c>
      <c r="N2033" s="18">
        <v>0</v>
      </c>
      <c r="O2033" s="16">
        <v>2</v>
      </c>
      <c r="P2033" s="18">
        <v>2</v>
      </c>
      <c r="Q2033" s="18">
        <v>0.8</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2</v>
      </c>
      <c r="AJ2033" s="12">
        <v>0</v>
      </c>
      <c r="AK2033" s="12">
        <v>0</v>
      </c>
      <c r="AL2033" s="12">
        <v>0</v>
      </c>
      <c r="AM2033" s="18">
        <v>0</v>
      </c>
      <c r="AN2033" s="18">
        <v>0</v>
      </c>
      <c r="AO2033" s="18">
        <v>0</v>
      </c>
      <c r="AP2033" s="18">
        <v>0</v>
      </c>
      <c r="AQ2033" s="18">
        <v>1000</v>
      </c>
      <c r="AR2033" s="18">
        <v>0</v>
      </c>
      <c r="AS2033" s="18">
        <v>0</v>
      </c>
      <c r="AT2033" s="12">
        <v>90401004</v>
      </c>
      <c r="AU2033" s="18" t="s">
        <v>198</v>
      </c>
      <c r="AV2033" s="18"/>
      <c r="AW2033" s="19" t="s">
        <v>199</v>
      </c>
      <c r="AX2033" s="18" t="s">
        <v>348</v>
      </c>
      <c r="AY2033" s="18">
        <v>0</v>
      </c>
      <c r="AZ2033" s="18">
        <v>40000003</v>
      </c>
      <c r="BA2033" s="19" t="s">
        <v>200</v>
      </c>
      <c r="BB2033" s="19" t="s">
        <v>198</v>
      </c>
      <c r="BC2033" s="27">
        <v>0</v>
      </c>
      <c r="BD2033" s="27">
        <v>0</v>
      </c>
      <c r="BE2033" s="87" t="s">
        <v>864</v>
      </c>
      <c r="BF2033" s="87" t="s">
        <v>865</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spans="3:75" ht="19.5" customHeight="1">
      <c r="C2034" s="18">
        <v>79000008</v>
      </c>
      <c r="D2034" s="17" t="s">
        <v>1124</v>
      </c>
      <c r="E2034" s="17" t="s">
        <v>1125</v>
      </c>
      <c r="F2034" s="18">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1</v>
      </c>
      <c r="Y2034" s="12">
        <v>0</v>
      </c>
      <c r="Z2034" s="16">
        <v>0</v>
      </c>
      <c r="AA2034" s="16">
        <v>1</v>
      </c>
      <c r="AB2034" s="16">
        <v>0</v>
      </c>
      <c r="AC2034" s="16">
        <v>0</v>
      </c>
      <c r="AD2034" s="16">
        <v>0</v>
      </c>
      <c r="AE2034" s="16">
        <v>0</v>
      </c>
      <c r="AF2034" s="16">
        <v>30</v>
      </c>
      <c r="AG2034" s="16">
        <v>1</v>
      </c>
      <c r="AH2034" s="16" t="s">
        <v>861</v>
      </c>
      <c r="AI2034" s="12">
        <v>0</v>
      </c>
      <c r="AJ2034" s="12">
        <v>0</v>
      </c>
      <c r="AK2034" s="12">
        <v>0</v>
      </c>
      <c r="AL2034" s="12">
        <v>0</v>
      </c>
      <c r="AM2034" s="16">
        <v>0</v>
      </c>
      <c r="AN2034" s="16">
        <v>0</v>
      </c>
      <c r="AO2034" s="16">
        <v>0</v>
      </c>
      <c r="AP2034" s="16">
        <v>0.5</v>
      </c>
      <c r="AQ2034" s="16">
        <v>999999</v>
      </c>
      <c r="AR2034" s="16">
        <v>0.5</v>
      </c>
      <c r="AS2034" s="16">
        <v>0</v>
      </c>
      <c r="AT2034" s="12">
        <v>0</v>
      </c>
      <c r="AU2034" s="341" t="s">
        <v>1019</v>
      </c>
      <c r="AV2034" s="12"/>
      <c r="AW2034" s="19" t="s">
        <v>287</v>
      </c>
      <c r="AX2034" s="16" t="s">
        <v>534</v>
      </c>
      <c r="AY2034" s="18">
        <v>10000007</v>
      </c>
      <c r="AZ2034" s="18">
        <v>70202004</v>
      </c>
      <c r="BA2034" s="19" t="s">
        <v>315</v>
      </c>
      <c r="BB2034" s="19" t="s">
        <v>371</v>
      </c>
      <c r="BC2034" s="27">
        <v>0</v>
      </c>
      <c r="BD2034" s="27">
        <v>0</v>
      </c>
      <c r="BE2034" s="44" t="s">
        <v>4537</v>
      </c>
      <c r="BF2034" s="44" t="s">
        <v>4538</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8">
        <v>79000009</v>
      </c>
      <c r="D2035" s="17" t="s">
        <v>543</v>
      </c>
      <c r="E2035" s="17" t="s">
        <v>544</v>
      </c>
      <c r="F2035" s="18">
        <v>1</v>
      </c>
      <c r="G2035" s="16">
        <v>60010300</v>
      </c>
      <c r="H2035" s="18">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2</v>
      </c>
      <c r="Y2035" s="12">
        <v>0</v>
      </c>
      <c r="Z2035" s="16">
        <v>0</v>
      </c>
      <c r="AA2035" s="16">
        <v>0</v>
      </c>
      <c r="AB2035" s="16">
        <v>0</v>
      </c>
      <c r="AC2035" s="16">
        <v>0</v>
      </c>
      <c r="AD2035" s="16">
        <v>0</v>
      </c>
      <c r="AE2035" s="16">
        <v>0</v>
      </c>
      <c r="AF2035" s="16">
        <v>12</v>
      </c>
      <c r="AG2035" s="16">
        <v>2</v>
      </c>
      <c r="AH2035" s="16" t="s">
        <v>213</v>
      </c>
      <c r="AI2035" s="12">
        <v>0</v>
      </c>
      <c r="AJ2035" s="12">
        <v>2</v>
      </c>
      <c r="AK2035" s="12">
        <v>0</v>
      </c>
      <c r="AL2035" s="12">
        <v>1.5</v>
      </c>
      <c r="AM2035" s="16">
        <v>0</v>
      </c>
      <c r="AN2035" s="16">
        <v>0</v>
      </c>
      <c r="AO2035" s="16">
        <v>0</v>
      </c>
      <c r="AP2035" s="16">
        <v>2.5</v>
      </c>
      <c r="AQ2035" s="16">
        <v>4000</v>
      </c>
      <c r="AR2035" s="16">
        <v>2</v>
      </c>
      <c r="AS2035" s="16">
        <v>0</v>
      </c>
      <c r="AT2035" s="12">
        <v>0</v>
      </c>
      <c r="AU2035" s="16" t="s">
        <v>198</v>
      </c>
      <c r="AV2035" s="16"/>
      <c r="AW2035" s="19" t="s">
        <v>287</v>
      </c>
      <c r="AX2035" s="16" t="s">
        <v>545</v>
      </c>
      <c r="AY2035" s="18">
        <v>10001007</v>
      </c>
      <c r="AZ2035" s="18">
        <v>70103001</v>
      </c>
      <c r="BA2035" s="17" t="s">
        <v>200</v>
      </c>
      <c r="BB2035" s="16">
        <v>0</v>
      </c>
      <c r="BC2035" s="27">
        <v>0</v>
      </c>
      <c r="BD2035" s="27">
        <v>0</v>
      </c>
      <c r="BE2035" s="44" t="s">
        <v>546</v>
      </c>
      <c r="BF2035" s="44" t="s">
        <v>547</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row>
    <row r="2036" spans="3:75" ht="19.5" customHeight="1">
      <c r="C2036" s="18">
        <v>79000010</v>
      </c>
      <c r="D2036" s="17" t="s">
        <v>4506</v>
      </c>
      <c r="E2036" s="17" t="s">
        <v>4507</v>
      </c>
      <c r="F2036" s="18">
        <v>1</v>
      </c>
      <c r="G2036" s="16">
        <v>60010100</v>
      </c>
      <c r="H2036" s="18">
        <v>0</v>
      </c>
      <c r="I2036" s="27">
        <v>0</v>
      </c>
      <c r="J2036" s="18">
        <v>1</v>
      </c>
      <c r="K2036" s="18">
        <v>0</v>
      </c>
      <c r="L2036" s="18">
        <v>0</v>
      </c>
      <c r="M2036" s="16">
        <v>0</v>
      </c>
      <c r="N2036" s="16">
        <v>0</v>
      </c>
      <c r="O2036" s="16">
        <v>2</v>
      </c>
      <c r="P2036" s="16">
        <v>1</v>
      </c>
      <c r="Q2036" s="16">
        <v>0.3</v>
      </c>
      <c r="R2036" s="16">
        <v>0</v>
      </c>
      <c r="S2036" s="12">
        <v>0</v>
      </c>
      <c r="T2036" s="16">
        <v>0</v>
      </c>
      <c r="U2036" s="16">
        <v>1</v>
      </c>
      <c r="V2036" s="16">
        <v>2</v>
      </c>
      <c r="W2036" s="16">
        <v>0</v>
      </c>
      <c r="X2036" s="16">
        <v>2</v>
      </c>
      <c r="Y2036" s="12">
        <v>0</v>
      </c>
      <c r="Z2036" s="16">
        <v>0</v>
      </c>
      <c r="AA2036" s="16">
        <v>1</v>
      </c>
      <c r="AB2036" s="16">
        <v>0</v>
      </c>
      <c r="AC2036" s="16">
        <v>0</v>
      </c>
      <c r="AD2036" s="16">
        <v>0</v>
      </c>
      <c r="AE2036" s="16">
        <v>0</v>
      </c>
      <c r="AF2036" s="16">
        <v>20</v>
      </c>
      <c r="AG2036" s="16">
        <v>1</v>
      </c>
      <c r="AH2036" s="16" t="s">
        <v>861</v>
      </c>
      <c r="AI2036" s="12">
        <v>1</v>
      </c>
      <c r="AJ2036" s="12">
        <v>0</v>
      </c>
      <c r="AK2036" s="12">
        <v>0</v>
      </c>
      <c r="AL2036" s="12">
        <v>0</v>
      </c>
      <c r="AM2036" s="16">
        <v>0</v>
      </c>
      <c r="AN2036" s="16">
        <v>0</v>
      </c>
      <c r="AO2036" s="16">
        <v>0</v>
      </c>
      <c r="AP2036" s="16">
        <v>0.5</v>
      </c>
      <c r="AQ2036" s="16">
        <v>999999</v>
      </c>
      <c r="AR2036" s="16">
        <v>2</v>
      </c>
      <c r="AS2036" s="16">
        <v>0</v>
      </c>
      <c r="AT2036" s="12">
        <v>0</v>
      </c>
      <c r="AU2036" s="16" t="s">
        <v>854</v>
      </c>
      <c r="AV2036" s="16"/>
      <c r="AW2036" s="19" t="s">
        <v>287</v>
      </c>
      <c r="AX2036" s="16" t="s">
        <v>534</v>
      </c>
      <c r="AY2036" s="18">
        <v>10000007</v>
      </c>
      <c r="AZ2036" s="18">
        <v>70405007</v>
      </c>
      <c r="BA2036" s="19" t="s">
        <v>315</v>
      </c>
      <c r="BB2036" s="19" t="s">
        <v>371</v>
      </c>
      <c r="BC2036" s="27">
        <v>0</v>
      </c>
      <c r="BD2036" s="27">
        <v>0</v>
      </c>
      <c r="BE2036" s="44" t="s">
        <v>4508</v>
      </c>
      <c r="BF2036" s="44" t="s">
        <v>4509</v>
      </c>
      <c r="BG2036" s="16">
        <v>0</v>
      </c>
      <c r="BH2036" s="16">
        <v>0</v>
      </c>
      <c r="BI2036" s="16">
        <v>0</v>
      </c>
      <c r="BJ2036" s="16">
        <v>0</v>
      </c>
      <c r="BK2036" s="16">
        <v>0</v>
      </c>
      <c r="BL2036" s="16">
        <v>0</v>
      </c>
      <c r="BM2036" s="15">
        <v>0</v>
      </c>
      <c r="BN2036" s="12">
        <v>0</v>
      </c>
      <c r="BO2036" s="12">
        <v>0</v>
      </c>
      <c r="BP2036" s="12">
        <v>0</v>
      </c>
      <c r="BQ2036" s="12">
        <v>0</v>
      </c>
      <c r="BR2036" s="12">
        <v>0</v>
      </c>
      <c r="BS2036" s="12">
        <v>0</v>
      </c>
      <c r="BT2036" s="12">
        <v>0</v>
      </c>
      <c r="BU2036" s="47">
        <v>0</v>
      </c>
      <c r="BV2036" s="47"/>
      <c r="BW2036" s="47"/>
    </row>
    <row r="2037" spans="3:75" ht="20.100000000000001" customHeight="1">
      <c r="C2037" s="18">
        <v>79000011</v>
      </c>
      <c r="D2037" s="19" t="s">
        <v>4547</v>
      </c>
      <c r="E2037" s="19" t="s">
        <v>4548</v>
      </c>
      <c r="F2037" s="18">
        <v>1</v>
      </c>
      <c r="G2037" s="18">
        <v>60010500</v>
      </c>
      <c r="H2037" s="18">
        <v>0</v>
      </c>
      <c r="I2037" s="27">
        <v>0</v>
      </c>
      <c r="J2037" s="18">
        <v>1</v>
      </c>
      <c r="K2037" s="18">
        <v>0</v>
      </c>
      <c r="L2037" s="18">
        <v>0</v>
      </c>
      <c r="M2037" s="18">
        <v>0</v>
      </c>
      <c r="N2037" s="18">
        <v>0</v>
      </c>
      <c r="O2037" s="16">
        <v>2</v>
      </c>
      <c r="P2037" s="18">
        <v>2</v>
      </c>
      <c r="Q2037" s="18">
        <v>0.95</v>
      </c>
      <c r="R2037" s="18">
        <v>0</v>
      </c>
      <c r="S2037" s="12">
        <v>0</v>
      </c>
      <c r="T2037" s="27">
        <v>0</v>
      </c>
      <c r="U2037" s="16">
        <v>1</v>
      </c>
      <c r="V2037" s="18">
        <v>2</v>
      </c>
      <c r="W2037" s="18">
        <v>0</v>
      </c>
      <c r="X2037" s="18">
        <v>0</v>
      </c>
      <c r="Y2037" s="12">
        <v>0</v>
      </c>
      <c r="Z2037" s="18">
        <v>0</v>
      </c>
      <c r="AA2037" s="18">
        <v>0</v>
      </c>
      <c r="AB2037" s="18">
        <v>0</v>
      </c>
      <c r="AC2037" s="18">
        <v>0</v>
      </c>
      <c r="AD2037" s="16">
        <v>0</v>
      </c>
      <c r="AE2037" s="18">
        <v>0</v>
      </c>
      <c r="AF2037" s="18">
        <v>20</v>
      </c>
      <c r="AG2037" s="18">
        <v>0</v>
      </c>
      <c r="AH2037" s="18">
        <v>0</v>
      </c>
      <c r="AI2037" s="12">
        <v>7</v>
      </c>
      <c r="AJ2037" s="12">
        <v>0</v>
      </c>
      <c r="AK2037" s="12">
        <v>0</v>
      </c>
      <c r="AL2037" s="12">
        <v>0</v>
      </c>
      <c r="AM2037" s="18">
        <v>0</v>
      </c>
      <c r="AN2037" s="18">
        <v>0</v>
      </c>
      <c r="AO2037" s="18">
        <v>0</v>
      </c>
      <c r="AP2037" s="18">
        <v>0</v>
      </c>
      <c r="AQ2037" s="18">
        <v>1000</v>
      </c>
      <c r="AR2037" s="18">
        <v>0.5</v>
      </c>
      <c r="AS2037" s="18">
        <v>0</v>
      </c>
      <c r="AT2037" s="12">
        <v>0</v>
      </c>
      <c r="AU2037" s="18">
        <v>83000001</v>
      </c>
      <c r="AV2037" s="18"/>
      <c r="AW2037" s="19" t="s">
        <v>741</v>
      </c>
      <c r="AX2037" s="18">
        <v>0</v>
      </c>
      <c r="AY2037" s="18">
        <v>10007001</v>
      </c>
      <c r="AZ2037" s="18">
        <v>0</v>
      </c>
      <c r="BA2037" s="19" t="s">
        <v>200</v>
      </c>
      <c r="BB2037" s="19" t="s">
        <v>198</v>
      </c>
      <c r="BC2037" s="27">
        <v>0</v>
      </c>
      <c r="BD2037" s="27">
        <v>0</v>
      </c>
      <c r="BE2037" s="87" t="s">
        <v>4549</v>
      </c>
      <c r="BF2037" s="87" t="s">
        <v>4550</v>
      </c>
      <c r="BG2037" s="18">
        <v>0</v>
      </c>
      <c r="BH2037" s="16">
        <v>0</v>
      </c>
      <c r="BI2037" s="18">
        <v>0</v>
      </c>
      <c r="BJ2037" s="18">
        <v>0</v>
      </c>
      <c r="BK2037" s="18">
        <v>0</v>
      </c>
      <c r="BL2037" s="18">
        <v>0</v>
      </c>
      <c r="BM2037" s="15">
        <v>0</v>
      </c>
      <c r="BN2037" s="12">
        <v>0</v>
      </c>
      <c r="BO2037" s="12">
        <v>0</v>
      </c>
      <c r="BP2037" s="12">
        <v>0</v>
      </c>
      <c r="BQ2037" s="12">
        <v>0</v>
      </c>
      <c r="BR2037" s="12">
        <v>0</v>
      </c>
      <c r="BS2037" s="12">
        <v>0</v>
      </c>
      <c r="BT2037" s="12">
        <v>0</v>
      </c>
      <c r="BU2037" s="47">
        <v>0</v>
      </c>
      <c r="BV2037" s="47"/>
      <c r="BW2037" s="47"/>
    </row>
    <row r="2038" spans="3:75" ht="20.100000000000001" customHeight="1">
      <c r="C2038" s="18">
        <v>79000012</v>
      </c>
      <c r="D2038" s="17" t="s">
        <v>760</v>
      </c>
      <c r="E2038" s="17" t="s">
        <v>761</v>
      </c>
      <c r="F2038" s="16">
        <v>2</v>
      </c>
      <c r="G2038" s="16">
        <v>61012301</v>
      </c>
      <c r="H2038" s="16">
        <v>0</v>
      </c>
      <c r="I2038" s="27">
        <v>0</v>
      </c>
      <c r="J2038" s="18">
        <v>1</v>
      </c>
      <c r="K2038" s="18">
        <v>0</v>
      </c>
      <c r="L2038" s="18">
        <v>0</v>
      </c>
      <c r="M2038" s="16">
        <v>0</v>
      </c>
      <c r="N2038" s="16">
        <v>0</v>
      </c>
      <c r="O2038" s="16">
        <v>2</v>
      </c>
      <c r="P2038" s="16">
        <v>1</v>
      </c>
      <c r="Q2038" s="16">
        <v>0.5</v>
      </c>
      <c r="R2038" s="16">
        <v>0</v>
      </c>
      <c r="S2038" s="12">
        <v>0</v>
      </c>
      <c r="T2038" s="16">
        <v>0</v>
      </c>
      <c r="U2038" s="16">
        <v>1</v>
      </c>
      <c r="V2038" s="16">
        <v>2</v>
      </c>
      <c r="W2038" s="16">
        <v>0</v>
      </c>
      <c r="X2038" s="16">
        <v>1.4</v>
      </c>
      <c r="Y2038" s="12">
        <v>0</v>
      </c>
      <c r="Z2038" s="16">
        <v>150</v>
      </c>
      <c r="AA2038" s="16">
        <v>1</v>
      </c>
      <c r="AB2038" s="16">
        <v>0</v>
      </c>
      <c r="AC2038" s="16">
        <v>0</v>
      </c>
      <c r="AD2038" s="16">
        <v>0</v>
      </c>
      <c r="AE2038" s="16">
        <v>0</v>
      </c>
      <c r="AF2038" s="16">
        <v>12</v>
      </c>
      <c r="AG2038" s="16">
        <v>2</v>
      </c>
      <c r="AH2038" s="16" t="s">
        <v>213</v>
      </c>
      <c r="AI2038" s="12">
        <v>0</v>
      </c>
      <c r="AJ2038" s="12">
        <v>2</v>
      </c>
      <c r="AK2038" s="12">
        <v>0</v>
      </c>
      <c r="AL2038" s="12">
        <v>1.5</v>
      </c>
      <c r="AM2038" s="16">
        <v>0</v>
      </c>
      <c r="AN2038" s="16">
        <v>0</v>
      </c>
      <c r="AO2038" s="16">
        <v>0</v>
      </c>
      <c r="AP2038" s="16">
        <v>1.5</v>
      </c>
      <c r="AQ2038" s="16">
        <v>1200</v>
      </c>
      <c r="AR2038" s="16">
        <v>1</v>
      </c>
      <c r="AS2038" s="16">
        <v>15</v>
      </c>
      <c r="AT2038" s="12">
        <v>0</v>
      </c>
      <c r="AU2038" s="16" t="s">
        <v>198</v>
      </c>
      <c r="AV2038" s="16"/>
      <c r="AW2038" s="17" t="s">
        <v>256</v>
      </c>
      <c r="AX2038" s="16" t="s">
        <v>215</v>
      </c>
      <c r="AY2038" s="18">
        <v>10000011</v>
      </c>
      <c r="AZ2038" s="18">
        <v>70404001</v>
      </c>
      <c r="BA2038" s="17" t="s">
        <v>216</v>
      </c>
      <c r="BB2038" s="16">
        <v>0</v>
      </c>
      <c r="BC2038" s="27">
        <v>0</v>
      </c>
      <c r="BD2038" s="27">
        <v>0</v>
      </c>
      <c r="BE2038" s="44" t="s">
        <v>798</v>
      </c>
      <c r="BF2038" s="44" t="s">
        <v>799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row>
    <row r="2039" spans="3:75" ht="20.100000000000001" customHeight="1">
      <c r="C2039" s="100">
        <v>79000013</v>
      </c>
      <c r="D2039" s="99" t="s">
        <v>769</v>
      </c>
      <c r="E2039" s="99" t="s">
        <v>770</v>
      </c>
      <c r="F2039" s="101">
        <v>1</v>
      </c>
      <c r="G2039" s="101">
        <v>61012201</v>
      </c>
      <c r="H2039" s="101">
        <v>0</v>
      </c>
      <c r="I2039" s="105">
        <v>0</v>
      </c>
      <c r="J2039" s="100">
        <v>1</v>
      </c>
      <c r="K2039" s="101">
        <v>0</v>
      </c>
      <c r="L2039" s="101">
        <v>0</v>
      </c>
      <c r="M2039" s="101">
        <v>0</v>
      </c>
      <c r="N2039" s="101">
        <v>0</v>
      </c>
      <c r="O2039" s="101">
        <v>2</v>
      </c>
      <c r="P2039" s="101">
        <v>2</v>
      </c>
      <c r="Q2039" s="101">
        <v>0.8</v>
      </c>
      <c r="R2039" s="101">
        <v>0</v>
      </c>
      <c r="S2039" s="106">
        <v>0</v>
      </c>
      <c r="T2039" s="101">
        <v>0</v>
      </c>
      <c r="U2039" s="101">
        <v>1</v>
      </c>
      <c r="V2039" s="101">
        <v>2</v>
      </c>
      <c r="W2039" s="101">
        <v>0</v>
      </c>
      <c r="X2039" s="101">
        <v>3</v>
      </c>
      <c r="Y2039" s="12">
        <v>0</v>
      </c>
      <c r="Z2039" s="101">
        <v>0</v>
      </c>
      <c r="AA2039" s="101">
        <v>1</v>
      </c>
      <c r="AB2039" s="101">
        <v>0</v>
      </c>
      <c r="AC2039" s="101">
        <v>0</v>
      </c>
      <c r="AD2039" s="101">
        <v>0</v>
      </c>
      <c r="AE2039" s="101">
        <v>0</v>
      </c>
      <c r="AF2039" s="101">
        <v>12</v>
      </c>
      <c r="AG2039" s="101">
        <v>1</v>
      </c>
      <c r="AH2039" s="101">
        <v>3</v>
      </c>
      <c r="AI2039" s="106">
        <v>0</v>
      </c>
      <c r="AJ2039" s="106">
        <v>1</v>
      </c>
      <c r="AK2039" s="106">
        <v>0</v>
      </c>
      <c r="AL2039" s="106">
        <v>1.5</v>
      </c>
      <c r="AM2039" s="101">
        <v>0</v>
      </c>
      <c r="AN2039" s="101">
        <v>0</v>
      </c>
      <c r="AO2039" s="101">
        <v>0</v>
      </c>
      <c r="AP2039" s="101">
        <v>1</v>
      </c>
      <c r="AQ2039" s="101">
        <v>4000</v>
      </c>
      <c r="AR2039" s="101">
        <v>1</v>
      </c>
      <c r="AS2039" s="101">
        <v>0</v>
      </c>
      <c r="AT2039" s="106">
        <v>90104021</v>
      </c>
      <c r="AU2039" s="101">
        <v>90104022</v>
      </c>
      <c r="AV2039" s="101"/>
      <c r="AW2039" s="99" t="s">
        <v>762</v>
      </c>
      <c r="AX2039" s="101" t="s">
        <v>534</v>
      </c>
      <c r="AY2039" s="100">
        <v>10000001</v>
      </c>
      <c r="AZ2039" s="100">
        <v>62001403</v>
      </c>
      <c r="BA2039" s="99" t="s">
        <v>771</v>
      </c>
      <c r="BB2039" s="101">
        <v>0</v>
      </c>
      <c r="BC2039" s="105">
        <v>0</v>
      </c>
      <c r="BD2039" s="105">
        <v>0</v>
      </c>
      <c r="BE2039" s="137" t="s">
        <v>4576</v>
      </c>
      <c r="BF2039" s="137" t="s">
        <v>4577</v>
      </c>
      <c r="BG2039" s="101">
        <v>0</v>
      </c>
      <c r="BH2039" s="101">
        <v>0</v>
      </c>
      <c r="BI2039" s="101">
        <v>0</v>
      </c>
      <c r="BJ2039" s="101">
        <v>0</v>
      </c>
      <c r="BK2039" s="101">
        <v>0</v>
      </c>
      <c r="BL2039" s="101">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00">
        <v>79000014</v>
      </c>
      <c r="D2040" s="98" t="s">
        <v>731</v>
      </c>
      <c r="E2040" s="98" t="s">
        <v>674</v>
      </c>
      <c r="F2040" s="97">
        <v>1</v>
      </c>
      <c r="G2040" s="97">
        <v>60010002</v>
      </c>
      <c r="H2040" s="97">
        <v>0</v>
      </c>
      <c r="I2040" s="104">
        <v>0</v>
      </c>
      <c r="J2040" s="97">
        <v>1</v>
      </c>
      <c r="K2040" s="97">
        <v>0</v>
      </c>
      <c r="L2040" s="104">
        <v>0</v>
      </c>
      <c r="M2040" s="104">
        <v>0</v>
      </c>
      <c r="N2040" s="97">
        <v>0</v>
      </c>
      <c r="O2040" s="97">
        <v>2</v>
      </c>
      <c r="P2040" s="97">
        <v>2</v>
      </c>
      <c r="Q2040" s="101">
        <v>0.8</v>
      </c>
      <c r="R2040" s="97">
        <v>1</v>
      </c>
      <c r="S2040" s="106">
        <v>0</v>
      </c>
      <c r="T2040" s="97">
        <v>0</v>
      </c>
      <c r="U2040" s="101">
        <v>1</v>
      </c>
      <c r="V2040" s="97">
        <v>1</v>
      </c>
      <c r="W2040" s="104">
        <v>0</v>
      </c>
      <c r="X2040" s="97">
        <v>2</v>
      </c>
      <c r="Y2040" s="12">
        <v>0</v>
      </c>
      <c r="Z2040" s="97">
        <v>0</v>
      </c>
      <c r="AA2040" s="97">
        <v>0</v>
      </c>
      <c r="AB2040" s="97">
        <v>0</v>
      </c>
      <c r="AC2040" s="104">
        <v>0</v>
      </c>
      <c r="AD2040" s="97">
        <v>0</v>
      </c>
      <c r="AE2040" s="97">
        <v>0</v>
      </c>
      <c r="AF2040" s="97">
        <v>10</v>
      </c>
      <c r="AG2040" s="97">
        <v>1</v>
      </c>
      <c r="AH2040" s="97">
        <v>5</v>
      </c>
      <c r="AI2040" s="107">
        <v>0</v>
      </c>
      <c r="AJ2040" s="107">
        <v>1</v>
      </c>
      <c r="AK2040" s="106">
        <v>0</v>
      </c>
      <c r="AL2040" s="97">
        <v>2.5</v>
      </c>
      <c r="AM2040" s="108">
        <v>0</v>
      </c>
      <c r="AN2040" s="97">
        <v>1</v>
      </c>
      <c r="AO2040" s="97">
        <v>0</v>
      </c>
      <c r="AP2040" s="97">
        <v>1</v>
      </c>
      <c r="AQ2040" s="97">
        <v>3000</v>
      </c>
      <c r="AR2040" s="97">
        <v>1</v>
      </c>
      <c r="AS2040" s="97">
        <v>0</v>
      </c>
      <c r="AT2040" s="335" t="s">
        <v>732</v>
      </c>
      <c r="AU2040" s="336" t="s">
        <v>733</v>
      </c>
      <c r="AV2040" s="110"/>
      <c r="AW2040" s="97" t="s">
        <v>287</v>
      </c>
      <c r="AX2040" s="104">
        <v>0</v>
      </c>
      <c r="AY2040" s="104">
        <v>0</v>
      </c>
      <c r="AZ2040" s="104">
        <v>62001401</v>
      </c>
      <c r="BA2040" s="102" t="s">
        <v>200</v>
      </c>
      <c r="BB2040" s="101">
        <v>0</v>
      </c>
      <c r="BC2040" s="105">
        <v>0</v>
      </c>
      <c r="BD2040" s="105">
        <v>0</v>
      </c>
      <c r="BE2040" s="118" t="s">
        <v>4578</v>
      </c>
      <c r="BF2040" s="118" t="s">
        <v>4579</v>
      </c>
      <c r="BG2040" s="97">
        <v>0</v>
      </c>
      <c r="BH2040" s="97">
        <v>0</v>
      </c>
      <c r="BI2040" s="100">
        <v>0</v>
      </c>
      <c r="BJ2040" s="97">
        <v>0</v>
      </c>
      <c r="BK2040" s="97">
        <v>0</v>
      </c>
      <c r="BL2040" s="108">
        <v>0</v>
      </c>
      <c r="BM2040" s="97">
        <v>0</v>
      </c>
      <c r="BN2040" s="106">
        <v>0</v>
      </c>
      <c r="BO2040" s="106">
        <v>0</v>
      </c>
      <c r="BP2040" s="106">
        <v>0</v>
      </c>
      <c r="BQ2040" s="106">
        <v>0</v>
      </c>
      <c r="BR2040" s="106">
        <v>0</v>
      </c>
      <c r="BS2040" s="106">
        <v>0</v>
      </c>
      <c r="BT2040" s="12">
        <v>0</v>
      </c>
      <c r="BU2040" s="47">
        <v>0</v>
      </c>
      <c r="BV2040" s="47"/>
      <c r="BW2040" s="47"/>
    </row>
    <row r="2041" spans="3:75" ht="20.100000000000001" customHeight="1">
      <c r="C2041" s="100">
        <v>79000015</v>
      </c>
      <c r="D2041" s="99" t="s">
        <v>810</v>
      </c>
      <c r="E2041" s="99" t="s">
        <v>811</v>
      </c>
      <c r="F2041" s="101">
        <v>2</v>
      </c>
      <c r="G2041" s="101">
        <v>61012301</v>
      </c>
      <c r="H2041" s="101">
        <v>0</v>
      </c>
      <c r="I2041" s="105">
        <v>0</v>
      </c>
      <c r="J2041" s="100">
        <v>1</v>
      </c>
      <c r="K2041" s="100">
        <v>0</v>
      </c>
      <c r="L2041" s="100">
        <v>0</v>
      </c>
      <c r="M2041" s="101">
        <v>0</v>
      </c>
      <c r="N2041" s="101">
        <v>0</v>
      </c>
      <c r="O2041" s="101">
        <v>2</v>
      </c>
      <c r="P2041" s="101">
        <v>2</v>
      </c>
      <c r="Q2041" s="101">
        <v>0.8</v>
      </c>
      <c r="R2041" s="101">
        <v>0</v>
      </c>
      <c r="S2041" s="106">
        <v>0</v>
      </c>
      <c r="T2041" s="101">
        <v>0</v>
      </c>
      <c r="U2041" s="101">
        <v>1</v>
      </c>
      <c r="V2041" s="101">
        <v>2</v>
      </c>
      <c r="W2041" s="101">
        <v>0</v>
      </c>
      <c r="X2041" s="101">
        <v>3</v>
      </c>
      <c r="Y2041" s="12">
        <v>0</v>
      </c>
      <c r="Z2041" s="101">
        <v>0</v>
      </c>
      <c r="AA2041" s="101">
        <v>1</v>
      </c>
      <c r="AB2041" s="101">
        <v>0</v>
      </c>
      <c r="AC2041" s="101">
        <v>0</v>
      </c>
      <c r="AD2041" s="101">
        <v>0</v>
      </c>
      <c r="AE2041" s="101">
        <v>1</v>
      </c>
      <c r="AF2041" s="101">
        <v>12</v>
      </c>
      <c r="AG2041" s="101">
        <v>1</v>
      </c>
      <c r="AH2041" s="101">
        <v>6</v>
      </c>
      <c r="AI2041" s="106">
        <v>0</v>
      </c>
      <c r="AJ2041" s="106">
        <v>1</v>
      </c>
      <c r="AK2041" s="106">
        <v>0</v>
      </c>
      <c r="AL2041" s="106">
        <v>3</v>
      </c>
      <c r="AM2041" s="101">
        <v>0</v>
      </c>
      <c r="AN2041" s="101">
        <v>1</v>
      </c>
      <c r="AO2041" s="101">
        <v>0</v>
      </c>
      <c r="AP2041" s="101">
        <v>1</v>
      </c>
      <c r="AQ2041" s="101">
        <v>3000</v>
      </c>
      <c r="AR2041" s="101">
        <v>1</v>
      </c>
      <c r="AS2041" s="101">
        <v>0</v>
      </c>
      <c r="AT2041" s="106">
        <v>0</v>
      </c>
      <c r="AU2041" s="339" t="s">
        <v>807</v>
      </c>
      <c r="AV2041" s="114"/>
      <c r="AW2041" s="99" t="s">
        <v>617</v>
      </c>
      <c r="AX2041" s="101" t="s">
        <v>215</v>
      </c>
      <c r="AY2041" s="100">
        <v>10000011</v>
      </c>
      <c r="AZ2041" s="100">
        <v>62001502</v>
      </c>
      <c r="BA2041" s="102" t="s">
        <v>200</v>
      </c>
      <c r="BB2041" s="101">
        <v>0</v>
      </c>
      <c r="BC2041" s="105">
        <v>0</v>
      </c>
      <c r="BD2041" s="105">
        <v>0</v>
      </c>
      <c r="BE2041" s="119" t="s">
        <v>812</v>
      </c>
      <c r="BF2041" s="119" t="s">
        <v>813</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row>
    <row r="2042" spans="3:75" ht="20.100000000000001" customHeight="1">
      <c r="C2042" s="100">
        <v>79000016</v>
      </c>
      <c r="D2042" s="103" t="s">
        <v>814</v>
      </c>
      <c r="E2042" s="103" t="s">
        <v>815</v>
      </c>
      <c r="F2042" s="97">
        <v>1</v>
      </c>
      <c r="G2042" s="97">
        <v>60010002</v>
      </c>
      <c r="H2042" s="97">
        <v>0</v>
      </c>
      <c r="I2042" s="104">
        <v>0</v>
      </c>
      <c r="J2042" s="97">
        <v>0</v>
      </c>
      <c r="K2042" s="97">
        <v>0</v>
      </c>
      <c r="L2042" s="104">
        <v>0</v>
      </c>
      <c r="M2042" s="104">
        <v>0</v>
      </c>
      <c r="N2042" s="97">
        <v>0</v>
      </c>
      <c r="O2042" s="101">
        <v>2</v>
      </c>
      <c r="P2042" s="101">
        <v>2</v>
      </c>
      <c r="Q2042" s="97">
        <v>0.8</v>
      </c>
      <c r="R2042" s="97">
        <v>0</v>
      </c>
      <c r="S2042" s="106">
        <v>0</v>
      </c>
      <c r="T2042" s="97">
        <v>0</v>
      </c>
      <c r="U2042" s="101">
        <v>1</v>
      </c>
      <c r="V2042" s="97">
        <v>2</v>
      </c>
      <c r="W2042" s="104">
        <v>0</v>
      </c>
      <c r="X2042" s="97">
        <v>3</v>
      </c>
      <c r="Y2042" s="12">
        <v>0</v>
      </c>
      <c r="Z2042" s="97">
        <v>0</v>
      </c>
      <c r="AA2042" s="97">
        <v>0</v>
      </c>
      <c r="AB2042" s="97">
        <v>0</v>
      </c>
      <c r="AC2042" s="104">
        <v>0</v>
      </c>
      <c r="AD2042" s="97">
        <v>0</v>
      </c>
      <c r="AE2042" s="97">
        <v>0</v>
      </c>
      <c r="AF2042" s="97">
        <v>8</v>
      </c>
      <c r="AG2042" s="97">
        <v>2</v>
      </c>
      <c r="AH2042" s="97" t="s">
        <v>1036</v>
      </c>
      <c r="AI2042" s="107">
        <v>0</v>
      </c>
      <c r="AJ2042" s="107">
        <v>2</v>
      </c>
      <c r="AK2042" s="106">
        <v>0</v>
      </c>
      <c r="AL2042" s="97">
        <v>1.5</v>
      </c>
      <c r="AM2042" s="108">
        <v>0</v>
      </c>
      <c r="AN2042" s="97">
        <v>0</v>
      </c>
      <c r="AO2042" s="97">
        <v>0</v>
      </c>
      <c r="AP2042" s="97">
        <v>2.5</v>
      </c>
      <c r="AQ2042" s="101">
        <v>8000</v>
      </c>
      <c r="AR2042" s="97">
        <v>1.5</v>
      </c>
      <c r="AS2042" s="97">
        <v>10</v>
      </c>
      <c r="AT2042" s="106">
        <v>0</v>
      </c>
      <c r="AU2042" s="340" t="s">
        <v>807</v>
      </c>
      <c r="AV2042" s="101"/>
      <c r="AW2042" s="102" t="s">
        <v>287</v>
      </c>
      <c r="AX2042" s="104">
        <v>0</v>
      </c>
      <c r="AY2042" s="104">
        <v>0</v>
      </c>
      <c r="AZ2042" s="104">
        <v>62001503</v>
      </c>
      <c r="BA2042" s="102" t="s">
        <v>586</v>
      </c>
      <c r="BB2042" s="101" t="s">
        <v>816</v>
      </c>
      <c r="BC2042" s="105">
        <v>0</v>
      </c>
      <c r="BD2042" s="105">
        <v>0</v>
      </c>
      <c r="BE2042" s="119" t="s">
        <v>817</v>
      </c>
      <c r="BF2042" s="122" t="s">
        <v>818</v>
      </c>
      <c r="BG2042" s="97">
        <v>2</v>
      </c>
      <c r="BH2042" s="97">
        <v>0</v>
      </c>
      <c r="BI2042" s="100">
        <v>0</v>
      </c>
      <c r="BJ2042" s="97">
        <v>1</v>
      </c>
      <c r="BK2042" s="97">
        <v>2</v>
      </c>
      <c r="BL2042" s="108">
        <v>0</v>
      </c>
      <c r="BM2042" s="97">
        <v>0</v>
      </c>
      <c r="BN2042" s="106">
        <v>0</v>
      </c>
      <c r="BO2042" s="106">
        <v>0</v>
      </c>
      <c r="BP2042" s="106">
        <v>0</v>
      </c>
      <c r="BQ2042" s="106">
        <v>0</v>
      </c>
      <c r="BR2042" s="106">
        <v>0</v>
      </c>
      <c r="BS2042" s="106">
        <v>0</v>
      </c>
      <c r="BT2042" s="12">
        <v>0</v>
      </c>
      <c r="BU2042" s="47">
        <v>0</v>
      </c>
      <c r="BV2042" s="47"/>
      <c r="BW2042" s="47"/>
    </row>
    <row r="2043" spans="3:75" ht="19.5" customHeight="1">
      <c r="C2043" s="100">
        <v>79000017</v>
      </c>
      <c r="D2043" s="99" t="s">
        <v>1302</v>
      </c>
      <c r="E2043" s="99" t="s">
        <v>1303</v>
      </c>
      <c r="F2043" s="100">
        <v>1</v>
      </c>
      <c r="G2043" s="100">
        <v>80004009</v>
      </c>
      <c r="H2043" s="100">
        <v>0</v>
      </c>
      <c r="I2043" s="105">
        <v>0</v>
      </c>
      <c r="J2043" s="100">
        <v>1</v>
      </c>
      <c r="K2043" s="100">
        <v>0</v>
      </c>
      <c r="L2043" s="100">
        <v>0</v>
      </c>
      <c r="M2043" s="101">
        <v>0</v>
      </c>
      <c r="N2043" s="101">
        <v>0</v>
      </c>
      <c r="O2043" s="101">
        <v>2</v>
      </c>
      <c r="P2043" s="101">
        <v>16</v>
      </c>
      <c r="Q2043" s="101">
        <v>5</v>
      </c>
      <c r="R2043" s="101">
        <v>0</v>
      </c>
      <c r="S2043" s="106">
        <v>0</v>
      </c>
      <c r="T2043" s="101">
        <v>0</v>
      </c>
      <c r="U2043" s="101">
        <v>1</v>
      </c>
      <c r="V2043" s="101">
        <v>2</v>
      </c>
      <c r="W2043" s="101">
        <v>0</v>
      </c>
      <c r="X2043" s="101">
        <v>1</v>
      </c>
      <c r="Y2043" s="12">
        <v>0</v>
      </c>
      <c r="Z2043" s="101">
        <v>0</v>
      </c>
      <c r="AA2043" s="101">
        <v>0</v>
      </c>
      <c r="AB2043" s="101">
        <v>0</v>
      </c>
      <c r="AC2043" s="101">
        <v>0</v>
      </c>
      <c r="AD2043" s="101">
        <v>0</v>
      </c>
      <c r="AE2043" s="101">
        <v>1</v>
      </c>
      <c r="AF2043" s="101">
        <v>0</v>
      </c>
      <c r="AG2043" s="101">
        <v>1</v>
      </c>
      <c r="AH2043" s="101">
        <v>2</v>
      </c>
      <c r="AI2043" s="106">
        <v>0</v>
      </c>
      <c r="AJ2043" s="106">
        <v>2</v>
      </c>
      <c r="AK2043" s="106">
        <v>0</v>
      </c>
      <c r="AL2043" s="106">
        <v>2</v>
      </c>
      <c r="AM2043" s="101">
        <v>0</v>
      </c>
      <c r="AN2043" s="101">
        <v>0</v>
      </c>
      <c r="AO2043" s="101">
        <v>0</v>
      </c>
      <c r="AP2043" s="101">
        <v>2</v>
      </c>
      <c r="AQ2043" s="101">
        <v>5000</v>
      </c>
      <c r="AR2043" s="101">
        <v>0</v>
      </c>
      <c r="AS2043" s="101">
        <v>10</v>
      </c>
      <c r="AT2043" s="113">
        <v>0</v>
      </c>
      <c r="AU2043" s="339" t="s">
        <v>198</v>
      </c>
      <c r="AV2043" s="114"/>
      <c r="AW2043" s="99" t="s">
        <v>199</v>
      </c>
      <c r="AX2043" s="101" t="s">
        <v>534</v>
      </c>
      <c r="AY2043" s="100">
        <v>10000007</v>
      </c>
      <c r="AZ2043" s="337" t="s">
        <v>1304</v>
      </c>
      <c r="BA2043" s="99" t="s">
        <v>586</v>
      </c>
      <c r="BB2043" s="101" t="s">
        <v>1305</v>
      </c>
      <c r="BC2043" s="105">
        <v>0</v>
      </c>
      <c r="BD2043" s="105">
        <v>1</v>
      </c>
      <c r="BE2043" s="119" t="s">
        <v>1306</v>
      </c>
      <c r="BF2043" s="119" t="s">
        <v>1307</v>
      </c>
      <c r="BG2043" s="101">
        <v>0</v>
      </c>
      <c r="BH2043" s="101">
        <v>0</v>
      </c>
      <c r="BI2043" s="101">
        <v>0</v>
      </c>
      <c r="BJ2043" s="101">
        <v>0</v>
      </c>
      <c r="BK2043" s="101">
        <v>0</v>
      </c>
      <c r="BL2043" s="101">
        <v>0</v>
      </c>
      <c r="BM2043" s="97">
        <v>0</v>
      </c>
      <c r="BN2043" s="106">
        <v>0</v>
      </c>
      <c r="BO2043" s="106">
        <v>0</v>
      </c>
      <c r="BP2043" s="106">
        <v>0</v>
      </c>
      <c r="BQ2043" s="106">
        <v>0</v>
      </c>
      <c r="BR2043" s="106">
        <v>0</v>
      </c>
      <c r="BS2043" s="106">
        <v>1</v>
      </c>
      <c r="BT2043" s="12">
        <v>0</v>
      </c>
      <c r="BU2043" s="47">
        <v>0</v>
      </c>
      <c r="BV2043" s="47"/>
      <c r="BW2043" s="47"/>
    </row>
    <row r="2044" spans="3:75" ht="20.100000000000001" customHeight="1">
      <c r="C2044" s="100">
        <v>79000018</v>
      </c>
      <c r="D2044" s="99" t="s">
        <v>804</v>
      </c>
      <c r="E2044" s="99" t="s">
        <v>805</v>
      </c>
      <c r="F2044" s="101">
        <v>2</v>
      </c>
      <c r="G2044" s="101">
        <v>61012301</v>
      </c>
      <c r="H2044" s="101">
        <v>0</v>
      </c>
      <c r="I2044" s="105">
        <v>0</v>
      </c>
      <c r="J2044" s="100">
        <v>1</v>
      </c>
      <c r="K2044" s="100">
        <v>0</v>
      </c>
      <c r="L2044" s="100">
        <v>0</v>
      </c>
      <c r="M2044" s="101">
        <v>0</v>
      </c>
      <c r="N2044" s="101">
        <v>0</v>
      </c>
      <c r="O2044" s="101">
        <v>2</v>
      </c>
      <c r="P2044" s="101">
        <v>2</v>
      </c>
      <c r="Q2044" s="101">
        <v>0.99</v>
      </c>
      <c r="R2044" s="101">
        <v>0</v>
      </c>
      <c r="S2044" s="106">
        <v>0</v>
      </c>
      <c r="T2044" s="101">
        <v>0</v>
      </c>
      <c r="U2044" s="101">
        <v>1</v>
      </c>
      <c r="V2044" s="101">
        <v>2</v>
      </c>
      <c r="W2044" s="101">
        <v>0</v>
      </c>
      <c r="X2044" s="101">
        <v>2</v>
      </c>
      <c r="Y2044" s="12">
        <v>0</v>
      </c>
      <c r="Z2044" s="101">
        <v>150</v>
      </c>
      <c r="AA2044" s="101">
        <v>1</v>
      </c>
      <c r="AB2044" s="101">
        <v>0</v>
      </c>
      <c r="AC2044" s="101">
        <v>0</v>
      </c>
      <c r="AD2044" s="101">
        <v>0</v>
      </c>
      <c r="AE2044" s="101">
        <v>1</v>
      </c>
      <c r="AF2044" s="101">
        <v>10</v>
      </c>
      <c r="AG2044" s="101">
        <v>2</v>
      </c>
      <c r="AH2044" s="101" t="s">
        <v>213</v>
      </c>
      <c r="AI2044" s="106">
        <v>0</v>
      </c>
      <c r="AJ2044" s="106">
        <v>2</v>
      </c>
      <c r="AK2044" s="106">
        <v>0</v>
      </c>
      <c r="AL2044" s="106">
        <v>1.5</v>
      </c>
      <c r="AM2044" s="101">
        <v>0</v>
      </c>
      <c r="AN2044" s="101">
        <v>0</v>
      </c>
      <c r="AO2044" s="101">
        <v>0</v>
      </c>
      <c r="AP2044" s="101">
        <v>1.5</v>
      </c>
      <c r="AQ2044" s="101">
        <v>1600</v>
      </c>
      <c r="AR2044" s="101">
        <v>1</v>
      </c>
      <c r="AS2044" s="101">
        <v>15</v>
      </c>
      <c r="AT2044" s="338" t="s">
        <v>806</v>
      </c>
      <c r="AU2044" s="339" t="s">
        <v>807</v>
      </c>
      <c r="AV2044" s="114"/>
      <c r="AW2044" s="99" t="s">
        <v>256</v>
      </c>
      <c r="AX2044" s="101" t="s">
        <v>215</v>
      </c>
      <c r="AY2044" s="100">
        <v>10000011</v>
      </c>
      <c r="AZ2044" s="100">
        <v>62001501</v>
      </c>
      <c r="BA2044" s="99" t="s">
        <v>216</v>
      </c>
      <c r="BB2044" s="101">
        <v>0</v>
      </c>
      <c r="BC2044" s="105">
        <v>0</v>
      </c>
      <c r="BD2044" s="105">
        <v>0</v>
      </c>
      <c r="BE2044" s="119" t="s">
        <v>808</v>
      </c>
      <c r="BF2044" s="119" t="s">
        <v>809</v>
      </c>
      <c r="BG2044" s="101">
        <v>0</v>
      </c>
      <c r="BH2044" s="101">
        <v>0</v>
      </c>
      <c r="BI2044" s="101">
        <v>0</v>
      </c>
      <c r="BJ2044" s="101">
        <v>0</v>
      </c>
      <c r="BK2044" s="101">
        <v>0</v>
      </c>
      <c r="BL2044" s="101">
        <v>0</v>
      </c>
      <c r="BM2044" s="97">
        <v>0</v>
      </c>
      <c r="BN2044" s="106">
        <v>0</v>
      </c>
      <c r="BO2044" s="106">
        <v>0</v>
      </c>
      <c r="BP2044" s="106">
        <v>0</v>
      </c>
      <c r="BQ2044" s="106">
        <v>0</v>
      </c>
      <c r="BR2044" s="106">
        <v>0</v>
      </c>
      <c r="BS2044" s="106">
        <v>0</v>
      </c>
      <c r="BT2044" s="12">
        <v>0</v>
      </c>
      <c r="BU2044" s="47">
        <v>0</v>
      </c>
      <c r="BV2044" s="47"/>
      <c r="BW2044" s="47"/>
    </row>
    <row r="2045" spans="3:75" ht="20.100000000000001" customHeight="1">
      <c r="C2045" s="100">
        <v>79000019</v>
      </c>
      <c r="D2045" s="99" t="s">
        <v>1281</v>
      </c>
      <c r="E2045" s="99" t="s">
        <v>1282</v>
      </c>
      <c r="F2045" s="101">
        <v>1</v>
      </c>
      <c r="G2045" s="101">
        <v>61012201</v>
      </c>
      <c r="H2045" s="101">
        <v>0</v>
      </c>
      <c r="I2045" s="105">
        <v>0</v>
      </c>
      <c r="J2045" s="100">
        <v>1</v>
      </c>
      <c r="K2045" s="101">
        <v>0</v>
      </c>
      <c r="L2045" s="101">
        <v>0</v>
      </c>
      <c r="M2045" s="101">
        <v>0</v>
      </c>
      <c r="N2045" s="101">
        <v>0</v>
      </c>
      <c r="O2045" s="101">
        <v>2</v>
      </c>
      <c r="P2045" s="101">
        <v>2</v>
      </c>
      <c r="Q2045" s="101">
        <v>0.99</v>
      </c>
      <c r="R2045" s="101">
        <v>0</v>
      </c>
      <c r="S2045" s="106">
        <v>0</v>
      </c>
      <c r="T2045" s="101">
        <v>0</v>
      </c>
      <c r="U2045" s="101">
        <v>1</v>
      </c>
      <c r="V2045" s="101">
        <v>2</v>
      </c>
      <c r="W2045" s="101">
        <v>0</v>
      </c>
      <c r="X2045" s="101">
        <v>0</v>
      </c>
      <c r="Y2045" s="12">
        <v>0</v>
      </c>
      <c r="Z2045" s="101">
        <v>0</v>
      </c>
      <c r="AA2045" s="101">
        <v>1</v>
      </c>
      <c r="AB2045" s="101">
        <v>0</v>
      </c>
      <c r="AC2045" s="101">
        <v>0</v>
      </c>
      <c r="AD2045" s="101">
        <v>0</v>
      </c>
      <c r="AE2045" s="101">
        <v>1</v>
      </c>
      <c r="AF2045" s="101">
        <v>8</v>
      </c>
      <c r="AG2045" s="101">
        <v>1</v>
      </c>
      <c r="AH2045" s="101">
        <v>1</v>
      </c>
      <c r="AI2045" s="106">
        <v>0</v>
      </c>
      <c r="AJ2045" s="106">
        <v>1</v>
      </c>
      <c r="AK2045" s="106">
        <v>0</v>
      </c>
      <c r="AL2045" s="106">
        <v>1.5</v>
      </c>
      <c r="AM2045" s="101">
        <v>0</v>
      </c>
      <c r="AN2045" s="101">
        <v>0</v>
      </c>
      <c r="AO2045" s="101">
        <v>0</v>
      </c>
      <c r="AP2045" s="101">
        <v>0</v>
      </c>
      <c r="AQ2045" s="101">
        <v>300</v>
      </c>
      <c r="AR2045" s="101">
        <v>0</v>
      </c>
      <c r="AS2045" s="101">
        <v>0</v>
      </c>
      <c r="AT2045" s="335" t="s">
        <v>1283</v>
      </c>
      <c r="AU2045" s="101">
        <v>0</v>
      </c>
      <c r="AV2045" s="101"/>
      <c r="AW2045" s="99" t="s">
        <v>199</v>
      </c>
      <c r="AX2045" s="101" t="s">
        <v>534</v>
      </c>
      <c r="AY2045" s="100">
        <v>0</v>
      </c>
      <c r="AZ2045" s="100">
        <v>0</v>
      </c>
      <c r="BA2045" s="99" t="s">
        <v>771</v>
      </c>
      <c r="BB2045" s="101">
        <v>0</v>
      </c>
      <c r="BC2045" s="105">
        <v>0</v>
      </c>
      <c r="BD2045" s="105">
        <v>0</v>
      </c>
      <c r="BE2045" s="137" t="s">
        <v>1289</v>
      </c>
      <c r="BF2045" s="137" t="s">
        <v>1290</v>
      </c>
      <c r="BG2045" s="101">
        <v>0</v>
      </c>
      <c r="BH2045" s="101">
        <v>0</v>
      </c>
      <c r="BI2045" s="101">
        <v>0</v>
      </c>
      <c r="BJ2045" s="101">
        <v>0</v>
      </c>
      <c r="BK2045" s="101">
        <v>0</v>
      </c>
      <c r="BL2045" s="101">
        <v>0</v>
      </c>
      <c r="BM2045" s="97">
        <v>0</v>
      </c>
      <c r="BN2045" s="106">
        <v>0</v>
      </c>
      <c r="BO2045" s="106">
        <v>0</v>
      </c>
      <c r="BP2045" s="106">
        <v>0</v>
      </c>
      <c r="BQ2045" s="106">
        <v>0</v>
      </c>
      <c r="BR2045" s="106">
        <v>0</v>
      </c>
      <c r="BS2045" s="106">
        <v>1</v>
      </c>
      <c r="BT2045" s="12">
        <v>0</v>
      </c>
      <c r="BU2045" s="47">
        <v>0</v>
      </c>
      <c r="BV2045" s="47"/>
      <c r="BW2045" s="47"/>
    </row>
    <row r="2046" spans="3:75" ht="20.100000000000001" customHeight="1">
      <c r="C2046" s="100">
        <v>79000020</v>
      </c>
      <c r="D2046" s="102" t="s">
        <v>573</v>
      </c>
      <c r="E2046" s="102" t="s">
        <v>574</v>
      </c>
      <c r="F2046" s="100">
        <v>1</v>
      </c>
      <c r="G2046" s="100">
        <v>60010300</v>
      </c>
      <c r="H2046" s="100">
        <v>0</v>
      </c>
      <c r="I2046" s="105">
        <v>0</v>
      </c>
      <c r="J2046" s="100">
        <v>1</v>
      </c>
      <c r="K2046" s="100">
        <v>0</v>
      </c>
      <c r="L2046" s="100">
        <v>0</v>
      </c>
      <c r="M2046" s="100">
        <v>0</v>
      </c>
      <c r="N2046" s="100">
        <v>0</v>
      </c>
      <c r="O2046" s="101">
        <v>2</v>
      </c>
      <c r="P2046" s="100">
        <v>2</v>
      </c>
      <c r="Q2046" s="100">
        <v>0.6</v>
      </c>
      <c r="R2046" s="100">
        <v>0</v>
      </c>
      <c r="S2046" s="106">
        <v>0</v>
      </c>
      <c r="T2046" s="105">
        <v>0</v>
      </c>
      <c r="U2046" s="101">
        <v>1</v>
      </c>
      <c r="V2046" s="100">
        <v>2</v>
      </c>
      <c r="W2046" s="100">
        <v>0</v>
      </c>
      <c r="X2046" s="100">
        <v>0.5</v>
      </c>
      <c r="Y2046" s="12">
        <v>0</v>
      </c>
      <c r="Z2046" s="100">
        <v>0</v>
      </c>
      <c r="AA2046" s="100">
        <v>0</v>
      </c>
      <c r="AB2046" s="100">
        <v>0</v>
      </c>
      <c r="AC2046" s="100">
        <v>0</v>
      </c>
      <c r="AD2046" s="100">
        <v>0</v>
      </c>
      <c r="AE2046" s="100">
        <v>0</v>
      </c>
      <c r="AF2046" s="100">
        <v>12</v>
      </c>
      <c r="AG2046" s="100">
        <v>1</v>
      </c>
      <c r="AH2046" s="100">
        <v>3</v>
      </c>
      <c r="AI2046" s="106">
        <v>1</v>
      </c>
      <c r="AJ2046" s="106">
        <v>0</v>
      </c>
      <c r="AK2046" s="106">
        <v>0</v>
      </c>
      <c r="AL2046" s="106">
        <v>1.5</v>
      </c>
      <c r="AM2046" s="100">
        <v>0</v>
      </c>
      <c r="AN2046" s="100">
        <v>0</v>
      </c>
      <c r="AO2046" s="100">
        <v>0</v>
      </c>
      <c r="AP2046" s="100">
        <v>1</v>
      </c>
      <c r="AQ2046" s="100">
        <v>360000</v>
      </c>
      <c r="AR2046" s="100">
        <v>0.5</v>
      </c>
      <c r="AS2046" s="100">
        <v>0</v>
      </c>
      <c r="AT2046" s="106">
        <v>0</v>
      </c>
      <c r="AU2046" s="100" t="s">
        <v>575</v>
      </c>
      <c r="AV2046" s="100"/>
      <c r="AW2046" s="102" t="s">
        <v>199</v>
      </c>
      <c r="AX2046" s="100" t="s">
        <v>545</v>
      </c>
      <c r="AY2046" s="100">
        <v>10002001</v>
      </c>
      <c r="AZ2046" s="100">
        <v>70106001</v>
      </c>
      <c r="BA2046" s="102" t="s">
        <v>315</v>
      </c>
      <c r="BB2046" s="102" t="s">
        <v>576</v>
      </c>
      <c r="BC2046" s="105">
        <v>0</v>
      </c>
      <c r="BD2046" s="105">
        <v>0</v>
      </c>
      <c r="BE2046" s="120" t="s">
        <v>577</v>
      </c>
      <c r="BF2046" s="120" t="s">
        <v>578</v>
      </c>
      <c r="BG2046" s="100">
        <v>0</v>
      </c>
      <c r="BH2046" s="101">
        <v>0</v>
      </c>
      <c r="BI2046" s="100">
        <v>0</v>
      </c>
      <c r="BJ2046" s="100">
        <v>0</v>
      </c>
      <c r="BK2046" s="100">
        <v>0</v>
      </c>
      <c r="BL2046" s="100">
        <v>0</v>
      </c>
      <c r="BM2046" s="97">
        <v>0</v>
      </c>
      <c r="BN2046" s="106">
        <v>0</v>
      </c>
      <c r="BO2046" s="106">
        <v>0</v>
      </c>
      <c r="BP2046" s="106">
        <v>0</v>
      </c>
      <c r="BQ2046" s="106">
        <v>0</v>
      </c>
      <c r="BR2046" s="106">
        <v>0</v>
      </c>
      <c r="BS2046" s="106">
        <v>0</v>
      </c>
      <c r="BT2046" s="12">
        <v>0</v>
      </c>
      <c r="BU2046" s="47">
        <v>0</v>
      </c>
      <c r="BV2046" s="47"/>
      <c r="BW2046" s="47"/>
    </row>
    <row r="2047" spans="3:75" ht="20.100000000000001" customHeight="1">
      <c r="C2047" s="18">
        <v>79001001</v>
      </c>
      <c r="D2047" s="17" t="s">
        <v>1324</v>
      </c>
      <c r="E2047" s="17" t="s">
        <v>1325</v>
      </c>
      <c r="F2047" s="18">
        <v>1</v>
      </c>
      <c r="G2047" s="16">
        <v>60010100</v>
      </c>
      <c r="H2047" s="18">
        <v>0</v>
      </c>
      <c r="I2047" s="27">
        <v>0</v>
      </c>
      <c r="J2047" s="18">
        <v>1</v>
      </c>
      <c r="K2047" s="18">
        <v>0</v>
      </c>
      <c r="L2047" s="18">
        <v>0</v>
      </c>
      <c r="M2047" s="16">
        <v>0</v>
      </c>
      <c r="N2047" s="16">
        <v>0</v>
      </c>
      <c r="O2047" s="60">
        <v>2</v>
      </c>
      <c r="P2047" s="16">
        <v>1</v>
      </c>
      <c r="Q2047" s="16">
        <v>1</v>
      </c>
      <c r="R2047" s="16">
        <v>0</v>
      </c>
      <c r="S2047" s="12">
        <v>0</v>
      </c>
      <c r="T2047" s="16">
        <v>0</v>
      </c>
      <c r="U2047" s="16">
        <v>1</v>
      </c>
      <c r="V2047" s="16">
        <v>2</v>
      </c>
      <c r="W2047" s="16">
        <v>0</v>
      </c>
      <c r="X2047" s="16">
        <v>2</v>
      </c>
      <c r="Y2047" s="12">
        <v>0</v>
      </c>
      <c r="Z2047" s="16">
        <v>0</v>
      </c>
      <c r="AA2047" s="16">
        <v>1</v>
      </c>
      <c r="AB2047" s="16">
        <v>0</v>
      </c>
      <c r="AC2047" s="16">
        <v>0</v>
      </c>
      <c r="AD2047" s="16">
        <v>0</v>
      </c>
      <c r="AE2047" s="16">
        <v>0</v>
      </c>
      <c r="AF2047" s="16">
        <v>3</v>
      </c>
      <c r="AG2047" s="16">
        <v>2</v>
      </c>
      <c r="AH2047" s="16" t="s">
        <v>213</v>
      </c>
      <c r="AI2047" s="12">
        <v>0</v>
      </c>
      <c r="AJ2047" s="12">
        <v>2</v>
      </c>
      <c r="AK2047" s="12">
        <v>0</v>
      </c>
      <c r="AL2047" s="12">
        <v>1.5</v>
      </c>
      <c r="AM2047" s="16">
        <v>0</v>
      </c>
      <c r="AN2047" s="16">
        <v>0</v>
      </c>
      <c r="AO2047" s="16">
        <v>0</v>
      </c>
      <c r="AP2047" s="16">
        <v>1.5</v>
      </c>
      <c r="AQ2047" s="16">
        <v>10000</v>
      </c>
      <c r="AR2047" s="16">
        <v>1</v>
      </c>
      <c r="AS2047" s="16">
        <v>5</v>
      </c>
      <c r="AT2047" s="12">
        <v>0</v>
      </c>
      <c r="AU2047" s="16" t="s">
        <v>198</v>
      </c>
      <c r="AV2047" s="16"/>
      <c r="AW2047" s="19" t="s">
        <v>617</v>
      </c>
      <c r="AX2047" s="16" t="s">
        <v>534</v>
      </c>
      <c r="AY2047" s="18">
        <v>10000007</v>
      </c>
      <c r="AZ2047" s="18">
        <v>70302003</v>
      </c>
      <c r="BA2047" s="19" t="s">
        <v>586</v>
      </c>
      <c r="BB2047" s="27">
        <v>0</v>
      </c>
      <c r="BC2047" s="27">
        <v>0</v>
      </c>
      <c r="BD2047" s="27">
        <v>0</v>
      </c>
      <c r="BE2047" s="44" t="s">
        <v>1108</v>
      </c>
      <c r="BF2047" s="44" t="s">
        <v>1109</v>
      </c>
      <c r="BG2047" s="16">
        <v>1</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19.5" customHeight="1">
      <c r="C2048" s="18">
        <v>79002001</v>
      </c>
      <c r="D2048" s="17" t="s">
        <v>1091</v>
      </c>
      <c r="E2048" s="17" t="s">
        <v>1092</v>
      </c>
      <c r="F2048" s="18">
        <v>1</v>
      </c>
      <c r="G2048" s="16">
        <v>60010100</v>
      </c>
      <c r="H2048" s="18">
        <v>0</v>
      </c>
      <c r="I2048" s="27">
        <v>0</v>
      </c>
      <c r="J2048" s="18">
        <v>1</v>
      </c>
      <c r="K2048" s="18">
        <v>0</v>
      </c>
      <c r="L2048" s="18">
        <v>0</v>
      </c>
      <c r="M2048" s="16">
        <v>0</v>
      </c>
      <c r="N2048" s="16">
        <v>0</v>
      </c>
      <c r="O2048" s="60">
        <v>2</v>
      </c>
      <c r="P2048" s="16">
        <v>2</v>
      </c>
      <c r="Q2048" s="16">
        <v>0.9</v>
      </c>
      <c r="R2048" s="16">
        <v>0</v>
      </c>
      <c r="S2048" s="12">
        <v>101</v>
      </c>
      <c r="T2048" s="16">
        <v>0</v>
      </c>
      <c r="U2048" s="16">
        <v>1</v>
      </c>
      <c r="V2048" s="16">
        <v>2</v>
      </c>
      <c r="W2048" s="16">
        <v>0</v>
      </c>
      <c r="X2048" s="16">
        <v>3</v>
      </c>
      <c r="Y2048" s="12">
        <v>0</v>
      </c>
      <c r="Z2048" s="16">
        <v>0</v>
      </c>
      <c r="AA2048" s="16">
        <v>1</v>
      </c>
      <c r="AB2048" s="16">
        <v>0</v>
      </c>
      <c r="AC2048" s="16">
        <v>0</v>
      </c>
      <c r="AD2048" s="16">
        <v>0</v>
      </c>
      <c r="AE2048" s="16">
        <v>0</v>
      </c>
      <c r="AF2048" s="16">
        <v>10</v>
      </c>
      <c r="AG2048" s="16">
        <v>1</v>
      </c>
      <c r="AH2048" s="16" t="s">
        <v>607</v>
      </c>
      <c r="AI2048" s="12">
        <v>1</v>
      </c>
      <c r="AJ2048" s="12">
        <v>1</v>
      </c>
      <c r="AK2048" s="12">
        <v>0</v>
      </c>
      <c r="AL2048" s="12">
        <v>3</v>
      </c>
      <c r="AM2048" s="16">
        <v>0</v>
      </c>
      <c r="AN2048" s="16">
        <v>0</v>
      </c>
      <c r="AO2048" s="16">
        <v>0</v>
      </c>
      <c r="AP2048" s="16">
        <v>3</v>
      </c>
      <c r="AQ2048" s="16">
        <v>5000</v>
      </c>
      <c r="AR2048" s="16">
        <v>2.5</v>
      </c>
      <c r="AS2048" s="16">
        <v>0</v>
      </c>
      <c r="AT2048" s="12">
        <v>0</v>
      </c>
      <c r="AU2048" s="16" t="s">
        <v>659</v>
      </c>
      <c r="AV2048" s="16"/>
      <c r="AW2048" s="19" t="s">
        <v>256</v>
      </c>
      <c r="AX2048" s="16" t="s">
        <v>534</v>
      </c>
      <c r="AY2048" s="18">
        <v>10000007</v>
      </c>
      <c r="AZ2048" s="18">
        <v>70403003</v>
      </c>
      <c r="BA2048" s="17" t="s">
        <v>200</v>
      </c>
      <c r="BB2048" s="16">
        <v>0</v>
      </c>
      <c r="BC2048" s="27">
        <v>0</v>
      </c>
      <c r="BD2048" s="27">
        <v>0</v>
      </c>
      <c r="BE2048" s="44" t="s">
        <v>4457</v>
      </c>
      <c r="BF2048" s="44" t="s">
        <v>4458</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79003001</v>
      </c>
      <c r="D2049" s="17" t="s">
        <v>665</v>
      </c>
      <c r="E2049" s="17" t="s">
        <v>606</v>
      </c>
      <c r="F2049" s="16">
        <v>1</v>
      </c>
      <c r="G2049" s="16">
        <v>60010100</v>
      </c>
      <c r="H2049" s="18">
        <v>0</v>
      </c>
      <c r="I2049" s="27">
        <v>0</v>
      </c>
      <c r="J2049" s="18">
        <v>1</v>
      </c>
      <c r="K2049" s="18">
        <v>0</v>
      </c>
      <c r="L2049" s="18">
        <v>0</v>
      </c>
      <c r="M2049" s="16">
        <v>0</v>
      </c>
      <c r="N2049" s="16">
        <v>0</v>
      </c>
      <c r="O2049" s="16">
        <v>2</v>
      </c>
      <c r="P2049" s="16">
        <v>1</v>
      </c>
      <c r="Q2049" s="16">
        <v>0.5</v>
      </c>
      <c r="R2049" s="16">
        <v>0</v>
      </c>
      <c r="S2049" s="12">
        <v>0</v>
      </c>
      <c r="T2049" s="16">
        <v>0</v>
      </c>
      <c r="U2049" s="16">
        <v>1</v>
      </c>
      <c r="V2049" s="16">
        <v>2</v>
      </c>
      <c r="W2049" s="16">
        <v>0</v>
      </c>
      <c r="X2049" s="16">
        <v>3</v>
      </c>
      <c r="Y2049" s="12">
        <v>0</v>
      </c>
      <c r="Z2049" s="16">
        <v>0</v>
      </c>
      <c r="AA2049" s="16">
        <v>0</v>
      </c>
      <c r="AB2049" s="16">
        <v>0</v>
      </c>
      <c r="AC2049" s="16">
        <v>0</v>
      </c>
      <c r="AD2049" s="16">
        <v>0</v>
      </c>
      <c r="AE2049" s="16">
        <v>0</v>
      </c>
      <c r="AF2049" s="16">
        <v>10</v>
      </c>
      <c r="AG2049" s="16">
        <v>1</v>
      </c>
      <c r="AH2049" s="16">
        <v>3</v>
      </c>
      <c r="AI2049" s="12">
        <v>6</v>
      </c>
      <c r="AJ2049" s="12">
        <v>1</v>
      </c>
      <c r="AK2049" s="12">
        <v>0</v>
      </c>
      <c r="AL2049" s="12">
        <v>1.5</v>
      </c>
      <c r="AM2049" s="16">
        <v>0</v>
      </c>
      <c r="AN2049" s="16">
        <v>0</v>
      </c>
      <c r="AO2049" s="16">
        <v>0</v>
      </c>
      <c r="AP2049" s="16">
        <v>3</v>
      </c>
      <c r="AQ2049" s="16">
        <v>5000</v>
      </c>
      <c r="AR2049" s="16">
        <v>3</v>
      </c>
      <c r="AS2049" s="16">
        <v>0</v>
      </c>
      <c r="AT2049" s="12">
        <v>0</v>
      </c>
      <c r="AU2049" s="16" t="s">
        <v>198</v>
      </c>
      <c r="AV2049" s="16"/>
      <c r="AW2049" s="19" t="s">
        <v>256</v>
      </c>
      <c r="AX2049" s="16" t="s">
        <v>534</v>
      </c>
      <c r="AY2049" s="18">
        <v>10000007</v>
      </c>
      <c r="AZ2049" s="18">
        <v>70103003</v>
      </c>
      <c r="BA2049" s="17" t="s">
        <v>200</v>
      </c>
      <c r="BB2049" s="16" t="s">
        <v>4540</v>
      </c>
      <c r="BC2049" s="27">
        <v>0</v>
      </c>
      <c r="BD2049" s="27">
        <v>0</v>
      </c>
      <c r="BE2049" s="44" t="s">
        <v>667</v>
      </c>
      <c r="BF2049" s="44" t="s">
        <v>668</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19.5" customHeight="1">
      <c r="C2050" s="18">
        <v>79003002</v>
      </c>
      <c r="D2050" s="17" t="s">
        <v>1124</v>
      </c>
      <c r="E2050" s="17" t="s">
        <v>1125</v>
      </c>
      <c r="F2050" s="18">
        <v>1</v>
      </c>
      <c r="G2050" s="16">
        <v>60010100</v>
      </c>
      <c r="H2050" s="18">
        <v>0</v>
      </c>
      <c r="I2050" s="27">
        <v>0</v>
      </c>
      <c r="J2050" s="18">
        <v>1</v>
      </c>
      <c r="K2050" s="18">
        <v>0</v>
      </c>
      <c r="L2050" s="18">
        <v>0</v>
      </c>
      <c r="M2050" s="16">
        <v>0</v>
      </c>
      <c r="N2050" s="16">
        <v>0</v>
      </c>
      <c r="O2050" s="60">
        <v>2</v>
      </c>
      <c r="P2050" s="16">
        <v>1</v>
      </c>
      <c r="Q2050" s="16">
        <v>0.25</v>
      </c>
      <c r="R2050" s="16">
        <v>0</v>
      </c>
      <c r="S2050" s="12">
        <v>101</v>
      </c>
      <c r="T2050" s="16">
        <v>0</v>
      </c>
      <c r="U2050" s="16">
        <v>1</v>
      </c>
      <c r="V2050" s="16">
        <v>2</v>
      </c>
      <c r="W2050" s="16">
        <v>0</v>
      </c>
      <c r="X2050" s="16">
        <v>1.5</v>
      </c>
      <c r="Y2050" s="12">
        <v>0</v>
      </c>
      <c r="Z2050" s="16">
        <v>0</v>
      </c>
      <c r="AA2050" s="16">
        <v>1</v>
      </c>
      <c r="AB2050" s="16">
        <v>0</v>
      </c>
      <c r="AC2050" s="16">
        <v>0</v>
      </c>
      <c r="AD2050" s="16">
        <v>0</v>
      </c>
      <c r="AE2050" s="16">
        <v>0</v>
      </c>
      <c r="AF2050" s="16">
        <v>15</v>
      </c>
      <c r="AG2050" s="16">
        <v>1</v>
      </c>
      <c r="AH2050" s="16" t="s">
        <v>861</v>
      </c>
      <c r="AI2050" s="12">
        <v>0</v>
      </c>
      <c r="AJ2050" s="12">
        <v>0</v>
      </c>
      <c r="AK2050" s="12">
        <v>0</v>
      </c>
      <c r="AL2050" s="12">
        <v>0</v>
      </c>
      <c r="AM2050" s="16">
        <v>0</v>
      </c>
      <c r="AN2050" s="16">
        <v>0</v>
      </c>
      <c r="AO2050" s="16">
        <v>0</v>
      </c>
      <c r="AP2050" s="16">
        <v>0.5</v>
      </c>
      <c r="AQ2050" s="16">
        <v>100000</v>
      </c>
      <c r="AR2050" s="16">
        <v>0.5</v>
      </c>
      <c r="AS2050" s="16">
        <v>0</v>
      </c>
      <c r="AT2050" s="12">
        <v>0</v>
      </c>
      <c r="AU2050" s="341" t="s">
        <v>1019</v>
      </c>
      <c r="AV2050" s="12"/>
      <c r="AW2050" s="19" t="s">
        <v>287</v>
      </c>
      <c r="AX2050" s="16" t="s">
        <v>534</v>
      </c>
      <c r="AY2050" s="18">
        <v>10000007</v>
      </c>
      <c r="AZ2050" s="18">
        <v>70202004</v>
      </c>
      <c r="BA2050" s="19" t="s">
        <v>315</v>
      </c>
      <c r="BB2050" s="19" t="s">
        <v>371</v>
      </c>
      <c r="BC2050" s="27">
        <v>0</v>
      </c>
      <c r="BD2050" s="27">
        <v>0</v>
      </c>
      <c r="BE2050" s="44" t="s">
        <v>4537</v>
      </c>
      <c r="BF2050" s="44" t="s">
        <v>4538</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80000001</v>
      </c>
      <c r="D2051" s="17" t="s">
        <v>4580</v>
      </c>
      <c r="E2051" s="17" t="s">
        <v>4581</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4582</v>
      </c>
      <c r="BC2051" s="27">
        <v>0</v>
      </c>
      <c r="BD2051" s="27">
        <v>0</v>
      </c>
      <c r="BE2051" s="44" t="s">
        <v>4583</v>
      </c>
      <c r="BF2051" s="44" t="s">
        <v>4584</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80000002</v>
      </c>
      <c r="D2052" s="17" t="s">
        <v>4585</v>
      </c>
      <c r="E2052" s="17" t="s">
        <v>4586</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4582</v>
      </c>
      <c r="BC2052" s="27">
        <v>0</v>
      </c>
      <c r="BD2052" s="27">
        <v>0</v>
      </c>
      <c r="BE2052" s="44" t="s">
        <v>538</v>
      </c>
      <c r="BF2052" s="44" t="s">
        <v>539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80000003</v>
      </c>
      <c r="D2053" s="17" t="s">
        <v>4587</v>
      </c>
      <c r="E2053" s="17" t="s">
        <v>4588</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4582</v>
      </c>
      <c r="BC2053" s="27">
        <v>0</v>
      </c>
      <c r="BD2053" s="27">
        <v>0</v>
      </c>
      <c r="BE2053" s="44" t="s">
        <v>4589</v>
      </c>
      <c r="BF2053" s="44" t="s">
        <v>4590</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80000004</v>
      </c>
      <c r="D2054" s="17" t="s">
        <v>4591</v>
      </c>
      <c r="E2054" s="17" t="s">
        <v>4592</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4582</v>
      </c>
      <c r="BC2054" s="27">
        <v>0</v>
      </c>
      <c r="BD2054" s="27">
        <v>0</v>
      </c>
      <c r="BE2054" s="44" t="s">
        <v>4593</v>
      </c>
      <c r="BF2054" s="44" t="s">
        <v>4594</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80000005</v>
      </c>
      <c r="D2055" s="17" t="s">
        <v>4595</v>
      </c>
      <c r="E2055" s="17" t="s">
        <v>4596</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4582</v>
      </c>
      <c r="BC2055" s="27">
        <v>0</v>
      </c>
      <c r="BD2055" s="27">
        <v>0</v>
      </c>
      <c r="BE2055" s="44" t="s">
        <v>4597</v>
      </c>
      <c r="BF2055" s="44" t="s">
        <v>4598</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80000006</v>
      </c>
      <c r="D2056" s="17" t="s">
        <v>4599</v>
      </c>
      <c r="E2056" s="17" t="s">
        <v>4600</v>
      </c>
      <c r="F2056" s="16">
        <v>1</v>
      </c>
      <c r="G2056" s="16">
        <v>80000001</v>
      </c>
      <c r="H2056" s="18">
        <v>0</v>
      </c>
      <c r="I2056" s="27">
        <v>0</v>
      </c>
      <c r="J2056" s="18">
        <v>1</v>
      </c>
      <c r="K2056" s="18">
        <v>0</v>
      </c>
      <c r="L2056" s="18">
        <v>0</v>
      </c>
      <c r="M2056" s="16">
        <v>0</v>
      </c>
      <c r="N2056" s="16">
        <v>0</v>
      </c>
      <c r="O2056" s="16">
        <v>1</v>
      </c>
      <c r="P2056" s="16">
        <v>0</v>
      </c>
      <c r="Q2056" s="16">
        <v>0</v>
      </c>
      <c r="R2056" s="16">
        <v>0</v>
      </c>
      <c r="S2056" s="12">
        <v>0</v>
      </c>
      <c r="T2056" s="16">
        <v>0</v>
      </c>
      <c r="U2056" s="16">
        <v>1</v>
      </c>
      <c r="V2056" s="16">
        <v>2</v>
      </c>
      <c r="W2056" s="16">
        <v>0</v>
      </c>
      <c r="X2056" s="16">
        <v>1.2</v>
      </c>
      <c r="Y2056" s="12">
        <v>0</v>
      </c>
      <c r="Z2056" s="16">
        <v>100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4582</v>
      </c>
      <c r="BC2056" s="27">
        <v>0</v>
      </c>
      <c r="BD2056" s="27">
        <v>0</v>
      </c>
      <c r="BE2056" s="44" t="s">
        <v>4601</v>
      </c>
      <c r="BF2056" s="44" t="s">
        <v>4602</v>
      </c>
      <c r="BG2056" s="16">
        <v>0</v>
      </c>
      <c r="BH2056" s="16">
        <v>0</v>
      </c>
      <c r="BI2056" s="16">
        <v>0</v>
      </c>
      <c r="BJ2056" s="16">
        <v>0</v>
      </c>
      <c r="BK2056" s="16">
        <v>0</v>
      </c>
      <c r="BL2056" s="16">
        <v>0</v>
      </c>
      <c r="BM2056" s="15">
        <v>0</v>
      </c>
      <c r="BN2056" s="12">
        <v>0</v>
      </c>
      <c r="BO2056" s="12">
        <v>0</v>
      </c>
      <c r="BP2056" s="12">
        <v>0</v>
      </c>
      <c r="BQ2056" s="12">
        <v>0</v>
      </c>
      <c r="BR2056" s="12">
        <v>0</v>
      </c>
      <c r="BS2056" s="12">
        <v>0</v>
      </c>
      <c r="BT2056" s="12">
        <v>0</v>
      </c>
      <c r="BU2056" s="47">
        <v>0</v>
      </c>
      <c r="BV2056" s="47"/>
      <c r="BW2056" s="47"/>
    </row>
    <row r="2057" spans="3:75" ht="20.100000000000001" customHeight="1">
      <c r="C2057" s="18">
        <v>80000007</v>
      </c>
      <c r="D2057" s="17" t="s">
        <v>4603</v>
      </c>
      <c r="E2057" s="17" t="s">
        <v>4604</v>
      </c>
      <c r="F2057" s="16">
        <v>1</v>
      </c>
      <c r="G2057" s="16">
        <v>80000001</v>
      </c>
      <c r="H2057" s="18">
        <v>0</v>
      </c>
      <c r="I2057" s="27">
        <v>0</v>
      </c>
      <c r="J2057" s="18">
        <v>1</v>
      </c>
      <c r="K2057" s="18">
        <v>0</v>
      </c>
      <c r="L2057" s="18">
        <v>0</v>
      </c>
      <c r="M2057" s="16">
        <v>0</v>
      </c>
      <c r="N2057" s="16">
        <v>0</v>
      </c>
      <c r="O2057" s="16">
        <v>1</v>
      </c>
      <c r="P2057" s="16">
        <v>0</v>
      </c>
      <c r="Q2057" s="16">
        <v>0</v>
      </c>
      <c r="R2057" s="16">
        <v>0</v>
      </c>
      <c r="S2057" s="12">
        <v>0</v>
      </c>
      <c r="T2057" s="16">
        <v>0</v>
      </c>
      <c r="U2057" s="16">
        <v>1</v>
      </c>
      <c r="V2057" s="16">
        <v>2</v>
      </c>
      <c r="W2057" s="16">
        <v>0</v>
      </c>
      <c r="X2057" s="16">
        <v>1.2</v>
      </c>
      <c r="Y2057" s="12">
        <v>0</v>
      </c>
      <c r="Z2057" s="16">
        <v>100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4582</v>
      </c>
      <c r="BC2057" s="27">
        <v>0</v>
      </c>
      <c r="BD2057" s="27">
        <v>0</v>
      </c>
      <c r="BE2057" s="44" t="s">
        <v>4605</v>
      </c>
      <c r="BF2057" s="44" t="s">
        <v>4606</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row>
    <row r="2058" spans="3:75" ht="20.100000000000001" customHeight="1">
      <c r="C2058" s="18">
        <v>80000008</v>
      </c>
      <c r="D2058" s="17" t="s">
        <v>4607</v>
      </c>
      <c r="E2058" s="17" t="s">
        <v>4608</v>
      </c>
      <c r="F2058" s="16">
        <v>1</v>
      </c>
      <c r="G2058" s="16">
        <v>80000001</v>
      </c>
      <c r="H2058" s="18">
        <v>0</v>
      </c>
      <c r="I2058" s="27">
        <v>0</v>
      </c>
      <c r="J2058" s="18">
        <v>1</v>
      </c>
      <c r="K2058" s="18">
        <v>0</v>
      </c>
      <c r="L2058" s="18">
        <v>0</v>
      </c>
      <c r="M2058" s="16">
        <v>0</v>
      </c>
      <c r="N2058" s="16">
        <v>0</v>
      </c>
      <c r="O2058" s="16">
        <v>1</v>
      </c>
      <c r="P2058" s="16">
        <v>0</v>
      </c>
      <c r="Q2058" s="16">
        <v>0</v>
      </c>
      <c r="R2058" s="16">
        <v>0</v>
      </c>
      <c r="S2058" s="12">
        <v>0</v>
      </c>
      <c r="T2058" s="16">
        <v>0</v>
      </c>
      <c r="U2058" s="16">
        <v>1</v>
      </c>
      <c r="V2058" s="16">
        <v>2</v>
      </c>
      <c r="W2058" s="16">
        <v>0</v>
      </c>
      <c r="X2058" s="16">
        <v>1.2</v>
      </c>
      <c r="Y2058" s="12">
        <v>0</v>
      </c>
      <c r="Z2058" s="16">
        <v>100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4582</v>
      </c>
      <c r="BC2058" s="27">
        <v>0</v>
      </c>
      <c r="BD2058" s="27">
        <v>0</v>
      </c>
      <c r="BE2058" s="44" t="s">
        <v>1605</v>
      </c>
      <c r="BF2058" s="44" t="s">
        <v>1606</v>
      </c>
      <c r="BG2058" s="16">
        <v>0</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row>
    <row r="2059" spans="3:75" ht="20.100000000000001" customHeight="1">
      <c r="C2059" s="18">
        <v>80001001</v>
      </c>
      <c r="D2059" s="17" t="s">
        <v>4609</v>
      </c>
      <c r="E2059" s="279" t="s">
        <v>3347</v>
      </c>
      <c r="F2059" s="16">
        <v>1</v>
      </c>
      <c r="G2059" s="16">
        <v>80001001</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4610</v>
      </c>
      <c r="BC2059" s="27">
        <v>0</v>
      </c>
      <c r="BD2059" s="27">
        <v>0</v>
      </c>
      <c r="BE2059" s="44" t="s">
        <v>4611</v>
      </c>
      <c r="BF2059" s="44" t="s">
        <v>4612</v>
      </c>
      <c r="BG2059" s="16">
        <v>0</v>
      </c>
      <c r="BH2059" s="16">
        <v>0</v>
      </c>
      <c r="BI2059" s="16"/>
      <c r="BJ2059" s="16"/>
      <c r="BK2059" s="16"/>
      <c r="BL2059" s="16">
        <v>80002001</v>
      </c>
      <c r="BM2059" s="15">
        <v>0</v>
      </c>
      <c r="BN2059" s="12">
        <v>0</v>
      </c>
      <c r="BO2059" s="12">
        <v>0</v>
      </c>
      <c r="BP2059" s="12">
        <v>0</v>
      </c>
      <c r="BQ2059" s="12">
        <v>0</v>
      </c>
      <c r="BR2059" s="12">
        <v>0</v>
      </c>
      <c r="BS2059" s="12">
        <v>0</v>
      </c>
      <c r="BT2059" s="12">
        <v>0</v>
      </c>
      <c r="BU2059" s="47">
        <v>0</v>
      </c>
      <c r="BV2059" s="47"/>
      <c r="BW2059" s="47"/>
    </row>
    <row r="2060" spans="3:75" ht="20.100000000000001" customHeight="1">
      <c r="C2060" s="18">
        <v>80001002</v>
      </c>
      <c r="D2060" s="17" t="s">
        <v>4613</v>
      </c>
      <c r="E2060" s="279" t="s">
        <v>4614</v>
      </c>
      <c r="F2060" s="16">
        <v>1</v>
      </c>
      <c r="G2060" s="16">
        <v>80001002</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4615</v>
      </c>
      <c r="BC2060" s="27">
        <v>0</v>
      </c>
      <c r="BD2060" s="27">
        <v>0</v>
      </c>
      <c r="BE2060" s="44" t="s">
        <v>4616</v>
      </c>
      <c r="BF2060" s="44" t="s">
        <v>4617</v>
      </c>
      <c r="BG2060" s="16"/>
      <c r="BH2060" s="16">
        <v>0</v>
      </c>
      <c r="BI2060" s="16"/>
      <c r="BJ2060" s="16"/>
      <c r="BK2060" s="16"/>
      <c r="BL2060" s="16">
        <v>80002002</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80001003</v>
      </c>
      <c r="D2061" s="17" t="s">
        <v>4618</v>
      </c>
      <c r="E2061" s="279" t="s">
        <v>4619</v>
      </c>
      <c r="F2061" s="16">
        <v>1</v>
      </c>
      <c r="G2061" s="16">
        <v>80001003</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4620</v>
      </c>
      <c r="BC2061" s="27">
        <v>0</v>
      </c>
      <c r="BD2061" s="27">
        <v>0</v>
      </c>
      <c r="BE2061" s="44" t="s">
        <v>4621</v>
      </c>
      <c r="BF2061" s="44" t="s">
        <v>4622</v>
      </c>
      <c r="BG2061" s="16"/>
      <c r="BH2061" s="16">
        <v>0</v>
      </c>
      <c r="BI2061" s="16"/>
      <c r="BJ2061" s="16"/>
      <c r="BK2061" s="16"/>
      <c r="BL2061" s="16">
        <v>80002003</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80001004</v>
      </c>
      <c r="D2062" s="17" t="s">
        <v>4623</v>
      </c>
      <c r="E2062" s="279" t="s">
        <v>4624</v>
      </c>
      <c r="F2062" s="16">
        <v>1</v>
      </c>
      <c r="G2062" s="16">
        <v>80001004</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4625</v>
      </c>
      <c r="BC2062" s="27">
        <v>0</v>
      </c>
      <c r="BD2062" s="27">
        <v>0</v>
      </c>
      <c r="BE2062" s="44" t="s">
        <v>4626</v>
      </c>
      <c r="BF2062" s="44" t="s">
        <v>4627</v>
      </c>
      <c r="BG2062" s="16"/>
      <c r="BH2062" s="16">
        <v>0</v>
      </c>
      <c r="BI2062" s="16"/>
      <c r="BJ2062" s="16"/>
      <c r="BK2062" s="16"/>
      <c r="BL2062" s="16">
        <v>80002004</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80001005</v>
      </c>
      <c r="D2063" s="17" t="s">
        <v>4628</v>
      </c>
      <c r="E2063" s="279" t="s">
        <v>4629</v>
      </c>
      <c r="F2063" s="16">
        <v>1</v>
      </c>
      <c r="G2063" s="16">
        <v>80001005</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4630</v>
      </c>
      <c r="BC2063" s="27">
        <v>0</v>
      </c>
      <c r="BD2063" s="27">
        <v>0</v>
      </c>
      <c r="BE2063" s="44" t="s">
        <v>4631</v>
      </c>
      <c r="BF2063" s="44" t="s">
        <v>4632</v>
      </c>
      <c r="BG2063" s="16"/>
      <c r="BH2063" s="16">
        <v>0</v>
      </c>
      <c r="BI2063" s="16"/>
      <c r="BJ2063" s="16"/>
      <c r="BK2063" s="16"/>
      <c r="BL2063" s="16">
        <v>80002005</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0">
        <v>80001006</v>
      </c>
      <c r="D2064" s="236" t="s">
        <v>1928</v>
      </c>
      <c r="E2064" s="279" t="s">
        <v>4633</v>
      </c>
      <c r="F2064" s="180">
        <v>1</v>
      </c>
      <c r="G2064" s="180">
        <v>80001006</v>
      </c>
      <c r="H2064" s="180">
        <v>0</v>
      </c>
      <c r="I2064" s="180">
        <v>0</v>
      </c>
      <c r="J2064" s="18">
        <v>1</v>
      </c>
      <c r="K2064" s="18">
        <v>0</v>
      </c>
      <c r="L2064" s="180">
        <v>0</v>
      </c>
      <c r="M2064" s="180">
        <v>0</v>
      </c>
      <c r="N2064" s="180">
        <v>0</v>
      </c>
      <c r="O2064" s="180">
        <v>5</v>
      </c>
      <c r="P2064" s="180">
        <v>0</v>
      </c>
      <c r="Q2064" s="180">
        <v>0</v>
      </c>
      <c r="R2064" s="180">
        <v>0</v>
      </c>
      <c r="S2064" s="12">
        <v>0</v>
      </c>
      <c r="T2064" s="180">
        <v>0</v>
      </c>
      <c r="U2064" s="180">
        <v>1</v>
      </c>
      <c r="V2064" s="180">
        <v>2</v>
      </c>
      <c r="W2064" s="180">
        <v>0</v>
      </c>
      <c r="X2064" s="16">
        <v>1</v>
      </c>
      <c r="Y2064" s="12">
        <v>0</v>
      </c>
      <c r="Z2064" s="16">
        <v>0</v>
      </c>
      <c r="AA2064" s="180">
        <v>0</v>
      </c>
      <c r="AB2064" s="180">
        <v>0</v>
      </c>
      <c r="AC2064" s="180">
        <v>0</v>
      </c>
      <c r="AD2064" s="180">
        <v>0</v>
      </c>
      <c r="AE2064" s="180">
        <v>0</v>
      </c>
      <c r="AF2064" s="180">
        <v>9</v>
      </c>
      <c r="AG2064" s="180">
        <v>2</v>
      </c>
      <c r="AH2064" s="180" t="s">
        <v>213</v>
      </c>
      <c r="AI2064" s="180">
        <v>2</v>
      </c>
      <c r="AJ2064" s="180">
        <v>2</v>
      </c>
      <c r="AK2064" s="12">
        <v>0</v>
      </c>
      <c r="AL2064" s="180">
        <v>1.5</v>
      </c>
      <c r="AM2064" s="180">
        <v>0</v>
      </c>
      <c r="AN2064" s="180">
        <v>0</v>
      </c>
      <c r="AO2064" s="180">
        <v>0</v>
      </c>
      <c r="AP2064" s="180">
        <v>1</v>
      </c>
      <c r="AQ2064" s="180">
        <v>3000</v>
      </c>
      <c r="AR2064" s="180">
        <v>0.5</v>
      </c>
      <c r="AS2064" s="180">
        <v>0</v>
      </c>
      <c r="AT2064" s="180">
        <v>0</v>
      </c>
      <c r="AU2064" s="180" t="s">
        <v>198</v>
      </c>
      <c r="AV2064" s="180"/>
      <c r="AW2064" s="236" t="s">
        <v>287</v>
      </c>
      <c r="AX2064" s="180">
        <v>0</v>
      </c>
      <c r="AY2064" s="180">
        <v>0</v>
      </c>
      <c r="AZ2064" s="180">
        <v>0</v>
      </c>
      <c r="BA2064" s="236" t="s">
        <v>200</v>
      </c>
      <c r="BB2064" s="180" t="s">
        <v>4634</v>
      </c>
      <c r="BC2064" s="180">
        <v>0</v>
      </c>
      <c r="BD2064" s="180">
        <v>0</v>
      </c>
      <c r="BE2064" s="243" t="s">
        <v>4635</v>
      </c>
      <c r="BF2064" s="243" t="s">
        <v>4636</v>
      </c>
      <c r="BG2064" s="180"/>
      <c r="BH2064" s="16">
        <v>0</v>
      </c>
      <c r="BI2064" s="180"/>
      <c r="BJ2064" s="180"/>
      <c r="BK2064" s="180"/>
      <c r="BL2064" s="180">
        <v>80002006</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80001007</v>
      </c>
      <c r="D2065" s="17" t="s">
        <v>3799</v>
      </c>
      <c r="E2065" s="279" t="s">
        <v>3800</v>
      </c>
      <c r="F2065" s="16">
        <v>1</v>
      </c>
      <c r="G2065" s="16">
        <v>80001007</v>
      </c>
      <c r="H2065" s="18">
        <v>0</v>
      </c>
      <c r="I2065" s="27">
        <v>0</v>
      </c>
      <c r="J2065" s="18">
        <v>1</v>
      </c>
      <c r="K2065" s="18">
        <v>0</v>
      </c>
      <c r="L2065" s="18">
        <v>0</v>
      </c>
      <c r="M2065" s="16">
        <v>0</v>
      </c>
      <c r="N2065" s="16">
        <v>0</v>
      </c>
      <c r="O2065" s="16">
        <v>2</v>
      </c>
      <c r="P2065" s="16">
        <v>3</v>
      </c>
      <c r="Q2065" s="16">
        <v>0.1</v>
      </c>
      <c r="R2065" s="16">
        <v>0</v>
      </c>
      <c r="S2065" s="12">
        <v>0</v>
      </c>
      <c r="T2065" s="16">
        <v>0</v>
      </c>
      <c r="U2065" s="16">
        <v>1</v>
      </c>
      <c r="V2065" s="16">
        <v>2</v>
      </c>
      <c r="W2065" s="16">
        <v>0</v>
      </c>
      <c r="X2065" s="16">
        <v>1</v>
      </c>
      <c r="Y2065" s="12">
        <v>0</v>
      </c>
      <c r="Z2065" s="16">
        <v>0</v>
      </c>
      <c r="AA2065" s="16">
        <v>0</v>
      </c>
      <c r="AB2065" s="16">
        <v>0</v>
      </c>
      <c r="AC2065" s="16">
        <v>0</v>
      </c>
      <c r="AD2065" s="16">
        <v>0</v>
      </c>
      <c r="AE2065" s="16">
        <v>0</v>
      </c>
      <c r="AF2065" s="16">
        <v>9</v>
      </c>
      <c r="AG2065" s="16">
        <v>1</v>
      </c>
      <c r="AH2065" s="16">
        <v>0</v>
      </c>
      <c r="AI2065" s="12">
        <v>1</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c r="BC2065" s="27">
        <v>0</v>
      </c>
      <c r="BD2065" s="27">
        <v>0</v>
      </c>
      <c r="BE2065" s="44" t="s">
        <v>4637</v>
      </c>
      <c r="BF2065" s="44" t="s">
        <v>4638</v>
      </c>
      <c r="BG2065" s="16"/>
      <c r="BH2065" s="16">
        <v>0</v>
      </c>
      <c r="BI2065" s="16"/>
      <c r="BJ2065" s="16"/>
      <c r="BK2065" s="16"/>
      <c r="BL2065" s="16">
        <v>80002007</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80001008</v>
      </c>
      <c r="D2066" s="17" t="s">
        <v>4639</v>
      </c>
      <c r="E2066" s="279" t="s">
        <v>1325</v>
      </c>
      <c r="F2066" s="16">
        <v>1</v>
      </c>
      <c r="G2066" s="16">
        <v>80001008</v>
      </c>
      <c r="H2066" s="18">
        <v>0</v>
      </c>
      <c r="I2066" s="27">
        <v>0</v>
      </c>
      <c r="J2066" s="18">
        <v>1</v>
      </c>
      <c r="K2066" s="18">
        <v>0</v>
      </c>
      <c r="L2066" s="18">
        <v>0</v>
      </c>
      <c r="M2066" s="16">
        <v>0</v>
      </c>
      <c r="N2066" s="16">
        <v>0</v>
      </c>
      <c r="O2066" s="16">
        <v>2</v>
      </c>
      <c r="P2066" s="16">
        <v>3</v>
      </c>
      <c r="Q2066" s="16">
        <v>0.2</v>
      </c>
      <c r="R2066" s="16">
        <v>0</v>
      </c>
      <c r="S2066" s="12">
        <v>0</v>
      </c>
      <c r="T2066" s="16">
        <v>0</v>
      </c>
      <c r="U2066" s="16">
        <v>1</v>
      </c>
      <c r="V2066" s="16">
        <v>2</v>
      </c>
      <c r="W2066" s="16">
        <v>0</v>
      </c>
      <c r="X2066" s="16">
        <v>0.5</v>
      </c>
      <c r="Y2066" s="12">
        <v>0</v>
      </c>
      <c r="Z2066" s="16">
        <v>0</v>
      </c>
      <c r="AA2066" s="16">
        <v>0</v>
      </c>
      <c r="AB2066" s="16">
        <v>0</v>
      </c>
      <c r="AC2066" s="16">
        <v>0</v>
      </c>
      <c r="AD2066" s="16">
        <v>0</v>
      </c>
      <c r="AE2066" s="16">
        <v>0</v>
      </c>
      <c r="AF2066" s="16">
        <v>9</v>
      </c>
      <c r="AG2066" s="16">
        <v>1</v>
      </c>
      <c r="AH2066" s="16">
        <v>0</v>
      </c>
      <c r="AI2066" s="12">
        <v>1</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c r="BC2066" s="27">
        <v>0</v>
      </c>
      <c r="BD2066" s="27">
        <v>0</v>
      </c>
      <c r="BE2066" s="44" t="s">
        <v>4640</v>
      </c>
      <c r="BF2066" s="44" t="s">
        <v>4641</v>
      </c>
      <c r="BG2066" s="16"/>
      <c r="BH2066" s="16">
        <v>0</v>
      </c>
      <c r="BI2066" s="16"/>
      <c r="BJ2066" s="16"/>
      <c r="BK2066" s="16"/>
      <c r="BL2066" s="16">
        <v>80002008</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80001009</v>
      </c>
      <c r="D2067" s="17" t="s">
        <v>3804</v>
      </c>
      <c r="E2067" s="279" t="s">
        <v>3805</v>
      </c>
      <c r="F2067" s="16">
        <v>1</v>
      </c>
      <c r="G2067" s="16">
        <v>80001009</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4642</v>
      </c>
      <c r="BC2067" s="27">
        <v>0</v>
      </c>
      <c r="BD2067" s="27">
        <v>0</v>
      </c>
      <c r="BE2067" s="44" t="s">
        <v>4643</v>
      </c>
      <c r="BF2067" s="44" t="s">
        <v>4644</v>
      </c>
      <c r="BG2067" s="16"/>
      <c r="BH2067" s="16">
        <v>0</v>
      </c>
      <c r="BI2067" s="16"/>
      <c r="BJ2067" s="16"/>
      <c r="BK2067" s="16"/>
      <c r="BL2067" s="16">
        <v>80002009</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80001010</v>
      </c>
      <c r="D2068" s="17" t="s">
        <v>1932</v>
      </c>
      <c r="E2068" s="279" t="s">
        <v>4645</v>
      </c>
      <c r="F2068" s="16">
        <v>1</v>
      </c>
      <c r="G2068" s="16">
        <v>80001010</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4646</v>
      </c>
      <c r="BC2068" s="27">
        <v>0</v>
      </c>
      <c r="BD2068" s="27">
        <v>0</v>
      </c>
      <c r="BE2068" s="44" t="s">
        <v>4647</v>
      </c>
      <c r="BF2068" s="44" t="s">
        <v>4648</v>
      </c>
      <c r="BG2068" s="16"/>
      <c r="BH2068" s="16">
        <v>0</v>
      </c>
      <c r="BI2068" s="16"/>
      <c r="BJ2068" s="16"/>
      <c r="BK2068" s="16"/>
      <c r="BL2068" s="16">
        <v>80002010</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80001011</v>
      </c>
      <c r="D2069" s="17" t="s">
        <v>4649</v>
      </c>
      <c r="E2069" s="279" t="s">
        <v>4650</v>
      </c>
      <c r="F2069" s="16">
        <v>1</v>
      </c>
      <c r="G2069" s="16">
        <v>80001011</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4651</v>
      </c>
      <c r="BC2069" s="27">
        <v>0</v>
      </c>
      <c r="BD2069" s="27">
        <v>0</v>
      </c>
      <c r="BE2069" s="44" t="s">
        <v>4652</v>
      </c>
      <c r="BF2069" s="44" t="s">
        <v>4653</v>
      </c>
      <c r="BG2069" s="16"/>
      <c r="BH2069" s="16">
        <v>0</v>
      </c>
      <c r="BI2069" s="16"/>
      <c r="BJ2069" s="16"/>
      <c r="BK2069" s="16"/>
      <c r="BL2069" s="16">
        <v>80002011</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80001012</v>
      </c>
      <c r="D2070" s="17" t="s">
        <v>4654</v>
      </c>
      <c r="E2070" s="279" t="s">
        <v>4655</v>
      </c>
      <c r="F2070" s="16">
        <v>1</v>
      </c>
      <c r="G2070" s="16">
        <v>80001012</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4656</v>
      </c>
      <c r="BC2070" s="27">
        <v>0</v>
      </c>
      <c r="BD2070" s="27">
        <v>0</v>
      </c>
      <c r="BE2070" s="44" t="s">
        <v>4657</v>
      </c>
      <c r="BF2070" s="44" t="s">
        <v>4658</v>
      </c>
      <c r="BG2070" s="16"/>
      <c r="BH2070" s="16">
        <v>0</v>
      </c>
      <c r="BI2070" s="16"/>
      <c r="BJ2070" s="16"/>
      <c r="BK2070" s="16"/>
      <c r="BL2070" s="16">
        <v>80002012</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80001013</v>
      </c>
      <c r="D2071" s="17" t="s">
        <v>4659</v>
      </c>
      <c r="E2071" s="279" t="s">
        <v>4660</v>
      </c>
      <c r="F2071" s="16">
        <v>1</v>
      </c>
      <c r="G2071" s="16">
        <v>80001013</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4332</v>
      </c>
      <c r="BC2071" s="27">
        <v>0</v>
      </c>
      <c r="BD2071" s="27">
        <v>0</v>
      </c>
      <c r="BE2071" s="44" t="s">
        <v>4661</v>
      </c>
      <c r="BF2071" s="44" t="s">
        <v>4662</v>
      </c>
      <c r="BG2071" s="16"/>
      <c r="BH2071" s="16">
        <v>0</v>
      </c>
      <c r="BI2071" s="16"/>
      <c r="BJ2071" s="16"/>
      <c r="BK2071" s="16"/>
      <c r="BL2071" s="16">
        <v>80002013</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80001014</v>
      </c>
      <c r="D2072" s="17" t="s">
        <v>3093</v>
      </c>
      <c r="E2072" s="279" t="s">
        <v>3094</v>
      </c>
      <c r="F2072" s="16">
        <v>1</v>
      </c>
      <c r="G2072" s="16">
        <v>80001014</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4663</v>
      </c>
      <c r="BC2072" s="27">
        <v>0</v>
      </c>
      <c r="BD2072" s="27">
        <v>0</v>
      </c>
      <c r="BE2072" s="44" t="s">
        <v>4664</v>
      </c>
      <c r="BF2072" s="44" t="s">
        <v>4665</v>
      </c>
      <c r="BG2072" s="16"/>
      <c r="BH2072" s="16">
        <v>0</v>
      </c>
      <c r="BI2072" s="16"/>
      <c r="BJ2072" s="16"/>
      <c r="BK2072" s="16"/>
      <c r="BL2072" s="16">
        <v>80002014</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0">
        <v>80001015</v>
      </c>
      <c r="D2073" s="236" t="s">
        <v>4666</v>
      </c>
      <c r="E2073" s="279" t="s">
        <v>4667</v>
      </c>
      <c r="F2073" s="180">
        <v>1</v>
      </c>
      <c r="G2073" s="180">
        <v>80001015</v>
      </c>
      <c r="H2073" s="180">
        <v>0</v>
      </c>
      <c r="I2073" s="180">
        <v>0</v>
      </c>
      <c r="J2073" s="18">
        <v>1</v>
      </c>
      <c r="K2073" s="18">
        <v>0</v>
      </c>
      <c r="L2073" s="180">
        <v>0</v>
      </c>
      <c r="M2073" s="180">
        <v>0</v>
      </c>
      <c r="N2073" s="180">
        <v>0</v>
      </c>
      <c r="O2073" s="180">
        <v>2</v>
      </c>
      <c r="P2073" s="180">
        <v>0</v>
      </c>
      <c r="Q2073" s="180">
        <v>0</v>
      </c>
      <c r="R2073" s="180">
        <v>0</v>
      </c>
      <c r="S2073" s="12">
        <v>0</v>
      </c>
      <c r="T2073" s="180">
        <v>0</v>
      </c>
      <c r="U2073" s="180">
        <v>1</v>
      </c>
      <c r="V2073" s="180">
        <v>2</v>
      </c>
      <c r="W2073" s="180">
        <v>0</v>
      </c>
      <c r="X2073" s="180">
        <v>0</v>
      </c>
      <c r="Y2073" s="12">
        <v>0</v>
      </c>
      <c r="Z2073" s="180">
        <v>0</v>
      </c>
      <c r="AA2073" s="180">
        <v>0</v>
      </c>
      <c r="AB2073" s="180">
        <v>0</v>
      </c>
      <c r="AC2073" s="180">
        <v>0</v>
      </c>
      <c r="AD2073" s="180">
        <v>0</v>
      </c>
      <c r="AE2073" s="180">
        <v>0</v>
      </c>
      <c r="AF2073" s="180">
        <v>9</v>
      </c>
      <c r="AG2073" s="180">
        <v>2</v>
      </c>
      <c r="AH2073" s="180" t="s">
        <v>213</v>
      </c>
      <c r="AI2073" s="180">
        <v>2</v>
      </c>
      <c r="AJ2073" s="180">
        <v>2</v>
      </c>
      <c r="AK2073" s="12">
        <v>0</v>
      </c>
      <c r="AL2073" s="180">
        <v>1.5</v>
      </c>
      <c r="AM2073" s="180">
        <v>0</v>
      </c>
      <c r="AN2073" s="180">
        <v>0</v>
      </c>
      <c r="AO2073" s="180">
        <v>0</v>
      </c>
      <c r="AP2073" s="180">
        <v>1</v>
      </c>
      <c r="AQ2073" s="180">
        <v>3000</v>
      </c>
      <c r="AR2073" s="180">
        <v>0.5</v>
      </c>
      <c r="AS2073" s="180">
        <v>0</v>
      </c>
      <c r="AT2073" s="180">
        <v>0</v>
      </c>
      <c r="AU2073" s="180" t="s">
        <v>198</v>
      </c>
      <c r="AV2073" s="180"/>
      <c r="AW2073" s="236" t="s">
        <v>287</v>
      </c>
      <c r="AX2073" s="180">
        <v>0</v>
      </c>
      <c r="AY2073" s="180">
        <v>0</v>
      </c>
      <c r="AZ2073" s="180">
        <v>0</v>
      </c>
      <c r="BA2073" s="236" t="s">
        <v>200</v>
      </c>
      <c r="BB2073" s="180" t="s">
        <v>4668</v>
      </c>
      <c r="BC2073" s="180">
        <v>0</v>
      </c>
      <c r="BD2073" s="180">
        <v>0</v>
      </c>
      <c r="BE2073" s="243" t="s">
        <v>4669</v>
      </c>
      <c r="BF2073" s="243" t="s">
        <v>4670</v>
      </c>
      <c r="BG2073" s="180"/>
      <c r="BH2073" s="16">
        <v>0</v>
      </c>
      <c r="BI2073" s="180"/>
      <c r="BJ2073" s="180"/>
      <c r="BK2073" s="180"/>
      <c r="BL2073" s="180">
        <v>80002015</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80001016</v>
      </c>
      <c r="D2074" s="17" t="s">
        <v>4671</v>
      </c>
      <c r="E2074" s="279" t="s">
        <v>4672</v>
      </c>
      <c r="F2074" s="16">
        <v>1</v>
      </c>
      <c r="G2074" s="16">
        <v>80001016</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4673</v>
      </c>
      <c r="BC2074" s="27">
        <v>0</v>
      </c>
      <c r="BD2074" s="27">
        <v>0</v>
      </c>
      <c r="BE2074" s="44" t="s">
        <v>4674</v>
      </c>
      <c r="BF2074" s="44" t="s">
        <v>4675</v>
      </c>
      <c r="BG2074" s="16"/>
      <c r="BH2074" s="16">
        <v>0</v>
      </c>
      <c r="BI2074" s="16"/>
      <c r="BJ2074" s="16"/>
      <c r="BK2074" s="16"/>
      <c r="BL2074" s="16">
        <v>80002016</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80001017</v>
      </c>
      <c r="D2075" s="17" t="s">
        <v>4676</v>
      </c>
      <c r="E2075" s="279" t="s">
        <v>4677</v>
      </c>
      <c r="F2075" s="16">
        <v>1</v>
      </c>
      <c r="G2075" s="16">
        <v>80001017</v>
      </c>
      <c r="H2075" s="18">
        <v>0</v>
      </c>
      <c r="I2075" s="27">
        <v>0</v>
      </c>
      <c r="J2075" s="18">
        <v>1</v>
      </c>
      <c r="K2075" s="18">
        <v>0</v>
      </c>
      <c r="L2075" s="18">
        <v>0</v>
      </c>
      <c r="M2075" s="16">
        <v>0</v>
      </c>
      <c r="N2075" s="16">
        <v>0</v>
      </c>
      <c r="O2075" s="16">
        <v>2</v>
      </c>
      <c r="P2075" s="16">
        <v>3</v>
      </c>
      <c r="Q2075" s="16">
        <v>0.1</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1</v>
      </c>
      <c r="AQ2075" s="16">
        <v>3000</v>
      </c>
      <c r="AR2075" s="16">
        <v>0.5</v>
      </c>
      <c r="AS2075" s="16">
        <v>0</v>
      </c>
      <c r="AT2075" s="12">
        <v>80010171</v>
      </c>
      <c r="AU2075" s="16" t="s">
        <v>198</v>
      </c>
      <c r="AV2075" s="16"/>
      <c r="AW2075" s="17" t="s">
        <v>287</v>
      </c>
      <c r="AX2075" s="16">
        <v>0</v>
      </c>
      <c r="AY2075" s="18">
        <v>0</v>
      </c>
      <c r="AZ2075" s="18">
        <v>0</v>
      </c>
      <c r="BA2075" s="17" t="s">
        <v>200</v>
      </c>
      <c r="BB2075" s="16"/>
      <c r="BC2075" s="27">
        <v>0</v>
      </c>
      <c r="BD2075" s="27">
        <v>0</v>
      </c>
      <c r="BE2075" s="243" t="s">
        <v>4678</v>
      </c>
      <c r="BF2075" s="243" t="s">
        <v>4679</v>
      </c>
      <c r="BG2075" s="16"/>
      <c r="BH2075" s="16">
        <v>0</v>
      </c>
      <c r="BI2075" s="16"/>
      <c r="BJ2075" s="16"/>
      <c r="BK2075" s="16"/>
      <c r="BL2075" s="16">
        <v>80002017</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80001018</v>
      </c>
      <c r="D2076" s="17" t="s">
        <v>4680</v>
      </c>
      <c r="E2076" s="279" t="s">
        <v>4681</v>
      </c>
      <c r="F2076" s="16">
        <v>1</v>
      </c>
      <c r="G2076" s="16">
        <v>80001018</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287</v>
      </c>
      <c r="AX2076" s="16">
        <v>0</v>
      </c>
      <c r="AY2076" s="18">
        <v>0</v>
      </c>
      <c r="AZ2076" s="18">
        <v>0</v>
      </c>
      <c r="BA2076" s="17" t="s">
        <v>200</v>
      </c>
      <c r="BB2076" s="16" t="s">
        <v>4682</v>
      </c>
      <c r="BC2076" s="27">
        <v>0</v>
      </c>
      <c r="BD2076" s="27">
        <v>0</v>
      </c>
      <c r="BE2076" s="44" t="s">
        <v>4683</v>
      </c>
      <c r="BF2076" s="44" t="s">
        <v>4684</v>
      </c>
      <c r="BG2076" s="16"/>
      <c r="BH2076" s="16">
        <v>0</v>
      </c>
      <c r="BI2076" s="16"/>
      <c r="BJ2076" s="16"/>
      <c r="BK2076" s="16"/>
      <c r="BL2076" s="16">
        <v>80002018</v>
      </c>
      <c r="BM2076" s="16">
        <v>0</v>
      </c>
      <c r="BN2076" s="12">
        <v>0</v>
      </c>
      <c r="BO2076" s="12">
        <v>0</v>
      </c>
      <c r="BP2076" s="12">
        <v>0</v>
      </c>
      <c r="BQ2076" s="12">
        <v>0</v>
      </c>
      <c r="BR2076" s="12">
        <v>0</v>
      </c>
      <c r="BS2076" s="12">
        <v>0</v>
      </c>
      <c r="BT2076" s="12">
        <v>0</v>
      </c>
      <c r="BU2076" s="47">
        <v>0</v>
      </c>
      <c r="BV2076" s="47"/>
      <c r="BW2076" s="47"/>
    </row>
    <row r="2077" spans="3:75" ht="20.100000000000001" customHeight="1">
      <c r="C2077" s="18">
        <v>80001019</v>
      </c>
      <c r="D2077" s="17" t="s">
        <v>408</v>
      </c>
      <c r="E2077" s="279" t="s">
        <v>409</v>
      </c>
      <c r="F2077" s="16">
        <v>1</v>
      </c>
      <c r="G2077" s="16">
        <v>80001019</v>
      </c>
      <c r="H2077" s="18">
        <v>0</v>
      </c>
      <c r="I2077" s="27">
        <v>0</v>
      </c>
      <c r="J2077" s="18">
        <v>1</v>
      </c>
      <c r="K2077" s="18">
        <v>0</v>
      </c>
      <c r="L2077" s="18">
        <v>0</v>
      </c>
      <c r="M2077" s="16">
        <v>0</v>
      </c>
      <c r="N2077" s="16">
        <v>0</v>
      </c>
      <c r="O2077" s="16">
        <v>5</v>
      </c>
      <c r="P2077" s="16">
        <v>0</v>
      </c>
      <c r="Q2077" s="16">
        <v>0</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0</v>
      </c>
      <c r="AU2077" s="16" t="s">
        <v>198</v>
      </c>
      <c r="AV2077" s="16"/>
      <c r="AW2077" s="17" t="s">
        <v>287</v>
      </c>
      <c r="AX2077" s="16">
        <v>0</v>
      </c>
      <c r="AY2077" s="18">
        <v>0</v>
      </c>
      <c r="AZ2077" s="18">
        <v>0</v>
      </c>
      <c r="BA2077" s="17" t="s">
        <v>200</v>
      </c>
      <c r="BB2077" s="16" t="s">
        <v>4685</v>
      </c>
      <c r="BC2077" s="27">
        <v>0</v>
      </c>
      <c r="BD2077" s="27">
        <v>0</v>
      </c>
      <c r="BE2077" s="44" t="s">
        <v>4686</v>
      </c>
      <c r="BF2077" s="44" t="s">
        <v>4687</v>
      </c>
      <c r="BG2077" s="16"/>
      <c r="BH2077" s="16">
        <v>0</v>
      </c>
      <c r="BI2077" s="16"/>
      <c r="BJ2077" s="16"/>
      <c r="BK2077" s="16"/>
      <c r="BL2077" s="16">
        <v>80002019</v>
      </c>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80001020</v>
      </c>
      <c r="D2078" s="17" t="s">
        <v>4688</v>
      </c>
      <c r="E2078" s="279" t="s">
        <v>4689</v>
      </c>
      <c r="F2078" s="16">
        <v>1</v>
      </c>
      <c r="G2078" s="16">
        <v>80001020</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287</v>
      </c>
      <c r="AX2078" s="16">
        <v>0</v>
      </c>
      <c r="AY2078" s="18">
        <v>0</v>
      </c>
      <c r="AZ2078" s="18">
        <v>0</v>
      </c>
      <c r="BA2078" s="17" t="s">
        <v>200</v>
      </c>
      <c r="BB2078" s="16" t="s">
        <v>4690</v>
      </c>
      <c r="BC2078" s="27">
        <v>0</v>
      </c>
      <c r="BD2078" s="27">
        <v>0</v>
      </c>
      <c r="BE2078" s="44" t="s">
        <v>4691</v>
      </c>
      <c r="BF2078" s="44" t="s">
        <v>4692</v>
      </c>
      <c r="BG2078" s="16"/>
      <c r="BH2078" s="16">
        <v>0</v>
      </c>
      <c r="BI2078" s="16"/>
      <c r="BJ2078" s="16"/>
      <c r="BK2078" s="16"/>
      <c r="BL2078" s="16">
        <v>80002020</v>
      </c>
      <c r="BM2078" s="16">
        <v>0</v>
      </c>
      <c r="BN2078" s="12">
        <v>0</v>
      </c>
      <c r="BO2078" s="12">
        <v>0</v>
      </c>
      <c r="BP2078" s="12">
        <v>0</v>
      </c>
      <c r="BQ2078" s="12">
        <v>0</v>
      </c>
      <c r="BR2078" s="12">
        <v>0</v>
      </c>
      <c r="BS2078" s="12">
        <v>0</v>
      </c>
      <c r="BT2078" s="12">
        <v>0</v>
      </c>
      <c r="BU2078" s="47">
        <v>0</v>
      </c>
      <c r="BV2078" s="47"/>
      <c r="BW2078" s="47"/>
    </row>
    <row r="2079" spans="3:75" ht="20.25" customHeight="1">
      <c r="C2079" s="18">
        <v>80001021</v>
      </c>
      <c r="D2079" s="17" t="s">
        <v>2158</v>
      </c>
      <c r="E2079" s="279" t="s">
        <v>4693</v>
      </c>
      <c r="F2079" s="18">
        <v>1</v>
      </c>
      <c r="G2079" s="16">
        <v>80001021</v>
      </c>
      <c r="H2079" s="18">
        <v>0</v>
      </c>
      <c r="I2079" s="27">
        <v>0</v>
      </c>
      <c r="J2079" s="18">
        <v>1</v>
      </c>
      <c r="K2079" s="18">
        <v>0</v>
      </c>
      <c r="L2079" s="18">
        <v>0</v>
      </c>
      <c r="M2079" s="16">
        <v>0</v>
      </c>
      <c r="N2079" s="16">
        <v>0</v>
      </c>
      <c r="O2079" s="16">
        <v>2</v>
      </c>
      <c r="P2079" s="16">
        <v>10</v>
      </c>
      <c r="Q2079" s="16">
        <v>0.1</v>
      </c>
      <c r="R2079" s="16">
        <v>0</v>
      </c>
      <c r="S2079" s="12">
        <v>0</v>
      </c>
      <c r="T2079" s="16">
        <v>0</v>
      </c>
      <c r="U2079" s="16">
        <v>1</v>
      </c>
      <c r="V2079" s="16">
        <v>2</v>
      </c>
      <c r="W2079" s="16">
        <v>0</v>
      </c>
      <c r="X2079" s="16">
        <v>2</v>
      </c>
      <c r="Y2079" s="12">
        <v>0</v>
      </c>
      <c r="Z2079" s="16">
        <v>0</v>
      </c>
      <c r="AA2079" s="16">
        <v>0</v>
      </c>
      <c r="AB2079" s="16">
        <v>0</v>
      </c>
      <c r="AC2079" s="16">
        <v>0</v>
      </c>
      <c r="AD2079" s="16">
        <v>0</v>
      </c>
      <c r="AE2079" s="16">
        <v>0</v>
      </c>
      <c r="AF2079" s="16">
        <v>5</v>
      </c>
      <c r="AG2079" s="16">
        <v>1</v>
      </c>
      <c r="AH2079" s="16">
        <v>3</v>
      </c>
      <c r="AI2079" s="12">
        <v>1</v>
      </c>
      <c r="AJ2079" s="12">
        <v>1</v>
      </c>
      <c r="AK2079" s="12">
        <v>0</v>
      </c>
      <c r="AL2079" s="12">
        <v>3</v>
      </c>
      <c r="AM2079" s="16">
        <v>0</v>
      </c>
      <c r="AN2079" s="16">
        <v>0</v>
      </c>
      <c r="AO2079" s="16">
        <v>0</v>
      </c>
      <c r="AP2079" s="16">
        <v>3</v>
      </c>
      <c r="AQ2079" s="16">
        <v>5000</v>
      </c>
      <c r="AR2079" s="16">
        <v>0.5</v>
      </c>
      <c r="AS2079" s="16">
        <v>0</v>
      </c>
      <c r="AT2079" s="12">
        <v>0</v>
      </c>
      <c r="AU2079" s="16">
        <v>0</v>
      </c>
      <c r="AV2079" s="16"/>
      <c r="AW2079" s="17" t="s">
        <v>199</v>
      </c>
      <c r="AX2079" s="12" t="s">
        <v>1695</v>
      </c>
      <c r="AY2079" s="18">
        <v>10000007</v>
      </c>
      <c r="AZ2079" s="280">
        <v>23000080</v>
      </c>
      <c r="BA2079" s="17" t="s">
        <v>200</v>
      </c>
      <c r="BB2079" s="19" t="s">
        <v>198</v>
      </c>
      <c r="BC2079" s="27">
        <v>0</v>
      </c>
      <c r="BD2079" s="27">
        <v>0</v>
      </c>
      <c r="BE2079" s="44" t="s">
        <v>4694</v>
      </c>
      <c r="BF2079" s="44" t="s">
        <v>4695</v>
      </c>
      <c r="BG2079" s="18">
        <v>0</v>
      </c>
      <c r="BH2079" s="16">
        <v>0</v>
      </c>
      <c r="BI2079" s="18"/>
      <c r="BJ2079" s="18"/>
      <c r="BK2079" s="18"/>
      <c r="BL2079" s="18">
        <v>80002021</v>
      </c>
      <c r="BM2079" s="15">
        <v>0</v>
      </c>
      <c r="BN2079" s="12">
        <v>0</v>
      </c>
      <c r="BO2079" s="12">
        <v>0</v>
      </c>
      <c r="BP2079" s="12">
        <v>0</v>
      </c>
      <c r="BQ2079" s="12">
        <v>0</v>
      </c>
      <c r="BR2079" s="12">
        <v>0</v>
      </c>
      <c r="BS2079" s="12">
        <v>0</v>
      </c>
      <c r="BT2079" s="12">
        <v>0</v>
      </c>
      <c r="BU2079" s="47">
        <v>0</v>
      </c>
      <c r="BV2079" s="47"/>
      <c r="BW2079" s="47"/>
    </row>
    <row r="2080" spans="3:75" ht="20.100000000000001" customHeight="1">
      <c r="C2080" s="18">
        <v>80001022</v>
      </c>
      <c r="D2080" s="17" t="s">
        <v>2162</v>
      </c>
      <c r="E2080" s="279" t="s">
        <v>4696</v>
      </c>
      <c r="F2080" s="18">
        <v>1</v>
      </c>
      <c r="G2080" s="16">
        <v>80001022</v>
      </c>
      <c r="H2080" s="12">
        <v>0</v>
      </c>
      <c r="I2080" s="12">
        <v>0</v>
      </c>
      <c r="J2080" s="18">
        <v>1</v>
      </c>
      <c r="K2080" s="18">
        <v>0</v>
      </c>
      <c r="L2080" s="12">
        <v>0</v>
      </c>
      <c r="M2080" s="12">
        <v>0</v>
      </c>
      <c r="N2080" s="12">
        <v>0</v>
      </c>
      <c r="O2080" s="12">
        <v>2</v>
      </c>
      <c r="P2080" s="12">
        <v>1</v>
      </c>
      <c r="Q2080" s="12">
        <v>0.2</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341" t="s">
        <v>4697</v>
      </c>
      <c r="AV2080" s="12"/>
      <c r="AW2080" s="17" t="s">
        <v>199</v>
      </c>
      <c r="AX2080" s="12">
        <v>0</v>
      </c>
      <c r="AY2080" s="12" t="s">
        <v>198</v>
      </c>
      <c r="AZ2080" s="12">
        <v>0</v>
      </c>
      <c r="BA2080" s="13" t="s">
        <v>200</v>
      </c>
      <c r="BB2080" s="12">
        <v>0</v>
      </c>
      <c r="BC2080" s="27">
        <v>0</v>
      </c>
      <c r="BD2080" s="27">
        <v>0</v>
      </c>
      <c r="BE2080" s="44" t="s">
        <v>4698</v>
      </c>
      <c r="BF2080" s="44" t="s">
        <v>4699</v>
      </c>
      <c r="BG2080" s="12">
        <v>0</v>
      </c>
      <c r="BH2080" s="16">
        <v>0</v>
      </c>
      <c r="BI2080" s="12"/>
      <c r="BJ2080" s="12"/>
      <c r="BK2080" s="12"/>
      <c r="BL2080" s="12">
        <v>80002022</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80001023</v>
      </c>
      <c r="D2081" s="17" t="s">
        <v>294</v>
      </c>
      <c r="E2081" s="279" t="s">
        <v>295</v>
      </c>
      <c r="F2081" s="16">
        <v>1</v>
      </c>
      <c r="G2081" s="16">
        <v>80001023</v>
      </c>
      <c r="H2081" s="18">
        <v>0</v>
      </c>
      <c r="I2081" s="27">
        <v>0</v>
      </c>
      <c r="J2081" s="18">
        <v>1</v>
      </c>
      <c r="K2081" s="18">
        <v>0</v>
      </c>
      <c r="L2081" s="18">
        <v>0</v>
      </c>
      <c r="M2081" s="16">
        <v>0</v>
      </c>
      <c r="N2081" s="16">
        <v>0</v>
      </c>
      <c r="O2081" s="16">
        <v>2</v>
      </c>
      <c r="P2081" s="16">
        <v>9</v>
      </c>
      <c r="Q2081" s="16">
        <v>0.15</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10</v>
      </c>
      <c r="AG2081" s="16">
        <v>0</v>
      </c>
      <c r="AH2081" s="16">
        <v>3</v>
      </c>
      <c r="AI2081" s="12">
        <v>7</v>
      </c>
      <c r="AJ2081" s="12">
        <v>0</v>
      </c>
      <c r="AK2081" s="12">
        <v>0</v>
      </c>
      <c r="AL2081" s="12">
        <v>10</v>
      </c>
      <c r="AM2081" s="16">
        <v>0</v>
      </c>
      <c r="AN2081" s="16">
        <v>0</v>
      </c>
      <c r="AO2081" s="16">
        <v>0</v>
      </c>
      <c r="AP2081" s="16">
        <v>0</v>
      </c>
      <c r="AQ2081" s="16">
        <v>3000</v>
      </c>
      <c r="AR2081" s="16">
        <v>0.5</v>
      </c>
      <c r="AS2081" s="16">
        <v>0</v>
      </c>
      <c r="AT2081" s="12">
        <v>0</v>
      </c>
      <c r="AU2081" s="16">
        <v>80001003</v>
      </c>
      <c r="AV2081" s="16"/>
      <c r="AW2081" s="17" t="s">
        <v>199</v>
      </c>
      <c r="AX2081" s="16">
        <v>0</v>
      </c>
      <c r="AY2081" s="18">
        <v>0</v>
      </c>
      <c r="AZ2081" s="18">
        <v>0</v>
      </c>
      <c r="BA2081" s="17" t="s">
        <v>200</v>
      </c>
      <c r="BB2081" s="16">
        <v>0</v>
      </c>
      <c r="BC2081" s="27">
        <v>0</v>
      </c>
      <c r="BD2081" s="27">
        <v>0</v>
      </c>
      <c r="BE2081" s="44" t="s">
        <v>4700</v>
      </c>
      <c r="BF2081" s="44" t="s">
        <v>4701</v>
      </c>
      <c r="BG2081" s="16"/>
      <c r="BH2081" s="16">
        <v>0</v>
      </c>
      <c r="BI2081" s="16"/>
      <c r="BJ2081" s="16"/>
      <c r="BK2081" s="16"/>
      <c r="BL2081" s="16">
        <v>80002023</v>
      </c>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80001024</v>
      </c>
      <c r="D2082" s="17" t="s">
        <v>4702</v>
      </c>
      <c r="E2082" s="279" t="s">
        <v>4703</v>
      </c>
      <c r="F2082" s="16">
        <v>1</v>
      </c>
      <c r="G2082" s="16">
        <v>80001024</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0</v>
      </c>
      <c r="AQ2082" s="16">
        <v>3000</v>
      </c>
      <c r="AR2082" s="16">
        <v>0.5</v>
      </c>
      <c r="AS2082" s="16">
        <v>0</v>
      </c>
      <c r="AT2082" s="12">
        <v>0</v>
      </c>
      <c r="AU2082" s="16" t="s">
        <v>198</v>
      </c>
      <c r="AV2082" s="16"/>
      <c r="AW2082" s="17" t="s">
        <v>199</v>
      </c>
      <c r="AX2082" s="16">
        <v>0</v>
      </c>
      <c r="AY2082" s="18">
        <v>0</v>
      </c>
      <c r="AZ2082" s="18">
        <v>0</v>
      </c>
      <c r="BA2082" s="17" t="s">
        <v>200</v>
      </c>
      <c r="BB2082" s="16" t="s">
        <v>4704</v>
      </c>
      <c r="BC2082" s="27">
        <v>0</v>
      </c>
      <c r="BD2082" s="27">
        <v>0</v>
      </c>
      <c r="BE2082" s="44" t="s">
        <v>4705</v>
      </c>
      <c r="BF2082" s="44" t="s">
        <v>4706</v>
      </c>
      <c r="BG2082" s="16"/>
      <c r="BH2082" s="16">
        <v>0</v>
      </c>
      <c r="BI2082" s="16"/>
      <c r="BJ2082" s="16"/>
      <c r="BK2082" s="16"/>
      <c r="BL2082" s="16">
        <v>80002024</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80001025</v>
      </c>
      <c r="D2083" s="17" t="s">
        <v>4707</v>
      </c>
      <c r="E2083" s="279" t="s">
        <v>4708</v>
      </c>
      <c r="F2083" s="18">
        <v>1</v>
      </c>
      <c r="G2083" s="16">
        <v>80001025</v>
      </c>
      <c r="H2083" s="12">
        <v>0</v>
      </c>
      <c r="I2083" s="12">
        <v>0</v>
      </c>
      <c r="J2083" s="18">
        <v>1</v>
      </c>
      <c r="K2083" s="18">
        <v>0</v>
      </c>
      <c r="L2083" s="12">
        <v>0</v>
      </c>
      <c r="M2083" s="12">
        <v>0</v>
      </c>
      <c r="N2083" s="12">
        <v>0</v>
      </c>
      <c r="O2083" s="12">
        <v>2</v>
      </c>
      <c r="P2083" s="12">
        <v>10</v>
      </c>
      <c r="Q2083" s="12">
        <v>0.05</v>
      </c>
      <c r="R2083" s="12">
        <v>0</v>
      </c>
      <c r="S2083" s="12">
        <v>0</v>
      </c>
      <c r="T2083" s="12">
        <v>0</v>
      </c>
      <c r="U2083" s="16">
        <v>1</v>
      </c>
      <c r="V2083" s="12">
        <v>2</v>
      </c>
      <c r="W2083" s="12">
        <v>0</v>
      </c>
      <c r="X2083" s="12">
        <v>2.5</v>
      </c>
      <c r="Y2083" s="12">
        <v>0</v>
      </c>
      <c r="Z2083" s="12">
        <v>0</v>
      </c>
      <c r="AA2083" s="12">
        <v>0</v>
      </c>
      <c r="AB2083" s="12">
        <v>0</v>
      </c>
      <c r="AC2083" s="12">
        <v>0</v>
      </c>
      <c r="AD2083" s="18">
        <v>0</v>
      </c>
      <c r="AE2083" s="12">
        <v>0</v>
      </c>
      <c r="AF2083" s="12">
        <v>15</v>
      </c>
      <c r="AG2083" s="12">
        <v>0</v>
      </c>
      <c r="AH2083" s="12">
        <v>0</v>
      </c>
      <c r="AI2083" s="12">
        <v>7</v>
      </c>
      <c r="AJ2083" s="12">
        <v>0</v>
      </c>
      <c r="AK2083" s="12">
        <v>0</v>
      </c>
      <c r="AL2083" s="12">
        <v>6</v>
      </c>
      <c r="AM2083" s="12">
        <v>0</v>
      </c>
      <c r="AN2083" s="12">
        <v>0</v>
      </c>
      <c r="AO2083" s="12">
        <v>0</v>
      </c>
      <c r="AP2083" s="12">
        <v>0</v>
      </c>
      <c r="AQ2083" s="12">
        <v>1000</v>
      </c>
      <c r="AR2083" s="12">
        <v>0</v>
      </c>
      <c r="AS2083" s="12">
        <v>0</v>
      </c>
      <c r="AT2083" s="12">
        <v>0</v>
      </c>
      <c r="AU2083" s="12" t="s">
        <v>198</v>
      </c>
      <c r="AV2083" s="12"/>
      <c r="AW2083" s="17" t="s">
        <v>199</v>
      </c>
      <c r="AX2083" s="12" t="s">
        <v>1695</v>
      </c>
      <c r="AY2083" s="12" t="s">
        <v>198</v>
      </c>
      <c r="AZ2083" s="12" t="s">
        <v>1929</v>
      </c>
      <c r="BA2083" s="13" t="s">
        <v>200</v>
      </c>
      <c r="BB2083" s="12">
        <v>0</v>
      </c>
      <c r="BC2083" s="27">
        <v>0</v>
      </c>
      <c r="BD2083" s="27">
        <v>0</v>
      </c>
      <c r="BE2083" s="42" t="s">
        <v>4709</v>
      </c>
      <c r="BF2083" s="42" t="s">
        <v>4710</v>
      </c>
      <c r="BG2083" s="12">
        <v>0</v>
      </c>
      <c r="BH2083" s="16">
        <v>0</v>
      </c>
      <c r="BI2083" s="12"/>
      <c r="BJ2083" s="12"/>
      <c r="BK2083" s="12"/>
      <c r="BL2083" s="12">
        <v>80002025</v>
      </c>
      <c r="BM2083" s="15">
        <v>0</v>
      </c>
      <c r="BN2083" s="12">
        <v>0</v>
      </c>
      <c r="BO2083" s="12">
        <v>0</v>
      </c>
      <c r="BP2083" s="12">
        <v>0</v>
      </c>
      <c r="BQ2083" s="12">
        <v>0</v>
      </c>
      <c r="BR2083" s="12">
        <v>0</v>
      </c>
      <c r="BS2083" s="12">
        <v>0</v>
      </c>
      <c r="BT2083" s="12">
        <v>0</v>
      </c>
      <c r="BU2083" s="47">
        <v>0</v>
      </c>
      <c r="BV2083" s="47"/>
      <c r="BW2083" s="47"/>
    </row>
    <row r="2084" spans="3:75" ht="20.100000000000001" customHeight="1">
      <c r="C2084" s="18">
        <v>80001026</v>
      </c>
      <c r="D2084" s="17" t="s">
        <v>3055</v>
      </c>
      <c r="E2084" s="279" t="s">
        <v>3372</v>
      </c>
      <c r="F2084" s="18">
        <v>1</v>
      </c>
      <c r="G2084" s="16">
        <v>80001026</v>
      </c>
      <c r="H2084" s="12">
        <v>0</v>
      </c>
      <c r="I2084" s="12">
        <v>0</v>
      </c>
      <c r="J2084" s="18">
        <v>1</v>
      </c>
      <c r="K2084" s="18">
        <v>0</v>
      </c>
      <c r="L2084" s="12">
        <v>0</v>
      </c>
      <c r="M2084" s="12">
        <v>0</v>
      </c>
      <c r="N2084" s="12">
        <v>0</v>
      </c>
      <c r="O2084" s="12">
        <v>2</v>
      </c>
      <c r="P2084" s="12">
        <v>1</v>
      </c>
      <c r="Q2084" s="12">
        <v>0.1</v>
      </c>
      <c r="R2084" s="12">
        <v>0</v>
      </c>
      <c r="S2084" s="12">
        <v>0</v>
      </c>
      <c r="T2084" s="12">
        <v>0</v>
      </c>
      <c r="U2084" s="16">
        <v>1</v>
      </c>
      <c r="V2084" s="12">
        <v>2</v>
      </c>
      <c r="W2084" s="12">
        <v>0</v>
      </c>
      <c r="X2084" s="12">
        <v>0</v>
      </c>
      <c r="Y2084" s="12">
        <v>0</v>
      </c>
      <c r="Z2084" s="12">
        <v>0</v>
      </c>
      <c r="AA2084" s="12">
        <v>0</v>
      </c>
      <c r="AB2084" s="12">
        <v>0</v>
      </c>
      <c r="AC2084" s="12">
        <v>0</v>
      </c>
      <c r="AD2084" s="18">
        <v>0</v>
      </c>
      <c r="AE2084" s="12">
        <v>0</v>
      </c>
      <c r="AF2084" s="12">
        <v>10</v>
      </c>
      <c r="AG2084" s="12">
        <v>0</v>
      </c>
      <c r="AH2084" s="12">
        <v>0</v>
      </c>
      <c r="AI2084" s="12">
        <v>7</v>
      </c>
      <c r="AJ2084" s="12">
        <v>0</v>
      </c>
      <c r="AK2084" s="12">
        <v>0</v>
      </c>
      <c r="AL2084" s="12">
        <v>6</v>
      </c>
      <c r="AM2084" s="12">
        <v>0</v>
      </c>
      <c r="AN2084" s="12">
        <v>0</v>
      </c>
      <c r="AO2084" s="12">
        <v>0</v>
      </c>
      <c r="AP2084" s="12">
        <v>0</v>
      </c>
      <c r="AQ2084" s="12">
        <v>1000</v>
      </c>
      <c r="AR2084" s="12">
        <v>0</v>
      </c>
      <c r="AS2084" s="12">
        <v>0</v>
      </c>
      <c r="AT2084" s="12">
        <v>0</v>
      </c>
      <c r="AU2084" s="12">
        <v>80001004</v>
      </c>
      <c r="AV2084" s="12"/>
      <c r="AW2084" s="17" t="s">
        <v>199</v>
      </c>
      <c r="AX2084" s="12">
        <v>0</v>
      </c>
      <c r="AY2084" s="12" t="s">
        <v>198</v>
      </c>
      <c r="AZ2084" s="12">
        <v>0</v>
      </c>
      <c r="BA2084" s="13" t="s">
        <v>200</v>
      </c>
      <c r="BB2084" s="12">
        <v>0</v>
      </c>
      <c r="BC2084" s="27">
        <v>0</v>
      </c>
      <c r="BD2084" s="27">
        <v>0</v>
      </c>
      <c r="BE2084" s="42" t="s">
        <v>4711</v>
      </c>
      <c r="BF2084" s="42" t="s">
        <v>4712</v>
      </c>
      <c r="BG2084" s="12">
        <v>0</v>
      </c>
      <c r="BH2084" s="16">
        <v>0</v>
      </c>
      <c r="BI2084" s="12"/>
      <c r="BJ2084" s="12"/>
      <c r="BK2084" s="12"/>
      <c r="BL2084" s="12">
        <v>80002026</v>
      </c>
      <c r="BM2084" s="15">
        <v>0</v>
      </c>
      <c r="BN2084" s="12">
        <v>0</v>
      </c>
      <c r="BO2084" s="12">
        <v>0</v>
      </c>
      <c r="BP2084" s="12">
        <v>0</v>
      </c>
      <c r="BQ2084" s="12">
        <v>0</v>
      </c>
      <c r="BR2084" s="12">
        <v>0</v>
      </c>
      <c r="BS2084" s="12">
        <v>0</v>
      </c>
      <c r="BT2084" s="12">
        <v>0</v>
      </c>
      <c r="BU2084" s="47">
        <v>0</v>
      </c>
      <c r="BV2084" s="47"/>
      <c r="BW2084" s="47"/>
    </row>
    <row r="2085" spans="3:75" ht="20.100000000000001" customHeight="1">
      <c r="C2085" s="18">
        <v>80001027</v>
      </c>
      <c r="D2085" s="17" t="s">
        <v>4713</v>
      </c>
      <c r="E2085" s="279" t="s">
        <v>4714</v>
      </c>
      <c r="F2085" s="16">
        <v>1</v>
      </c>
      <c r="G2085" s="16">
        <v>80001027</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0</v>
      </c>
      <c r="AQ2085" s="16">
        <v>3000</v>
      </c>
      <c r="AR2085" s="16">
        <v>0.5</v>
      </c>
      <c r="AS2085" s="16">
        <v>0</v>
      </c>
      <c r="AT2085" s="12">
        <v>0</v>
      </c>
      <c r="AU2085" s="16" t="s">
        <v>198</v>
      </c>
      <c r="AV2085" s="16"/>
      <c r="AW2085" s="17" t="s">
        <v>199</v>
      </c>
      <c r="AX2085" s="16">
        <v>0</v>
      </c>
      <c r="AY2085" s="18">
        <v>0</v>
      </c>
      <c r="AZ2085" s="18">
        <v>0</v>
      </c>
      <c r="BA2085" s="17" t="s">
        <v>200</v>
      </c>
      <c r="BB2085" s="16" t="s">
        <v>4715</v>
      </c>
      <c r="BC2085" s="27">
        <v>0</v>
      </c>
      <c r="BD2085" s="27">
        <v>0</v>
      </c>
      <c r="BE2085" s="44" t="s">
        <v>4716</v>
      </c>
      <c r="BF2085" s="44" t="s">
        <v>4717</v>
      </c>
      <c r="BG2085" s="16"/>
      <c r="BH2085" s="16">
        <v>0</v>
      </c>
      <c r="BI2085" s="16"/>
      <c r="BJ2085" s="16"/>
      <c r="BK2085" s="16"/>
      <c r="BL2085" s="16">
        <v>80002027</v>
      </c>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80001028</v>
      </c>
      <c r="D2086" s="17" t="s">
        <v>1924</v>
      </c>
      <c r="E2086" s="279" t="s">
        <v>4718</v>
      </c>
      <c r="F2086" s="16">
        <v>1</v>
      </c>
      <c r="G2086" s="16">
        <v>80001028</v>
      </c>
      <c r="H2086" s="18">
        <v>0</v>
      </c>
      <c r="I2086" s="27">
        <v>0</v>
      </c>
      <c r="J2086" s="18">
        <v>1</v>
      </c>
      <c r="K2086" s="18">
        <v>0</v>
      </c>
      <c r="L2086" s="18">
        <v>0</v>
      </c>
      <c r="M2086" s="16">
        <v>0</v>
      </c>
      <c r="N2086" s="16">
        <v>0</v>
      </c>
      <c r="O2086" s="16">
        <v>2</v>
      </c>
      <c r="P2086" s="16">
        <v>9</v>
      </c>
      <c r="Q2086" s="16">
        <v>0.05</v>
      </c>
      <c r="R2086" s="16">
        <v>0</v>
      </c>
      <c r="S2086" s="12">
        <v>0</v>
      </c>
      <c r="T2086" s="16">
        <v>0</v>
      </c>
      <c r="U2086" s="16">
        <v>1</v>
      </c>
      <c r="V2086" s="16">
        <v>1</v>
      </c>
      <c r="W2086" s="16">
        <v>0</v>
      </c>
      <c r="X2086" s="16">
        <v>2</v>
      </c>
      <c r="Y2086" s="12">
        <v>0</v>
      </c>
      <c r="Z2086" s="16">
        <v>0</v>
      </c>
      <c r="AA2086" s="16">
        <v>0</v>
      </c>
      <c r="AB2086" s="16">
        <v>0</v>
      </c>
      <c r="AC2086" s="16">
        <v>0</v>
      </c>
      <c r="AD2086" s="16">
        <v>0</v>
      </c>
      <c r="AE2086" s="16">
        <v>0</v>
      </c>
      <c r="AF2086" s="16">
        <v>3</v>
      </c>
      <c r="AG2086" s="16">
        <v>2</v>
      </c>
      <c r="AH2086" s="16" t="s">
        <v>213</v>
      </c>
      <c r="AI2086" s="12">
        <v>0</v>
      </c>
      <c r="AJ2086" s="12">
        <v>0</v>
      </c>
      <c r="AK2086" s="12">
        <v>0</v>
      </c>
      <c r="AL2086" s="12">
        <v>1.5</v>
      </c>
      <c r="AM2086" s="16">
        <v>0</v>
      </c>
      <c r="AN2086" s="16">
        <v>0</v>
      </c>
      <c r="AO2086" s="16">
        <v>0</v>
      </c>
      <c r="AP2086" s="16">
        <v>0</v>
      </c>
      <c r="AQ2086" s="16">
        <v>3000</v>
      </c>
      <c r="AR2086" s="16">
        <v>0.5</v>
      </c>
      <c r="AS2086" s="16">
        <v>0</v>
      </c>
      <c r="AT2086" s="12">
        <v>0</v>
      </c>
      <c r="AU2086" s="16">
        <v>0</v>
      </c>
      <c r="AV2086" s="16"/>
      <c r="AW2086" s="17" t="s">
        <v>199</v>
      </c>
      <c r="AX2086" s="16">
        <v>0</v>
      </c>
      <c r="AY2086" s="18">
        <v>10000007</v>
      </c>
      <c r="AZ2086" s="18">
        <v>23000040</v>
      </c>
      <c r="BA2086" s="17" t="s">
        <v>200</v>
      </c>
      <c r="BB2086" s="16">
        <v>0</v>
      </c>
      <c r="BC2086" s="27">
        <v>0</v>
      </c>
      <c r="BD2086" s="27">
        <v>1</v>
      </c>
      <c r="BE2086" s="44" t="s">
        <v>4719</v>
      </c>
      <c r="BF2086" s="44" t="s">
        <v>4720</v>
      </c>
      <c r="BG2086" s="16">
        <v>0</v>
      </c>
      <c r="BH2086" s="16">
        <v>0</v>
      </c>
      <c r="BI2086" s="16"/>
      <c r="BJ2086" s="16"/>
      <c r="BK2086" s="16"/>
      <c r="BL2086" s="16">
        <v>80002028</v>
      </c>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80002001</v>
      </c>
      <c r="D2087" s="17" t="s">
        <v>4721</v>
      </c>
      <c r="E2087" s="279" t="s">
        <v>4722</v>
      </c>
      <c r="F2087" s="16">
        <v>1</v>
      </c>
      <c r="G2087" s="16">
        <v>80002001</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4723</v>
      </c>
      <c r="BC2087" s="27">
        <v>0</v>
      </c>
      <c r="BD2087" s="27">
        <v>0</v>
      </c>
      <c r="BE2087" s="44" t="s">
        <v>4724</v>
      </c>
      <c r="BF2087" s="44" t="s">
        <v>4725</v>
      </c>
      <c r="BG2087" s="16">
        <v>0</v>
      </c>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80002002</v>
      </c>
      <c r="D2088" s="17" t="s">
        <v>4726</v>
      </c>
      <c r="E2088" s="279" t="s">
        <v>4727</v>
      </c>
      <c r="F2088" s="16">
        <v>1</v>
      </c>
      <c r="G2088" s="16">
        <v>80002002</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2155</v>
      </c>
      <c r="BC2088" s="27">
        <v>0</v>
      </c>
      <c r="BD2088" s="27">
        <v>0</v>
      </c>
      <c r="BE2088" s="44" t="s">
        <v>2156</v>
      </c>
      <c r="BF2088" s="44" t="s">
        <v>2157</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80002003</v>
      </c>
      <c r="D2089" s="17" t="s">
        <v>4728</v>
      </c>
      <c r="E2089" s="279" t="s">
        <v>4729</v>
      </c>
      <c r="F2089" s="16">
        <v>1</v>
      </c>
      <c r="G2089" s="16">
        <v>80002003</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4730</v>
      </c>
      <c r="BC2089" s="27">
        <v>0</v>
      </c>
      <c r="BD2089" s="27">
        <v>0</v>
      </c>
      <c r="BE2089" s="44" t="s">
        <v>4731</v>
      </c>
      <c r="BF2089" s="44" t="s">
        <v>4732</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80002004</v>
      </c>
      <c r="D2090" s="17" t="s">
        <v>4733</v>
      </c>
      <c r="E2090" s="279" t="s">
        <v>4734</v>
      </c>
      <c r="F2090" s="16">
        <v>1</v>
      </c>
      <c r="G2090" s="16">
        <v>80002004</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4735</v>
      </c>
      <c r="BC2090" s="27">
        <v>0</v>
      </c>
      <c r="BD2090" s="27">
        <v>0</v>
      </c>
      <c r="BE2090" s="44" t="s">
        <v>4736</v>
      </c>
      <c r="BF2090" s="44" t="s">
        <v>4737</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80002005</v>
      </c>
      <c r="D2091" s="17" t="s">
        <v>4738</v>
      </c>
      <c r="E2091" s="279" t="s">
        <v>4739</v>
      </c>
      <c r="F2091" s="16">
        <v>1</v>
      </c>
      <c r="G2091" s="16">
        <v>80002005</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4740</v>
      </c>
      <c r="BC2091" s="27">
        <v>0</v>
      </c>
      <c r="BD2091" s="27">
        <v>0</v>
      </c>
      <c r="BE2091" s="44" t="s">
        <v>4741</v>
      </c>
      <c r="BF2091" s="44" t="s">
        <v>4742</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80002006</v>
      </c>
      <c r="D2092" s="17" t="s">
        <v>4743</v>
      </c>
      <c r="E2092" s="279" t="s">
        <v>4744</v>
      </c>
      <c r="F2092" s="16">
        <v>1</v>
      </c>
      <c r="G2092" s="16">
        <v>80002006</v>
      </c>
      <c r="H2092" s="18">
        <v>0</v>
      </c>
      <c r="I2092" s="27">
        <v>0</v>
      </c>
      <c r="J2092" s="18">
        <v>1</v>
      </c>
      <c r="K2092" s="18">
        <v>0</v>
      </c>
      <c r="L2092" s="18">
        <v>0</v>
      </c>
      <c r="M2092" s="16">
        <v>0</v>
      </c>
      <c r="N2092" s="16">
        <v>0</v>
      </c>
      <c r="O2092" s="16">
        <v>5</v>
      </c>
      <c r="P2092" s="180">
        <v>0</v>
      </c>
      <c r="Q2092" s="180">
        <v>0</v>
      </c>
      <c r="R2092" s="180">
        <v>0</v>
      </c>
      <c r="S2092" s="12">
        <v>0</v>
      </c>
      <c r="T2092" s="180">
        <v>0</v>
      </c>
      <c r="U2092" s="180">
        <v>1</v>
      </c>
      <c r="V2092" s="180">
        <v>2</v>
      </c>
      <c r="W2092" s="180">
        <v>0</v>
      </c>
      <c r="X2092" s="16">
        <v>1</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80" t="s">
        <v>4745</v>
      </c>
      <c r="BC2092" s="27">
        <v>0</v>
      </c>
      <c r="BD2092" s="27">
        <v>0</v>
      </c>
      <c r="BE2092" s="243" t="s">
        <v>4746</v>
      </c>
      <c r="BF2092" s="243" t="s">
        <v>4747</v>
      </c>
      <c r="BG2092" s="16"/>
      <c r="BH2092" s="16">
        <v>0</v>
      </c>
      <c r="BI2092" s="16"/>
      <c r="BJ2092" s="16"/>
      <c r="BK2092" s="16"/>
      <c r="BL2092" s="180"/>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80002007</v>
      </c>
      <c r="D2093" s="17" t="s">
        <v>4748</v>
      </c>
      <c r="E2093" s="279" t="s">
        <v>4749</v>
      </c>
      <c r="F2093" s="16">
        <v>1</v>
      </c>
      <c r="G2093" s="16">
        <v>80002007</v>
      </c>
      <c r="H2093" s="18">
        <v>0</v>
      </c>
      <c r="I2093" s="27">
        <v>0</v>
      </c>
      <c r="J2093" s="18">
        <v>1</v>
      </c>
      <c r="K2093" s="18">
        <v>0</v>
      </c>
      <c r="L2093" s="18">
        <v>0</v>
      </c>
      <c r="M2093" s="16">
        <v>0</v>
      </c>
      <c r="N2093" s="16">
        <v>0</v>
      </c>
      <c r="O2093" s="16">
        <v>2</v>
      </c>
      <c r="P2093" s="16">
        <v>3</v>
      </c>
      <c r="Q2093" s="16">
        <v>0.2</v>
      </c>
      <c r="R2093" s="16">
        <v>0</v>
      </c>
      <c r="S2093" s="12">
        <v>0</v>
      </c>
      <c r="T2093" s="16">
        <v>0</v>
      </c>
      <c r="U2093" s="16">
        <v>1</v>
      </c>
      <c r="V2093" s="16">
        <v>2</v>
      </c>
      <c r="W2093" s="16">
        <v>0</v>
      </c>
      <c r="X2093" s="16">
        <v>1</v>
      </c>
      <c r="Y2093" s="12">
        <v>0</v>
      </c>
      <c r="Z2093" s="16">
        <v>0</v>
      </c>
      <c r="AA2093" s="16">
        <v>0</v>
      </c>
      <c r="AB2093" s="16">
        <v>0</v>
      </c>
      <c r="AC2093" s="16">
        <v>0</v>
      </c>
      <c r="AD2093" s="16">
        <v>0</v>
      </c>
      <c r="AE2093" s="16">
        <v>0</v>
      </c>
      <c r="AF2093" s="16">
        <v>9</v>
      </c>
      <c r="AG2093" s="16">
        <v>1</v>
      </c>
      <c r="AH2093" s="16">
        <v>0</v>
      </c>
      <c r="AI2093" s="12">
        <v>1</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c r="BC2093" s="27">
        <v>0</v>
      </c>
      <c r="BD2093" s="27">
        <v>0</v>
      </c>
      <c r="BE2093" s="44" t="s">
        <v>4637</v>
      </c>
      <c r="BF2093" s="44" t="s">
        <v>4638</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80002008</v>
      </c>
      <c r="D2094" s="17" t="s">
        <v>4750</v>
      </c>
      <c r="E2094" s="279" t="s">
        <v>4751</v>
      </c>
      <c r="F2094" s="16">
        <v>1</v>
      </c>
      <c r="G2094" s="16">
        <v>80002008</v>
      </c>
      <c r="H2094" s="18">
        <v>0</v>
      </c>
      <c r="I2094" s="27">
        <v>0</v>
      </c>
      <c r="J2094" s="18">
        <v>1</v>
      </c>
      <c r="K2094" s="18">
        <v>0</v>
      </c>
      <c r="L2094" s="18">
        <v>0</v>
      </c>
      <c r="M2094" s="16">
        <v>0</v>
      </c>
      <c r="N2094" s="16">
        <v>0</v>
      </c>
      <c r="O2094" s="16">
        <v>2</v>
      </c>
      <c r="P2094" s="16">
        <v>3</v>
      </c>
      <c r="Q2094" s="16">
        <v>0.5</v>
      </c>
      <c r="R2094" s="16">
        <v>0</v>
      </c>
      <c r="S2094" s="12">
        <v>0</v>
      </c>
      <c r="T2094" s="16">
        <v>0</v>
      </c>
      <c r="U2094" s="16">
        <v>1</v>
      </c>
      <c r="V2094" s="16">
        <v>2</v>
      </c>
      <c r="W2094" s="16">
        <v>0</v>
      </c>
      <c r="X2094" s="16">
        <v>0.5</v>
      </c>
      <c r="Y2094" s="12">
        <v>0</v>
      </c>
      <c r="Z2094" s="16">
        <v>0</v>
      </c>
      <c r="AA2094" s="16">
        <v>0</v>
      </c>
      <c r="AB2094" s="16">
        <v>0</v>
      </c>
      <c r="AC2094" s="16">
        <v>0</v>
      </c>
      <c r="AD2094" s="16">
        <v>0</v>
      </c>
      <c r="AE2094" s="16">
        <v>0</v>
      </c>
      <c r="AF2094" s="16">
        <v>9</v>
      </c>
      <c r="AG2094" s="16">
        <v>1</v>
      </c>
      <c r="AH2094" s="16">
        <v>0</v>
      </c>
      <c r="AI2094" s="12">
        <v>1</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c r="BC2094" s="27">
        <v>0</v>
      </c>
      <c r="BD2094" s="27">
        <v>0</v>
      </c>
      <c r="BE2094" s="44" t="s">
        <v>4752</v>
      </c>
      <c r="BF2094" s="44" t="s">
        <v>4753</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80002009</v>
      </c>
      <c r="D2095" s="17" t="s">
        <v>4754</v>
      </c>
      <c r="E2095" s="279" t="s">
        <v>4755</v>
      </c>
      <c r="F2095" s="16">
        <v>1</v>
      </c>
      <c r="G2095" s="16">
        <v>80002009</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4756</v>
      </c>
      <c r="BC2095" s="27">
        <v>0</v>
      </c>
      <c r="BD2095" s="27">
        <v>0</v>
      </c>
      <c r="BE2095" s="44" t="s">
        <v>4757</v>
      </c>
      <c r="BF2095" s="44" t="s">
        <v>4758</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80002010</v>
      </c>
      <c r="D2096" s="17" t="s">
        <v>4759</v>
      </c>
      <c r="E2096" s="279" t="s">
        <v>4760</v>
      </c>
      <c r="F2096" s="16">
        <v>1</v>
      </c>
      <c r="G2096" s="16">
        <v>80002010</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4761</v>
      </c>
      <c r="BC2096" s="27">
        <v>0</v>
      </c>
      <c r="BD2096" s="27">
        <v>0</v>
      </c>
      <c r="BE2096" s="44" t="s">
        <v>1935</v>
      </c>
      <c r="BF2096" s="44" t="s">
        <v>1936</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80002011</v>
      </c>
      <c r="D2097" s="17" t="s">
        <v>4762</v>
      </c>
      <c r="E2097" s="279" t="s">
        <v>4763</v>
      </c>
      <c r="F2097" s="16">
        <v>1</v>
      </c>
      <c r="G2097" s="16">
        <v>80002011</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4764</v>
      </c>
      <c r="BC2097" s="27">
        <v>0</v>
      </c>
      <c r="BD2097" s="27">
        <v>0</v>
      </c>
      <c r="BE2097" s="44" t="s">
        <v>4765</v>
      </c>
      <c r="BF2097" s="44" t="s">
        <v>4766</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80002012</v>
      </c>
      <c r="D2098" s="17" t="s">
        <v>4767</v>
      </c>
      <c r="E2098" s="279" t="s">
        <v>4768</v>
      </c>
      <c r="F2098" s="16">
        <v>1</v>
      </c>
      <c r="G2098" s="16">
        <v>80002012</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4769</v>
      </c>
      <c r="BC2098" s="27">
        <v>0</v>
      </c>
      <c r="BD2098" s="27">
        <v>0</v>
      </c>
      <c r="BE2098" s="44" t="s">
        <v>4770</v>
      </c>
      <c r="BF2098" s="44" t="s">
        <v>4771</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80002013</v>
      </c>
      <c r="D2099" s="17" t="s">
        <v>4772</v>
      </c>
      <c r="E2099" s="279" t="s">
        <v>4773</v>
      </c>
      <c r="F2099" s="16">
        <v>1</v>
      </c>
      <c r="G2099" s="16">
        <v>80002013</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4774</v>
      </c>
      <c r="BC2099" s="27">
        <v>0</v>
      </c>
      <c r="BD2099" s="27">
        <v>0</v>
      </c>
      <c r="BE2099" s="44" t="s">
        <v>4775</v>
      </c>
      <c r="BF2099" s="44" t="s">
        <v>4776</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80002014</v>
      </c>
      <c r="D2100" s="17" t="s">
        <v>4777</v>
      </c>
      <c r="E2100" s="279" t="s">
        <v>4778</v>
      </c>
      <c r="F2100" s="16">
        <v>1</v>
      </c>
      <c r="G2100" s="16">
        <v>80002014</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4779</v>
      </c>
      <c r="BC2100" s="27">
        <v>0</v>
      </c>
      <c r="BD2100" s="27">
        <v>0</v>
      </c>
      <c r="BE2100" s="44" t="s">
        <v>4780</v>
      </c>
      <c r="BF2100" s="44" t="s">
        <v>4781</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0">
        <v>80002015</v>
      </c>
      <c r="D2101" s="236" t="s">
        <v>4782</v>
      </c>
      <c r="E2101" s="279" t="s">
        <v>4783</v>
      </c>
      <c r="F2101" s="180">
        <v>1</v>
      </c>
      <c r="G2101" s="180">
        <v>80002015</v>
      </c>
      <c r="H2101" s="180">
        <v>0</v>
      </c>
      <c r="I2101" s="180">
        <v>0</v>
      </c>
      <c r="J2101" s="18">
        <v>1</v>
      </c>
      <c r="K2101" s="18">
        <v>0</v>
      </c>
      <c r="L2101" s="180">
        <v>0</v>
      </c>
      <c r="M2101" s="180">
        <v>0</v>
      </c>
      <c r="N2101" s="180">
        <v>0</v>
      </c>
      <c r="O2101" s="180">
        <v>2</v>
      </c>
      <c r="P2101" s="180">
        <v>0</v>
      </c>
      <c r="Q2101" s="180">
        <v>0</v>
      </c>
      <c r="R2101" s="180">
        <v>0</v>
      </c>
      <c r="S2101" s="12">
        <v>0</v>
      </c>
      <c r="T2101" s="180">
        <v>0</v>
      </c>
      <c r="U2101" s="180">
        <v>1</v>
      </c>
      <c r="V2101" s="180">
        <v>2</v>
      </c>
      <c r="W2101" s="180">
        <v>0</v>
      </c>
      <c r="X2101" s="180">
        <v>0</v>
      </c>
      <c r="Y2101" s="12">
        <v>0</v>
      </c>
      <c r="Z2101" s="180">
        <v>0</v>
      </c>
      <c r="AA2101" s="180">
        <v>0</v>
      </c>
      <c r="AB2101" s="180">
        <v>0</v>
      </c>
      <c r="AC2101" s="180">
        <v>0</v>
      </c>
      <c r="AD2101" s="180">
        <v>0</v>
      </c>
      <c r="AE2101" s="180">
        <v>0</v>
      </c>
      <c r="AF2101" s="180">
        <v>9</v>
      </c>
      <c r="AG2101" s="180">
        <v>2</v>
      </c>
      <c r="AH2101" s="180" t="s">
        <v>213</v>
      </c>
      <c r="AI2101" s="180">
        <v>2</v>
      </c>
      <c r="AJ2101" s="180">
        <v>2</v>
      </c>
      <c r="AK2101" s="12">
        <v>0</v>
      </c>
      <c r="AL2101" s="180">
        <v>1.5</v>
      </c>
      <c r="AM2101" s="180">
        <v>0</v>
      </c>
      <c r="AN2101" s="180">
        <v>0</v>
      </c>
      <c r="AO2101" s="180">
        <v>0</v>
      </c>
      <c r="AP2101" s="180">
        <v>1</v>
      </c>
      <c r="AQ2101" s="180">
        <v>3000</v>
      </c>
      <c r="AR2101" s="180">
        <v>0.5</v>
      </c>
      <c r="AS2101" s="180">
        <v>0</v>
      </c>
      <c r="AT2101" s="180">
        <v>0</v>
      </c>
      <c r="AU2101" s="180" t="s">
        <v>198</v>
      </c>
      <c r="AV2101" s="180"/>
      <c r="AW2101" s="17" t="s">
        <v>199</v>
      </c>
      <c r="AX2101" s="180">
        <v>0</v>
      </c>
      <c r="AY2101" s="180">
        <v>0</v>
      </c>
      <c r="AZ2101" s="180">
        <v>0</v>
      </c>
      <c r="BA2101" s="236" t="s">
        <v>200</v>
      </c>
      <c r="BB2101" s="180" t="s">
        <v>4784</v>
      </c>
      <c r="BC2101" s="180">
        <v>0</v>
      </c>
      <c r="BD2101" s="180">
        <v>0</v>
      </c>
      <c r="BE2101" s="243" t="s">
        <v>4785</v>
      </c>
      <c r="BF2101" s="243" t="s">
        <v>4786</v>
      </c>
      <c r="BG2101" s="180"/>
      <c r="BH2101" s="16">
        <v>0</v>
      </c>
      <c r="BI2101" s="180"/>
      <c r="BJ2101" s="180"/>
      <c r="BK2101" s="180"/>
      <c r="BL2101" s="180"/>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80002016</v>
      </c>
      <c r="D2102" s="17" t="s">
        <v>4787</v>
      </c>
      <c r="E2102" s="279" t="s">
        <v>4788</v>
      </c>
      <c r="F2102" s="16">
        <v>1</v>
      </c>
      <c r="G2102" s="16">
        <v>80002016</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4789</v>
      </c>
      <c r="BC2102" s="27">
        <v>0</v>
      </c>
      <c r="BD2102" s="27">
        <v>0</v>
      </c>
      <c r="BE2102" s="44" t="s">
        <v>4790</v>
      </c>
      <c r="BF2102" s="44" t="s">
        <v>4791</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80002017</v>
      </c>
      <c r="D2103" s="17" t="s">
        <v>4792</v>
      </c>
      <c r="E2103" s="279" t="s">
        <v>4793</v>
      </c>
      <c r="F2103" s="16">
        <v>1</v>
      </c>
      <c r="G2103" s="16">
        <v>80002017</v>
      </c>
      <c r="H2103" s="18">
        <v>0</v>
      </c>
      <c r="I2103" s="27">
        <v>0</v>
      </c>
      <c r="J2103" s="18">
        <v>1</v>
      </c>
      <c r="K2103" s="18">
        <v>0</v>
      </c>
      <c r="L2103" s="18">
        <v>0</v>
      </c>
      <c r="M2103" s="16">
        <v>0</v>
      </c>
      <c r="N2103" s="16">
        <v>0</v>
      </c>
      <c r="O2103" s="16">
        <v>2</v>
      </c>
      <c r="P2103" s="16">
        <v>3</v>
      </c>
      <c r="Q2103" s="16">
        <v>0.2</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80010171</v>
      </c>
      <c r="AU2103" s="16" t="s">
        <v>198</v>
      </c>
      <c r="AV2103" s="16"/>
      <c r="AW2103" s="17" t="s">
        <v>199</v>
      </c>
      <c r="AX2103" s="16">
        <v>0</v>
      </c>
      <c r="AY2103" s="18">
        <v>0</v>
      </c>
      <c r="AZ2103" s="18">
        <v>0</v>
      </c>
      <c r="BA2103" s="17" t="s">
        <v>200</v>
      </c>
      <c r="BB2103" s="16"/>
      <c r="BC2103" s="27">
        <v>0</v>
      </c>
      <c r="BD2103" s="27">
        <v>0</v>
      </c>
      <c r="BE2103" s="243" t="s">
        <v>4794</v>
      </c>
      <c r="BF2103" s="243" t="s">
        <v>4795</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80002018</v>
      </c>
      <c r="D2104" s="17" t="s">
        <v>4796</v>
      </c>
      <c r="E2104" s="279" t="s">
        <v>4797</v>
      </c>
      <c r="F2104" s="16">
        <v>1</v>
      </c>
      <c r="G2104" s="16">
        <v>80002018</v>
      </c>
      <c r="H2104" s="18">
        <v>0</v>
      </c>
      <c r="I2104" s="27">
        <v>0</v>
      </c>
      <c r="J2104" s="18">
        <v>1</v>
      </c>
      <c r="K2104" s="18">
        <v>0</v>
      </c>
      <c r="L2104" s="18">
        <v>0</v>
      </c>
      <c r="M2104" s="16">
        <v>0</v>
      </c>
      <c r="N2104" s="16">
        <v>0</v>
      </c>
      <c r="O2104" s="16">
        <v>5</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199</v>
      </c>
      <c r="AX2104" s="16">
        <v>0</v>
      </c>
      <c r="AY2104" s="18">
        <v>0</v>
      </c>
      <c r="AZ2104" s="18">
        <v>0</v>
      </c>
      <c r="BA2104" s="17" t="s">
        <v>200</v>
      </c>
      <c r="BB2104" s="16" t="s">
        <v>4798</v>
      </c>
      <c r="BC2104" s="27">
        <v>0</v>
      </c>
      <c r="BD2104" s="27">
        <v>0</v>
      </c>
      <c r="BE2104" s="44" t="s">
        <v>4799</v>
      </c>
      <c r="BF2104" s="44" t="s">
        <v>4800</v>
      </c>
      <c r="BG2104" s="16"/>
      <c r="BH2104" s="16">
        <v>0</v>
      </c>
      <c r="BI2104" s="16"/>
      <c r="BJ2104" s="16"/>
      <c r="BK2104" s="16"/>
      <c r="BL2104" s="18"/>
      <c r="BM2104" s="16">
        <v>0</v>
      </c>
      <c r="BN2104" s="12">
        <v>0</v>
      </c>
      <c r="BO2104" s="12">
        <v>0</v>
      </c>
      <c r="BP2104" s="12">
        <v>0</v>
      </c>
      <c r="BQ2104" s="12">
        <v>0</v>
      </c>
      <c r="BR2104" s="12">
        <v>0</v>
      </c>
      <c r="BS2104" s="12">
        <v>0</v>
      </c>
      <c r="BT2104" s="12">
        <v>0</v>
      </c>
      <c r="BU2104" s="47">
        <v>0</v>
      </c>
      <c r="BV2104" s="47"/>
      <c r="BW2104" s="47"/>
    </row>
    <row r="2105" spans="3:75" ht="20.100000000000001" customHeight="1">
      <c r="C2105" s="18">
        <v>80002019</v>
      </c>
      <c r="D2105" s="17" t="s">
        <v>4801</v>
      </c>
      <c r="E2105" s="279" t="s">
        <v>4802</v>
      </c>
      <c r="F2105" s="16">
        <v>1</v>
      </c>
      <c r="G2105" s="16">
        <v>80002019</v>
      </c>
      <c r="H2105" s="18">
        <v>0</v>
      </c>
      <c r="I2105" s="27">
        <v>0</v>
      </c>
      <c r="J2105" s="18">
        <v>1</v>
      </c>
      <c r="K2105" s="18">
        <v>0</v>
      </c>
      <c r="L2105" s="18">
        <v>0</v>
      </c>
      <c r="M2105" s="16">
        <v>0</v>
      </c>
      <c r="N2105" s="16">
        <v>0</v>
      </c>
      <c r="O2105" s="16">
        <v>5</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199</v>
      </c>
      <c r="AX2105" s="16">
        <v>0</v>
      </c>
      <c r="AY2105" s="18">
        <v>0</v>
      </c>
      <c r="AZ2105" s="18">
        <v>0</v>
      </c>
      <c r="BA2105" s="17" t="s">
        <v>200</v>
      </c>
      <c r="BB2105" s="16" t="s">
        <v>4803</v>
      </c>
      <c r="BC2105" s="27">
        <v>0</v>
      </c>
      <c r="BD2105" s="27">
        <v>0</v>
      </c>
      <c r="BE2105" s="44" t="s">
        <v>4804</v>
      </c>
      <c r="BF2105" s="44" t="s">
        <v>4805</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80002020</v>
      </c>
      <c r="D2106" s="17" t="s">
        <v>4806</v>
      </c>
      <c r="E2106" s="279" t="s">
        <v>4807</v>
      </c>
      <c r="F2106" s="16">
        <v>1</v>
      </c>
      <c r="G2106" s="16">
        <v>80002020</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199</v>
      </c>
      <c r="AX2106" s="16">
        <v>0</v>
      </c>
      <c r="AY2106" s="18">
        <v>0</v>
      </c>
      <c r="AZ2106" s="18">
        <v>0</v>
      </c>
      <c r="BA2106" s="17" t="s">
        <v>200</v>
      </c>
      <c r="BB2106" s="16" t="s">
        <v>4808</v>
      </c>
      <c r="BC2106" s="27">
        <v>0</v>
      </c>
      <c r="BD2106" s="27">
        <v>0</v>
      </c>
      <c r="BE2106" s="44" t="s">
        <v>4809</v>
      </c>
      <c r="BF2106" s="44" t="s">
        <v>4810</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25" customHeight="1">
      <c r="C2107" s="18">
        <v>80002021</v>
      </c>
      <c r="D2107" s="17" t="s">
        <v>4811</v>
      </c>
      <c r="E2107" s="279" t="s">
        <v>4812</v>
      </c>
      <c r="F2107" s="18">
        <v>1</v>
      </c>
      <c r="G2107" s="16">
        <v>80002021</v>
      </c>
      <c r="H2107" s="18">
        <v>0</v>
      </c>
      <c r="I2107" s="27">
        <v>0</v>
      </c>
      <c r="J2107" s="18">
        <v>1</v>
      </c>
      <c r="K2107" s="18">
        <v>0</v>
      </c>
      <c r="L2107" s="18">
        <v>0</v>
      </c>
      <c r="M2107" s="16">
        <v>0</v>
      </c>
      <c r="N2107" s="16">
        <v>0</v>
      </c>
      <c r="O2107" s="16">
        <v>2</v>
      </c>
      <c r="P2107" s="16">
        <v>10</v>
      </c>
      <c r="Q2107" s="16">
        <v>0.2</v>
      </c>
      <c r="R2107" s="16">
        <v>0</v>
      </c>
      <c r="S2107" s="12">
        <v>0</v>
      </c>
      <c r="T2107" s="16">
        <v>0</v>
      </c>
      <c r="U2107" s="16">
        <v>1</v>
      </c>
      <c r="V2107" s="16">
        <v>2</v>
      </c>
      <c r="W2107" s="16">
        <v>0</v>
      </c>
      <c r="X2107" s="16">
        <v>2</v>
      </c>
      <c r="Y2107" s="12">
        <v>0</v>
      </c>
      <c r="Z2107" s="16">
        <v>0</v>
      </c>
      <c r="AA2107" s="16">
        <v>0</v>
      </c>
      <c r="AB2107" s="16">
        <v>0</v>
      </c>
      <c r="AC2107" s="16">
        <v>0</v>
      </c>
      <c r="AD2107" s="16">
        <v>0</v>
      </c>
      <c r="AE2107" s="16">
        <v>0</v>
      </c>
      <c r="AF2107" s="16">
        <v>5</v>
      </c>
      <c r="AG2107" s="16">
        <v>1</v>
      </c>
      <c r="AH2107" s="16">
        <v>3</v>
      </c>
      <c r="AI2107" s="12">
        <v>1</v>
      </c>
      <c r="AJ2107" s="12">
        <v>1</v>
      </c>
      <c r="AK2107" s="12">
        <v>0</v>
      </c>
      <c r="AL2107" s="12">
        <v>3</v>
      </c>
      <c r="AM2107" s="16">
        <v>0</v>
      </c>
      <c r="AN2107" s="16">
        <v>0</v>
      </c>
      <c r="AO2107" s="16">
        <v>0</v>
      </c>
      <c r="AP2107" s="16">
        <v>3</v>
      </c>
      <c r="AQ2107" s="16">
        <v>5000</v>
      </c>
      <c r="AR2107" s="16">
        <v>0.5</v>
      </c>
      <c r="AS2107" s="16">
        <v>0</v>
      </c>
      <c r="AT2107" s="12">
        <v>0</v>
      </c>
      <c r="AU2107" s="16">
        <v>0</v>
      </c>
      <c r="AV2107" s="16"/>
      <c r="AW2107" s="17" t="s">
        <v>199</v>
      </c>
      <c r="AX2107" s="12" t="s">
        <v>1695</v>
      </c>
      <c r="AY2107" s="18">
        <v>10000007</v>
      </c>
      <c r="AZ2107" s="280">
        <v>23000080</v>
      </c>
      <c r="BA2107" s="17" t="s">
        <v>200</v>
      </c>
      <c r="BB2107" s="19" t="s">
        <v>198</v>
      </c>
      <c r="BC2107" s="27">
        <v>0</v>
      </c>
      <c r="BD2107" s="27">
        <v>0</v>
      </c>
      <c r="BE2107" s="44" t="s">
        <v>4813</v>
      </c>
      <c r="BF2107" s="44" t="s">
        <v>4814</v>
      </c>
      <c r="BG2107" s="18">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spans="3:75" ht="20.100000000000001" customHeight="1">
      <c r="C2108" s="18">
        <v>80002022</v>
      </c>
      <c r="D2108" s="17" t="s">
        <v>4815</v>
      </c>
      <c r="E2108" s="279" t="s">
        <v>4816</v>
      </c>
      <c r="F2108" s="18">
        <v>1</v>
      </c>
      <c r="G2108" s="16">
        <v>80002022</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341" t="s">
        <v>2164</v>
      </c>
      <c r="AV2108" s="12"/>
      <c r="AW2108" s="17" t="s">
        <v>199</v>
      </c>
      <c r="AX2108" s="12" t="s">
        <v>1695</v>
      </c>
      <c r="AY2108" s="12" t="s">
        <v>198</v>
      </c>
      <c r="AZ2108" s="12">
        <v>0</v>
      </c>
      <c r="BA2108" s="13" t="s">
        <v>200</v>
      </c>
      <c r="BB2108" s="12">
        <v>0</v>
      </c>
      <c r="BC2108" s="27">
        <v>0</v>
      </c>
      <c r="BD2108" s="27">
        <v>0</v>
      </c>
      <c r="BE2108" s="44" t="s">
        <v>2165</v>
      </c>
      <c r="BF2108" s="44" t="s">
        <v>2166</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80002023</v>
      </c>
      <c r="D2109" s="17" t="s">
        <v>4817</v>
      </c>
      <c r="E2109" s="279" t="s">
        <v>4818</v>
      </c>
      <c r="F2109" s="16">
        <v>1</v>
      </c>
      <c r="G2109" s="16">
        <v>80002023</v>
      </c>
      <c r="H2109" s="18">
        <v>0</v>
      </c>
      <c r="I2109" s="27">
        <v>0</v>
      </c>
      <c r="J2109" s="18">
        <v>1</v>
      </c>
      <c r="K2109" s="18">
        <v>0</v>
      </c>
      <c r="L2109" s="18">
        <v>0</v>
      </c>
      <c r="M2109" s="16">
        <v>0</v>
      </c>
      <c r="N2109" s="16">
        <v>0</v>
      </c>
      <c r="O2109" s="16">
        <v>2</v>
      </c>
      <c r="P2109" s="16">
        <v>9</v>
      </c>
      <c r="Q2109" s="16">
        <v>0.3</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10</v>
      </c>
      <c r="AG2109" s="16">
        <v>0</v>
      </c>
      <c r="AH2109" s="16">
        <v>3</v>
      </c>
      <c r="AI2109" s="12">
        <v>7</v>
      </c>
      <c r="AJ2109" s="12">
        <v>0</v>
      </c>
      <c r="AK2109" s="12">
        <v>0</v>
      </c>
      <c r="AL2109" s="12">
        <v>10</v>
      </c>
      <c r="AM2109" s="16">
        <v>0</v>
      </c>
      <c r="AN2109" s="16">
        <v>0</v>
      </c>
      <c r="AO2109" s="16">
        <v>0</v>
      </c>
      <c r="AP2109" s="16">
        <v>0</v>
      </c>
      <c r="AQ2109" s="16">
        <v>3000</v>
      </c>
      <c r="AR2109" s="16">
        <v>0.5</v>
      </c>
      <c r="AS2109" s="16">
        <v>0</v>
      </c>
      <c r="AT2109" s="12">
        <v>0</v>
      </c>
      <c r="AU2109" s="16">
        <v>80002003</v>
      </c>
      <c r="AV2109" s="16"/>
      <c r="AW2109" s="17" t="s">
        <v>199</v>
      </c>
      <c r="AX2109" s="16">
        <v>0</v>
      </c>
      <c r="AY2109" s="18">
        <v>0</v>
      </c>
      <c r="AZ2109" s="18">
        <v>0</v>
      </c>
      <c r="BA2109" s="17" t="s">
        <v>200</v>
      </c>
      <c r="BB2109" s="16">
        <v>0</v>
      </c>
      <c r="BC2109" s="27">
        <v>0</v>
      </c>
      <c r="BD2109" s="27">
        <v>0</v>
      </c>
      <c r="BE2109" s="44" t="s">
        <v>1922</v>
      </c>
      <c r="BF2109" s="44" t="s">
        <v>1923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80002024</v>
      </c>
      <c r="D2110" s="17" t="s">
        <v>4819</v>
      </c>
      <c r="E2110" s="279" t="s">
        <v>4820</v>
      </c>
      <c r="F2110" s="16">
        <v>1</v>
      </c>
      <c r="G2110" s="16">
        <v>80002024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10</v>
      </c>
      <c r="AG2110" s="16">
        <v>2</v>
      </c>
      <c r="AH2110" s="16" t="s">
        <v>213</v>
      </c>
      <c r="AI2110" s="12">
        <v>2</v>
      </c>
      <c r="AJ2110" s="12">
        <v>2</v>
      </c>
      <c r="AK2110" s="12">
        <v>0</v>
      </c>
      <c r="AL2110" s="12">
        <v>1.5</v>
      </c>
      <c r="AM2110" s="16">
        <v>0</v>
      </c>
      <c r="AN2110" s="16">
        <v>0</v>
      </c>
      <c r="AO2110" s="16">
        <v>0</v>
      </c>
      <c r="AP2110" s="16">
        <v>0</v>
      </c>
      <c r="AQ2110" s="16">
        <v>3000</v>
      </c>
      <c r="AR2110" s="16">
        <v>0.5</v>
      </c>
      <c r="AS2110" s="16">
        <v>0</v>
      </c>
      <c r="AT2110" s="12">
        <v>0</v>
      </c>
      <c r="AU2110" s="16" t="s">
        <v>198</v>
      </c>
      <c r="AV2110" s="16"/>
      <c r="AW2110" s="17" t="s">
        <v>199</v>
      </c>
      <c r="AX2110" s="16">
        <v>0</v>
      </c>
      <c r="AY2110" s="18">
        <v>0</v>
      </c>
      <c r="AZ2110" s="18">
        <v>0</v>
      </c>
      <c r="BA2110" s="17" t="s">
        <v>200</v>
      </c>
      <c r="BB2110" s="16" t="s">
        <v>4704</v>
      </c>
      <c r="BC2110" s="27">
        <v>0</v>
      </c>
      <c r="BD2110" s="27">
        <v>0</v>
      </c>
      <c r="BE2110" s="44" t="s">
        <v>4821</v>
      </c>
      <c r="BF2110" s="44" t="s">
        <v>4822</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80002025</v>
      </c>
      <c r="D2111" s="17" t="s">
        <v>4823</v>
      </c>
      <c r="E2111" s="279" t="s">
        <v>4824</v>
      </c>
      <c r="F2111" s="18">
        <v>1</v>
      </c>
      <c r="G2111" s="16">
        <v>80002025</v>
      </c>
      <c r="H2111" s="12">
        <v>0</v>
      </c>
      <c r="I2111" s="12">
        <v>0</v>
      </c>
      <c r="J2111" s="18">
        <v>1</v>
      </c>
      <c r="K2111" s="18">
        <v>0</v>
      </c>
      <c r="L2111" s="12">
        <v>0</v>
      </c>
      <c r="M2111" s="12">
        <v>0</v>
      </c>
      <c r="N2111" s="12">
        <v>0</v>
      </c>
      <c r="O2111" s="12">
        <v>2</v>
      </c>
      <c r="P2111" s="12">
        <v>10</v>
      </c>
      <c r="Q2111" s="12">
        <v>0.1</v>
      </c>
      <c r="R2111" s="12">
        <v>0</v>
      </c>
      <c r="S2111" s="12">
        <v>0</v>
      </c>
      <c r="T2111" s="12">
        <v>0</v>
      </c>
      <c r="U2111" s="16">
        <v>1</v>
      </c>
      <c r="V2111" s="12">
        <v>2</v>
      </c>
      <c r="W2111" s="12">
        <v>0</v>
      </c>
      <c r="X2111" s="12">
        <v>2.5</v>
      </c>
      <c r="Y2111" s="12">
        <v>0</v>
      </c>
      <c r="Z2111" s="12">
        <v>0</v>
      </c>
      <c r="AA2111" s="12">
        <v>0</v>
      </c>
      <c r="AB2111" s="12">
        <v>0</v>
      </c>
      <c r="AC2111" s="12">
        <v>0</v>
      </c>
      <c r="AD2111" s="18">
        <v>0</v>
      </c>
      <c r="AE2111" s="12">
        <v>0</v>
      </c>
      <c r="AF2111" s="12">
        <v>10</v>
      </c>
      <c r="AG2111" s="12">
        <v>0</v>
      </c>
      <c r="AH2111" s="12">
        <v>0</v>
      </c>
      <c r="AI2111" s="12">
        <v>7</v>
      </c>
      <c r="AJ2111" s="12">
        <v>0</v>
      </c>
      <c r="AK2111" s="12">
        <v>0</v>
      </c>
      <c r="AL2111" s="12">
        <v>6</v>
      </c>
      <c r="AM2111" s="12">
        <v>0</v>
      </c>
      <c r="AN2111" s="12">
        <v>0</v>
      </c>
      <c r="AO2111" s="12">
        <v>0</v>
      </c>
      <c r="AP2111" s="12">
        <v>0</v>
      </c>
      <c r="AQ2111" s="12">
        <v>1000</v>
      </c>
      <c r="AR2111" s="12">
        <v>0</v>
      </c>
      <c r="AS2111" s="12">
        <v>0</v>
      </c>
      <c r="AT2111" s="12">
        <v>0</v>
      </c>
      <c r="AU2111" s="12" t="s">
        <v>198</v>
      </c>
      <c r="AV2111" s="12"/>
      <c r="AW2111" s="17" t="s">
        <v>199</v>
      </c>
      <c r="AX2111" s="12" t="s">
        <v>1695</v>
      </c>
      <c r="AY2111" s="12" t="s">
        <v>198</v>
      </c>
      <c r="AZ2111" s="12" t="s">
        <v>1929</v>
      </c>
      <c r="BA2111" s="13" t="s">
        <v>200</v>
      </c>
      <c r="BB2111" s="12">
        <v>0</v>
      </c>
      <c r="BC2111" s="27">
        <v>0</v>
      </c>
      <c r="BD2111" s="27">
        <v>0</v>
      </c>
      <c r="BE2111" s="42" t="s">
        <v>4825</v>
      </c>
      <c r="BF2111" s="42" t="s">
        <v>4826</v>
      </c>
      <c r="BG2111" s="12">
        <v>0</v>
      </c>
      <c r="BH2111" s="16">
        <v>0</v>
      </c>
      <c r="BI2111" s="16"/>
      <c r="BJ2111" s="16"/>
      <c r="BK2111" s="16"/>
      <c r="BL2111" s="18"/>
      <c r="BM2111" s="15">
        <v>0</v>
      </c>
      <c r="BN2111" s="12">
        <v>0</v>
      </c>
      <c r="BO2111" s="12">
        <v>0</v>
      </c>
      <c r="BP2111" s="12">
        <v>0</v>
      </c>
      <c r="BQ2111" s="12">
        <v>0</v>
      </c>
      <c r="BR2111" s="12">
        <v>0</v>
      </c>
      <c r="BS2111" s="12">
        <v>0</v>
      </c>
      <c r="BT2111" s="12">
        <v>0</v>
      </c>
      <c r="BU2111" s="47">
        <v>0</v>
      </c>
      <c r="BV2111" s="47"/>
      <c r="BW2111" s="47"/>
    </row>
    <row r="2112" spans="3:75" ht="20.100000000000001" customHeight="1">
      <c r="C2112" s="18">
        <v>80002026</v>
      </c>
      <c r="D2112" s="17" t="s">
        <v>4827</v>
      </c>
      <c r="E2112" s="279" t="s">
        <v>4828</v>
      </c>
      <c r="F2112" s="18">
        <v>1</v>
      </c>
      <c r="G2112" s="16">
        <v>80002026</v>
      </c>
      <c r="H2112" s="12">
        <v>0</v>
      </c>
      <c r="I2112" s="12">
        <v>0</v>
      </c>
      <c r="J2112" s="18">
        <v>1</v>
      </c>
      <c r="K2112" s="18">
        <v>0</v>
      </c>
      <c r="L2112" s="12">
        <v>0</v>
      </c>
      <c r="M2112" s="12">
        <v>0</v>
      </c>
      <c r="N2112" s="12">
        <v>0</v>
      </c>
      <c r="O2112" s="12">
        <v>2</v>
      </c>
      <c r="P2112" s="12">
        <v>1</v>
      </c>
      <c r="Q2112" s="12">
        <v>0.2</v>
      </c>
      <c r="R2112" s="12">
        <v>0</v>
      </c>
      <c r="S2112" s="12">
        <v>0</v>
      </c>
      <c r="T2112" s="12">
        <v>0</v>
      </c>
      <c r="U2112" s="16">
        <v>1</v>
      </c>
      <c r="V2112" s="12">
        <v>2</v>
      </c>
      <c r="W2112" s="12">
        <v>0</v>
      </c>
      <c r="X2112" s="12">
        <v>0</v>
      </c>
      <c r="Y2112" s="12">
        <v>0</v>
      </c>
      <c r="Z2112" s="12">
        <v>0</v>
      </c>
      <c r="AA2112" s="12">
        <v>0</v>
      </c>
      <c r="AB2112" s="12">
        <v>0</v>
      </c>
      <c r="AC2112" s="12">
        <v>0</v>
      </c>
      <c r="AD2112" s="18">
        <v>0</v>
      </c>
      <c r="AE2112" s="12">
        <v>0</v>
      </c>
      <c r="AF2112" s="12">
        <v>10</v>
      </c>
      <c r="AG2112" s="12">
        <v>0</v>
      </c>
      <c r="AH2112" s="12">
        <v>0</v>
      </c>
      <c r="AI2112" s="12">
        <v>7</v>
      </c>
      <c r="AJ2112" s="12">
        <v>0</v>
      </c>
      <c r="AK2112" s="12">
        <v>0</v>
      </c>
      <c r="AL2112" s="12">
        <v>6</v>
      </c>
      <c r="AM2112" s="12">
        <v>0</v>
      </c>
      <c r="AN2112" s="12">
        <v>0</v>
      </c>
      <c r="AO2112" s="12">
        <v>0</v>
      </c>
      <c r="AP2112" s="12">
        <v>0</v>
      </c>
      <c r="AQ2112" s="12">
        <v>1000</v>
      </c>
      <c r="AR2112" s="12">
        <v>0</v>
      </c>
      <c r="AS2112" s="12">
        <v>0</v>
      </c>
      <c r="AT2112" s="12">
        <v>0</v>
      </c>
      <c r="AU2112" s="12">
        <v>80002004</v>
      </c>
      <c r="AV2112" s="12"/>
      <c r="AW2112" s="17" t="s">
        <v>199</v>
      </c>
      <c r="AX2112" s="12">
        <v>0</v>
      </c>
      <c r="AY2112" s="12" t="s">
        <v>198</v>
      </c>
      <c r="AZ2112" s="12">
        <v>0</v>
      </c>
      <c r="BA2112" s="13" t="s">
        <v>200</v>
      </c>
      <c r="BB2112" s="12">
        <v>0</v>
      </c>
      <c r="BC2112" s="27">
        <v>0</v>
      </c>
      <c r="BD2112" s="27">
        <v>0</v>
      </c>
      <c r="BE2112" s="42" t="s">
        <v>4829</v>
      </c>
      <c r="BF2112" s="42" t="s">
        <v>4830</v>
      </c>
      <c r="BG2112" s="12">
        <v>0</v>
      </c>
      <c r="BH2112" s="16">
        <v>0</v>
      </c>
      <c r="BI2112" s="16"/>
      <c r="BJ2112" s="16"/>
      <c r="BK2112" s="16"/>
      <c r="BL2112" s="18"/>
      <c r="BM2112" s="15">
        <v>0</v>
      </c>
      <c r="BN2112" s="12">
        <v>0</v>
      </c>
      <c r="BO2112" s="12">
        <v>0</v>
      </c>
      <c r="BP2112" s="12">
        <v>0</v>
      </c>
      <c r="BQ2112" s="12">
        <v>0</v>
      </c>
      <c r="BR2112" s="12">
        <v>0</v>
      </c>
      <c r="BS2112" s="12">
        <v>0</v>
      </c>
      <c r="BT2112" s="12">
        <v>0</v>
      </c>
      <c r="BU2112" s="47">
        <v>0</v>
      </c>
      <c r="BV2112" s="47"/>
      <c r="BW2112" s="47"/>
    </row>
    <row r="2113" spans="3:75" ht="20.100000000000001" customHeight="1">
      <c r="C2113" s="18">
        <v>80002027</v>
      </c>
      <c r="D2113" s="17" t="s">
        <v>4831</v>
      </c>
      <c r="E2113" s="279" t="s">
        <v>4832</v>
      </c>
      <c r="F2113" s="16">
        <v>1</v>
      </c>
      <c r="G2113" s="16">
        <v>80002027</v>
      </c>
      <c r="H2113" s="18">
        <v>0</v>
      </c>
      <c r="I2113" s="27">
        <v>0</v>
      </c>
      <c r="J2113" s="18">
        <v>1</v>
      </c>
      <c r="K2113" s="18">
        <v>0</v>
      </c>
      <c r="L2113" s="18">
        <v>0</v>
      </c>
      <c r="M2113" s="16">
        <v>0</v>
      </c>
      <c r="N2113" s="16">
        <v>0</v>
      </c>
      <c r="O2113" s="16">
        <v>5</v>
      </c>
      <c r="P2113" s="16">
        <v>0</v>
      </c>
      <c r="Q2113" s="16">
        <v>0</v>
      </c>
      <c r="R2113" s="16">
        <v>0</v>
      </c>
      <c r="S2113" s="12">
        <v>0</v>
      </c>
      <c r="T2113" s="16">
        <v>0</v>
      </c>
      <c r="U2113" s="16">
        <v>1</v>
      </c>
      <c r="V2113" s="16">
        <v>2</v>
      </c>
      <c r="W2113" s="16">
        <v>0</v>
      </c>
      <c r="X2113" s="16">
        <v>0</v>
      </c>
      <c r="Y2113" s="12">
        <v>0</v>
      </c>
      <c r="Z2113" s="16">
        <v>0</v>
      </c>
      <c r="AA2113" s="16">
        <v>0</v>
      </c>
      <c r="AB2113" s="16">
        <v>0</v>
      </c>
      <c r="AC2113" s="16">
        <v>0</v>
      </c>
      <c r="AD2113" s="16">
        <v>0</v>
      </c>
      <c r="AE2113" s="16">
        <v>0</v>
      </c>
      <c r="AF2113" s="16">
        <v>9</v>
      </c>
      <c r="AG2113" s="16">
        <v>2</v>
      </c>
      <c r="AH2113" s="16" t="s">
        <v>213</v>
      </c>
      <c r="AI2113" s="12">
        <v>2</v>
      </c>
      <c r="AJ2113" s="12">
        <v>2</v>
      </c>
      <c r="AK2113" s="12">
        <v>0</v>
      </c>
      <c r="AL2113" s="12">
        <v>1.5</v>
      </c>
      <c r="AM2113" s="16">
        <v>0</v>
      </c>
      <c r="AN2113" s="16">
        <v>0</v>
      </c>
      <c r="AO2113" s="16">
        <v>0</v>
      </c>
      <c r="AP2113" s="16">
        <v>0</v>
      </c>
      <c r="AQ2113" s="16">
        <v>3000</v>
      </c>
      <c r="AR2113" s="16">
        <v>0.5</v>
      </c>
      <c r="AS2113" s="16">
        <v>0</v>
      </c>
      <c r="AT2113" s="12">
        <v>0</v>
      </c>
      <c r="AU2113" s="16" t="s">
        <v>198</v>
      </c>
      <c r="AV2113" s="16"/>
      <c r="AW2113" s="17" t="s">
        <v>199</v>
      </c>
      <c r="AX2113" s="16">
        <v>0</v>
      </c>
      <c r="AY2113" s="18">
        <v>0</v>
      </c>
      <c r="AZ2113" s="18">
        <v>0</v>
      </c>
      <c r="BA2113" s="17" t="s">
        <v>200</v>
      </c>
      <c r="BB2113" s="16" t="s">
        <v>4715</v>
      </c>
      <c r="BC2113" s="27">
        <v>0</v>
      </c>
      <c r="BD2113" s="27">
        <v>0</v>
      </c>
      <c r="BE2113" s="44" t="s">
        <v>4833</v>
      </c>
      <c r="BF2113" s="44" t="s">
        <v>4834</v>
      </c>
      <c r="BG2113" s="16"/>
      <c r="BH2113" s="16">
        <v>0</v>
      </c>
      <c r="BI2113" s="16"/>
      <c r="BJ2113" s="16"/>
      <c r="BK2113" s="16"/>
      <c r="BL2113" s="18"/>
      <c r="BM2113" s="16">
        <v>0</v>
      </c>
      <c r="BN2113" s="12">
        <v>0</v>
      </c>
      <c r="BO2113" s="12">
        <v>0</v>
      </c>
      <c r="BP2113" s="12">
        <v>0</v>
      </c>
      <c r="BQ2113" s="12">
        <v>0</v>
      </c>
      <c r="BR2113" s="12">
        <v>0</v>
      </c>
      <c r="BS2113" s="12">
        <v>0</v>
      </c>
      <c r="BT2113" s="12">
        <v>0</v>
      </c>
      <c r="BU2113" s="47">
        <v>0</v>
      </c>
      <c r="BV2113" s="47"/>
      <c r="BW2113" s="47"/>
    </row>
    <row r="2114" spans="3:75" ht="20.100000000000001" customHeight="1">
      <c r="C2114" s="18">
        <v>80002028</v>
      </c>
      <c r="D2114" s="17" t="s">
        <v>4835</v>
      </c>
      <c r="E2114" s="279" t="s">
        <v>4836</v>
      </c>
      <c r="F2114" s="16">
        <v>1</v>
      </c>
      <c r="G2114" s="16">
        <v>80002028</v>
      </c>
      <c r="H2114" s="18">
        <v>0</v>
      </c>
      <c r="I2114" s="27">
        <v>0</v>
      </c>
      <c r="J2114" s="18">
        <v>1</v>
      </c>
      <c r="K2114" s="18">
        <v>0</v>
      </c>
      <c r="L2114" s="18">
        <v>0</v>
      </c>
      <c r="M2114" s="16">
        <v>0</v>
      </c>
      <c r="N2114" s="16">
        <v>0</v>
      </c>
      <c r="O2114" s="16">
        <v>2</v>
      </c>
      <c r="P2114" s="16">
        <v>9</v>
      </c>
      <c r="Q2114" s="16">
        <v>0.1</v>
      </c>
      <c r="R2114" s="16">
        <v>0</v>
      </c>
      <c r="S2114" s="12">
        <v>0</v>
      </c>
      <c r="T2114" s="16">
        <v>0</v>
      </c>
      <c r="U2114" s="16">
        <v>1</v>
      </c>
      <c r="V2114" s="16">
        <v>1</v>
      </c>
      <c r="W2114" s="16">
        <v>0</v>
      </c>
      <c r="X2114" s="16">
        <v>2</v>
      </c>
      <c r="Y2114" s="12">
        <v>0</v>
      </c>
      <c r="Z2114" s="16">
        <v>0</v>
      </c>
      <c r="AA2114" s="16">
        <v>0</v>
      </c>
      <c r="AB2114" s="16">
        <v>0</v>
      </c>
      <c r="AC2114" s="16">
        <v>0</v>
      </c>
      <c r="AD2114" s="16">
        <v>0</v>
      </c>
      <c r="AE2114" s="16">
        <v>0</v>
      </c>
      <c r="AF2114" s="16">
        <v>3</v>
      </c>
      <c r="AG2114" s="16">
        <v>2</v>
      </c>
      <c r="AH2114" s="16" t="s">
        <v>213</v>
      </c>
      <c r="AI2114" s="12">
        <v>0</v>
      </c>
      <c r="AJ2114" s="12">
        <v>0</v>
      </c>
      <c r="AK2114" s="12">
        <v>0</v>
      </c>
      <c r="AL2114" s="12">
        <v>1.5</v>
      </c>
      <c r="AM2114" s="16">
        <v>0</v>
      </c>
      <c r="AN2114" s="16">
        <v>0</v>
      </c>
      <c r="AO2114" s="16">
        <v>0</v>
      </c>
      <c r="AP2114" s="16">
        <v>0</v>
      </c>
      <c r="AQ2114" s="16">
        <v>3000</v>
      </c>
      <c r="AR2114" s="16">
        <v>0.5</v>
      </c>
      <c r="AS2114" s="16">
        <v>0</v>
      </c>
      <c r="AT2114" s="12">
        <v>0</v>
      </c>
      <c r="AU2114" s="16">
        <v>0</v>
      </c>
      <c r="AV2114" s="16"/>
      <c r="AW2114" s="17" t="s">
        <v>199</v>
      </c>
      <c r="AX2114" s="16">
        <v>0</v>
      </c>
      <c r="AY2114" s="18">
        <v>10000007</v>
      </c>
      <c r="AZ2114" s="18">
        <v>23000040</v>
      </c>
      <c r="BA2114" s="17" t="s">
        <v>200</v>
      </c>
      <c r="BB2114" s="16">
        <v>0</v>
      </c>
      <c r="BC2114" s="27">
        <v>0</v>
      </c>
      <c r="BD2114" s="27">
        <v>1</v>
      </c>
      <c r="BE2114" s="44" t="s">
        <v>1926</v>
      </c>
      <c r="BF2114" s="44" t="s">
        <v>1927</v>
      </c>
      <c r="BG2114" s="16">
        <v>0</v>
      </c>
      <c r="BH2114" s="16">
        <v>0</v>
      </c>
      <c r="BI2114" s="16"/>
      <c r="BJ2114" s="16"/>
      <c r="BK2114" s="16"/>
      <c r="BL2114" s="18"/>
      <c r="BM2114" s="16">
        <v>0</v>
      </c>
      <c r="BN2114" s="12">
        <v>0</v>
      </c>
      <c r="BO2114" s="12">
        <v>0</v>
      </c>
      <c r="BP2114" s="12">
        <v>0</v>
      </c>
      <c r="BQ2114" s="12">
        <v>0</v>
      </c>
      <c r="BR2114" s="12">
        <v>0</v>
      </c>
      <c r="BS2114" s="12">
        <v>0</v>
      </c>
      <c r="BT2114" s="12">
        <v>0</v>
      </c>
      <c r="BU2114" s="47">
        <v>0</v>
      </c>
      <c r="BV2114" s="47"/>
      <c r="BW2114" s="47"/>
    </row>
    <row r="2115" spans="3:75" ht="20.100000000000001" customHeight="1">
      <c r="C2115" s="18">
        <v>80003001</v>
      </c>
      <c r="D2115" s="59" t="s">
        <v>4837</v>
      </c>
      <c r="E2115" s="59" t="s">
        <v>4838</v>
      </c>
      <c r="F2115" s="60">
        <v>1</v>
      </c>
      <c r="G2115" s="18">
        <v>80003001</v>
      </c>
      <c r="H2115" s="60">
        <v>0</v>
      </c>
      <c r="I2115" s="66">
        <v>0</v>
      </c>
      <c r="J2115" s="64">
        <v>1</v>
      </c>
      <c r="K2115" s="64">
        <v>0</v>
      </c>
      <c r="L2115" s="64">
        <v>0</v>
      </c>
      <c r="M2115" s="60">
        <v>0</v>
      </c>
      <c r="N2115" s="60">
        <v>0</v>
      </c>
      <c r="O2115" s="60">
        <v>2</v>
      </c>
      <c r="P2115" s="60">
        <v>3</v>
      </c>
      <c r="Q2115" s="60">
        <v>0.2</v>
      </c>
      <c r="R2115" s="60">
        <v>0</v>
      </c>
      <c r="S2115" s="68">
        <v>0</v>
      </c>
      <c r="T2115" s="60">
        <v>0</v>
      </c>
      <c r="U2115" s="60">
        <v>1</v>
      </c>
      <c r="V2115" s="60">
        <v>1</v>
      </c>
      <c r="W2115" s="60">
        <v>0</v>
      </c>
      <c r="X2115" s="60">
        <v>0.3</v>
      </c>
      <c r="Y2115" s="12">
        <v>0</v>
      </c>
      <c r="Z2115" s="60">
        <v>0</v>
      </c>
      <c r="AA2115" s="60">
        <v>0</v>
      </c>
      <c r="AB2115" s="60">
        <v>0</v>
      </c>
      <c r="AC2115" s="60">
        <v>0</v>
      </c>
      <c r="AD2115" s="60">
        <v>0</v>
      </c>
      <c r="AE2115" s="60">
        <v>1</v>
      </c>
      <c r="AF2115" s="60">
        <v>3</v>
      </c>
      <c r="AG2115" s="60">
        <v>1</v>
      </c>
      <c r="AH2115" s="60">
        <v>2</v>
      </c>
      <c r="AI2115" s="68">
        <v>0</v>
      </c>
      <c r="AJ2115" s="68">
        <v>2</v>
      </c>
      <c r="AK2115" s="68">
        <v>0</v>
      </c>
      <c r="AL2115" s="68">
        <v>1.5</v>
      </c>
      <c r="AM2115" s="60">
        <v>0</v>
      </c>
      <c r="AN2115" s="60">
        <v>0</v>
      </c>
      <c r="AO2115" s="60">
        <v>0</v>
      </c>
      <c r="AP2115" s="60">
        <v>0.5</v>
      </c>
      <c r="AQ2115" s="60">
        <v>2000</v>
      </c>
      <c r="AR2115" s="60">
        <v>0.1</v>
      </c>
      <c r="AS2115" s="60">
        <v>8</v>
      </c>
      <c r="AT2115" s="68">
        <v>0</v>
      </c>
      <c r="AU2115" s="60">
        <v>0</v>
      </c>
      <c r="AV2115" s="60"/>
      <c r="AW2115" s="59" t="s">
        <v>198</v>
      </c>
      <c r="AX2115" s="60">
        <v>0</v>
      </c>
      <c r="AY2115" s="64">
        <v>0</v>
      </c>
      <c r="AZ2115" s="64">
        <v>23000101</v>
      </c>
      <c r="BA2115" s="59" t="s">
        <v>586</v>
      </c>
      <c r="BB2115" s="60">
        <v>0</v>
      </c>
      <c r="BC2115" s="66">
        <v>0</v>
      </c>
      <c r="BD2115" s="66">
        <v>1</v>
      </c>
      <c r="BE2115" s="90" t="s">
        <v>4839</v>
      </c>
      <c r="BF2115" s="90" t="s">
        <v>4840</v>
      </c>
      <c r="BG2115" s="60">
        <v>0</v>
      </c>
      <c r="BH2115" s="60">
        <v>0</v>
      </c>
      <c r="BI2115" s="60">
        <v>0</v>
      </c>
      <c r="BJ2115" s="60">
        <v>0</v>
      </c>
      <c r="BK2115" s="60">
        <v>0</v>
      </c>
      <c r="BL2115" s="60">
        <v>0</v>
      </c>
      <c r="BM2115" s="60">
        <v>0</v>
      </c>
      <c r="BN2115" s="68">
        <v>0</v>
      </c>
      <c r="BO2115" s="68">
        <v>0</v>
      </c>
      <c r="BP2115" s="68">
        <v>0</v>
      </c>
      <c r="BQ2115" s="68">
        <v>0</v>
      </c>
      <c r="BR2115" s="68">
        <v>0</v>
      </c>
      <c r="BS2115" s="68">
        <v>1</v>
      </c>
      <c r="BT2115" s="12">
        <v>0</v>
      </c>
      <c r="BU2115" s="47">
        <v>0</v>
      </c>
      <c r="BV2115" s="47"/>
      <c r="BW2115" s="47"/>
    </row>
    <row r="2116" spans="3:75" ht="20.100000000000001" customHeight="1">
      <c r="C2116" s="18">
        <v>80003002</v>
      </c>
      <c r="D2116" s="59" t="s">
        <v>4841</v>
      </c>
      <c r="E2116" s="59" t="s">
        <v>4842</v>
      </c>
      <c r="F2116" s="60">
        <v>1</v>
      </c>
      <c r="G2116" s="18">
        <v>80003002</v>
      </c>
      <c r="H2116" s="60">
        <v>0</v>
      </c>
      <c r="I2116" s="66">
        <v>0</v>
      </c>
      <c r="J2116" s="64">
        <v>1</v>
      </c>
      <c r="K2116" s="64">
        <v>0</v>
      </c>
      <c r="L2116" s="64">
        <v>0</v>
      </c>
      <c r="M2116" s="60">
        <v>0</v>
      </c>
      <c r="N2116" s="60">
        <v>0</v>
      </c>
      <c r="O2116" s="60">
        <v>2</v>
      </c>
      <c r="P2116" s="60">
        <v>1</v>
      </c>
      <c r="Q2116" s="60">
        <v>0.1</v>
      </c>
      <c r="R2116" s="60">
        <v>0</v>
      </c>
      <c r="S2116" s="68">
        <v>2</v>
      </c>
      <c r="T2116" s="60">
        <v>0</v>
      </c>
      <c r="U2116" s="60">
        <v>1</v>
      </c>
      <c r="V2116" s="60">
        <v>1</v>
      </c>
      <c r="W2116" s="60">
        <v>0</v>
      </c>
      <c r="X2116" s="60">
        <v>2</v>
      </c>
      <c r="Y2116" s="12">
        <v>0</v>
      </c>
      <c r="Z2116" s="60">
        <v>0</v>
      </c>
      <c r="AA2116" s="60">
        <v>0</v>
      </c>
      <c r="AB2116" s="60">
        <v>0</v>
      </c>
      <c r="AC2116" s="60">
        <v>0</v>
      </c>
      <c r="AD2116" s="60">
        <v>0</v>
      </c>
      <c r="AE2116" s="60">
        <v>1</v>
      </c>
      <c r="AF2116" s="60">
        <v>5</v>
      </c>
      <c r="AG2116" s="60">
        <v>1</v>
      </c>
      <c r="AH2116" s="60">
        <v>1</v>
      </c>
      <c r="AI2116" s="68">
        <v>7</v>
      </c>
      <c r="AJ2116" s="68">
        <v>1</v>
      </c>
      <c r="AK2116" s="68">
        <v>0</v>
      </c>
      <c r="AL2116" s="68">
        <v>1.5</v>
      </c>
      <c r="AM2116" s="60">
        <v>0</v>
      </c>
      <c r="AN2116" s="60">
        <v>0</v>
      </c>
      <c r="AO2116" s="60">
        <v>0</v>
      </c>
      <c r="AP2116" s="60">
        <v>0</v>
      </c>
      <c r="AQ2116" s="60">
        <v>500</v>
      </c>
      <c r="AR2116" s="60">
        <v>0.1</v>
      </c>
      <c r="AS2116" s="60">
        <v>0</v>
      </c>
      <c r="AT2116" s="68">
        <v>0</v>
      </c>
      <c r="AU2116" s="355" t="s">
        <v>4843</v>
      </c>
      <c r="AV2116" s="60"/>
      <c r="AW2116" s="59" t="s">
        <v>198</v>
      </c>
      <c r="AX2116" s="60">
        <v>0</v>
      </c>
      <c r="AY2116" s="64">
        <v>0</v>
      </c>
      <c r="AZ2116" s="64">
        <v>0</v>
      </c>
      <c r="BA2116" s="59" t="s">
        <v>200</v>
      </c>
      <c r="BB2116" s="60">
        <v>0</v>
      </c>
      <c r="BC2116" s="66">
        <v>0</v>
      </c>
      <c r="BD2116" s="66">
        <v>1</v>
      </c>
      <c r="BE2116" s="90" t="s">
        <v>4844</v>
      </c>
      <c r="BF2116" s="90" t="s">
        <v>4845</v>
      </c>
      <c r="BG2116" s="60">
        <v>0</v>
      </c>
      <c r="BH2116" s="60">
        <v>0</v>
      </c>
      <c r="BI2116" s="60">
        <v>0</v>
      </c>
      <c r="BJ2116" s="60">
        <v>0</v>
      </c>
      <c r="BK2116" s="60">
        <v>0</v>
      </c>
      <c r="BL2116" s="60">
        <v>0</v>
      </c>
      <c r="BM2116" s="60">
        <v>0</v>
      </c>
      <c r="BN2116" s="68">
        <v>0</v>
      </c>
      <c r="BO2116" s="68">
        <v>0</v>
      </c>
      <c r="BP2116" s="68">
        <v>0</v>
      </c>
      <c r="BQ2116" s="68">
        <v>0</v>
      </c>
      <c r="BR2116" s="68">
        <v>0</v>
      </c>
      <c r="BS2116" s="68">
        <v>1</v>
      </c>
      <c r="BT2116" s="12">
        <v>0</v>
      </c>
      <c r="BU2116" s="47">
        <v>0</v>
      </c>
      <c r="BV2116" s="47"/>
      <c r="BW2116" s="47"/>
    </row>
    <row r="2117" spans="3:75" ht="19.5" customHeight="1">
      <c r="C2117" s="18">
        <v>80003003</v>
      </c>
      <c r="D2117" s="59" t="s">
        <v>4846</v>
      </c>
      <c r="E2117" s="59" t="s">
        <v>4847</v>
      </c>
      <c r="F2117" s="64">
        <v>1</v>
      </c>
      <c r="G2117" s="18">
        <v>80003003</v>
      </c>
      <c r="H2117" s="64">
        <v>0</v>
      </c>
      <c r="I2117" s="66">
        <v>0</v>
      </c>
      <c r="J2117" s="64">
        <v>1</v>
      </c>
      <c r="K2117" s="64">
        <v>0</v>
      </c>
      <c r="L2117" s="64">
        <v>0</v>
      </c>
      <c r="M2117" s="60">
        <v>0</v>
      </c>
      <c r="N2117" s="60">
        <v>0</v>
      </c>
      <c r="O2117" s="60">
        <v>2</v>
      </c>
      <c r="P2117" s="60">
        <v>1</v>
      </c>
      <c r="Q2117" s="60">
        <v>0.1</v>
      </c>
      <c r="R2117" s="60">
        <v>0</v>
      </c>
      <c r="S2117" s="68">
        <v>1</v>
      </c>
      <c r="T2117" s="60">
        <v>0</v>
      </c>
      <c r="U2117" s="60">
        <v>1</v>
      </c>
      <c r="V2117" s="60">
        <v>2</v>
      </c>
      <c r="W2117" s="60">
        <v>0</v>
      </c>
      <c r="X2117" s="60">
        <v>2</v>
      </c>
      <c r="Y2117" s="12">
        <v>0</v>
      </c>
      <c r="Z2117" s="60">
        <v>0</v>
      </c>
      <c r="AA2117" s="60">
        <v>1</v>
      </c>
      <c r="AB2117" s="60">
        <v>0</v>
      </c>
      <c r="AC2117" s="60">
        <v>0</v>
      </c>
      <c r="AD2117" s="60">
        <v>0</v>
      </c>
      <c r="AE2117" s="60">
        <v>0</v>
      </c>
      <c r="AF2117" s="60">
        <v>0</v>
      </c>
      <c r="AG2117" s="60">
        <v>1</v>
      </c>
      <c r="AH2117" s="60">
        <v>3</v>
      </c>
      <c r="AI2117" s="68">
        <v>0</v>
      </c>
      <c r="AJ2117" s="68">
        <v>1</v>
      </c>
      <c r="AK2117" s="68">
        <v>0</v>
      </c>
      <c r="AL2117" s="68">
        <v>1.5</v>
      </c>
      <c r="AM2117" s="60">
        <v>0</v>
      </c>
      <c r="AN2117" s="60">
        <v>0</v>
      </c>
      <c r="AO2117" s="60">
        <v>0</v>
      </c>
      <c r="AP2117" s="60">
        <v>0</v>
      </c>
      <c r="AQ2117" s="60">
        <v>3000</v>
      </c>
      <c r="AR2117" s="60">
        <v>0.5</v>
      </c>
      <c r="AS2117" s="60">
        <v>0</v>
      </c>
      <c r="AT2117" s="68">
        <v>0</v>
      </c>
      <c r="AU2117" s="60">
        <v>80005021</v>
      </c>
      <c r="AV2117" s="60"/>
      <c r="AW2117" s="63" t="s">
        <v>198</v>
      </c>
      <c r="AX2117" s="60" t="s">
        <v>534</v>
      </c>
      <c r="AY2117" s="64">
        <v>0</v>
      </c>
      <c r="AZ2117" s="64">
        <v>23000102</v>
      </c>
      <c r="BA2117" s="59" t="s">
        <v>200</v>
      </c>
      <c r="BB2117" s="60">
        <v>0</v>
      </c>
      <c r="BC2117" s="66">
        <v>0</v>
      </c>
      <c r="BD2117" s="66">
        <v>0</v>
      </c>
      <c r="BE2117" s="90" t="s">
        <v>4848</v>
      </c>
      <c r="BF2117" s="90" t="s">
        <v>4849</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64">
        <v>80003004</v>
      </c>
      <c r="D2118" s="63" t="s">
        <v>4850</v>
      </c>
      <c r="E2118" s="63" t="s">
        <v>4851</v>
      </c>
      <c r="F2118" s="64">
        <v>1</v>
      </c>
      <c r="G2118" s="64">
        <v>80003004</v>
      </c>
      <c r="H2118" s="64">
        <v>0</v>
      </c>
      <c r="I2118" s="64">
        <v>0</v>
      </c>
      <c r="J2118" s="64">
        <v>1</v>
      </c>
      <c r="K2118" s="64">
        <v>0</v>
      </c>
      <c r="L2118" s="64">
        <v>0</v>
      </c>
      <c r="M2118" s="64">
        <v>0</v>
      </c>
      <c r="N2118" s="64">
        <v>0</v>
      </c>
      <c r="O2118" s="64">
        <v>2</v>
      </c>
      <c r="P2118" s="64">
        <v>6</v>
      </c>
      <c r="Q2118" s="64">
        <v>1</v>
      </c>
      <c r="R2118" s="64">
        <v>1</v>
      </c>
      <c r="S2118" s="64">
        <v>1</v>
      </c>
      <c r="T2118" s="64">
        <v>0</v>
      </c>
      <c r="U2118" s="64">
        <v>1</v>
      </c>
      <c r="V2118" s="64">
        <v>2</v>
      </c>
      <c r="W2118" s="64">
        <v>0</v>
      </c>
      <c r="X2118" s="64">
        <v>3</v>
      </c>
      <c r="Y2118" s="12">
        <v>0</v>
      </c>
      <c r="Z2118" s="64">
        <v>0</v>
      </c>
      <c r="AA2118" s="64">
        <v>1</v>
      </c>
      <c r="AB2118" s="64">
        <v>0</v>
      </c>
      <c r="AC2118" s="64">
        <v>0</v>
      </c>
      <c r="AD2118" s="64">
        <v>0</v>
      </c>
      <c r="AE2118" s="64">
        <v>1</v>
      </c>
      <c r="AF2118" s="64">
        <v>15</v>
      </c>
      <c r="AG2118" s="64">
        <v>1</v>
      </c>
      <c r="AH2118" s="64">
        <v>4</v>
      </c>
      <c r="AI2118" s="64">
        <v>0</v>
      </c>
      <c r="AJ2118" s="64">
        <v>1</v>
      </c>
      <c r="AK2118" s="64">
        <v>0</v>
      </c>
      <c r="AL2118" s="64">
        <v>3</v>
      </c>
      <c r="AM2118" s="64">
        <v>0</v>
      </c>
      <c r="AN2118" s="64">
        <v>0</v>
      </c>
      <c r="AO2118" s="64">
        <v>0</v>
      </c>
      <c r="AP2118" s="64">
        <v>0</v>
      </c>
      <c r="AQ2118" s="64">
        <v>2000</v>
      </c>
      <c r="AR2118" s="64">
        <v>0</v>
      </c>
      <c r="AS2118" s="64">
        <v>0</v>
      </c>
      <c r="AT2118" s="64">
        <v>0</v>
      </c>
      <c r="AU2118" s="64">
        <v>80005031</v>
      </c>
      <c r="AV2118" s="64"/>
      <c r="AW2118" s="63" t="s">
        <v>198</v>
      </c>
      <c r="AX2118" s="64" t="s">
        <v>534</v>
      </c>
      <c r="AY2118" s="64">
        <v>0</v>
      </c>
      <c r="AZ2118" s="64">
        <v>23000103</v>
      </c>
      <c r="BA2118" s="63" t="s">
        <v>200</v>
      </c>
      <c r="BB2118" s="64">
        <v>0</v>
      </c>
      <c r="BC2118" s="64">
        <v>0</v>
      </c>
      <c r="BD2118" s="64">
        <v>0</v>
      </c>
      <c r="BE2118" s="92" t="s">
        <v>4852</v>
      </c>
      <c r="BF2118" s="92" t="s">
        <v>4853</v>
      </c>
      <c r="BG2118" s="64">
        <v>0</v>
      </c>
      <c r="BH2118" s="64">
        <v>0</v>
      </c>
      <c r="BI2118" s="64">
        <v>0</v>
      </c>
      <c r="BJ2118" s="64">
        <v>0</v>
      </c>
      <c r="BK2118" s="64">
        <v>0</v>
      </c>
      <c r="BL2118" s="64">
        <v>0</v>
      </c>
      <c r="BM2118" s="93">
        <v>0</v>
      </c>
      <c r="BN2118" s="64">
        <v>0</v>
      </c>
      <c r="BO2118" s="64">
        <v>0</v>
      </c>
      <c r="BP2118" s="64">
        <v>0</v>
      </c>
      <c r="BQ2118" s="64">
        <v>0</v>
      </c>
      <c r="BR2118" s="64">
        <v>0</v>
      </c>
      <c r="BS2118" s="64">
        <v>1</v>
      </c>
      <c r="BT2118" s="12">
        <v>0</v>
      </c>
      <c r="BU2118" s="47">
        <v>0</v>
      </c>
      <c r="BV2118" s="47"/>
      <c r="BW2118" s="47"/>
    </row>
    <row r="2119" spans="3:75" ht="18.75" customHeight="1">
      <c r="C2119" s="18">
        <v>80003005</v>
      </c>
      <c r="D2119" s="63" t="s">
        <v>1605</v>
      </c>
      <c r="E2119" s="63" t="s">
        <v>1606</v>
      </c>
      <c r="F2119" s="64">
        <v>1</v>
      </c>
      <c r="G2119" s="18">
        <v>80003005</v>
      </c>
      <c r="H2119" s="64">
        <v>0</v>
      </c>
      <c r="I2119" s="66">
        <v>0</v>
      </c>
      <c r="J2119" s="64">
        <v>1</v>
      </c>
      <c r="K2119" s="64">
        <v>0</v>
      </c>
      <c r="L2119" s="64">
        <v>0</v>
      </c>
      <c r="M2119" s="64">
        <v>0</v>
      </c>
      <c r="N2119" s="64">
        <v>0</v>
      </c>
      <c r="O2119" s="64">
        <v>2</v>
      </c>
      <c r="P2119" s="64">
        <v>10</v>
      </c>
      <c r="Q2119" s="64">
        <v>0.2</v>
      </c>
      <c r="R2119" s="64">
        <v>0</v>
      </c>
      <c r="S2119" s="68">
        <v>0</v>
      </c>
      <c r="T2119" s="66">
        <v>0</v>
      </c>
      <c r="U2119" s="60">
        <v>1</v>
      </c>
      <c r="V2119" s="64">
        <v>2</v>
      </c>
      <c r="W2119" s="64">
        <v>0</v>
      </c>
      <c r="X2119" s="64">
        <v>1.5</v>
      </c>
      <c r="Y2119" s="12">
        <v>0</v>
      </c>
      <c r="Z2119" s="64">
        <v>0</v>
      </c>
      <c r="AA2119" s="64">
        <v>0</v>
      </c>
      <c r="AB2119" s="64">
        <v>0</v>
      </c>
      <c r="AC2119" s="64">
        <v>0</v>
      </c>
      <c r="AD2119" s="64">
        <v>1</v>
      </c>
      <c r="AE2119" s="64">
        <v>1</v>
      </c>
      <c r="AF2119" s="64">
        <v>0</v>
      </c>
      <c r="AG2119" s="64">
        <v>1</v>
      </c>
      <c r="AH2119" s="64">
        <v>3</v>
      </c>
      <c r="AI2119" s="68">
        <v>2</v>
      </c>
      <c r="AJ2119" s="68">
        <v>1</v>
      </c>
      <c r="AK2119" s="68">
        <v>0</v>
      </c>
      <c r="AL2119" s="68">
        <v>6</v>
      </c>
      <c r="AM2119" s="64">
        <v>0</v>
      </c>
      <c r="AN2119" s="64">
        <v>0</v>
      </c>
      <c r="AO2119" s="64">
        <v>0</v>
      </c>
      <c r="AP2119" s="64">
        <v>0</v>
      </c>
      <c r="AQ2119" s="64">
        <v>5000</v>
      </c>
      <c r="AR2119" s="64">
        <v>0.2</v>
      </c>
      <c r="AS2119" s="64">
        <v>0</v>
      </c>
      <c r="AT2119" s="68">
        <v>0</v>
      </c>
      <c r="AU2119" s="64">
        <v>80005041</v>
      </c>
      <c r="AV2119" s="64"/>
      <c r="AW2119" s="63" t="s">
        <v>198</v>
      </c>
      <c r="AX2119" s="64" t="s">
        <v>1608</v>
      </c>
      <c r="AY2119" s="64">
        <v>10000006</v>
      </c>
      <c r="AZ2119" s="64">
        <v>23000106</v>
      </c>
      <c r="BA2119" s="63" t="s">
        <v>1609</v>
      </c>
      <c r="BB2119" s="63" t="s">
        <v>198</v>
      </c>
      <c r="BC2119" s="66">
        <v>0</v>
      </c>
      <c r="BD2119" s="66">
        <v>0</v>
      </c>
      <c r="BE2119" s="92" t="s">
        <v>4854</v>
      </c>
      <c r="BF2119" s="92" t="s">
        <v>4855</v>
      </c>
      <c r="BG2119" s="64">
        <v>0</v>
      </c>
      <c r="BH2119" s="60">
        <v>0</v>
      </c>
      <c r="BI2119" s="64">
        <v>0</v>
      </c>
      <c r="BJ2119" s="64">
        <v>0</v>
      </c>
      <c r="BK2119" s="64">
        <v>0</v>
      </c>
      <c r="BL2119" s="64">
        <v>0</v>
      </c>
      <c r="BM2119" s="93">
        <v>0</v>
      </c>
      <c r="BN2119" s="68">
        <v>1</v>
      </c>
      <c r="BO2119" s="68">
        <v>0</v>
      </c>
      <c r="BP2119" s="68">
        <v>0</v>
      </c>
      <c r="BQ2119" s="68">
        <v>0</v>
      </c>
      <c r="BR2119" s="68">
        <v>0</v>
      </c>
      <c r="BS2119" s="68">
        <v>1</v>
      </c>
      <c r="BT2119" s="12">
        <v>0</v>
      </c>
      <c r="BU2119" s="47">
        <v>0</v>
      </c>
      <c r="BV2119" s="47"/>
      <c r="BW2119" s="47"/>
    </row>
    <row r="2120" spans="3:75" ht="19.5" customHeight="1">
      <c r="C2120" s="18">
        <v>80003006</v>
      </c>
      <c r="D2120" s="59" t="s">
        <v>4856</v>
      </c>
      <c r="E2120" s="59" t="s">
        <v>4857</v>
      </c>
      <c r="F2120" s="64">
        <v>1</v>
      </c>
      <c r="G2120" s="18">
        <v>80003006</v>
      </c>
      <c r="H2120" s="64">
        <v>0</v>
      </c>
      <c r="I2120" s="66">
        <v>0</v>
      </c>
      <c r="J2120" s="64">
        <v>1</v>
      </c>
      <c r="K2120" s="64">
        <v>0</v>
      </c>
      <c r="L2120" s="64">
        <v>0</v>
      </c>
      <c r="M2120" s="60">
        <v>0</v>
      </c>
      <c r="N2120" s="60">
        <v>0</v>
      </c>
      <c r="O2120" s="60">
        <v>2</v>
      </c>
      <c r="P2120" s="60">
        <v>3</v>
      </c>
      <c r="Q2120" s="60">
        <v>0.15</v>
      </c>
      <c r="R2120" s="60">
        <v>0</v>
      </c>
      <c r="S2120" s="68">
        <v>0</v>
      </c>
      <c r="T2120" s="60">
        <v>0</v>
      </c>
      <c r="U2120" s="60">
        <v>1</v>
      </c>
      <c r="V2120" s="60">
        <v>1</v>
      </c>
      <c r="W2120" s="60">
        <v>0</v>
      </c>
      <c r="X2120" s="60">
        <v>2</v>
      </c>
      <c r="Y2120" s="12">
        <v>0</v>
      </c>
      <c r="Z2120" s="60">
        <v>0</v>
      </c>
      <c r="AA2120" s="60">
        <v>1</v>
      </c>
      <c r="AB2120" s="60">
        <v>0</v>
      </c>
      <c r="AC2120" s="60">
        <v>0</v>
      </c>
      <c r="AD2120" s="60">
        <v>0</v>
      </c>
      <c r="AE2120" s="60">
        <v>1</v>
      </c>
      <c r="AF2120" s="60">
        <v>0</v>
      </c>
      <c r="AG2120" s="60">
        <v>1</v>
      </c>
      <c r="AH2120" s="60">
        <v>4</v>
      </c>
      <c r="AI2120" s="68">
        <v>0</v>
      </c>
      <c r="AJ2120" s="68">
        <v>1</v>
      </c>
      <c r="AK2120" s="68">
        <v>0</v>
      </c>
      <c r="AL2120" s="68">
        <v>3</v>
      </c>
      <c r="AM2120" s="60">
        <v>0</v>
      </c>
      <c r="AN2120" s="60">
        <v>0</v>
      </c>
      <c r="AO2120" s="60">
        <v>0</v>
      </c>
      <c r="AP2120" s="60">
        <v>0</v>
      </c>
      <c r="AQ2120" s="60">
        <v>3000</v>
      </c>
      <c r="AR2120" s="60">
        <v>0.2</v>
      </c>
      <c r="AS2120" s="60">
        <v>0</v>
      </c>
      <c r="AT2120" s="68">
        <v>80005052</v>
      </c>
      <c r="AU2120" s="60">
        <v>80005051</v>
      </c>
      <c r="AV2120" s="60"/>
      <c r="AW2120" s="63" t="s">
        <v>198</v>
      </c>
      <c r="AX2120" s="60" t="s">
        <v>534</v>
      </c>
      <c r="AY2120" s="64">
        <v>0</v>
      </c>
      <c r="AZ2120" s="64">
        <v>23000104</v>
      </c>
      <c r="BA2120" s="59" t="s">
        <v>200</v>
      </c>
      <c r="BB2120" s="60">
        <v>0</v>
      </c>
      <c r="BC2120" s="66">
        <v>0</v>
      </c>
      <c r="BD2120" s="66">
        <v>0</v>
      </c>
      <c r="BE2120" s="90" t="s">
        <v>4858</v>
      </c>
      <c r="BF2120" s="90" t="s">
        <v>4859</v>
      </c>
      <c r="BG2120" s="60">
        <v>0</v>
      </c>
      <c r="BH2120" s="60">
        <v>0</v>
      </c>
      <c r="BI2120" s="60">
        <v>0</v>
      </c>
      <c r="BJ2120" s="60">
        <v>0</v>
      </c>
      <c r="BK2120" s="60">
        <v>0</v>
      </c>
      <c r="BL2120" s="60">
        <v>0</v>
      </c>
      <c r="BM2120" s="93">
        <v>0</v>
      </c>
      <c r="BN2120" s="68">
        <v>0</v>
      </c>
      <c r="BO2120" s="68">
        <v>0</v>
      </c>
      <c r="BP2120" s="68">
        <v>0</v>
      </c>
      <c r="BQ2120" s="68">
        <v>0</v>
      </c>
      <c r="BR2120" s="68">
        <v>0</v>
      </c>
      <c r="BS2120" s="68">
        <v>1</v>
      </c>
      <c r="BT2120" s="12">
        <v>0</v>
      </c>
      <c r="BU2120" s="47">
        <v>0</v>
      </c>
      <c r="BV2120" s="47"/>
      <c r="BW2120" s="47"/>
    </row>
    <row r="2121" spans="3:75" ht="20.100000000000001" customHeight="1">
      <c r="C2121" s="18">
        <v>80003007</v>
      </c>
      <c r="D2121" s="59" t="s">
        <v>4860</v>
      </c>
      <c r="E2121" s="59" t="s">
        <v>4861</v>
      </c>
      <c r="F2121" s="60">
        <v>1</v>
      </c>
      <c r="G2121" s="18">
        <v>80003007</v>
      </c>
      <c r="H2121" s="60">
        <v>0</v>
      </c>
      <c r="I2121" s="66">
        <v>0</v>
      </c>
      <c r="J2121" s="64">
        <v>1</v>
      </c>
      <c r="K2121" s="60">
        <v>0</v>
      </c>
      <c r="L2121" s="60">
        <v>0</v>
      </c>
      <c r="M2121" s="60">
        <v>0</v>
      </c>
      <c r="N2121" s="60">
        <v>0</v>
      </c>
      <c r="O2121" s="60">
        <v>2</v>
      </c>
      <c r="P2121" s="60">
        <v>3</v>
      </c>
      <c r="Q2121" s="60">
        <v>0.2</v>
      </c>
      <c r="R2121" s="60">
        <v>0</v>
      </c>
      <c r="S2121" s="68">
        <v>3</v>
      </c>
      <c r="T2121" s="60">
        <v>0</v>
      </c>
      <c r="U2121" s="60">
        <v>1</v>
      </c>
      <c r="V2121" s="60">
        <v>1</v>
      </c>
      <c r="W2121" s="60">
        <v>0</v>
      </c>
      <c r="X2121" s="60">
        <v>2</v>
      </c>
      <c r="Y2121" s="12">
        <v>0</v>
      </c>
      <c r="Z2121" s="60">
        <v>0</v>
      </c>
      <c r="AA2121" s="60">
        <v>1</v>
      </c>
      <c r="AB2121" s="60">
        <v>0</v>
      </c>
      <c r="AC2121" s="60">
        <v>0</v>
      </c>
      <c r="AD2121" s="60">
        <v>0</v>
      </c>
      <c r="AE2121" s="60">
        <v>1</v>
      </c>
      <c r="AF2121" s="60">
        <v>0</v>
      </c>
      <c r="AG2121" s="60">
        <v>1</v>
      </c>
      <c r="AH2121" s="60">
        <v>3</v>
      </c>
      <c r="AI2121" s="68">
        <v>0</v>
      </c>
      <c r="AJ2121" s="68">
        <v>1</v>
      </c>
      <c r="AK2121" s="68">
        <v>0</v>
      </c>
      <c r="AL2121" s="68">
        <v>1.5</v>
      </c>
      <c r="AM2121" s="60">
        <v>0</v>
      </c>
      <c r="AN2121" s="60">
        <v>0</v>
      </c>
      <c r="AO2121" s="60">
        <v>0</v>
      </c>
      <c r="AP2121" s="60">
        <v>0.5</v>
      </c>
      <c r="AQ2121" s="60">
        <v>3000</v>
      </c>
      <c r="AR2121" s="60">
        <v>0.9</v>
      </c>
      <c r="AS2121" s="60">
        <v>0</v>
      </c>
      <c r="AT2121" s="68">
        <v>0</v>
      </c>
      <c r="AU2121" s="60">
        <v>80005061</v>
      </c>
      <c r="AV2121" s="60"/>
      <c r="AW2121" s="59" t="s">
        <v>198</v>
      </c>
      <c r="AX2121" s="60" t="s">
        <v>534</v>
      </c>
      <c r="AY2121" s="64">
        <v>10000001</v>
      </c>
      <c r="AZ2121" s="64">
        <v>23000105</v>
      </c>
      <c r="BA2121" s="59" t="s">
        <v>771</v>
      </c>
      <c r="BB2121" s="60">
        <v>0</v>
      </c>
      <c r="BC2121" s="66">
        <v>0</v>
      </c>
      <c r="BD2121" s="66">
        <v>0</v>
      </c>
      <c r="BE2121" s="121" t="s">
        <v>4862</v>
      </c>
      <c r="BF2121" s="121" t="s">
        <v>4863</v>
      </c>
      <c r="BG2121" s="60">
        <v>0</v>
      </c>
      <c r="BH2121" s="60">
        <v>0</v>
      </c>
      <c r="BI2121" s="60">
        <v>0</v>
      </c>
      <c r="BJ2121" s="60">
        <v>0</v>
      </c>
      <c r="BK2121" s="60">
        <v>0</v>
      </c>
      <c r="BL2121" s="60">
        <v>0</v>
      </c>
      <c r="BM2121" s="93">
        <v>0</v>
      </c>
      <c r="BN2121" s="68">
        <v>0</v>
      </c>
      <c r="BO2121" s="68">
        <v>0</v>
      </c>
      <c r="BP2121" s="68">
        <v>0</v>
      </c>
      <c r="BQ2121" s="68">
        <v>0</v>
      </c>
      <c r="BR2121" s="68">
        <v>0</v>
      </c>
      <c r="BS2121" s="68">
        <v>1</v>
      </c>
      <c r="BT2121" s="12">
        <v>0</v>
      </c>
      <c r="BU2121" s="47">
        <v>0</v>
      </c>
      <c r="BV2121" s="47"/>
      <c r="BW2121" s="47"/>
    </row>
    <row r="2122" spans="3:75" ht="19.5" customHeight="1">
      <c r="C2122" s="18">
        <v>80003008</v>
      </c>
      <c r="D2122" s="59" t="s">
        <v>4864</v>
      </c>
      <c r="E2122" s="59" t="s">
        <v>4865</v>
      </c>
      <c r="F2122" s="64">
        <v>1</v>
      </c>
      <c r="G2122" s="18">
        <v>80003008</v>
      </c>
      <c r="H2122" s="64">
        <v>0</v>
      </c>
      <c r="I2122" s="66">
        <v>0</v>
      </c>
      <c r="J2122" s="64">
        <v>1</v>
      </c>
      <c r="K2122" s="64">
        <v>0</v>
      </c>
      <c r="L2122" s="64">
        <v>0</v>
      </c>
      <c r="M2122" s="60">
        <v>0</v>
      </c>
      <c r="N2122" s="60">
        <v>0</v>
      </c>
      <c r="O2122" s="60">
        <v>2</v>
      </c>
      <c r="P2122" s="60" t="s">
        <v>4866</v>
      </c>
      <c r="Q2122" s="60" t="s">
        <v>4867</v>
      </c>
      <c r="R2122" s="60">
        <v>0</v>
      </c>
      <c r="S2122" s="68">
        <v>0</v>
      </c>
      <c r="T2122" s="60">
        <v>0</v>
      </c>
      <c r="U2122" s="60">
        <v>1</v>
      </c>
      <c r="V2122" s="60">
        <v>1</v>
      </c>
      <c r="W2122" s="60">
        <v>0</v>
      </c>
      <c r="X2122" s="60">
        <v>0</v>
      </c>
      <c r="Y2122" s="12">
        <v>0</v>
      </c>
      <c r="Z2122" s="60">
        <v>0</v>
      </c>
      <c r="AA2122" s="60">
        <v>1</v>
      </c>
      <c r="AB2122" s="60">
        <v>0</v>
      </c>
      <c r="AC2122" s="60">
        <v>0</v>
      </c>
      <c r="AD2122" s="60">
        <v>0</v>
      </c>
      <c r="AE2122" s="60">
        <v>1</v>
      </c>
      <c r="AF2122" s="60">
        <v>0</v>
      </c>
      <c r="AG2122" s="60">
        <v>1</v>
      </c>
      <c r="AH2122" s="60">
        <v>6</v>
      </c>
      <c r="AI2122" s="68">
        <v>0</v>
      </c>
      <c r="AJ2122" s="68">
        <v>1</v>
      </c>
      <c r="AK2122" s="68">
        <v>0</v>
      </c>
      <c r="AL2122" s="68">
        <v>3</v>
      </c>
      <c r="AM2122" s="60">
        <v>0</v>
      </c>
      <c r="AN2122" s="60">
        <v>0</v>
      </c>
      <c r="AO2122" s="60">
        <v>0</v>
      </c>
      <c r="AP2122" s="60">
        <v>0</v>
      </c>
      <c r="AQ2122" s="60">
        <v>2000</v>
      </c>
      <c r="AR2122" s="60">
        <v>0</v>
      </c>
      <c r="AS2122" s="60">
        <v>0</v>
      </c>
      <c r="AT2122" s="342" t="s">
        <v>4868</v>
      </c>
      <c r="AU2122" s="60">
        <v>80005072</v>
      </c>
      <c r="AV2122" s="60"/>
      <c r="AW2122" s="63" t="s">
        <v>198</v>
      </c>
      <c r="AX2122" s="60" t="s">
        <v>534</v>
      </c>
      <c r="AY2122" s="64">
        <v>0</v>
      </c>
      <c r="AZ2122" s="64">
        <v>0</v>
      </c>
      <c r="BA2122" s="59" t="s">
        <v>200</v>
      </c>
      <c r="BB2122" s="60">
        <v>0</v>
      </c>
      <c r="BC2122" s="66">
        <v>0</v>
      </c>
      <c r="BD2122" s="66">
        <v>0</v>
      </c>
      <c r="BE2122" s="90" t="s">
        <v>4869</v>
      </c>
      <c r="BF2122" s="90" t="s">
        <v>4870</v>
      </c>
      <c r="BG2122" s="60">
        <v>0</v>
      </c>
      <c r="BH2122" s="60">
        <v>0</v>
      </c>
      <c r="BI2122" s="60">
        <v>0</v>
      </c>
      <c r="BJ2122" s="60">
        <v>0</v>
      </c>
      <c r="BK2122" s="60">
        <v>0</v>
      </c>
      <c r="BL2122" s="60">
        <v>0</v>
      </c>
      <c r="BM2122" s="93">
        <v>0</v>
      </c>
      <c r="BN2122" s="68">
        <v>0</v>
      </c>
      <c r="BO2122" s="68">
        <v>0</v>
      </c>
      <c r="BP2122" s="68">
        <v>0</v>
      </c>
      <c r="BQ2122" s="68">
        <v>0</v>
      </c>
      <c r="BR2122" s="68">
        <v>0</v>
      </c>
      <c r="BS2122" s="68">
        <v>1</v>
      </c>
      <c r="BT2122" s="12">
        <v>0</v>
      </c>
      <c r="BU2122" s="47">
        <v>0</v>
      </c>
      <c r="BV2122" s="47"/>
      <c r="BW2122" s="47"/>
    </row>
    <row r="2123" spans="3:75" ht="20.100000000000001" customHeight="1">
      <c r="C2123" s="18">
        <v>80003101</v>
      </c>
      <c r="D2123" s="17" t="s">
        <v>4871</v>
      </c>
      <c r="E2123" s="17" t="s">
        <v>4872</v>
      </c>
      <c r="F2123" s="16">
        <v>1</v>
      </c>
      <c r="G2123" s="16">
        <v>80003001</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4873</v>
      </c>
      <c r="BF2123" s="44" t="s">
        <v>4874</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80003102</v>
      </c>
      <c r="D2124" s="17" t="s">
        <v>4875</v>
      </c>
      <c r="E2124" s="17" t="s">
        <v>4876</v>
      </c>
      <c r="F2124" s="16">
        <v>1</v>
      </c>
      <c r="G2124" s="16">
        <v>80003002</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4873</v>
      </c>
      <c r="BF2124" s="44" t="s">
        <v>4874</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80003103</v>
      </c>
      <c r="D2125" s="17" t="s">
        <v>4877</v>
      </c>
      <c r="E2125" s="17" t="s">
        <v>4878</v>
      </c>
      <c r="F2125" s="16">
        <v>1</v>
      </c>
      <c r="G2125" s="16">
        <v>80003003</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4873</v>
      </c>
      <c r="BF2125" s="44" t="s">
        <v>4874</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80003104</v>
      </c>
      <c r="D2126" s="17" t="s">
        <v>4879</v>
      </c>
      <c r="E2126" s="17" t="s">
        <v>4880</v>
      </c>
      <c r="F2126" s="16">
        <v>1</v>
      </c>
      <c r="G2126" s="16">
        <v>80003004</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4873</v>
      </c>
      <c r="BF2126" s="44" t="s">
        <v>4874</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80003105</v>
      </c>
      <c r="D2127" s="17" t="s">
        <v>4881</v>
      </c>
      <c r="E2127" s="17" t="s">
        <v>4882</v>
      </c>
      <c r="F2127" s="16">
        <v>1</v>
      </c>
      <c r="G2127" s="16">
        <v>80003005</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4873</v>
      </c>
      <c r="BF2127" s="44" t="s">
        <v>4874</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80003106</v>
      </c>
      <c r="D2128" s="17" t="s">
        <v>4883</v>
      </c>
      <c r="E2128" s="17" t="s">
        <v>4884</v>
      </c>
      <c r="F2128" s="16">
        <v>1</v>
      </c>
      <c r="G2128" s="16">
        <v>80003101</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4885</v>
      </c>
      <c r="BF2128" s="44" t="s">
        <v>4886</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80003107</v>
      </c>
      <c r="D2129" s="17" t="s">
        <v>4887</v>
      </c>
      <c r="E2129" s="17" t="s">
        <v>4888</v>
      </c>
      <c r="F2129" s="16">
        <v>1</v>
      </c>
      <c r="G2129" s="16">
        <v>80003102</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287</v>
      </c>
      <c r="AX2129" s="16">
        <v>0</v>
      </c>
      <c r="AY2129" s="18">
        <v>0</v>
      </c>
      <c r="AZ2129" s="18">
        <v>0</v>
      </c>
      <c r="BA2129" s="17" t="s">
        <v>200</v>
      </c>
      <c r="BB2129" s="16">
        <v>0</v>
      </c>
      <c r="BC2129" s="27">
        <v>0</v>
      </c>
      <c r="BD2129" s="27">
        <v>0</v>
      </c>
      <c r="BE2129" s="44" t="s">
        <v>4889</v>
      </c>
      <c r="BF2129" s="44" t="s">
        <v>4890</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row>
    <row r="2130" spans="3:75" ht="20.100000000000001" customHeight="1">
      <c r="C2130" s="18">
        <v>80003108</v>
      </c>
      <c r="D2130" s="17" t="s">
        <v>4891</v>
      </c>
      <c r="E2130" s="17" t="s">
        <v>4892</v>
      </c>
      <c r="F2130" s="16">
        <v>1</v>
      </c>
      <c r="G2130" s="16">
        <v>80003103</v>
      </c>
      <c r="H2130" s="18">
        <v>0</v>
      </c>
      <c r="I2130" s="27">
        <v>0</v>
      </c>
      <c r="J2130" s="18">
        <v>1</v>
      </c>
      <c r="K2130" s="18">
        <v>0</v>
      </c>
      <c r="L2130" s="18">
        <v>0</v>
      </c>
      <c r="M2130" s="16">
        <v>0</v>
      </c>
      <c r="N2130" s="16">
        <v>0</v>
      </c>
      <c r="O2130" s="16">
        <v>1</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213</v>
      </c>
      <c r="AI2130" s="12">
        <v>2</v>
      </c>
      <c r="AJ2130" s="12">
        <v>2</v>
      </c>
      <c r="AK2130" s="12">
        <v>0</v>
      </c>
      <c r="AL2130" s="12">
        <v>1.5</v>
      </c>
      <c r="AM2130" s="16">
        <v>0</v>
      </c>
      <c r="AN2130" s="16">
        <v>0</v>
      </c>
      <c r="AO2130" s="16">
        <v>0</v>
      </c>
      <c r="AP2130" s="16">
        <v>1</v>
      </c>
      <c r="AQ2130" s="16">
        <v>3000</v>
      </c>
      <c r="AR2130" s="16">
        <v>0.5</v>
      </c>
      <c r="AS2130" s="16">
        <v>0</v>
      </c>
      <c r="AT2130" s="12">
        <v>0</v>
      </c>
      <c r="AU2130" s="16" t="s">
        <v>198</v>
      </c>
      <c r="AV2130" s="16"/>
      <c r="AW2130" s="17" t="s">
        <v>287</v>
      </c>
      <c r="AX2130" s="16">
        <v>0</v>
      </c>
      <c r="AY2130" s="18">
        <v>0</v>
      </c>
      <c r="AZ2130" s="18">
        <v>0</v>
      </c>
      <c r="BA2130" s="17" t="s">
        <v>200</v>
      </c>
      <c r="BB2130" s="16">
        <v>0</v>
      </c>
      <c r="BC2130" s="27">
        <v>0</v>
      </c>
      <c r="BD2130" s="27">
        <v>0</v>
      </c>
      <c r="BE2130" s="44" t="s">
        <v>4893</v>
      </c>
      <c r="BF2130" s="44" t="s">
        <v>4894</v>
      </c>
      <c r="BG2130" s="16"/>
      <c r="BH2130" s="16">
        <v>0</v>
      </c>
      <c r="BI2130" s="16"/>
      <c r="BJ2130" s="16"/>
      <c r="BK2130" s="16"/>
      <c r="BL2130" s="16"/>
      <c r="BM2130" s="16">
        <v>0</v>
      </c>
      <c r="BN2130" s="12">
        <v>0</v>
      </c>
      <c r="BO2130" s="12">
        <v>0</v>
      </c>
      <c r="BP2130" s="12">
        <v>0</v>
      </c>
      <c r="BQ2130" s="12">
        <v>0</v>
      </c>
      <c r="BR2130" s="12">
        <v>0</v>
      </c>
      <c r="BS2130" s="12">
        <v>0</v>
      </c>
      <c r="BT2130" s="12">
        <v>0</v>
      </c>
      <c r="BU2130" s="47">
        <v>0</v>
      </c>
      <c r="BV2130" s="47"/>
      <c r="BW2130" s="47"/>
    </row>
    <row r="2131" spans="3:75" ht="20.100000000000001" customHeight="1">
      <c r="C2131" s="18">
        <v>80003109</v>
      </c>
      <c r="D2131" s="17" t="s">
        <v>4895</v>
      </c>
      <c r="E2131" s="17" t="s">
        <v>4896</v>
      </c>
      <c r="F2131" s="16">
        <v>1</v>
      </c>
      <c r="G2131" s="16">
        <v>80003104</v>
      </c>
      <c r="H2131" s="18">
        <v>0</v>
      </c>
      <c r="I2131" s="27">
        <v>0</v>
      </c>
      <c r="J2131" s="18">
        <v>1</v>
      </c>
      <c r="K2131" s="18">
        <v>0</v>
      </c>
      <c r="L2131" s="18">
        <v>0</v>
      </c>
      <c r="M2131" s="16">
        <v>0</v>
      </c>
      <c r="N2131" s="16">
        <v>0</v>
      </c>
      <c r="O2131" s="16">
        <v>1</v>
      </c>
      <c r="P2131" s="16">
        <v>0</v>
      </c>
      <c r="Q2131" s="16">
        <v>0</v>
      </c>
      <c r="R2131" s="16">
        <v>0</v>
      </c>
      <c r="S2131" s="12">
        <v>0</v>
      </c>
      <c r="T2131" s="16">
        <v>0</v>
      </c>
      <c r="U2131" s="16">
        <v>1</v>
      </c>
      <c r="V2131" s="16">
        <v>2</v>
      </c>
      <c r="W2131" s="16">
        <v>0</v>
      </c>
      <c r="X2131" s="16">
        <v>0</v>
      </c>
      <c r="Y2131" s="12">
        <v>0</v>
      </c>
      <c r="Z2131" s="16">
        <v>0</v>
      </c>
      <c r="AA2131" s="16">
        <v>0</v>
      </c>
      <c r="AB2131" s="16">
        <v>0</v>
      </c>
      <c r="AC2131" s="16">
        <v>0</v>
      </c>
      <c r="AD2131" s="16">
        <v>0</v>
      </c>
      <c r="AE2131" s="16">
        <v>0</v>
      </c>
      <c r="AF2131" s="16">
        <v>9</v>
      </c>
      <c r="AG2131" s="16">
        <v>2</v>
      </c>
      <c r="AH2131" s="16" t="s">
        <v>213</v>
      </c>
      <c r="AI2131" s="12">
        <v>2</v>
      </c>
      <c r="AJ2131" s="12">
        <v>2</v>
      </c>
      <c r="AK2131" s="12">
        <v>0</v>
      </c>
      <c r="AL2131" s="12">
        <v>1.5</v>
      </c>
      <c r="AM2131" s="16">
        <v>0</v>
      </c>
      <c r="AN2131" s="16">
        <v>0</v>
      </c>
      <c r="AO2131" s="16">
        <v>0</v>
      </c>
      <c r="AP2131" s="16">
        <v>1</v>
      </c>
      <c r="AQ2131" s="16">
        <v>3000</v>
      </c>
      <c r="AR2131" s="16">
        <v>0.5</v>
      </c>
      <c r="AS2131" s="16">
        <v>0</v>
      </c>
      <c r="AT2131" s="12">
        <v>0</v>
      </c>
      <c r="AU2131" s="16" t="s">
        <v>198</v>
      </c>
      <c r="AV2131" s="16"/>
      <c r="AW2131" s="17" t="s">
        <v>287</v>
      </c>
      <c r="AX2131" s="16">
        <v>0</v>
      </c>
      <c r="AY2131" s="18">
        <v>0</v>
      </c>
      <c r="AZ2131" s="18">
        <v>0</v>
      </c>
      <c r="BA2131" s="17" t="s">
        <v>200</v>
      </c>
      <c r="BB2131" s="16">
        <v>0</v>
      </c>
      <c r="BC2131" s="27">
        <v>0</v>
      </c>
      <c r="BD2131" s="27">
        <v>0</v>
      </c>
      <c r="BE2131" s="44" t="s">
        <v>4897</v>
      </c>
      <c r="BF2131" s="44" t="s">
        <v>4898</v>
      </c>
      <c r="BG2131" s="16"/>
      <c r="BH2131" s="16">
        <v>0</v>
      </c>
      <c r="BI2131" s="16"/>
      <c r="BJ2131" s="16"/>
      <c r="BK2131" s="16"/>
      <c r="BL2131" s="16"/>
      <c r="BM2131" s="16">
        <v>0</v>
      </c>
      <c r="BN2131" s="12">
        <v>0</v>
      </c>
      <c r="BO2131" s="12">
        <v>0</v>
      </c>
      <c r="BP2131" s="12">
        <v>0</v>
      </c>
      <c r="BQ2131" s="12">
        <v>0</v>
      </c>
      <c r="BR2131" s="12">
        <v>0</v>
      </c>
      <c r="BS2131" s="12">
        <v>0</v>
      </c>
      <c r="BT2131" s="12">
        <v>0</v>
      </c>
      <c r="BU2131" s="47">
        <v>0</v>
      </c>
      <c r="BV2131" s="47"/>
      <c r="BW2131" s="47"/>
    </row>
    <row r="2132" spans="3:75" ht="20.100000000000001" customHeight="1">
      <c r="C2132" s="18">
        <v>80003110</v>
      </c>
      <c r="D2132" s="17" t="s">
        <v>4899</v>
      </c>
      <c r="E2132" s="17" t="s">
        <v>4900</v>
      </c>
      <c r="F2132" s="16">
        <v>1</v>
      </c>
      <c r="G2132" s="16">
        <v>80003105</v>
      </c>
      <c r="H2132" s="18">
        <v>0</v>
      </c>
      <c r="I2132" s="27">
        <v>0</v>
      </c>
      <c r="J2132" s="18">
        <v>1</v>
      </c>
      <c r="K2132" s="18">
        <v>0</v>
      </c>
      <c r="L2132" s="18">
        <v>0</v>
      </c>
      <c r="M2132" s="16">
        <v>0</v>
      </c>
      <c r="N2132" s="16">
        <v>0</v>
      </c>
      <c r="O2132" s="16">
        <v>1</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287</v>
      </c>
      <c r="AX2132" s="16">
        <v>0</v>
      </c>
      <c r="AY2132" s="18">
        <v>0</v>
      </c>
      <c r="AZ2132" s="18">
        <v>0</v>
      </c>
      <c r="BA2132" s="17" t="s">
        <v>200</v>
      </c>
      <c r="BB2132" s="16">
        <v>0</v>
      </c>
      <c r="BC2132" s="27">
        <v>0</v>
      </c>
      <c r="BD2132" s="27">
        <v>0</v>
      </c>
      <c r="BE2132" s="44" t="s">
        <v>4901</v>
      </c>
      <c r="BF2132" s="44" t="s">
        <v>4902</v>
      </c>
      <c r="BG2132" s="16"/>
      <c r="BH2132" s="16">
        <v>0</v>
      </c>
      <c r="BI2132" s="16"/>
      <c r="BJ2132" s="16"/>
      <c r="BK2132" s="16"/>
      <c r="BL2132" s="16"/>
      <c r="BM2132" s="16">
        <v>0</v>
      </c>
      <c r="BN2132" s="12">
        <v>0</v>
      </c>
      <c r="BO2132" s="12">
        <v>0</v>
      </c>
      <c r="BP2132" s="12">
        <v>0</v>
      </c>
      <c r="BQ2132" s="12">
        <v>0</v>
      </c>
      <c r="BR2132" s="12">
        <v>0</v>
      </c>
      <c r="BS2132" s="12">
        <v>0</v>
      </c>
      <c r="BT2132" s="12">
        <v>0</v>
      </c>
      <c r="BU2132" s="47">
        <v>0</v>
      </c>
      <c r="BV2132" s="47"/>
      <c r="BW2132" s="47"/>
    </row>
    <row r="2133" spans="3:75" ht="20.100000000000001" customHeight="1">
      <c r="C2133" s="18">
        <v>80004001</v>
      </c>
      <c r="D2133" s="59" t="s">
        <v>4903</v>
      </c>
      <c r="E2133" s="59" t="s">
        <v>4904</v>
      </c>
      <c r="F2133" s="16">
        <v>1</v>
      </c>
      <c r="G2133" s="18">
        <v>80004001</v>
      </c>
      <c r="H2133" s="60">
        <v>0</v>
      </c>
      <c r="I2133" s="27">
        <v>0</v>
      </c>
      <c r="J2133" s="18">
        <v>1</v>
      </c>
      <c r="K2133" s="18">
        <v>0</v>
      </c>
      <c r="L2133" s="18">
        <v>0</v>
      </c>
      <c r="M2133" s="60">
        <v>0</v>
      </c>
      <c r="N2133" s="60">
        <v>0</v>
      </c>
      <c r="O2133" s="60">
        <v>2</v>
      </c>
      <c r="P2133" s="60">
        <v>1</v>
      </c>
      <c r="Q2133" s="60">
        <v>0.2</v>
      </c>
      <c r="R2133" s="60">
        <v>0</v>
      </c>
      <c r="S2133" s="12">
        <v>0</v>
      </c>
      <c r="T2133" s="60">
        <v>0</v>
      </c>
      <c r="U2133" s="16">
        <v>1</v>
      </c>
      <c r="V2133" s="60">
        <v>2</v>
      </c>
      <c r="W2133" s="60">
        <v>0</v>
      </c>
      <c r="X2133" s="60">
        <v>0</v>
      </c>
      <c r="Y2133" s="12">
        <v>0</v>
      </c>
      <c r="Z2133" s="60">
        <v>0</v>
      </c>
      <c r="AA2133" s="60">
        <v>0</v>
      </c>
      <c r="AB2133" s="60">
        <v>0</v>
      </c>
      <c r="AC2133" s="60">
        <v>0</v>
      </c>
      <c r="AD2133" s="60">
        <v>0</v>
      </c>
      <c r="AE2133" s="60">
        <v>0</v>
      </c>
      <c r="AF2133" s="60">
        <v>15</v>
      </c>
      <c r="AG2133" s="60">
        <v>1</v>
      </c>
      <c r="AH2133" s="60">
        <v>3</v>
      </c>
      <c r="AI2133" s="12">
        <v>0</v>
      </c>
      <c r="AJ2133" s="12">
        <v>0</v>
      </c>
      <c r="AK2133" s="12">
        <v>0</v>
      </c>
      <c r="AL2133" s="68">
        <v>6</v>
      </c>
      <c r="AM2133" s="60">
        <v>0</v>
      </c>
      <c r="AN2133" s="60">
        <v>0</v>
      </c>
      <c r="AO2133" s="60">
        <v>0</v>
      </c>
      <c r="AP2133" s="60">
        <v>0.5</v>
      </c>
      <c r="AQ2133" s="60">
        <v>3000</v>
      </c>
      <c r="AR2133" s="60">
        <v>0.5</v>
      </c>
      <c r="AS2133" s="60">
        <v>0</v>
      </c>
      <c r="AT2133" s="12">
        <v>0</v>
      </c>
      <c r="AU2133" s="60">
        <v>93000201</v>
      </c>
      <c r="AV2133" s="60"/>
      <c r="AW2133" s="59" t="s">
        <v>287</v>
      </c>
      <c r="AX2133" s="16">
        <v>0</v>
      </c>
      <c r="AY2133" s="64">
        <v>10000007</v>
      </c>
      <c r="AZ2133" s="18">
        <v>23000050</v>
      </c>
      <c r="BA2133" s="59" t="s">
        <v>200</v>
      </c>
      <c r="BB2133" s="60">
        <v>0</v>
      </c>
      <c r="BC2133" s="66">
        <v>0</v>
      </c>
      <c r="BD2133" s="27">
        <v>0</v>
      </c>
      <c r="BE2133" s="44" t="s">
        <v>4905</v>
      </c>
      <c r="BF2133" s="44" t="s">
        <v>4906</v>
      </c>
      <c r="BG2133" s="60">
        <v>0</v>
      </c>
      <c r="BH2133" s="16">
        <v>0</v>
      </c>
      <c r="BI2133" s="60">
        <v>0</v>
      </c>
      <c r="BJ2133" s="60">
        <v>0</v>
      </c>
      <c r="BK2133" s="60">
        <v>0</v>
      </c>
      <c r="BL2133" s="60">
        <v>0</v>
      </c>
      <c r="BM2133" s="16">
        <v>0</v>
      </c>
      <c r="BN2133" s="12">
        <v>0</v>
      </c>
      <c r="BO2133" s="12">
        <v>0</v>
      </c>
      <c r="BP2133" s="12">
        <v>0</v>
      </c>
      <c r="BQ2133" s="12">
        <v>0</v>
      </c>
      <c r="BR2133" s="12">
        <v>0</v>
      </c>
      <c r="BS2133" s="12">
        <v>0</v>
      </c>
      <c r="BT2133" s="12">
        <v>0</v>
      </c>
      <c r="BU2133" s="47">
        <v>0</v>
      </c>
      <c r="BV2133" s="47"/>
      <c r="BW2133" s="47"/>
    </row>
    <row r="2134" spans="3:75" ht="19.5" customHeight="1">
      <c r="C2134" s="18">
        <v>80004002</v>
      </c>
      <c r="D2134" s="17" t="s">
        <v>4907</v>
      </c>
      <c r="E2134" s="17" t="s">
        <v>4908</v>
      </c>
      <c r="F2134" s="18">
        <v>1</v>
      </c>
      <c r="G2134" s="18">
        <v>80004002</v>
      </c>
      <c r="H2134" s="18">
        <v>0</v>
      </c>
      <c r="I2134" s="27">
        <v>0</v>
      </c>
      <c r="J2134" s="18">
        <v>1</v>
      </c>
      <c r="K2134" s="18">
        <v>0</v>
      </c>
      <c r="L2134" s="18">
        <v>0</v>
      </c>
      <c r="M2134" s="16">
        <v>0</v>
      </c>
      <c r="N2134" s="16">
        <v>0</v>
      </c>
      <c r="O2134" s="16">
        <v>2</v>
      </c>
      <c r="P2134" s="16">
        <v>1</v>
      </c>
      <c r="Q2134" s="16">
        <v>1</v>
      </c>
      <c r="R2134" s="16">
        <v>0</v>
      </c>
      <c r="S2134" s="12">
        <v>0</v>
      </c>
      <c r="T2134" s="16">
        <v>0</v>
      </c>
      <c r="U2134" s="16">
        <v>1</v>
      </c>
      <c r="V2134" s="16">
        <v>2</v>
      </c>
      <c r="W2134" s="16">
        <v>0</v>
      </c>
      <c r="X2134" s="16">
        <v>1.2</v>
      </c>
      <c r="Y2134" s="12">
        <v>0</v>
      </c>
      <c r="Z2134" s="16">
        <v>0</v>
      </c>
      <c r="AA2134" s="16">
        <v>1</v>
      </c>
      <c r="AB2134" s="16">
        <v>0</v>
      </c>
      <c r="AC2134" s="16">
        <v>0</v>
      </c>
      <c r="AD2134" s="16">
        <v>0</v>
      </c>
      <c r="AE2134" s="16">
        <v>0</v>
      </c>
      <c r="AF2134" s="16">
        <v>3</v>
      </c>
      <c r="AG2134" s="16">
        <v>1</v>
      </c>
      <c r="AH2134" s="16" t="s">
        <v>607</v>
      </c>
      <c r="AI2134" s="12">
        <v>0</v>
      </c>
      <c r="AJ2134" s="12">
        <v>1</v>
      </c>
      <c r="AK2134" s="12">
        <v>0</v>
      </c>
      <c r="AL2134" s="12">
        <v>3</v>
      </c>
      <c r="AM2134" s="16">
        <v>0</v>
      </c>
      <c r="AN2134" s="16">
        <v>0</v>
      </c>
      <c r="AO2134" s="16">
        <v>0</v>
      </c>
      <c r="AP2134" s="16">
        <v>0.5</v>
      </c>
      <c r="AQ2134" s="16">
        <v>5000</v>
      </c>
      <c r="AR2134" s="16">
        <v>0.5</v>
      </c>
      <c r="AS2134" s="16">
        <v>0</v>
      </c>
      <c r="AT2134" s="12">
        <v>0</v>
      </c>
      <c r="AU2134" s="16" t="s">
        <v>659</v>
      </c>
      <c r="AV2134" s="16"/>
      <c r="AW2134" s="19" t="s">
        <v>256</v>
      </c>
      <c r="AX2134" s="16">
        <v>0</v>
      </c>
      <c r="AY2134" s="18">
        <v>10000007</v>
      </c>
      <c r="AZ2134" s="18">
        <v>70403003</v>
      </c>
      <c r="BA2134" s="17" t="s">
        <v>200</v>
      </c>
      <c r="BB2134" s="16">
        <v>0</v>
      </c>
      <c r="BC2134" s="27">
        <v>0</v>
      </c>
      <c r="BD2134" s="27">
        <v>0</v>
      </c>
      <c r="BE2134" s="44" t="s">
        <v>4909</v>
      </c>
      <c r="BF2134" s="44" t="s">
        <v>4910</v>
      </c>
      <c r="BG2134" s="16">
        <v>0</v>
      </c>
      <c r="BH2134" s="16">
        <v>0</v>
      </c>
      <c r="BI2134" s="16">
        <v>0</v>
      </c>
      <c r="BJ2134" s="16">
        <v>0</v>
      </c>
      <c r="BK2134" s="16">
        <v>0</v>
      </c>
      <c r="BL2134" s="16">
        <v>0</v>
      </c>
      <c r="BM2134" s="15">
        <v>0</v>
      </c>
      <c r="BN2134" s="12">
        <v>0</v>
      </c>
      <c r="BO2134" s="12">
        <v>0</v>
      </c>
      <c r="BP2134" s="12">
        <v>0</v>
      </c>
      <c r="BQ2134" s="12">
        <v>0</v>
      </c>
      <c r="BR2134" s="12">
        <v>0</v>
      </c>
      <c r="BS2134" s="12">
        <v>0</v>
      </c>
      <c r="BT2134" s="12">
        <v>0</v>
      </c>
      <c r="BU2134" s="47">
        <v>0</v>
      </c>
      <c r="BV2134" s="47"/>
      <c r="BW2134" s="47"/>
    </row>
    <row r="2135" spans="3:75" ht="20.100000000000001" customHeight="1">
      <c r="C2135" s="18">
        <v>80004003</v>
      </c>
      <c r="D2135" s="17" t="s">
        <v>4911</v>
      </c>
      <c r="E2135" s="17" t="s">
        <v>4912</v>
      </c>
      <c r="F2135" s="16">
        <v>1</v>
      </c>
      <c r="G2135" s="18">
        <v>80004003</v>
      </c>
      <c r="H2135" s="16">
        <v>0</v>
      </c>
      <c r="I2135" s="27">
        <v>0</v>
      </c>
      <c r="J2135" s="18">
        <v>1</v>
      </c>
      <c r="K2135" s="18">
        <v>0</v>
      </c>
      <c r="L2135" s="18">
        <v>0</v>
      </c>
      <c r="M2135" s="16">
        <v>0</v>
      </c>
      <c r="N2135" s="16">
        <v>0</v>
      </c>
      <c r="O2135" s="16">
        <v>2</v>
      </c>
      <c r="P2135" s="16">
        <v>1</v>
      </c>
      <c r="Q2135" s="16">
        <v>0.3</v>
      </c>
      <c r="R2135" s="16">
        <v>0</v>
      </c>
      <c r="S2135" s="12">
        <v>0</v>
      </c>
      <c r="T2135" s="16">
        <v>0</v>
      </c>
      <c r="U2135" s="16">
        <v>1</v>
      </c>
      <c r="V2135" s="16">
        <v>2</v>
      </c>
      <c r="W2135" s="16">
        <v>0</v>
      </c>
      <c r="X2135" s="16">
        <v>3</v>
      </c>
      <c r="Y2135" s="12">
        <v>0</v>
      </c>
      <c r="Z2135" s="16">
        <v>0</v>
      </c>
      <c r="AA2135" s="16">
        <v>0</v>
      </c>
      <c r="AB2135" s="16">
        <v>0</v>
      </c>
      <c r="AC2135" s="16">
        <v>0</v>
      </c>
      <c r="AD2135" s="16">
        <v>0</v>
      </c>
      <c r="AE2135" s="16">
        <v>0</v>
      </c>
      <c r="AF2135" s="16">
        <v>6</v>
      </c>
      <c r="AG2135" s="16">
        <v>2</v>
      </c>
      <c r="AH2135" s="16" t="s">
        <v>213</v>
      </c>
      <c r="AI2135" s="12">
        <v>0</v>
      </c>
      <c r="AJ2135" s="12">
        <v>0</v>
      </c>
      <c r="AK2135" s="12">
        <v>0</v>
      </c>
      <c r="AL2135" s="12">
        <v>1.5</v>
      </c>
      <c r="AM2135" s="16">
        <v>0</v>
      </c>
      <c r="AN2135" s="16">
        <v>0</v>
      </c>
      <c r="AO2135" s="16">
        <v>0</v>
      </c>
      <c r="AP2135" s="16">
        <v>0.5</v>
      </c>
      <c r="AQ2135" s="16">
        <v>3000</v>
      </c>
      <c r="AR2135" s="16">
        <v>0.5</v>
      </c>
      <c r="AS2135" s="16">
        <v>0</v>
      </c>
      <c r="AT2135" s="12">
        <v>0</v>
      </c>
      <c r="AU2135" s="16">
        <v>90001021</v>
      </c>
      <c r="AV2135" s="16"/>
      <c r="AW2135" s="17" t="s">
        <v>287</v>
      </c>
      <c r="AX2135" s="16">
        <v>0</v>
      </c>
      <c r="AY2135" s="18">
        <v>10000007</v>
      </c>
      <c r="AZ2135" s="18">
        <v>23000070</v>
      </c>
      <c r="BA2135" s="17" t="s">
        <v>200</v>
      </c>
      <c r="BB2135" s="16">
        <v>0</v>
      </c>
      <c r="BC2135" s="27">
        <v>0</v>
      </c>
      <c r="BD2135" s="27">
        <v>0</v>
      </c>
      <c r="BE2135" s="44" t="s">
        <v>4913</v>
      </c>
      <c r="BF2135" s="44" t="s">
        <v>4914</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spans="3:75" ht="20.100000000000001" customHeight="1">
      <c r="C2136" s="18">
        <v>80004004</v>
      </c>
      <c r="D2136" s="17" t="s">
        <v>4915</v>
      </c>
      <c r="E2136" s="17" t="s">
        <v>4916</v>
      </c>
      <c r="F2136" s="16">
        <v>1</v>
      </c>
      <c r="G2136" s="16">
        <v>80004004</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213</v>
      </c>
      <c r="AI2136" s="12">
        <v>2</v>
      </c>
      <c r="AJ2136" s="12">
        <v>2</v>
      </c>
      <c r="AK2136" s="12">
        <v>0</v>
      </c>
      <c r="AL2136" s="12">
        <v>1.5</v>
      </c>
      <c r="AM2136" s="16">
        <v>0</v>
      </c>
      <c r="AN2136" s="16">
        <v>0</v>
      </c>
      <c r="AO2136" s="16">
        <v>0</v>
      </c>
      <c r="AP2136" s="16">
        <v>1</v>
      </c>
      <c r="AQ2136" s="16">
        <v>3000</v>
      </c>
      <c r="AR2136" s="16">
        <v>0.5</v>
      </c>
      <c r="AS2136" s="16">
        <v>0</v>
      </c>
      <c r="AT2136" s="12">
        <v>0</v>
      </c>
      <c r="AU2136" s="16" t="s">
        <v>198</v>
      </c>
      <c r="AV2136" s="16"/>
      <c r="AW2136" s="17" t="s">
        <v>199</v>
      </c>
      <c r="AX2136" s="16">
        <v>0</v>
      </c>
      <c r="AY2136" s="18">
        <v>0</v>
      </c>
      <c r="AZ2136" s="18">
        <v>0</v>
      </c>
      <c r="BA2136" s="17" t="s">
        <v>200</v>
      </c>
      <c r="BB2136" s="16" t="s">
        <v>4917</v>
      </c>
      <c r="BC2136" s="27">
        <v>0</v>
      </c>
      <c r="BD2136" s="27">
        <v>0</v>
      </c>
      <c r="BE2136" s="44" t="s">
        <v>4918</v>
      </c>
      <c r="BF2136" s="44" t="s">
        <v>4919</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row>
    <row r="2137" spans="3:75" ht="19.5" customHeight="1">
      <c r="C2137" s="64">
        <v>80004005</v>
      </c>
      <c r="D2137" s="59" t="s">
        <v>4903</v>
      </c>
      <c r="E2137" s="59" t="s">
        <v>4904</v>
      </c>
      <c r="F2137" s="64">
        <v>1</v>
      </c>
      <c r="G2137" s="64">
        <v>80004005</v>
      </c>
      <c r="H2137" s="64">
        <v>0</v>
      </c>
      <c r="I2137" s="66">
        <v>0</v>
      </c>
      <c r="J2137" s="64">
        <v>1</v>
      </c>
      <c r="K2137" s="64">
        <v>0</v>
      </c>
      <c r="L2137" s="64">
        <v>0</v>
      </c>
      <c r="M2137" s="60">
        <v>0</v>
      </c>
      <c r="N2137" s="60">
        <v>0</v>
      </c>
      <c r="O2137" s="60">
        <v>2</v>
      </c>
      <c r="P2137" s="60">
        <v>3</v>
      </c>
      <c r="Q2137" s="60">
        <v>0.15</v>
      </c>
      <c r="R2137" s="60">
        <v>0</v>
      </c>
      <c r="S2137" s="68">
        <v>0</v>
      </c>
      <c r="T2137" s="60">
        <v>0</v>
      </c>
      <c r="U2137" s="60">
        <v>1</v>
      </c>
      <c r="V2137" s="60">
        <v>2</v>
      </c>
      <c r="W2137" s="60">
        <v>0</v>
      </c>
      <c r="X2137" s="60">
        <v>0</v>
      </c>
      <c r="Y2137" s="12">
        <v>0</v>
      </c>
      <c r="Z2137" s="60">
        <v>0</v>
      </c>
      <c r="AA2137" s="60">
        <v>0</v>
      </c>
      <c r="AB2137" s="60">
        <v>0</v>
      </c>
      <c r="AC2137" s="60">
        <v>0</v>
      </c>
      <c r="AD2137" s="60">
        <v>0</v>
      </c>
      <c r="AE2137" s="60">
        <v>1</v>
      </c>
      <c r="AF2137" s="60">
        <v>16</v>
      </c>
      <c r="AG2137" s="60">
        <v>1</v>
      </c>
      <c r="AH2137" s="60">
        <v>5</v>
      </c>
      <c r="AI2137" s="68">
        <v>0</v>
      </c>
      <c r="AJ2137" s="68">
        <v>1</v>
      </c>
      <c r="AK2137" s="68">
        <v>0</v>
      </c>
      <c r="AL2137" s="68">
        <v>3</v>
      </c>
      <c r="AM2137" s="60">
        <v>0</v>
      </c>
      <c r="AN2137" s="60">
        <v>0</v>
      </c>
      <c r="AO2137" s="60">
        <v>0</v>
      </c>
      <c r="AP2137" s="60">
        <v>0</v>
      </c>
      <c r="AQ2137" s="60">
        <v>5000</v>
      </c>
      <c r="AR2137" s="60">
        <v>0.1</v>
      </c>
      <c r="AS2137" s="60">
        <v>0</v>
      </c>
      <c r="AT2137" s="342" t="s">
        <v>4920</v>
      </c>
      <c r="AU2137" s="79">
        <v>0</v>
      </c>
      <c r="AV2137" s="79"/>
      <c r="AW2137" s="59" t="s">
        <v>198</v>
      </c>
      <c r="AX2137" s="60">
        <v>0</v>
      </c>
      <c r="AY2137" s="64">
        <v>0</v>
      </c>
      <c r="AZ2137" s="64">
        <v>0</v>
      </c>
      <c r="BA2137" s="59" t="s">
        <v>200</v>
      </c>
      <c r="BB2137" s="60">
        <v>0</v>
      </c>
      <c r="BC2137" s="66">
        <v>0</v>
      </c>
      <c r="BD2137" s="66">
        <v>0</v>
      </c>
      <c r="BE2137" s="90" t="s">
        <v>4921</v>
      </c>
      <c r="BF2137" s="90" t="s">
        <v>4922</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19.5" customHeight="1">
      <c r="C2138" s="64">
        <v>80004006</v>
      </c>
      <c r="D2138" s="59" t="s">
        <v>4923</v>
      </c>
      <c r="E2138" s="59" t="s">
        <v>4924</v>
      </c>
      <c r="F2138" s="64">
        <v>1</v>
      </c>
      <c r="G2138" s="64">
        <v>80004006</v>
      </c>
      <c r="H2138" s="64">
        <v>0</v>
      </c>
      <c r="I2138" s="66">
        <v>0</v>
      </c>
      <c r="J2138" s="64">
        <v>1</v>
      </c>
      <c r="K2138" s="64">
        <v>0</v>
      </c>
      <c r="L2138" s="64">
        <v>0</v>
      </c>
      <c r="M2138" s="60">
        <v>0</v>
      </c>
      <c r="N2138" s="60">
        <v>0</v>
      </c>
      <c r="O2138" s="60">
        <v>2</v>
      </c>
      <c r="P2138" s="60">
        <v>1</v>
      </c>
      <c r="Q2138" s="60">
        <v>0.15</v>
      </c>
      <c r="R2138" s="60">
        <v>0</v>
      </c>
      <c r="S2138" s="68">
        <v>0</v>
      </c>
      <c r="T2138" s="60">
        <v>0</v>
      </c>
      <c r="U2138" s="60">
        <v>1</v>
      </c>
      <c r="V2138" s="60">
        <v>2</v>
      </c>
      <c r="W2138" s="60">
        <v>0</v>
      </c>
      <c r="X2138" s="60">
        <v>1.5</v>
      </c>
      <c r="Y2138" s="12">
        <v>0</v>
      </c>
      <c r="Z2138" s="60">
        <v>0</v>
      </c>
      <c r="AA2138" s="60">
        <v>1</v>
      </c>
      <c r="AB2138" s="60">
        <v>0</v>
      </c>
      <c r="AC2138" s="60">
        <v>0</v>
      </c>
      <c r="AD2138" s="60">
        <v>0</v>
      </c>
      <c r="AE2138" s="60">
        <v>1</v>
      </c>
      <c r="AF2138" s="60">
        <v>0</v>
      </c>
      <c r="AG2138" s="60">
        <v>1</v>
      </c>
      <c r="AH2138" s="60">
        <v>6</v>
      </c>
      <c r="AI2138" s="68">
        <v>0</v>
      </c>
      <c r="AJ2138" s="68">
        <v>1</v>
      </c>
      <c r="AK2138" s="68">
        <v>0</v>
      </c>
      <c r="AL2138" s="68">
        <v>3</v>
      </c>
      <c r="AM2138" s="60">
        <v>0</v>
      </c>
      <c r="AN2138" s="60">
        <v>0</v>
      </c>
      <c r="AO2138" s="60">
        <v>0</v>
      </c>
      <c r="AP2138" s="60">
        <v>0</v>
      </c>
      <c r="AQ2138" s="60">
        <v>3000</v>
      </c>
      <c r="AR2138" s="60">
        <v>0.2</v>
      </c>
      <c r="AS2138" s="60">
        <v>0</v>
      </c>
      <c r="AT2138" s="68">
        <v>0</v>
      </c>
      <c r="AU2138" s="60">
        <v>80005106</v>
      </c>
      <c r="AV2138" s="60"/>
      <c r="AW2138" s="59" t="s">
        <v>199</v>
      </c>
      <c r="AX2138" s="60">
        <v>0</v>
      </c>
      <c r="AY2138" s="64">
        <v>0</v>
      </c>
      <c r="AZ2138" s="64">
        <v>23000201</v>
      </c>
      <c r="BA2138" s="59" t="s">
        <v>200</v>
      </c>
      <c r="BB2138" s="60">
        <v>0</v>
      </c>
      <c r="BC2138" s="66">
        <v>0</v>
      </c>
      <c r="BD2138" s="66">
        <v>0</v>
      </c>
      <c r="BE2138" s="90" t="s">
        <v>4925</v>
      </c>
      <c r="BF2138" s="90" t="s">
        <v>4926</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19.5" customHeight="1">
      <c r="C2139" s="64">
        <v>80004007</v>
      </c>
      <c r="D2139" s="59" t="s">
        <v>4927</v>
      </c>
      <c r="E2139" s="59" t="s">
        <v>4928</v>
      </c>
      <c r="F2139" s="64">
        <v>1</v>
      </c>
      <c r="G2139" s="60">
        <v>60010100</v>
      </c>
      <c r="H2139" s="64">
        <v>0</v>
      </c>
      <c r="I2139" s="66">
        <v>0</v>
      </c>
      <c r="J2139" s="64">
        <v>1</v>
      </c>
      <c r="K2139" s="64">
        <v>0</v>
      </c>
      <c r="L2139" s="64">
        <v>0</v>
      </c>
      <c r="M2139" s="60">
        <v>0</v>
      </c>
      <c r="N2139" s="60">
        <v>0</v>
      </c>
      <c r="O2139" s="60">
        <v>2</v>
      </c>
      <c r="P2139" s="60">
        <v>3</v>
      </c>
      <c r="Q2139" s="60">
        <v>0.15</v>
      </c>
      <c r="R2139" s="60">
        <v>0</v>
      </c>
      <c r="S2139" s="68">
        <v>0</v>
      </c>
      <c r="T2139" s="60">
        <v>0</v>
      </c>
      <c r="U2139" s="60">
        <v>1</v>
      </c>
      <c r="V2139" s="60">
        <v>2</v>
      </c>
      <c r="W2139" s="60">
        <v>0</v>
      </c>
      <c r="X2139" s="60">
        <v>0</v>
      </c>
      <c r="Y2139" s="12">
        <v>0</v>
      </c>
      <c r="Z2139" s="60">
        <v>0</v>
      </c>
      <c r="AA2139" s="60">
        <v>0</v>
      </c>
      <c r="AB2139" s="60">
        <v>0</v>
      </c>
      <c r="AC2139" s="60">
        <v>0</v>
      </c>
      <c r="AD2139" s="60">
        <v>0</v>
      </c>
      <c r="AE2139" s="60">
        <v>1</v>
      </c>
      <c r="AF2139" s="60">
        <v>0</v>
      </c>
      <c r="AG2139" s="60">
        <v>1</v>
      </c>
      <c r="AH2139" s="60">
        <v>5</v>
      </c>
      <c r="AI2139" s="68">
        <v>0</v>
      </c>
      <c r="AJ2139" s="68">
        <v>1</v>
      </c>
      <c r="AK2139" s="68">
        <v>0</v>
      </c>
      <c r="AL2139" s="68">
        <v>3</v>
      </c>
      <c r="AM2139" s="60">
        <v>0</v>
      </c>
      <c r="AN2139" s="60">
        <v>0</v>
      </c>
      <c r="AO2139" s="60">
        <v>0</v>
      </c>
      <c r="AP2139" s="60">
        <v>1</v>
      </c>
      <c r="AQ2139" s="60">
        <v>1000</v>
      </c>
      <c r="AR2139" s="60">
        <v>0</v>
      </c>
      <c r="AS2139" s="60">
        <v>0</v>
      </c>
      <c r="AT2139" s="78">
        <v>0</v>
      </c>
      <c r="AU2139" s="334" t="s">
        <v>4929</v>
      </c>
      <c r="AV2139" s="79"/>
      <c r="AW2139" s="59" t="s">
        <v>287</v>
      </c>
      <c r="AX2139" s="60">
        <v>0</v>
      </c>
      <c r="AY2139" s="64">
        <v>0</v>
      </c>
      <c r="AZ2139" s="64">
        <v>23000202</v>
      </c>
      <c r="BA2139" s="59" t="s">
        <v>200</v>
      </c>
      <c r="BB2139" s="60">
        <v>0</v>
      </c>
      <c r="BC2139" s="66">
        <v>0</v>
      </c>
      <c r="BD2139" s="66">
        <v>0</v>
      </c>
      <c r="BE2139" s="90" t="s">
        <v>4930</v>
      </c>
      <c r="BF2139" s="90" t="s">
        <v>4931</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19.5" customHeight="1">
      <c r="C2140" s="64">
        <v>80004008</v>
      </c>
      <c r="D2140" s="59" t="s">
        <v>4932</v>
      </c>
      <c r="E2140" s="59" t="s">
        <v>4933</v>
      </c>
      <c r="F2140" s="64">
        <v>1</v>
      </c>
      <c r="G2140" s="64">
        <v>80004008</v>
      </c>
      <c r="H2140" s="64">
        <v>0</v>
      </c>
      <c r="I2140" s="66">
        <v>0</v>
      </c>
      <c r="J2140" s="64">
        <v>1</v>
      </c>
      <c r="K2140" s="64">
        <v>0</v>
      </c>
      <c r="L2140" s="64">
        <v>0</v>
      </c>
      <c r="M2140" s="60">
        <v>0</v>
      </c>
      <c r="N2140" s="60">
        <v>0</v>
      </c>
      <c r="O2140" s="60">
        <v>2</v>
      </c>
      <c r="P2140" s="60" t="s">
        <v>4934</v>
      </c>
      <c r="Q2140" s="60" t="s">
        <v>4935</v>
      </c>
      <c r="R2140" s="60">
        <v>0</v>
      </c>
      <c r="S2140" s="68">
        <v>0</v>
      </c>
      <c r="T2140" s="60">
        <v>0</v>
      </c>
      <c r="U2140" s="60">
        <v>1</v>
      </c>
      <c r="V2140" s="60">
        <v>2</v>
      </c>
      <c r="W2140" s="60">
        <v>0</v>
      </c>
      <c r="X2140" s="60">
        <v>0</v>
      </c>
      <c r="Y2140" s="12">
        <v>0</v>
      </c>
      <c r="Z2140" s="60">
        <v>0</v>
      </c>
      <c r="AA2140" s="60">
        <v>1</v>
      </c>
      <c r="AB2140" s="60">
        <v>0</v>
      </c>
      <c r="AC2140" s="60">
        <v>0</v>
      </c>
      <c r="AD2140" s="60">
        <v>0</v>
      </c>
      <c r="AE2140" s="60">
        <v>1</v>
      </c>
      <c r="AF2140" s="60">
        <v>8</v>
      </c>
      <c r="AG2140" s="60">
        <v>1</v>
      </c>
      <c r="AH2140" s="60">
        <v>6</v>
      </c>
      <c r="AI2140" s="68">
        <v>0</v>
      </c>
      <c r="AJ2140" s="68">
        <v>1</v>
      </c>
      <c r="AK2140" s="68">
        <v>0</v>
      </c>
      <c r="AL2140" s="68">
        <v>3</v>
      </c>
      <c r="AM2140" s="60">
        <v>0</v>
      </c>
      <c r="AN2140" s="60">
        <v>0</v>
      </c>
      <c r="AO2140" s="60">
        <v>0</v>
      </c>
      <c r="AP2140" s="60">
        <v>0</v>
      </c>
      <c r="AQ2140" s="60">
        <v>1000</v>
      </c>
      <c r="AR2140" s="60">
        <v>0</v>
      </c>
      <c r="AS2140" s="60">
        <v>0</v>
      </c>
      <c r="AT2140" s="333" t="s">
        <v>4936</v>
      </c>
      <c r="AU2140" s="334" t="s">
        <v>4937</v>
      </c>
      <c r="AV2140" s="79"/>
      <c r="AW2140" s="59" t="s">
        <v>287</v>
      </c>
      <c r="AX2140" s="60">
        <v>0</v>
      </c>
      <c r="AY2140" s="64">
        <v>0</v>
      </c>
      <c r="AZ2140" s="64">
        <v>23000211</v>
      </c>
      <c r="BA2140" s="59" t="s">
        <v>200</v>
      </c>
      <c r="BB2140" s="60">
        <v>0</v>
      </c>
      <c r="BC2140" s="66">
        <v>0</v>
      </c>
      <c r="BD2140" s="66">
        <v>0</v>
      </c>
      <c r="BE2140" s="90" t="s">
        <v>4938</v>
      </c>
      <c r="BF2140" s="90" t="s">
        <v>4939</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19.5" customHeight="1">
      <c r="C2141" s="64">
        <v>80004009</v>
      </c>
      <c r="D2141" s="59" t="s">
        <v>4940</v>
      </c>
      <c r="E2141" s="59" t="s">
        <v>4941</v>
      </c>
      <c r="F2141" s="64">
        <v>1</v>
      </c>
      <c r="G2141" s="64">
        <v>80004009</v>
      </c>
      <c r="H2141" s="64">
        <v>0</v>
      </c>
      <c r="I2141" s="66">
        <v>0</v>
      </c>
      <c r="J2141" s="64">
        <v>1</v>
      </c>
      <c r="K2141" s="64">
        <v>0</v>
      </c>
      <c r="L2141" s="64">
        <v>0</v>
      </c>
      <c r="M2141" s="60">
        <v>0</v>
      </c>
      <c r="N2141" s="60">
        <v>0</v>
      </c>
      <c r="O2141" s="60">
        <v>2</v>
      </c>
      <c r="P2141" s="60">
        <v>16</v>
      </c>
      <c r="Q2141" s="60">
        <v>5</v>
      </c>
      <c r="R2141" s="60">
        <v>0</v>
      </c>
      <c r="S2141" s="68">
        <v>0</v>
      </c>
      <c r="T2141" s="60">
        <v>0</v>
      </c>
      <c r="U2141" s="60">
        <v>1</v>
      </c>
      <c r="V2141" s="60">
        <v>2</v>
      </c>
      <c r="W2141" s="60">
        <v>0</v>
      </c>
      <c r="X2141" s="60">
        <v>1.2</v>
      </c>
      <c r="Y2141" s="12">
        <v>0</v>
      </c>
      <c r="Z2141" s="60">
        <v>0</v>
      </c>
      <c r="AA2141" s="60">
        <v>1</v>
      </c>
      <c r="AB2141" s="60">
        <v>0</v>
      </c>
      <c r="AC2141" s="60">
        <v>0</v>
      </c>
      <c r="AD2141" s="60">
        <v>0</v>
      </c>
      <c r="AE2141" s="60">
        <v>1</v>
      </c>
      <c r="AF2141" s="60">
        <v>0</v>
      </c>
      <c r="AG2141" s="60">
        <v>1</v>
      </c>
      <c r="AH2141" s="60">
        <v>2</v>
      </c>
      <c r="AI2141" s="68">
        <v>0</v>
      </c>
      <c r="AJ2141" s="68">
        <v>2</v>
      </c>
      <c r="AK2141" s="68">
        <v>0</v>
      </c>
      <c r="AL2141" s="68">
        <v>2</v>
      </c>
      <c r="AM2141" s="60">
        <v>0</v>
      </c>
      <c r="AN2141" s="60">
        <v>0</v>
      </c>
      <c r="AO2141" s="60">
        <v>0</v>
      </c>
      <c r="AP2141" s="60">
        <v>2</v>
      </c>
      <c r="AQ2141" s="60">
        <v>8000</v>
      </c>
      <c r="AR2141" s="60">
        <v>0</v>
      </c>
      <c r="AS2141" s="60">
        <v>10</v>
      </c>
      <c r="AT2141" s="78">
        <v>0</v>
      </c>
      <c r="AU2141" s="334" t="s">
        <v>198</v>
      </c>
      <c r="AV2141" s="79"/>
      <c r="AW2141" s="59" t="s">
        <v>199</v>
      </c>
      <c r="AX2141" s="60" t="s">
        <v>534</v>
      </c>
      <c r="AY2141" s="64">
        <v>10000007</v>
      </c>
      <c r="AZ2141" s="64">
        <v>23000212</v>
      </c>
      <c r="BA2141" s="59" t="s">
        <v>586</v>
      </c>
      <c r="BB2141" s="60" t="s">
        <v>1318</v>
      </c>
      <c r="BC2141" s="66">
        <v>0</v>
      </c>
      <c r="BD2141" s="66">
        <v>1</v>
      </c>
      <c r="BE2141" s="90" t="s">
        <v>1306</v>
      </c>
      <c r="BF2141" s="90" t="s">
        <v>1307</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row>
    <row r="2142" spans="3:75" ht="20.100000000000001" customHeight="1">
      <c r="C2142" s="64">
        <v>80004010</v>
      </c>
      <c r="D2142" s="59" t="s">
        <v>4942</v>
      </c>
      <c r="E2142" s="59" t="s">
        <v>952</v>
      </c>
      <c r="F2142" s="60">
        <v>1</v>
      </c>
      <c r="G2142" s="64">
        <v>80004010</v>
      </c>
      <c r="H2142" s="60">
        <v>0</v>
      </c>
      <c r="I2142" s="66">
        <v>0</v>
      </c>
      <c r="J2142" s="64">
        <v>1</v>
      </c>
      <c r="K2142" s="64">
        <v>0</v>
      </c>
      <c r="L2142" s="64">
        <v>0</v>
      </c>
      <c r="M2142" s="60">
        <v>0</v>
      </c>
      <c r="N2142" s="60">
        <v>0</v>
      </c>
      <c r="O2142" s="60">
        <v>2</v>
      </c>
      <c r="P2142" s="60">
        <v>1</v>
      </c>
      <c r="Q2142" s="60">
        <v>0.2</v>
      </c>
      <c r="R2142" s="60">
        <v>0</v>
      </c>
      <c r="S2142" s="68">
        <v>0</v>
      </c>
      <c r="T2142" s="60">
        <v>0</v>
      </c>
      <c r="U2142" s="60">
        <v>1</v>
      </c>
      <c r="V2142" s="60">
        <v>1</v>
      </c>
      <c r="W2142" s="60">
        <v>0</v>
      </c>
      <c r="X2142" s="60">
        <v>1.2</v>
      </c>
      <c r="Y2142" s="12">
        <v>0</v>
      </c>
      <c r="Z2142" s="60">
        <v>0</v>
      </c>
      <c r="AA2142" s="60">
        <v>1</v>
      </c>
      <c r="AB2142" s="60">
        <v>0</v>
      </c>
      <c r="AC2142" s="60">
        <v>0</v>
      </c>
      <c r="AD2142" s="60">
        <v>0</v>
      </c>
      <c r="AE2142" s="60">
        <v>1</v>
      </c>
      <c r="AF2142" s="60">
        <v>0</v>
      </c>
      <c r="AG2142" s="60">
        <v>2</v>
      </c>
      <c r="AH2142" s="60" t="s">
        <v>213</v>
      </c>
      <c r="AI2142" s="68">
        <v>0</v>
      </c>
      <c r="AJ2142" s="68">
        <v>2</v>
      </c>
      <c r="AK2142" s="68">
        <v>0</v>
      </c>
      <c r="AL2142" s="68">
        <v>1.5</v>
      </c>
      <c r="AM2142" s="60">
        <v>0</v>
      </c>
      <c r="AN2142" s="60">
        <v>0.1</v>
      </c>
      <c r="AO2142" s="60">
        <v>0</v>
      </c>
      <c r="AP2142" s="60">
        <v>0.5</v>
      </c>
      <c r="AQ2142" s="60">
        <v>500</v>
      </c>
      <c r="AR2142" s="60">
        <v>0</v>
      </c>
      <c r="AS2142" s="60">
        <v>15</v>
      </c>
      <c r="AT2142" s="342" t="s">
        <v>4943</v>
      </c>
      <c r="AU2142" s="334" t="s">
        <v>4944</v>
      </c>
      <c r="AV2142" s="79"/>
      <c r="AW2142" s="59" t="s">
        <v>199</v>
      </c>
      <c r="AX2142" s="60" t="s">
        <v>215</v>
      </c>
      <c r="AY2142" s="64">
        <v>10000011</v>
      </c>
      <c r="AZ2142" s="64">
        <v>23000221</v>
      </c>
      <c r="BA2142" s="59" t="s">
        <v>216</v>
      </c>
      <c r="BB2142" s="60">
        <v>0</v>
      </c>
      <c r="BC2142" s="66">
        <v>0</v>
      </c>
      <c r="BD2142" s="66">
        <v>0</v>
      </c>
      <c r="BE2142" s="90" t="s">
        <v>4945</v>
      </c>
      <c r="BF2142" s="90" t="s">
        <v>4946</v>
      </c>
      <c r="BG2142" s="60">
        <v>0</v>
      </c>
      <c r="BH2142" s="60">
        <v>0</v>
      </c>
      <c r="BI2142" s="60">
        <v>0</v>
      </c>
      <c r="BJ2142" s="60">
        <v>0</v>
      </c>
      <c r="BK2142" s="60">
        <v>0</v>
      </c>
      <c r="BL2142" s="60">
        <v>0</v>
      </c>
      <c r="BM2142" s="93">
        <v>0</v>
      </c>
      <c r="BN2142" s="68">
        <v>0</v>
      </c>
      <c r="BO2142" s="68">
        <v>0</v>
      </c>
      <c r="BP2142" s="68">
        <v>0</v>
      </c>
      <c r="BQ2142" s="68">
        <v>0</v>
      </c>
      <c r="BR2142" s="68">
        <v>0</v>
      </c>
      <c r="BS2142" s="68">
        <v>1</v>
      </c>
      <c r="BT2142" s="12">
        <v>0</v>
      </c>
      <c r="BU2142" s="47">
        <v>0</v>
      </c>
      <c r="BV2142" s="47"/>
      <c r="BW2142" s="47"/>
    </row>
    <row r="2143" spans="3:75" ht="20.100000000000001" customHeight="1">
      <c r="C2143" s="64">
        <v>80004011</v>
      </c>
      <c r="D2143" s="59" t="s">
        <v>4942</v>
      </c>
      <c r="E2143" s="59" t="s">
        <v>952</v>
      </c>
      <c r="F2143" s="60">
        <v>1</v>
      </c>
      <c r="G2143" s="60">
        <v>61012301</v>
      </c>
      <c r="H2143" s="60">
        <v>0</v>
      </c>
      <c r="I2143" s="66">
        <v>0</v>
      </c>
      <c r="J2143" s="64">
        <v>1</v>
      </c>
      <c r="K2143" s="64">
        <v>0</v>
      </c>
      <c r="L2143" s="64">
        <v>0</v>
      </c>
      <c r="M2143" s="60">
        <v>0</v>
      </c>
      <c r="N2143" s="60">
        <v>0</v>
      </c>
      <c r="O2143" s="60">
        <v>2</v>
      </c>
      <c r="P2143" s="60">
        <v>1</v>
      </c>
      <c r="Q2143" s="60">
        <v>0.2</v>
      </c>
      <c r="R2143" s="60">
        <v>0</v>
      </c>
      <c r="S2143" s="68">
        <v>0</v>
      </c>
      <c r="T2143" s="60">
        <v>0</v>
      </c>
      <c r="U2143" s="60">
        <v>1</v>
      </c>
      <c r="V2143" s="60">
        <v>1</v>
      </c>
      <c r="W2143" s="60">
        <v>0</v>
      </c>
      <c r="X2143" s="60">
        <v>1.2</v>
      </c>
      <c r="Y2143" s="12">
        <v>0</v>
      </c>
      <c r="Z2143" s="60">
        <v>0</v>
      </c>
      <c r="AA2143" s="60">
        <v>1</v>
      </c>
      <c r="AB2143" s="60">
        <v>0</v>
      </c>
      <c r="AC2143" s="60">
        <v>0</v>
      </c>
      <c r="AD2143" s="60">
        <v>0</v>
      </c>
      <c r="AE2143" s="60">
        <v>1</v>
      </c>
      <c r="AF2143" s="60">
        <v>0</v>
      </c>
      <c r="AG2143" s="60">
        <v>2</v>
      </c>
      <c r="AH2143" s="60" t="s">
        <v>213</v>
      </c>
      <c r="AI2143" s="68">
        <v>0</v>
      </c>
      <c r="AJ2143" s="68">
        <v>2</v>
      </c>
      <c r="AK2143" s="68">
        <v>0</v>
      </c>
      <c r="AL2143" s="68">
        <v>1.5</v>
      </c>
      <c r="AM2143" s="60">
        <v>0</v>
      </c>
      <c r="AN2143" s="60">
        <v>0.1</v>
      </c>
      <c r="AO2143" s="60">
        <v>0</v>
      </c>
      <c r="AP2143" s="60">
        <v>0.5</v>
      </c>
      <c r="AQ2143" s="60">
        <v>500</v>
      </c>
      <c r="AR2143" s="60">
        <v>0</v>
      </c>
      <c r="AS2143" s="60">
        <v>15</v>
      </c>
      <c r="AT2143" s="342" t="s">
        <v>4947</v>
      </c>
      <c r="AU2143" s="334" t="s">
        <v>4944</v>
      </c>
      <c r="AV2143" s="79"/>
      <c r="AW2143" s="59" t="s">
        <v>199</v>
      </c>
      <c r="AX2143" s="60" t="s">
        <v>215</v>
      </c>
      <c r="AY2143" s="64">
        <v>10000011</v>
      </c>
      <c r="AZ2143" s="64">
        <v>23000221</v>
      </c>
      <c r="BA2143" s="59" t="s">
        <v>216</v>
      </c>
      <c r="BB2143" s="60">
        <v>0</v>
      </c>
      <c r="BC2143" s="66">
        <v>0</v>
      </c>
      <c r="BD2143" s="66">
        <v>0</v>
      </c>
      <c r="BE2143" s="90" t="s">
        <v>4948</v>
      </c>
      <c r="BF2143" s="90" t="s">
        <v>4949</v>
      </c>
      <c r="BG2143" s="60">
        <v>0</v>
      </c>
      <c r="BH2143" s="60">
        <v>0</v>
      </c>
      <c r="BI2143" s="60">
        <v>0</v>
      </c>
      <c r="BJ2143" s="60">
        <v>0</v>
      </c>
      <c r="BK2143" s="60">
        <v>0</v>
      </c>
      <c r="BL2143" s="60">
        <v>0</v>
      </c>
      <c r="BM2143" s="93">
        <v>0</v>
      </c>
      <c r="BN2143" s="68">
        <v>0</v>
      </c>
      <c r="BO2143" s="68">
        <v>0</v>
      </c>
      <c r="BP2143" s="68">
        <v>0</v>
      </c>
      <c r="BQ2143" s="68">
        <v>0</v>
      </c>
      <c r="BR2143" s="68">
        <v>0</v>
      </c>
      <c r="BS2143" s="68">
        <v>1</v>
      </c>
      <c r="BT2143" s="12">
        <v>0</v>
      </c>
      <c r="BU2143" s="47">
        <v>0</v>
      </c>
      <c r="BV2143" s="47"/>
      <c r="BW2143" s="47"/>
    </row>
    <row r="2144" spans="3:75" ht="19.5" customHeight="1">
      <c r="C2144" s="64">
        <v>80004012</v>
      </c>
      <c r="D2144" s="59" t="s">
        <v>2158</v>
      </c>
      <c r="E2144" s="59" t="s">
        <v>2159</v>
      </c>
      <c r="F2144" s="64">
        <v>1</v>
      </c>
      <c r="G2144" s="60">
        <v>60010100</v>
      </c>
      <c r="H2144" s="64">
        <v>0</v>
      </c>
      <c r="I2144" s="66">
        <v>0</v>
      </c>
      <c r="J2144" s="64">
        <v>1</v>
      </c>
      <c r="K2144" s="64">
        <v>0</v>
      </c>
      <c r="L2144" s="64">
        <v>0</v>
      </c>
      <c r="M2144" s="60">
        <v>0</v>
      </c>
      <c r="N2144" s="60">
        <v>0</v>
      </c>
      <c r="O2144" s="60">
        <v>2</v>
      </c>
      <c r="P2144" s="60">
        <v>1</v>
      </c>
      <c r="Q2144" s="60">
        <v>0.2</v>
      </c>
      <c r="R2144" s="60">
        <v>0</v>
      </c>
      <c r="S2144" s="68">
        <v>0</v>
      </c>
      <c r="T2144" s="60">
        <v>0</v>
      </c>
      <c r="U2144" s="60">
        <v>1</v>
      </c>
      <c r="V2144" s="60">
        <v>1</v>
      </c>
      <c r="W2144" s="60">
        <v>0</v>
      </c>
      <c r="X2144" s="60">
        <v>0.3</v>
      </c>
      <c r="Y2144" s="12">
        <v>0</v>
      </c>
      <c r="Z2144" s="60">
        <v>0</v>
      </c>
      <c r="AA2144" s="60">
        <v>1</v>
      </c>
      <c r="AB2144" s="60">
        <v>0</v>
      </c>
      <c r="AC2144" s="60">
        <v>0</v>
      </c>
      <c r="AD2144" s="60">
        <v>0</v>
      </c>
      <c r="AE2144" s="60">
        <v>1</v>
      </c>
      <c r="AF2144" s="60">
        <v>0</v>
      </c>
      <c r="AG2144" s="60">
        <v>1</v>
      </c>
      <c r="AH2144" s="60" t="s">
        <v>861</v>
      </c>
      <c r="AI2144" s="68">
        <v>0</v>
      </c>
      <c r="AJ2144" s="68">
        <v>0</v>
      </c>
      <c r="AK2144" s="68">
        <v>0</v>
      </c>
      <c r="AL2144" s="68">
        <v>0</v>
      </c>
      <c r="AM2144" s="60">
        <v>0</v>
      </c>
      <c r="AN2144" s="60">
        <v>0</v>
      </c>
      <c r="AO2144" s="60">
        <v>0</v>
      </c>
      <c r="AP2144" s="60">
        <v>0</v>
      </c>
      <c r="AQ2144" s="60">
        <v>5000</v>
      </c>
      <c r="AR2144" s="60">
        <v>0</v>
      </c>
      <c r="AS2144" s="60">
        <v>0</v>
      </c>
      <c r="AT2144" s="68">
        <v>0</v>
      </c>
      <c r="AU2144" s="60">
        <v>80005302</v>
      </c>
      <c r="AV2144" s="60"/>
      <c r="AW2144" s="59" t="s">
        <v>287</v>
      </c>
      <c r="AX2144" s="60" t="s">
        <v>534</v>
      </c>
      <c r="AY2144" s="64">
        <v>10000007</v>
      </c>
      <c r="AZ2144" s="64">
        <v>23000222</v>
      </c>
      <c r="BA2144" s="63" t="s">
        <v>315</v>
      </c>
      <c r="BB2144" s="63" t="s">
        <v>371</v>
      </c>
      <c r="BC2144" s="66">
        <v>0</v>
      </c>
      <c r="BD2144" s="66">
        <v>0</v>
      </c>
      <c r="BE2144" s="90" t="s">
        <v>4950</v>
      </c>
      <c r="BF2144" s="90" t="s">
        <v>4951</v>
      </c>
      <c r="BG2144" s="60">
        <v>0</v>
      </c>
      <c r="BH2144" s="60">
        <v>0</v>
      </c>
      <c r="BI2144" s="60">
        <v>0</v>
      </c>
      <c r="BJ2144" s="60">
        <v>0</v>
      </c>
      <c r="BK2144" s="60">
        <v>0</v>
      </c>
      <c r="BL2144" s="60">
        <v>0</v>
      </c>
      <c r="BM2144" s="93">
        <v>0</v>
      </c>
      <c r="BN2144" s="68">
        <v>0</v>
      </c>
      <c r="BO2144" s="68">
        <v>0</v>
      </c>
      <c r="BP2144" s="68">
        <v>0</v>
      </c>
      <c r="BQ2144" s="68">
        <v>0</v>
      </c>
      <c r="BR2144" s="68">
        <v>0</v>
      </c>
      <c r="BS2144" s="68">
        <v>1</v>
      </c>
      <c r="BT2144" s="12">
        <v>0</v>
      </c>
      <c r="BU2144" s="47">
        <v>0</v>
      </c>
      <c r="BV2144" s="47"/>
      <c r="BW2144" s="47"/>
    </row>
    <row r="2145" spans="3:75" ht="20.100000000000001" customHeight="1">
      <c r="C2145" s="64">
        <v>80004013</v>
      </c>
      <c r="D2145" s="59" t="s">
        <v>4911</v>
      </c>
      <c r="E2145" s="59" t="s">
        <v>4912</v>
      </c>
      <c r="F2145" s="60">
        <v>1</v>
      </c>
      <c r="G2145" s="64">
        <v>80004013</v>
      </c>
      <c r="H2145" s="60">
        <v>0</v>
      </c>
      <c r="I2145" s="66">
        <v>0</v>
      </c>
      <c r="J2145" s="64">
        <v>1</v>
      </c>
      <c r="K2145" s="64">
        <v>0</v>
      </c>
      <c r="L2145" s="64">
        <v>0</v>
      </c>
      <c r="M2145" s="60">
        <v>0</v>
      </c>
      <c r="N2145" s="60">
        <v>0</v>
      </c>
      <c r="O2145" s="60">
        <v>2</v>
      </c>
      <c r="P2145" s="60">
        <v>1</v>
      </c>
      <c r="Q2145" s="60">
        <v>0.3</v>
      </c>
      <c r="R2145" s="60">
        <v>0</v>
      </c>
      <c r="S2145" s="68">
        <v>0</v>
      </c>
      <c r="T2145" s="60">
        <v>0</v>
      </c>
      <c r="U2145" s="60">
        <v>1</v>
      </c>
      <c r="V2145" s="60">
        <v>1</v>
      </c>
      <c r="W2145" s="60">
        <v>0</v>
      </c>
      <c r="X2145" s="60">
        <v>2</v>
      </c>
      <c r="Y2145" s="12">
        <v>0</v>
      </c>
      <c r="Z2145" s="60">
        <v>0</v>
      </c>
      <c r="AA2145" s="60">
        <v>0</v>
      </c>
      <c r="AB2145" s="60">
        <v>0</v>
      </c>
      <c r="AC2145" s="60">
        <v>0</v>
      </c>
      <c r="AD2145" s="60">
        <v>0</v>
      </c>
      <c r="AE2145" s="60">
        <v>0</v>
      </c>
      <c r="AF2145" s="60">
        <v>6</v>
      </c>
      <c r="AG2145" s="60">
        <v>2</v>
      </c>
      <c r="AH2145" s="60" t="s">
        <v>213</v>
      </c>
      <c r="AI2145" s="68">
        <v>0</v>
      </c>
      <c r="AJ2145" s="68">
        <v>0</v>
      </c>
      <c r="AK2145" s="68">
        <v>0</v>
      </c>
      <c r="AL2145" s="68">
        <v>1.5</v>
      </c>
      <c r="AM2145" s="60">
        <v>0</v>
      </c>
      <c r="AN2145" s="60">
        <v>0</v>
      </c>
      <c r="AO2145" s="60">
        <v>0</v>
      </c>
      <c r="AP2145" s="60">
        <v>0.5</v>
      </c>
      <c r="AQ2145" s="60">
        <v>3000</v>
      </c>
      <c r="AR2145" s="60">
        <v>0.5</v>
      </c>
      <c r="AS2145" s="60">
        <v>0</v>
      </c>
      <c r="AT2145" s="68">
        <v>0</v>
      </c>
      <c r="AU2145" s="60">
        <v>80005305</v>
      </c>
      <c r="AV2145" s="60"/>
      <c r="AW2145" s="59" t="s">
        <v>287</v>
      </c>
      <c r="AX2145" s="60">
        <v>0</v>
      </c>
      <c r="AY2145" s="64">
        <v>10000007</v>
      </c>
      <c r="AZ2145" s="64">
        <v>23000223</v>
      </c>
      <c r="BA2145" s="59" t="s">
        <v>200</v>
      </c>
      <c r="BB2145" s="60">
        <v>0</v>
      </c>
      <c r="BC2145" s="66">
        <v>0</v>
      </c>
      <c r="BD2145" s="66">
        <v>0</v>
      </c>
      <c r="BE2145" s="90" t="s">
        <v>4952</v>
      </c>
      <c r="BF2145" s="90" t="s">
        <v>4953</v>
      </c>
      <c r="BG2145" s="60">
        <v>0</v>
      </c>
      <c r="BH2145" s="60">
        <v>0</v>
      </c>
      <c r="BI2145" s="60">
        <v>0</v>
      </c>
      <c r="BJ2145" s="60">
        <v>0</v>
      </c>
      <c r="BK2145" s="60">
        <v>0</v>
      </c>
      <c r="BL2145" s="60">
        <v>0</v>
      </c>
      <c r="BM2145" s="60">
        <v>0</v>
      </c>
      <c r="BN2145" s="68">
        <v>0</v>
      </c>
      <c r="BO2145" s="68">
        <v>0</v>
      </c>
      <c r="BP2145" s="68">
        <v>0</v>
      </c>
      <c r="BQ2145" s="68">
        <v>0</v>
      </c>
      <c r="BR2145" s="68">
        <v>0</v>
      </c>
      <c r="BS2145" s="68">
        <v>0</v>
      </c>
      <c r="BT2145" s="12">
        <v>0</v>
      </c>
      <c r="BU2145" s="47">
        <v>0</v>
      </c>
      <c r="BV2145" s="47"/>
      <c r="BW2145" s="47"/>
    </row>
    <row r="2146" spans="3:75" ht="20.100000000000001" customHeight="1">
      <c r="C2146" s="18">
        <v>81000110</v>
      </c>
      <c r="D2146" s="19" t="s">
        <v>1309</v>
      </c>
      <c r="E2146" s="19" t="s">
        <v>1310</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349" t="s">
        <v>4954</v>
      </c>
      <c r="AV2146" s="18"/>
      <c r="AW2146" s="19" t="s">
        <v>199</v>
      </c>
      <c r="AX2146" s="18" t="s">
        <v>534</v>
      </c>
      <c r="AY2146" s="18">
        <v>10000007</v>
      </c>
      <c r="AZ2146" s="18">
        <v>70403003</v>
      </c>
      <c r="BA2146" s="17" t="s">
        <v>1549</v>
      </c>
      <c r="BB2146" s="19">
        <v>0</v>
      </c>
      <c r="BC2146" s="27">
        <v>0</v>
      </c>
      <c r="BD2146" s="27">
        <v>0</v>
      </c>
      <c r="BE2146" s="183" t="s">
        <v>4955</v>
      </c>
      <c r="BF2146" s="183" t="s">
        <v>4956</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row>
    <row r="2147" spans="3:75" ht="19.5" customHeight="1">
      <c r="C2147" s="18">
        <v>81000120</v>
      </c>
      <c r="D2147" s="19" t="s">
        <v>4547</v>
      </c>
      <c r="E2147" s="19" t="s">
        <v>4548</v>
      </c>
      <c r="F2147" s="16">
        <v>1</v>
      </c>
      <c r="G2147" s="18">
        <v>61021301</v>
      </c>
      <c r="H2147" s="18">
        <v>0</v>
      </c>
      <c r="I2147" s="27">
        <v>0</v>
      </c>
      <c r="J2147" s="16">
        <v>1</v>
      </c>
      <c r="K2147" s="18">
        <v>0</v>
      </c>
      <c r="L2147" s="16">
        <v>0</v>
      </c>
      <c r="M2147" s="18">
        <v>0</v>
      </c>
      <c r="N2147" s="18">
        <v>0</v>
      </c>
      <c r="O2147" s="18">
        <v>1</v>
      </c>
      <c r="P2147" s="18">
        <v>0</v>
      </c>
      <c r="Q2147" s="18">
        <v>0</v>
      </c>
      <c r="R2147" s="18">
        <v>0</v>
      </c>
      <c r="S2147" s="12">
        <v>0</v>
      </c>
      <c r="T2147" s="27">
        <v>0</v>
      </c>
      <c r="U2147" s="16">
        <v>1</v>
      </c>
      <c r="V2147" s="18">
        <v>2</v>
      </c>
      <c r="W2147" s="18">
        <v>0</v>
      </c>
      <c r="X2147" s="18">
        <v>0</v>
      </c>
      <c r="Y2147" s="12">
        <v>0</v>
      </c>
      <c r="Z2147" s="18">
        <v>0</v>
      </c>
      <c r="AA2147" s="18">
        <v>1</v>
      </c>
      <c r="AB2147" s="18">
        <v>0</v>
      </c>
      <c r="AC2147" s="18">
        <v>0</v>
      </c>
      <c r="AD2147" s="18">
        <v>0</v>
      </c>
      <c r="AE2147" s="18">
        <v>0</v>
      </c>
      <c r="AF2147" s="18">
        <v>9</v>
      </c>
      <c r="AG2147" s="18">
        <v>2</v>
      </c>
      <c r="AH2147" s="18" t="s">
        <v>1565</v>
      </c>
      <c r="AI2147" s="12">
        <v>2</v>
      </c>
      <c r="AJ2147" s="12">
        <v>3</v>
      </c>
      <c r="AK2147" s="12">
        <v>0</v>
      </c>
      <c r="AL2147" s="12">
        <v>3</v>
      </c>
      <c r="AM2147" s="18">
        <v>0</v>
      </c>
      <c r="AN2147" s="18">
        <v>0</v>
      </c>
      <c r="AO2147" s="18">
        <v>0</v>
      </c>
      <c r="AP2147" s="18">
        <v>0</v>
      </c>
      <c r="AQ2147" s="18">
        <v>3000</v>
      </c>
      <c r="AR2147" s="18">
        <v>0</v>
      </c>
      <c r="AS2147" s="18">
        <v>0</v>
      </c>
      <c r="AT2147" s="12">
        <v>0</v>
      </c>
      <c r="AU2147" s="18">
        <v>81000120</v>
      </c>
      <c r="AV2147" s="18"/>
      <c r="AW2147" s="19" t="s">
        <v>199</v>
      </c>
      <c r="AX2147" s="18" t="s">
        <v>545</v>
      </c>
      <c r="AY2147" s="18">
        <v>10001007</v>
      </c>
      <c r="AZ2147" s="18">
        <v>21010030</v>
      </c>
      <c r="BA2147" s="19" t="s">
        <v>200</v>
      </c>
      <c r="BB2147" s="19">
        <v>0</v>
      </c>
      <c r="BC2147" s="27">
        <v>0</v>
      </c>
      <c r="BD2147" s="27">
        <v>0</v>
      </c>
      <c r="BE2147" s="183" t="s">
        <v>4957</v>
      </c>
      <c r="BF2147" s="183" t="s">
        <v>4958</v>
      </c>
      <c r="BG2147" s="18">
        <v>0</v>
      </c>
      <c r="BH2147" s="16">
        <v>0</v>
      </c>
      <c r="BI2147" s="18">
        <v>0</v>
      </c>
      <c r="BJ2147" s="18">
        <v>0</v>
      </c>
      <c r="BK2147" s="18">
        <v>0</v>
      </c>
      <c r="BL2147" s="18">
        <v>0</v>
      </c>
      <c r="BM2147" s="15">
        <v>0</v>
      </c>
      <c r="BN2147" s="12">
        <v>0</v>
      </c>
      <c r="BO2147" s="12">
        <v>0</v>
      </c>
      <c r="BP2147" s="12">
        <v>0</v>
      </c>
      <c r="BQ2147" s="12">
        <v>0</v>
      </c>
      <c r="BR2147" s="12">
        <v>0</v>
      </c>
      <c r="BS2147" s="12">
        <v>0</v>
      </c>
      <c r="BT2147" s="12">
        <v>0</v>
      </c>
      <c r="BU2147" s="47">
        <v>0</v>
      </c>
      <c r="BV2147" s="47"/>
      <c r="BW2147" s="47"/>
    </row>
    <row r="2148" spans="3:75" ht="20.100000000000001" customHeight="1">
      <c r="C2148" s="18">
        <v>81000130</v>
      </c>
      <c r="D2148" s="19" t="s">
        <v>4959</v>
      </c>
      <c r="E2148" s="19" t="s">
        <v>4960</v>
      </c>
      <c r="F2148" s="16">
        <v>1</v>
      </c>
      <c r="G2148" s="18">
        <v>61023101</v>
      </c>
      <c r="H2148" s="18">
        <v>0</v>
      </c>
      <c r="I2148" s="27">
        <v>0</v>
      </c>
      <c r="J2148" s="16">
        <v>1</v>
      </c>
      <c r="K2148" s="16">
        <v>0</v>
      </c>
      <c r="L2148" s="16">
        <v>0</v>
      </c>
      <c r="M2148" s="18">
        <v>0</v>
      </c>
      <c r="N2148" s="18">
        <v>0</v>
      </c>
      <c r="O2148" s="18">
        <v>1</v>
      </c>
      <c r="P2148" s="18">
        <v>0</v>
      </c>
      <c r="Q2148" s="18">
        <v>0</v>
      </c>
      <c r="R2148" s="18">
        <v>0</v>
      </c>
      <c r="S2148" s="12">
        <v>0</v>
      </c>
      <c r="T2148" s="27">
        <v>0</v>
      </c>
      <c r="U2148" s="16">
        <v>1</v>
      </c>
      <c r="V2148" s="18">
        <v>2</v>
      </c>
      <c r="W2148" s="18">
        <v>0</v>
      </c>
      <c r="X2148" s="18">
        <v>0</v>
      </c>
      <c r="Y2148" s="12">
        <v>0</v>
      </c>
      <c r="Z2148" s="18">
        <v>0</v>
      </c>
      <c r="AA2148" s="18">
        <v>1</v>
      </c>
      <c r="AB2148" s="18">
        <v>0</v>
      </c>
      <c r="AC2148" s="18">
        <v>0</v>
      </c>
      <c r="AD2148" s="18">
        <v>0</v>
      </c>
      <c r="AE2148" s="18">
        <v>0</v>
      </c>
      <c r="AF2148" s="18">
        <v>9</v>
      </c>
      <c r="AG2148" s="18">
        <v>1</v>
      </c>
      <c r="AH2148" s="18">
        <v>3.5</v>
      </c>
      <c r="AI2148" s="12">
        <v>0</v>
      </c>
      <c r="AJ2148" s="12">
        <v>0</v>
      </c>
      <c r="AK2148" s="12">
        <v>0</v>
      </c>
      <c r="AL2148" s="12">
        <v>3</v>
      </c>
      <c r="AM2148" s="18">
        <v>0</v>
      </c>
      <c r="AN2148" s="18">
        <v>0</v>
      </c>
      <c r="AO2148" s="18">
        <v>0</v>
      </c>
      <c r="AP2148" s="18">
        <v>0</v>
      </c>
      <c r="AQ2148" s="18">
        <v>2000</v>
      </c>
      <c r="AR2148" s="18">
        <v>0</v>
      </c>
      <c r="AS2148" s="18">
        <v>0</v>
      </c>
      <c r="AT2148" s="12">
        <v>0</v>
      </c>
      <c r="AU2148" s="18">
        <v>81000130</v>
      </c>
      <c r="AV2148" s="18"/>
      <c r="AW2148" s="19" t="s">
        <v>199</v>
      </c>
      <c r="AX2148" s="18" t="s">
        <v>534</v>
      </c>
      <c r="AY2148" s="18">
        <v>10000009</v>
      </c>
      <c r="AZ2148" s="18">
        <v>21030010</v>
      </c>
      <c r="BA2148" s="17" t="s">
        <v>1549</v>
      </c>
      <c r="BB2148" s="19">
        <v>0</v>
      </c>
      <c r="BC2148" s="27">
        <v>0</v>
      </c>
      <c r="BD2148" s="27">
        <v>0</v>
      </c>
      <c r="BE2148" s="183" t="s">
        <v>4961</v>
      </c>
      <c r="BF2148" s="183" t="s">
        <v>4962</v>
      </c>
      <c r="BG2148" s="18">
        <v>0</v>
      </c>
      <c r="BH2148" s="16">
        <v>0</v>
      </c>
      <c r="BI2148" s="18">
        <v>0</v>
      </c>
      <c r="BJ2148" s="18">
        <v>0</v>
      </c>
      <c r="BK2148" s="18">
        <v>0</v>
      </c>
      <c r="BL2148" s="18">
        <v>0</v>
      </c>
      <c r="BM2148" s="15">
        <v>0</v>
      </c>
      <c r="BN2148" s="12">
        <v>1</v>
      </c>
      <c r="BO2148" s="12">
        <v>0</v>
      </c>
      <c r="BP2148" s="12">
        <v>0</v>
      </c>
      <c r="BQ2148" s="12">
        <v>0</v>
      </c>
      <c r="BR2148" s="12">
        <v>0</v>
      </c>
      <c r="BS2148" s="12">
        <v>0</v>
      </c>
      <c r="BT2148" s="12">
        <v>0</v>
      </c>
      <c r="BU2148" s="47">
        <v>0</v>
      </c>
      <c r="BV2148" s="47"/>
      <c r="BW2148" s="47"/>
    </row>
    <row r="2149" spans="3:75" ht="20.100000000000001" customHeight="1">
      <c r="C2149" s="18">
        <v>81000140</v>
      </c>
      <c r="D2149" s="19" t="s">
        <v>4963</v>
      </c>
      <c r="E2149" s="19" t="s">
        <v>4964</v>
      </c>
      <c r="F2149" s="16">
        <v>1</v>
      </c>
      <c r="G2149" s="18">
        <v>61023101</v>
      </c>
      <c r="H2149" s="18">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9</v>
      </c>
      <c r="AG2149" s="18">
        <v>1</v>
      </c>
      <c r="AH2149" s="18">
        <v>3.5</v>
      </c>
      <c r="AI2149" s="12">
        <v>0</v>
      </c>
      <c r="AJ2149" s="12">
        <v>0</v>
      </c>
      <c r="AK2149" s="12">
        <v>0</v>
      </c>
      <c r="AL2149" s="12">
        <v>3</v>
      </c>
      <c r="AM2149" s="18">
        <v>0</v>
      </c>
      <c r="AN2149" s="18">
        <v>0</v>
      </c>
      <c r="AO2149" s="18">
        <v>0</v>
      </c>
      <c r="AP2149" s="18">
        <v>0</v>
      </c>
      <c r="AQ2149" s="18">
        <v>2000</v>
      </c>
      <c r="AR2149" s="18">
        <v>0</v>
      </c>
      <c r="AS2149" s="18">
        <v>0</v>
      </c>
      <c r="AT2149" s="12">
        <v>0</v>
      </c>
      <c r="AU2149" s="18">
        <v>81000140</v>
      </c>
      <c r="AV2149" s="18"/>
      <c r="AW2149" s="19" t="s">
        <v>199</v>
      </c>
      <c r="AX2149" s="18" t="s">
        <v>534</v>
      </c>
      <c r="AY2149" s="18">
        <v>10000015</v>
      </c>
      <c r="AZ2149" s="18">
        <v>21000030</v>
      </c>
      <c r="BA2149" s="17" t="s">
        <v>1549</v>
      </c>
      <c r="BB2149" s="19">
        <v>0</v>
      </c>
      <c r="BC2149" s="27">
        <v>0</v>
      </c>
      <c r="BD2149" s="27">
        <v>0</v>
      </c>
      <c r="BE2149" s="183" t="s">
        <v>4965</v>
      </c>
      <c r="BF2149" s="183" t="s">
        <v>4966</v>
      </c>
      <c r="BG2149" s="18">
        <v>0</v>
      </c>
      <c r="BH2149" s="16">
        <v>0</v>
      </c>
      <c r="BI2149" s="18">
        <v>0</v>
      </c>
      <c r="BJ2149" s="18">
        <v>0</v>
      </c>
      <c r="BK2149" s="18">
        <v>0</v>
      </c>
      <c r="BL2149" s="18">
        <v>0</v>
      </c>
      <c r="BM2149" s="15">
        <v>0</v>
      </c>
      <c r="BN2149" s="12">
        <v>1</v>
      </c>
      <c r="BO2149" s="12">
        <v>0</v>
      </c>
      <c r="BP2149" s="12">
        <v>0</v>
      </c>
      <c r="BQ2149" s="12">
        <v>0</v>
      </c>
      <c r="BR2149" s="12">
        <v>0</v>
      </c>
      <c r="BS2149" s="12">
        <v>0</v>
      </c>
      <c r="BT2149" s="12">
        <v>0</v>
      </c>
      <c r="BU2149" s="47">
        <v>0</v>
      </c>
      <c r="BV2149" s="47"/>
      <c r="BW2149" s="47"/>
    </row>
    <row r="2150" spans="3:75" ht="20.100000000000001" customHeight="1">
      <c r="C2150" s="18">
        <v>81000150</v>
      </c>
      <c r="D2150" s="63" t="s">
        <v>4967</v>
      </c>
      <c r="E2150" s="63" t="s">
        <v>4968</v>
      </c>
      <c r="F2150" s="64">
        <v>1</v>
      </c>
      <c r="G2150" s="64">
        <v>63021201</v>
      </c>
      <c r="H2150" s="64">
        <v>0</v>
      </c>
      <c r="I2150" s="66">
        <v>0</v>
      </c>
      <c r="J2150" s="60">
        <v>1</v>
      </c>
      <c r="K2150" s="60">
        <v>0</v>
      </c>
      <c r="L2150" s="64">
        <v>0</v>
      </c>
      <c r="M2150" s="64">
        <v>0</v>
      </c>
      <c r="N2150" s="64">
        <v>0</v>
      </c>
      <c r="O2150" s="64">
        <v>1</v>
      </c>
      <c r="P2150" s="64">
        <v>0</v>
      </c>
      <c r="Q2150" s="64">
        <v>0</v>
      </c>
      <c r="R2150" s="64">
        <v>0</v>
      </c>
      <c r="S2150" s="68">
        <v>0</v>
      </c>
      <c r="T2150" s="66">
        <v>0</v>
      </c>
      <c r="U2150" s="60">
        <v>1</v>
      </c>
      <c r="V2150" s="64">
        <v>2</v>
      </c>
      <c r="W2150" s="64">
        <v>0</v>
      </c>
      <c r="X2150" s="18">
        <v>0</v>
      </c>
      <c r="Y2150" s="12">
        <v>0</v>
      </c>
      <c r="Z2150" s="18">
        <v>0</v>
      </c>
      <c r="AA2150" s="64">
        <v>1</v>
      </c>
      <c r="AB2150" s="64">
        <v>0</v>
      </c>
      <c r="AC2150" s="64">
        <v>0</v>
      </c>
      <c r="AD2150" s="64">
        <v>0</v>
      </c>
      <c r="AE2150" s="64">
        <v>0</v>
      </c>
      <c r="AF2150" s="64">
        <v>9</v>
      </c>
      <c r="AG2150" s="64">
        <v>1</v>
      </c>
      <c r="AH2150" s="64">
        <v>4</v>
      </c>
      <c r="AI2150" s="68">
        <v>2</v>
      </c>
      <c r="AJ2150" s="68">
        <v>1</v>
      </c>
      <c r="AK2150" s="68">
        <v>0</v>
      </c>
      <c r="AL2150" s="68">
        <v>8</v>
      </c>
      <c r="AM2150" s="64">
        <v>0</v>
      </c>
      <c r="AN2150" s="64">
        <v>0</v>
      </c>
      <c r="AO2150" s="64">
        <v>0</v>
      </c>
      <c r="AP2150" s="64">
        <v>0</v>
      </c>
      <c r="AQ2150" s="64">
        <v>360000</v>
      </c>
      <c r="AR2150" s="64">
        <v>0</v>
      </c>
      <c r="AS2150" s="64">
        <v>0</v>
      </c>
      <c r="AT2150" s="68">
        <v>0</v>
      </c>
      <c r="AU2150" s="64">
        <v>0</v>
      </c>
      <c r="AV2150" s="64"/>
      <c r="AW2150" s="19" t="s">
        <v>199</v>
      </c>
      <c r="AX2150" s="64" t="s">
        <v>1869</v>
      </c>
      <c r="AY2150" s="64">
        <v>10002001</v>
      </c>
      <c r="AZ2150" s="64">
        <v>21201020</v>
      </c>
      <c r="BA2150" s="63" t="s">
        <v>1174</v>
      </c>
      <c r="BB2150" s="63" t="s">
        <v>4969</v>
      </c>
      <c r="BC2150" s="66">
        <v>0</v>
      </c>
      <c r="BD2150" s="66">
        <v>0</v>
      </c>
      <c r="BE2150" s="92" t="s">
        <v>4970</v>
      </c>
      <c r="BF2150" s="92" t="s">
        <v>4971</v>
      </c>
      <c r="BG2150" s="64">
        <v>0</v>
      </c>
      <c r="BH2150" s="60">
        <v>0</v>
      </c>
      <c r="BI2150" s="64">
        <v>0</v>
      </c>
      <c r="BJ2150" s="64">
        <v>0</v>
      </c>
      <c r="BK2150" s="64">
        <v>0</v>
      </c>
      <c r="BL2150" s="64">
        <v>0</v>
      </c>
      <c r="BM2150" s="93">
        <v>0</v>
      </c>
      <c r="BN2150" s="68">
        <v>0</v>
      </c>
      <c r="BO2150" s="68">
        <v>0</v>
      </c>
      <c r="BP2150" s="68">
        <v>0</v>
      </c>
      <c r="BQ2150" s="68">
        <v>0</v>
      </c>
      <c r="BR2150" s="68">
        <v>0</v>
      </c>
      <c r="BS2150" s="68">
        <v>0</v>
      </c>
      <c r="BT2150" s="12">
        <v>0</v>
      </c>
      <c r="BU2150" s="47">
        <v>0</v>
      </c>
      <c r="BV2150" s="47"/>
      <c r="BW2150" s="47"/>
    </row>
    <row r="2151" spans="3:75" ht="19.5" customHeight="1">
      <c r="C2151" s="18">
        <v>81000151</v>
      </c>
      <c r="D2151" s="63" t="s">
        <v>4972</v>
      </c>
      <c r="E2151" s="63" t="s">
        <v>4973</v>
      </c>
      <c r="F2151" s="60">
        <v>1</v>
      </c>
      <c r="G2151" s="64">
        <v>62011101</v>
      </c>
      <c r="H2151" s="60">
        <v>0</v>
      </c>
      <c r="I2151" s="66">
        <v>0</v>
      </c>
      <c r="J2151" s="60">
        <v>1</v>
      </c>
      <c r="K2151" s="60">
        <v>0</v>
      </c>
      <c r="L2151" s="60">
        <v>0</v>
      </c>
      <c r="M2151" s="64">
        <v>0</v>
      </c>
      <c r="N2151" s="64">
        <v>0</v>
      </c>
      <c r="O2151" s="64">
        <v>2</v>
      </c>
      <c r="P2151" s="64">
        <v>10</v>
      </c>
      <c r="Q2151" s="64">
        <v>0.8</v>
      </c>
      <c r="R2151" s="64">
        <v>0</v>
      </c>
      <c r="S2151" s="68">
        <v>0</v>
      </c>
      <c r="T2151" s="66">
        <v>0</v>
      </c>
      <c r="U2151" s="60">
        <v>1</v>
      </c>
      <c r="V2151" s="64">
        <v>2</v>
      </c>
      <c r="W2151" s="64">
        <v>0</v>
      </c>
      <c r="X2151" s="18">
        <v>0</v>
      </c>
      <c r="Y2151" s="12">
        <v>0</v>
      </c>
      <c r="Z2151" s="18">
        <v>0</v>
      </c>
      <c r="AA2151" s="64">
        <v>1</v>
      </c>
      <c r="AB2151" s="64">
        <v>0</v>
      </c>
      <c r="AC2151" s="64">
        <v>0</v>
      </c>
      <c r="AD2151" s="64">
        <v>0</v>
      </c>
      <c r="AE2151" s="64">
        <v>0</v>
      </c>
      <c r="AF2151" s="64">
        <v>9</v>
      </c>
      <c r="AG2151" s="64">
        <v>1</v>
      </c>
      <c r="AH2151" s="64">
        <v>4</v>
      </c>
      <c r="AI2151" s="68">
        <v>2</v>
      </c>
      <c r="AJ2151" s="68">
        <v>1</v>
      </c>
      <c r="AK2151" s="68">
        <v>1</v>
      </c>
      <c r="AL2151" s="68">
        <v>2</v>
      </c>
      <c r="AM2151" s="64">
        <v>0</v>
      </c>
      <c r="AN2151" s="64">
        <v>0</v>
      </c>
      <c r="AO2151" s="64">
        <v>0</v>
      </c>
      <c r="AP2151" s="64">
        <v>0</v>
      </c>
      <c r="AQ2151" s="64">
        <v>3000</v>
      </c>
      <c r="AR2151" s="64">
        <v>0</v>
      </c>
      <c r="AS2151" s="64">
        <v>0</v>
      </c>
      <c r="AT2151" s="68">
        <v>0</v>
      </c>
      <c r="AU2151" s="64">
        <v>81000120</v>
      </c>
      <c r="AV2151" s="64"/>
      <c r="AW2151" s="19" t="s">
        <v>199</v>
      </c>
      <c r="AX2151" s="64" t="s">
        <v>1695</v>
      </c>
      <c r="AY2151" s="64">
        <v>10002001</v>
      </c>
      <c r="AZ2151" s="64">
        <v>21201020</v>
      </c>
      <c r="BA2151" s="63" t="s">
        <v>200</v>
      </c>
      <c r="BB2151" s="63">
        <v>0</v>
      </c>
      <c r="BC2151" s="66">
        <v>0</v>
      </c>
      <c r="BD2151" s="66">
        <v>0</v>
      </c>
      <c r="BE2151" s="207" t="s">
        <v>4974</v>
      </c>
      <c r="BF2151" s="207" t="s">
        <v>4975</v>
      </c>
      <c r="BG2151" s="64">
        <v>0</v>
      </c>
      <c r="BH2151" s="60">
        <v>0</v>
      </c>
      <c r="BI2151" s="64">
        <v>0</v>
      </c>
      <c r="BJ2151" s="64">
        <v>0</v>
      </c>
      <c r="BK2151" s="64">
        <v>0</v>
      </c>
      <c r="BL2151" s="64">
        <v>0</v>
      </c>
      <c r="BM2151" s="93">
        <v>0</v>
      </c>
      <c r="BN2151" s="68">
        <v>0</v>
      </c>
      <c r="BO2151" s="68">
        <v>0</v>
      </c>
      <c r="BP2151" s="68">
        <v>0</v>
      </c>
      <c r="BQ2151" s="68">
        <v>0</v>
      </c>
      <c r="BR2151" s="68">
        <v>0</v>
      </c>
      <c r="BS2151" s="68">
        <v>0</v>
      </c>
      <c r="BT2151" s="12">
        <v>0</v>
      </c>
      <c r="BU2151" s="47">
        <v>0</v>
      </c>
      <c r="BV2151" s="47"/>
      <c r="BW2151" s="47"/>
    </row>
    <row r="2152" spans="3:75" ht="19.5" customHeight="1">
      <c r="C2152" s="18">
        <v>81000160</v>
      </c>
      <c r="D2152" s="17" t="s">
        <v>4976</v>
      </c>
      <c r="E2152" s="17" t="s">
        <v>4977</v>
      </c>
      <c r="F2152" s="16">
        <v>1</v>
      </c>
      <c r="G2152" s="16">
        <v>62011201</v>
      </c>
      <c r="H2152" s="16">
        <v>0</v>
      </c>
      <c r="I2152" s="27">
        <v>0</v>
      </c>
      <c r="J2152" s="16">
        <v>1</v>
      </c>
      <c r="K2152" s="16">
        <v>0</v>
      </c>
      <c r="L2152" s="16">
        <v>0</v>
      </c>
      <c r="M2152" s="16">
        <v>0</v>
      </c>
      <c r="N2152" s="16">
        <v>0</v>
      </c>
      <c r="O2152" s="16">
        <v>1</v>
      </c>
      <c r="P2152" s="16">
        <v>0</v>
      </c>
      <c r="Q2152" s="16">
        <v>0</v>
      </c>
      <c r="R2152" s="16">
        <v>0</v>
      </c>
      <c r="S2152" s="12">
        <v>0</v>
      </c>
      <c r="T2152" s="16">
        <v>0</v>
      </c>
      <c r="U2152" s="16">
        <v>1</v>
      </c>
      <c r="V2152" s="16">
        <v>2</v>
      </c>
      <c r="W2152" s="16">
        <v>0</v>
      </c>
      <c r="X2152" s="18">
        <v>0</v>
      </c>
      <c r="Y2152" s="12">
        <v>0</v>
      </c>
      <c r="Z2152" s="18">
        <v>0</v>
      </c>
      <c r="AA2152" s="16">
        <v>1</v>
      </c>
      <c r="AB2152" s="16">
        <v>0</v>
      </c>
      <c r="AC2152" s="16">
        <v>0</v>
      </c>
      <c r="AD2152" s="16">
        <v>0</v>
      </c>
      <c r="AE2152" s="16">
        <v>0</v>
      </c>
      <c r="AF2152" s="16">
        <v>9</v>
      </c>
      <c r="AG2152" s="16">
        <v>1</v>
      </c>
      <c r="AH2152" s="16">
        <v>2</v>
      </c>
      <c r="AI2152" s="12">
        <v>7</v>
      </c>
      <c r="AJ2152" s="12">
        <v>0</v>
      </c>
      <c r="AK2152" s="12">
        <v>0</v>
      </c>
      <c r="AL2152" s="12">
        <v>15</v>
      </c>
      <c r="AM2152" s="16">
        <v>0</v>
      </c>
      <c r="AN2152" s="16">
        <v>0</v>
      </c>
      <c r="AO2152" s="16">
        <v>0</v>
      </c>
      <c r="AP2152" s="16">
        <v>0</v>
      </c>
      <c r="AQ2152" s="16">
        <v>3000</v>
      </c>
      <c r="AR2152" s="16">
        <v>0</v>
      </c>
      <c r="AS2152" s="16">
        <v>0</v>
      </c>
      <c r="AT2152" s="12">
        <v>0</v>
      </c>
      <c r="AU2152" s="349" t="s">
        <v>4954</v>
      </c>
      <c r="AV2152" s="18"/>
      <c r="AW2152" s="19" t="s">
        <v>199</v>
      </c>
      <c r="AX2152" s="16" t="s">
        <v>534</v>
      </c>
      <c r="AY2152" s="18">
        <v>10000007</v>
      </c>
      <c r="AZ2152" s="18">
        <v>21101050</v>
      </c>
      <c r="BA2152" s="17" t="s">
        <v>4978</v>
      </c>
      <c r="BB2152" s="16">
        <v>0</v>
      </c>
      <c r="BC2152" s="27">
        <v>0</v>
      </c>
      <c r="BD2152" s="27">
        <v>0</v>
      </c>
      <c r="BE2152" s="183" t="s">
        <v>4979</v>
      </c>
      <c r="BF2152" s="183" t="s">
        <v>4980</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81000170</v>
      </c>
      <c r="D2153" s="17" t="s">
        <v>4981</v>
      </c>
      <c r="E2153" s="17" t="s">
        <v>4982</v>
      </c>
      <c r="F2153" s="16">
        <v>1</v>
      </c>
      <c r="G2153" s="16">
        <v>61011301</v>
      </c>
      <c r="H2153" s="16">
        <v>0</v>
      </c>
      <c r="I2153" s="27">
        <v>0</v>
      </c>
      <c r="J2153" s="16">
        <v>1</v>
      </c>
      <c r="K2153" s="16">
        <v>0</v>
      </c>
      <c r="L2153" s="16">
        <v>0</v>
      </c>
      <c r="M2153" s="16">
        <v>0</v>
      </c>
      <c r="N2153" s="16">
        <v>0</v>
      </c>
      <c r="O2153" s="16">
        <v>6</v>
      </c>
      <c r="P2153" s="16">
        <v>0</v>
      </c>
      <c r="Q2153" s="16">
        <v>0</v>
      </c>
      <c r="R2153" s="16">
        <v>0</v>
      </c>
      <c r="S2153" s="12">
        <v>0</v>
      </c>
      <c r="T2153" s="16">
        <v>0</v>
      </c>
      <c r="U2153" s="16">
        <v>1</v>
      </c>
      <c r="V2153" s="16">
        <v>2</v>
      </c>
      <c r="W2153" s="16">
        <v>0</v>
      </c>
      <c r="X2153" s="18">
        <v>0</v>
      </c>
      <c r="Y2153" s="12">
        <v>0</v>
      </c>
      <c r="Z2153" s="18">
        <v>0</v>
      </c>
      <c r="AA2153" s="16">
        <v>1</v>
      </c>
      <c r="AB2153" s="16">
        <v>0</v>
      </c>
      <c r="AC2153" s="16">
        <v>0</v>
      </c>
      <c r="AD2153" s="16">
        <v>0</v>
      </c>
      <c r="AE2153" s="16">
        <v>0</v>
      </c>
      <c r="AF2153" s="16">
        <v>9</v>
      </c>
      <c r="AG2153" s="16">
        <v>1</v>
      </c>
      <c r="AH2153" s="16">
        <v>3</v>
      </c>
      <c r="AI2153" s="12">
        <v>2</v>
      </c>
      <c r="AJ2153" s="12">
        <v>1</v>
      </c>
      <c r="AK2153" s="12">
        <v>0</v>
      </c>
      <c r="AL2153" s="12">
        <v>6</v>
      </c>
      <c r="AM2153" s="16">
        <v>0</v>
      </c>
      <c r="AN2153" s="16">
        <v>0</v>
      </c>
      <c r="AO2153" s="16">
        <v>0</v>
      </c>
      <c r="AP2153" s="16">
        <v>0</v>
      </c>
      <c r="AQ2153" s="16">
        <v>3000</v>
      </c>
      <c r="AR2153" s="16">
        <v>0</v>
      </c>
      <c r="AS2153" s="16">
        <v>0</v>
      </c>
      <c r="AT2153" s="12">
        <v>0</v>
      </c>
      <c r="AU2153" s="16" t="s">
        <v>198</v>
      </c>
      <c r="AV2153" s="16"/>
      <c r="AW2153" s="19" t="s">
        <v>199</v>
      </c>
      <c r="AX2153" s="16" t="s">
        <v>215</v>
      </c>
      <c r="AY2153" s="18">
        <v>10000015</v>
      </c>
      <c r="AZ2153" s="18">
        <v>21000030</v>
      </c>
      <c r="BA2153" s="17" t="s">
        <v>1371</v>
      </c>
      <c r="BB2153" s="16">
        <v>0</v>
      </c>
      <c r="BC2153" s="27">
        <v>0</v>
      </c>
      <c r="BD2153" s="27">
        <v>0</v>
      </c>
      <c r="BE2153" s="170" t="s">
        <v>4983</v>
      </c>
      <c r="BF2153" s="170" t="s">
        <v>4984</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81000310</v>
      </c>
      <c r="D2154" s="17" t="s">
        <v>4985</v>
      </c>
      <c r="E2154" s="17" t="s">
        <v>4986</v>
      </c>
      <c r="F2154" s="12">
        <v>1</v>
      </c>
      <c r="G2154" s="18">
        <v>81000310</v>
      </c>
      <c r="H2154" s="12">
        <v>0</v>
      </c>
      <c r="I2154" s="12">
        <v>0</v>
      </c>
      <c r="J2154" s="12">
        <v>1</v>
      </c>
      <c r="K2154" s="12">
        <v>0</v>
      </c>
      <c r="L2154" s="16">
        <v>0</v>
      </c>
      <c r="M2154" s="12">
        <v>0</v>
      </c>
      <c r="N2154" s="12">
        <v>0</v>
      </c>
      <c r="O2154" s="12">
        <v>1</v>
      </c>
      <c r="P2154" s="12">
        <v>0</v>
      </c>
      <c r="Q2154" s="12">
        <v>0</v>
      </c>
      <c r="R2154" s="12">
        <v>0</v>
      </c>
      <c r="S2154" s="12">
        <v>0</v>
      </c>
      <c r="T2154" s="12">
        <v>0</v>
      </c>
      <c r="U2154" s="12">
        <v>1</v>
      </c>
      <c r="V2154" s="12">
        <v>2</v>
      </c>
      <c r="W2154" s="12">
        <v>0</v>
      </c>
      <c r="X2154" s="12">
        <v>0</v>
      </c>
      <c r="Y2154" s="12">
        <v>0</v>
      </c>
      <c r="Z2154" s="12">
        <v>0</v>
      </c>
      <c r="AA2154" s="12">
        <v>1</v>
      </c>
      <c r="AB2154" s="12">
        <v>0</v>
      </c>
      <c r="AC2154" s="12">
        <v>0</v>
      </c>
      <c r="AD2154" s="12">
        <v>0</v>
      </c>
      <c r="AE2154" s="12">
        <v>0</v>
      </c>
      <c r="AF2154" s="12">
        <v>1</v>
      </c>
      <c r="AG2154" s="12">
        <v>0</v>
      </c>
      <c r="AH2154" s="12">
        <v>0</v>
      </c>
      <c r="AI2154" s="12">
        <v>2</v>
      </c>
      <c r="AJ2154" s="12">
        <v>0</v>
      </c>
      <c r="AK2154" s="12">
        <v>0</v>
      </c>
      <c r="AL2154" s="12">
        <v>0</v>
      </c>
      <c r="AM2154" s="12">
        <v>0</v>
      </c>
      <c r="AN2154" s="12">
        <v>0</v>
      </c>
      <c r="AO2154" s="12">
        <v>0</v>
      </c>
      <c r="AP2154" s="12">
        <v>0</v>
      </c>
      <c r="AQ2154" s="12">
        <v>1000</v>
      </c>
      <c r="AR2154" s="12">
        <v>0</v>
      </c>
      <c r="AS2154" s="12">
        <v>0</v>
      </c>
      <c r="AT2154" s="12">
        <v>81000310</v>
      </c>
      <c r="AU2154" s="12" t="s">
        <v>198</v>
      </c>
      <c r="AV2154" s="12"/>
      <c r="AW2154" s="13" t="s">
        <v>199</v>
      </c>
      <c r="AX2154" s="12" t="s">
        <v>2102</v>
      </c>
      <c r="AY2154" s="12">
        <v>0</v>
      </c>
      <c r="AZ2154" s="12">
        <v>0</v>
      </c>
      <c r="BA2154" s="13" t="s">
        <v>200</v>
      </c>
      <c r="BB2154" s="13" t="s">
        <v>198</v>
      </c>
      <c r="BC2154" s="12">
        <v>0</v>
      </c>
      <c r="BD2154" s="12">
        <v>0</v>
      </c>
      <c r="BE2154" s="42" t="s">
        <v>4987</v>
      </c>
      <c r="BF2154" s="42" t="s">
        <v>4988</v>
      </c>
      <c r="BG2154" s="12">
        <v>0</v>
      </c>
      <c r="BH2154" s="12">
        <v>0</v>
      </c>
      <c r="BI2154" s="12">
        <v>0</v>
      </c>
      <c r="BJ2154" s="12">
        <v>0</v>
      </c>
      <c r="BK2154" s="12">
        <v>0</v>
      </c>
      <c r="BL2154" s="12">
        <v>0</v>
      </c>
      <c r="BM2154" s="185">
        <v>0</v>
      </c>
      <c r="BN2154" s="12">
        <v>1</v>
      </c>
      <c r="BO2154" s="12">
        <v>0</v>
      </c>
      <c r="BP2154" s="12">
        <v>0</v>
      </c>
      <c r="BQ2154" s="12">
        <v>0</v>
      </c>
      <c r="BR2154" s="12">
        <v>0</v>
      </c>
      <c r="BS2154" s="12">
        <v>0</v>
      </c>
      <c r="BT2154" s="12">
        <v>0</v>
      </c>
      <c r="BU2154" s="47">
        <v>0</v>
      </c>
      <c r="BV2154" s="47"/>
      <c r="BW2154" s="47"/>
    </row>
    <row r="2155" spans="3:75" ht="20.100000000000001" customHeight="1">
      <c r="C2155" s="18">
        <v>81000320</v>
      </c>
      <c r="D2155" s="17" t="s">
        <v>4989</v>
      </c>
      <c r="E2155" s="17" t="s">
        <v>4990</v>
      </c>
      <c r="F2155" s="12">
        <v>1</v>
      </c>
      <c r="G2155" s="12">
        <v>68000011</v>
      </c>
      <c r="H2155" s="12">
        <v>0</v>
      </c>
      <c r="I2155" s="12">
        <v>0</v>
      </c>
      <c r="J2155" s="12">
        <v>1</v>
      </c>
      <c r="K2155" s="12">
        <v>0</v>
      </c>
      <c r="L2155" s="16">
        <v>0</v>
      </c>
      <c r="M2155" s="12">
        <v>0</v>
      </c>
      <c r="N2155" s="12">
        <v>0</v>
      </c>
      <c r="O2155" s="12">
        <v>1</v>
      </c>
      <c r="P2155" s="12">
        <v>0</v>
      </c>
      <c r="Q2155" s="12">
        <v>0</v>
      </c>
      <c r="R2155" s="12">
        <v>0</v>
      </c>
      <c r="S2155" s="12">
        <v>0</v>
      </c>
      <c r="T2155" s="12">
        <v>0</v>
      </c>
      <c r="U2155" s="12">
        <v>1</v>
      </c>
      <c r="V2155" s="12">
        <v>2</v>
      </c>
      <c r="W2155" s="12">
        <v>0</v>
      </c>
      <c r="X2155" s="12">
        <v>0</v>
      </c>
      <c r="Y2155" s="12">
        <v>0</v>
      </c>
      <c r="Z2155" s="12">
        <v>0</v>
      </c>
      <c r="AA2155" s="12">
        <v>1</v>
      </c>
      <c r="AB2155" s="12">
        <v>0</v>
      </c>
      <c r="AC2155" s="12">
        <v>0</v>
      </c>
      <c r="AD2155" s="12">
        <v>0</v>
      </c>
      <c r="AE2155" s="12">
        <v>0</v>
      </c>
      <c r="AF2155" s="12">
        <v>1</v>
      </c>
      <c r="AG2155" s="12">
        <v>0</v>
      </c>
      <c r="AH2155" s="12">
        <v>0</v>
      </c>
      <c r="AI2155" s="12">
        <v>2</v>
      </c>
      <c r="AJ2155" s="12">
        <v>0</v>
      </c>
      <c r="AK2155" s="12">
        <v>0</v>
      </c>
      <c r="AL2155" s="12">
        <v>0</v>
      </c>
      <c r="AM2155" s="12">
        <v>0</v>
      </c>
      <c r="AN2155" s="12">
        <v>0</v>
      </c>
      <c r="AO2155" s="12">
        <v>0</v>
      </c>
      <c r="AP2155" s="12">
        <v>0</v>
      </c>
      <c r="AQ2155" s="12">
        <v>1000</v>
      </c>
      <c r="AR2155" s="12">
        <v>0</v>
      </c>
      <c r="AS2155" s="12">
        <v>0</v>
      </c>
      <c r="AT2155" s="12">
        <v>81000320</v>
      </c>
      <c r="AU2155" s="12" t="s">
        <v>198</v>
      </c>
      <c r="AV2155" s="12"/>
      <c r="AW2155" s="13" t="s">
        <v>199</v>
      </c>
      <c r="AX2155" s="12" t="s">
        <v>2102</v>
      </c>
      <c r="AY2155" s="12">
        <v>0</v>
      </c>
      <c r="AZ2155" s="12">
        <v>0</v>
      </c>
      <c r="BA2155" s="13" t="s">
        <v>200</v>
      </c>
      <c r="BB2155" s="13" t="s">
        <v>198</v>
      </c>
      <c r="BC2155" s="12">
        <v>0</v>
      </c>
      <c r="BD2155" s="12">
        <v>0</v>
      </c>
      <c r="BE2155" s="42" t="s">
        <v>4991</v>
      </c>
      <c r="BF2155" s="42" t="s">
        <v>4992</v>
      </c>
      <c r="BG2155" s="12">
        <v>0</v>
      </c>
      <c r="BH2155" s="12">
        <v>0</v>
      </c>
      <c r="BI2155" s="12">
        <v>0</v>
      </c>
      <c r="BJ2155" s="12">
        <v>0</v>
      </c>
      <c r="BK2155" s="12">
        <v>0</v>
      </c>
      <c r="BL2155" s="12">
        <v>0</v>
      </c>
      <c r="BM2155" s="185">
        <v>0</v>
      </c>
      <c r="BN2155" s="12">
        <v>1</v>
      </c>
      <c r="BO2155" s="12">
        <v>0</v>
      </c>
      <c r="BP2155" s="12">
        <v>0</v>
      </c>
      <c r="BQ2155" s="12">
        <v>0</v>
      </c>
      <c r="BR2155" s="12">
        <v>0</v>
      </c>
      <c r="BS2155" s="12">
        <v>0</v>
      </c>
      <c r="BT2155" s="12">
        <v>0</v>
      </c>
      <c r="BU2155" s="47">
        <v>0</v>
      </c>
      <c r="BV2155" s="47"/>
      <c r="BW2155" s="47"/>
    </row>
    <row r="2156" spans="3:75" ht="19.5" customHeight="1">
      <c r="C2156" s="18">
        <v>81000330</v>
      </c>
      <c r="D2156" s="17" t="s">
        <v>2342</v>
      </c>
      <c r="E2156" s="17" t="s">
        <v>2343</v>
      </c>
      <c r="F2156" s="16">
        <v>1</v>
      </c>
      <c r="G2156" s="16">
        <v>66001008</v>
      </c>
      <c r="H2156" s="12">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2</v>
      </c>
      <c r="AK2156" s="12">
        <v>0</v>
      </c>
      <c r="AL2156" s="12">
        <v>4</v>
      </c>
      <c r="AM2156" s="18">
        <v>0</v>
      </c>
      <c r="AN2156" s="18">
        <v>0</v>
      </c>
      <c r="AO2156" s="18">
        <v>0</v>
      </c>
      <c r="AP2156" s="18">
        <v>0</v>
      </c>
      <c r="AQ2156" s="18">
        <v>2000</v>
      </c>
      <c r="AR2156" s="18">
        <v>0</v>
      </c>
      <c r="AS2156" s="18">
        <v>10</v>
      </c>
      <c r="AT2156" s="12">
        <v>0</v>
      </c>
      <c r="AU2156" s="18">
        <v>92002001</v>
      </c>
      <c r="AV2156" s="18"/>
      <c r="AW2156" s="19" t="s">
        <v>199</v>
      </c>
      <c r="AX2156" s="18" t="s">
        <v>1703</v>
      </c>
      <c r="AY2156" s="18">
        <v>10003002</v>
      </c>
      <c r="AZ2156" s="18">
        <v>21100020</v>
      </c>
      <c r="BA2156" s="17" t="s">
        <v>1549</v>
      </c>
      <c r="BB2156" s="19">
        <v>0</v>
      </c>
      <c r="BC2156" s="27">
        <v>0</v>
      </c>
      <c r="BD2156" s="27">
        <v>0</v>
      </c>
      <c r="BE2156" s="183" t="s">
        <v>4993</v>
      </c>
      <c r="BF2156" s="183" t="s">
        <v>4994</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81000340</v>
      </c>
      <c r="D2157" s="19" t="s">
        <v>1309</v>
      </c>
      <c r="E2157" s="19" t="s">
        <v>1310</v>
      </c>
      <c r="F2157" s="16">
        <v>1</v>
      </c>
      <c r="G2157" s="18">
        <v>61023101</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3.5</v>
      </c>
      <c r="AI2157" s="12">
        <v>0</v>
      </c>
      <c r="AJ2157" s="12">
        <v>0</v>
      </c>
      <c r="AK2157" s="12">
        <v>0</v>
      </c>
      <c r="AL2157" s="12">
        <v>3</v>
      </c>
      <c r="AM2157" s="18">
        <v>0</v>
      </c>
      <c r="AN2157" s="18">
        <v>0</v>
      </c>
      <c r="AO2157" s="18">
        <v>0</v>
      </c>
      <c r="AP2157" s="18">
        <v>0</v>
      </c>
      <c r="AQ2157" s="18">
        <v>2000</v>
      </c>
      <c r="AR2157" s="18">
        <v>0</v>
      </c>
      <c r="AS2157" s="18">
        <v>0</v>
      </c>
      <c r="AT2157" s="12">
        <v>0</v>
      </c>
      <c r="AU2157" s="18">
        <v>81000130</v>
      </c>
      <c r="AV2157" s="18"/>
      <c r="AW2157" s="19" t="s">
        <v>199</v>
      </c>
      <c r="AX2157" s="18" t="s">
        <v>534</v>
      </c>
      <c r="AY2157" s="18">
        <v>10000007</v>
      </c>
      <c r="AZ2157" s="18">
        <v>70204001</v>
      </c>
      <c r="BA2157" s="63" t="s">
        <v>200</v>
      </c>
      <c r="BB2157" s="19">
        <v>0</v>
      </c>
      <c r="BC2157" s="27">
        <v>0</v>
      </c>
      <c r="BD2157" s="27">
        <v>0</v>
      </c>
      <c r="BE2157" s="183" t="s">
        <v>4995</v>
      </c>
      <c r="BF2157" s="183" t="s">
        <v>4996</v>
      </c>
      <c r="BG2157" s="18">
        <v>0</v>
      </c>
      <c r="BH2157" s="16">
        <v>0</v>
      </c>
      <c r="BI2157" s="18">
        <v>0</v>
      </c>
      <c r="BJ2157" s="18">
        <v>0</v>
      </c>
      <c r="BK2157" s="18">
        <v>0</v>
      </c>
      <c r="BL2157" s="18">
        <v>0</v>
      </c>
      <c r="BM2157" s="15">
        <v>0</v>
      </c>
      <c r="BN2157" s="12">
        <v>1</v>
      </c>
      <c r="BO2157" s="12">
        <v>0</v>
      </c>
      <c r="BP2157" s="12">
        <v>0</v>
      </c>
      <c r="BQ2157" s="12">
        <v>0</v>
      </c>
      <c r="BR2157" s="12">
        <v>0</v>
      </c>
      <c r="BS2157" s="12">
        <v>0</v>
      </c>
      <c r="BT2157" s="12">
        <v>0</v>
      </c>
      <c r="BU2157" s="47">
        <v>0</v>
      </c>
      <c r="BV2157" s="47"/>
      <c r="BW2157" s="47"/>
    </row>
    <row r="2158" spans="3:75" ht="19.5" customHeight="1">
      <c r="C2158" s="18">
        <v>81000350</v>
      </c>
      <c r="D2158" s="17" t="s">
        <v>4997</v>
      </c>
      <c r="E2158" s="17" t="s">
        <v>4998</v>
      </c>
      <c r="F2158" s="16">
        <v>1</v>
      </c>
      <c r="G2158" s="16">
        <v>68000014</v>
      </c>
      <c r="H2158" s="16">
        <v>0</v>
      </c>
      <c r="I2158" s="27">
        <v>0</v>
      </c>
      <c r="J2158" s="16">
        <v>1</v>
      </c>
      <c r="K2158" s="16">
        <v>0</v>
      </c>
      <c r="L2158" s="16">
        <v>0</v>
      </c>
      <c r="M2158" s="16">
        <v>0</v>
      </c>
      <c r="N2158" s="16">
        <v>0</v>
      </c>
      <c r="O2158" s="16">
        <v>1</v>
      </c>
      <c r="P2158" s="16">
        <v>0</v>
      </c>
      <c r="Q2158" s="16">
        <v>0</v>
      </c>
      <c r="R2158" s="16">
        <v>0</v>
      </c>
      <c r="S2158" s="12">
        <v>0</v>
      </c>
      <c r="T2158" s="16">
        <v>0</v>
      </c>
      <c r="U2158" s="16">
        <v>1</v>
      </c>
      <c r="V2158" s="16">
        <v>2</v>
      </c>
      <c r="W2158" s="16">
        <v>0</v>
      </c>
      <c r="X2158" s="18">
        <v>0</v>
      </c>
      <c r="Y2158" s="12">
        <v>0</v>
      </c>
      <c r="Z2158" s="18">
        <v>0</v>
      </c>
      <c r="AA2158" s="16">
        <v>1</v>
      </c>
      <c r="AB2158" s="16">
        <v>0</v>
      </c>
      <c r="AC2158" s="16">
        <v>0</v>
      </c>
      <c r="AD2158" s="16">
        <v>0</v>
      </c>
      <c r="AE2158" s="16">
        <v>0</v>
      </c>
      <c r="AF2158" s="16">
        <v>1</v>
      </c>
      <c r="AG2158" s="16">
        <v>1</v>
      </c>
      <c r="AH2158" s="16">
        <v>0</v>
      </c>
      <c r="AI2158" s="12">
        <v>7</v>
      </c>
      <c r="AJ2158" s="12">
        <v>0</v>
      </c>
      <c r="AK2158" s="12">
        <v>0</v>
      </c>
      <c r="AL2158" s="12">
        <v>15</v>
      </c>
      <c r="AM2158" s="16">
        <v>0</v>
      </c>
      <c r="AN2158" s="16">
        <v>0</v>
      </c>
      <c r="AO2158" s="16">
        <v>0</v>
      </c>
      <c r="AP2158" s="16">
        <v>0</v>
      </c>
      <c r="AQ2158" s="16">
        <v>3000</v>
      </c>
      <c r="AR2158" s="16">
        <v>0</v>
      </c>
      <c r="AS2158" s="16">
        <v>0</v>
      </c>
      <c r="AT2158" s="12">
        <v>0</v>
      </c>
      <c r="AU2158" s="18">
        <v>81000130</v>
      </c>
      <c r="AV2158" s="18"/>
      <c r="AW2158" s="19" t="s">
        <v>199</v>
      </c>
      <c r="AX2158" s="16" t="s">
        <v>534</v>
      </c>
      <c r="AY2158" s="18">
        <v>10000007</v>
      </c>
      <c r="AZ2158" s="18">
        <v>21101050</v>
      </c>
      <c r="BA2158" s="17" t="s">
        <v>4978</v>
      </c>
      <c r="BB2158" s="16">
        <v>0</v>
      </c>
      <c r="BC2158" s="27">
        <v>0</v>
      </c>
      <c r="BD2158" s="27">
        <v>0</v>
      </c>
      <c r="BE2158" s="183" t="s">
        <v>4999</v>
      </c>
      <c r="BF2158" s="183" t="s">
        <v>5000</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spans="3:75" ht="19.5" customHeight="1">
      <c r="C2159" s="18">
        <v>81000360</v>
      </c>
      <c r="D2159" s="187" t="s">
        <v>5001</v>
      </c>
      <c r="E2159" s="187" t="s">
        <v>5002</v>
      </c>
      <c r="F2159" s="188">
        <v>1</v>
      </c>
      <c r="G2159" s="12">
        <v>68000006</v>
      </c>
      <c r="H2159" s="16">
        <v>0</v>
      </c>
      <c r="I2159" s="191">
        <v>0</v>
      </c>
      <c r="J2159" s="188">
        <v>1</v>
      </c>
      <c r="K2159" s="188">
        <v>0</v>
      </c>
      <c r="L2159" s="188">
        <v>0</v>
      </c>
      <c r="M2159" s="192">
        <v>0</v>
      </c>
      <c r="N2159" s="192">
        <v>0</v>
      </c>
      <c r="O2159" s="192">
        <v>1</v>
      </c>
      <c r="P2159" s="192">
        <v>0</v>
      </c>
      <c r="Q2159" s="192">
        <v>0</v>
      </c>
      <c r="R2159" s="192">
        <v>0</v>
      </c>
      <c r="S2159" s="194">
        <v>0</v>
      </c>
      <c r="T2159" s="191">
        <v>0</v>
      </c>
      <c r="U2159" s="188">
        <v>1</v>
      </c>
      <c r="V2159" s="192">
        <v>2</v>
      </c>
      <c r="W2159" s="192">
        <v>0</v>
      </c>
      <c r="X2159" s="192">
        <v>0</v>
      </c>
      <c r="Y2159" s="12">
        <v>0</v>
      </c>
      <c r="Z2159" s="188">
        <v>0</v>
      </c>
      <c r="AA2159" s="192">
        <v>1</v>
      </c>
      <c r="AB2159" s="192">
        <v>0</v>
      </c>
      <c r="AC2159" s="192">
        <v>0</v>
      </c>
      <c r="AD2159" s="192">
        <v>0</v>
      </c>
      <c r="AE2159" s="192">
        <v>0</v>
      </c>
      <c r="AF2159" s="192">
        <v>1</v>
      </c>
      <c r="AG2159" s="192">
        <v>1</v>
      </c>
      <c r="AH2159" s="192">
        <v>4</v>
      </c>
      <c r="AI2159" s="194">
        <v>2</v>
      </c>
      <c r="AJ2159" s="194">
        <v>1</v>
      </c>
      <c r="AK2159" s="194">
        <v>0</v>
      </c>
      <c r="AL2159" s="194">
        <v>7</v>
      </c>
      <c r="AM2159" s="192">
        <v>0</v>
      </c>
      <c r="AN2159" s="192">
        <v>0</v>
      </c>
      <c r="AO2159" s="192">
        <v>0</v>
      </c>
      <c r="AP2159" s="192">
        <v>0</v>
      </c>
      <c r="AQ2159" s="192">
        <v>2000</v>
      </c>
      <c r="AR2159" s="192">
        <v>0</v>
      </c>
      <c r="AS2159" s="192">
        <v>0</v>
      </c>
      <c r="AT2159" s="194">
        <v>0</v>
      </c>
      <c r="AU2159" s="192"/>
      <c r="AV2159" s="192"/>
      <c r="AW2159" s="19" t="s">
        <v>199</v>
      </c>
      <c r="AX2159" s="192" t="s">
        <v>1548</v>
      </c>
      <c r="AY2159" s="192">
        <v>10000006</v>
      </c>
      <c r="AZ2159" s="192">
        <v>21101022</v>
      </c>
      <c r="BA2159" s="195" t="s">
        <v>1042</v>
      </c>
      <c r="BB2159" s="187">
        <v>0</v>
      </c>
      <c r="BC2159" s="191">
        <v>0</v>
      </c>
      <c r="BD2159" s="191">
        <v>0</v>
      </c>
      <c r="BE2159" s="197" t="str">
        <f>"立即将附近玩家全部拉到当前位置"</f>
        <v>立即将附近玩家全部拉到当前位置</v>
      </c>
      <c r="BF2159" s="197" t="s">
        <v>5003</v>
      </c>
      <c r="BG2159" s="192">
        <v>0</v>
      </c>
      <c r="BH2159" s="188">
        <v>0</v>
      </c>
      <c r="BI2159" s="192">
        <v>0</v>
      </c>
      <c r="BJ2159" s="192">
        <v>0</v>
      </c>
      <c r="BK2159" s="192">
        <v>0</v>
      </c>
      <c r="BL2159" s="192">
        <v>0</v>
      </c>
      <c r="BM2159" s="198">
        <v>0</v>
      </c>
      <c r="BN2159" s="194">
        <v>0</v>
      </c>
      <c r="BO2159" s="194">
        <v>0</v>
      </c>
      <c r="BP2159" s="194">
        <v>0</v>
      </c>
      <c r="BQ2159" s="194">
        <v>0</v>
      </c>
      <c r="BR2159" s="194">
        <v>0</v>
      </c>
      <c r="BS2159" s="194">
        <v>0</v>
      </c>
      <c r="BT2159" s="12">
        <v>0</v>
      </c>
      <c r="BU2159" s="47">
        <v>0</v>
      </c>
      <c r="BV2159" s="47"/>
      <c r="BW2159" s="47"/>
    </row>
    <row r="2160" spans="3:75" ht="19.5" customHeight="1">
      <c r="C2160" s="18">
        <v>81000370</v>
      </c>
      <c r="D2160" s="19" t="s">
        <v>5004</v>
      </c>
      <c r="E2160" s="19" t="s">
        <v>5005</v>
      </c>
      <c r="F2160" s="16">
        <v>1</v>
      </c>
      <c r="G2160" s="18">
        <v>68000007</v>
      </c>
      <c r="H2160" s="18">
        <v>0</v>
      </c>
      <c r="I2160" s="27">
        <v>0</v>
      </c>
      <c r="J2160" s="16">
        <v>1</v>
      </c>
      <c r="K2160" s="16">
        <v>0</v>
      </c>
      <c r="L2160" s="16">
        <v>0</v>
      </c>
      <c r="M2160" s="18">
        <v>0</v>
      </c>
      <c r="N2160" s="18">
        <v>0</v>
      </c>
      <c r="O2160" s="18">
        <v>1</v>
      </c>
      <c r="P2160" s="18">
        <v>0</v>
      </c>
      <c r="Q2160" s="18">
        <v>0</v>
      </c>
      <c r="R2160" s="18">
        <v>0</v>
      </c>
      <c r="S2160" s="12">
        <v>0</v>
      </c>
      <c r="T2160" s="27">
        <v>0</v>
      </c>
      <c r="U2160" s="16">
        <v>1</v>
      </c>
      <c r="V2160" s="18">
        <v>2</v>
      </c>
      <c r="W2160" s="18">
        <v>0</v>
      </c>
      <c r="X2160" s="18">
        <v>0</v>
      </c>
      <c r="Y2160" s="12">
        <v>0</v>
      </c>
      <c r="Z2160" s="18">
        <v>0</v>
      </c>
      <c r="AA2160" s="18">
        <v>1</v>
      </c>
      <c r="AB2160" s="18">
        <v>0</v>
      </c>
      <c r="AC2160" s="18">
        <v>0</v>
      </c>
      <c r="AD2160" s="18">
        <v>0</v>
      </c>
      <c r="AE2160" s="18">
        <v>0</v>
      </c>
      <c r="AF2160" s="18">
        <v>1</v>
      </c>
      <c r="AG2160" s="18">
        <v>1</v>
      </c>
      <c r="AH2160" s="18">
        <v>3</v>
      </c>
      <c r="AI2160" s="12">
        <v>2</v>
      </c>
      <c r="AJ2160" s="12">
        <v>1</v>
      </c>
      <c r="AK2160" s="12">
        <v>0</v>
      </c>
      <c r="AL2160" s="12">
        <v>4</v>
      </c>
      <c r="AM2160" s="18">
        <v>0</v>
      </c>
      <c r="AN2160" s="18">
        <v>0</v>
      </c>
      <c r="AO2160" s="18">
        <v>0</v>
      </c>
      <c r="AP2160" s="18">
        <v>0</v>
      </c>
      <c r="AQ2160" s="18">
        <v>30000</v>
      </c>
      <c r="AR2160" s="18">
        <v>0</v>
      </c>
      <c r="AS2160" s="18">
        <v>0</v>
      </c>
      <c r="AT2160" s="12">
        <v>0</v>
      </c>
      <c r="AU2160" s="281">
        <v>81000370</v>
      </c>
      <c r="AV2160" s="282"/>
      <c r="AW2160" s="19" t="s">
        <v>199</v>
      </c>
      <c r="AX2160" s="18" t="s">
        <v>534</v>
      </c>
      <c r="AY2160" s="18">
        <v>10003002</v>
      </c>
      <c r="AZ2160" s="18">
        <v>21100060</v>
      </c>
      <c r="BA2160" s="19" t="s">
        <v>200</v>
      </c>
      <c r="BB2160" s="19">
        <v>0</v>
      </c>
      <c r="BC2160" s="27">
        <v>0</v>
      </c>
      <c r="BD2160" s="27">
        <v>0</v>
      </c>
      <c r="BE2160" s="183" t="s">
        <v>5006</v>
      </c>
      <c r="BF2160" s="183" t="s">
        <v>5007</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spans="3:75" ht="20.100000000000001" customHeight="1">
      <c r="C2161" s="18">
        <v>67000262</v>
      </c>
      <c r="D2161" s="17" t="s">
        <v>5008</v>
      </c>
      <c r="E2161" s="17" t="s">
        <v>5009</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v>
      </c>
      <c r="AG2161" s="16">
        <v>2</v>
      </c>
      <c r="AH2161" s="16" t="s">
        <v>213</v>
      </c>
      <c r="AI2161" s="12">
        <v>0</v>
      </c>
      <c r="AJ2161" s="12">
        <v>0</v>
      </c>
      <c r="AK2161" s="12">
        <v>0</v>
      </c>
      <c r="AL2161" s="12">
        <v>1.5</v>
      </c>
      <c r="AM2161" s="16">
        <v>0</v>
      </c>
      <c r="AN2161" s="16">
        <v>0</v>
      </c>
      <c r="AO2161" s="16">
        <v>0</v>
      </c>
      <c r="AP2161" s="16">
        <v>1</v>
      </c>
      <c r="AQ2161" s="16">
        <v>3000</v>
      </c>
      <c r="AR2161" s="16">
        <v>0.5</v>
      </c>
      <c r="AS2161" s="16">
        <v>0</v>
      </c>
      <c r="AT2161" s="12">
        <v>93000201</v>
      </c>
      <c r="AU2161" s="16" t="s">
        <v>198</v>
      </c>
      <c r="AV2161" s="16"/>
      <c r="AW2161" s="17" t="s">
        <v>199</v>
      </c>
      <c r="AX2161" s="16">
        <v>0</v>
      </c>
      <c r="AY2161" s="18">
        <v>0</v>
      </c>
      <c r="AZ2161" s="18">
        <v>0</v>
      </c>
      <c r="BA2161" s="17" t="s">
        <v>5010</v>
      </c>
      <c r="BB2161" s="16">
        <v>0</v>
      </c>
      <c r="BC2161" s="27">
        <v>0</v>
      </c>
      <c r="BD2161" s="27">
        <v>1</v>
      </c>
      <c r="BE2161" s="44" t="s">
        <v>5011</v>
      </c>
      <c r="BF2161" s="44" t="s">
        <v>5012</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67000263</v>
      </c>
      <c r="D2162" s="17" t="s">
        <v>5013</v>
      </c>
      <c r="E2162" s="17" t="s">
        <v>5014</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0</v>
      </c>
      <c r="Y2162" s="12">
        <v>0</v>
      </c>
      <c r="Z2162" s="16">
        <v>0</v>
      </c>
      <c r="AA2162" s="16">
        <v>0</v>
      </c>
      <c r="AB2162" s="16">
        <v>0</v>
      </c>
      <c r="AC2162" s="16">
        <v>0</v>
      </c>
      <c r="AD2162" s="16">
        <v>0</v>
      </c>
      <c r="AE2162" s="16">
        <v>0</v>
      </c>
      <c r="AF2162" s="16">
        <v>3</v>
      </c>
      <c r="AG2162" s="16">
        <v>2</v>
      </c>
      <c r="AH2162" s="16" t="s">
        <v>213</v>
      </c>
      <c r="AI2162" s="12">
        <v>1</v>
      </c>
      <c r="AJ2162" s="12">
        <v>0</v>
      </c>
      <c r="AK2162" s="12">
        <v>0</v>
      </c>
      <c r="AL2162" s="12">
        <v>1.5</v>
      </c>
      <c r="AM2162" s="16">
        <v>0</v>
      </c>
      <c r="AN2162" s="16">
        <v>0</v>
      </c>
      <c r="AO2162" s="16">
        <v>0</v>
      </c>
      <c r="AP2162" s="16">
        <v>1</v>
      </c>
      <c r="AQ2162" s="16">
        <v>3000</v>
      </c>
      <c r="AR2162" s="16">
        <v>0.5</v>
      </c>
      <c r="AS2162" s="16">
        <v>0</v>
      </c>
      <c r="AT2162" s="12">
        <v>0</v>
      </c>
      <c r="AU2162" s="16" t="s">
        <v>5015</v>
      </c>
      <c r="AV2162" s="16"/>
      <c r="AW2162" s="17" t="s">
        <v>287</v>
      </c>
      <c r="AX2162" s="16">
        <v>0</v>
      </c>
      <c r="AY2162" s="18">
        <v>0</v>
      </c>
      <c r="AZ2162" s="18">
        <v>0</v>
      </c>
      <c r="BA2162" s="17" t="s">
        <v>200</v>
      </c>
      <c r="BB2162" s="16">
        <v>0</v>
      </c>
      <c r="BC2162" s="27">
        <v>0</v>
      </c>
      <c r="BD2162" s="27">
        <v>1</v>
      </c>
      <c r="BE2162" s="44" t="s">
        <v>5016</v>
      </c>
      <c r="BF2162" s="44" t="s">
        <v>5017</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67000264</v>
      </c>
      <c r="D2163" s="59" t="s">
        <v>5018</v>
      </c>
      <c r="E2163" s="59" t="s">
        <v>5019</v>
      </c>
      <c r="F2163" s="16">
        <v>1</v>
      </c>
      <c r="G2163" s="16">
        <v>90002001</v>
      </c>
      <c r="H2163" s="60">
        <v>0</v>
      </c>
      <c r="I2163" s="27">
        <v>0</v>
      </c>
      <c r="J2163" s="18">
        <v>1</v>
      </c>
      <c r="K2163" s="18">
        <v>0</v>
      </c>
      <c r="L2163" s="18">
        <v>0</v>
      </c>
      <c r="M2163" s="60">
        <v>0</v>
      </c>
      <c r="N2163" s="60">
        <v>0</v>
      </c>
      <c r="O2163" s="60">
        <v>1</v>
      </c>
      <c r="P2163" s="16">
        <v>1</v>
      </c>
      <c r="Q2163" s="16">
        <v>0.1</v>
      </c>
      <c r="R2163" s="60">
        <v>0</v>
      </c>
      <c r="S2163" s="12">
        <v>0</v>
      </c>
      <c r="T2163" s="60">
        <v>0</v>
      </c>
      <c r="U2163" s="16">
        <v>1</v>
      </c>
      <c r="V2163" s="60">
        <v>2</v>
      </c>
      <c r="W2163" s="60">
        <v>0</v>
      </c>
      <c r="X2163" s="60">
        <v>1.5</v>
      </c>
      <c r="Y2163" s="12">
        <v>0</v>
      </c>
      <c r="Z2163" s="16">
        <v>0</v>
      </c>
      <c r="AA2163" s="60">
        <v>0</v>
      </c>
      <c r="AB2163" s="60">
        <v>0</v>
      </c>
      <c r="AC2163" s="60">
        <v>0</v>
      </c>
      <c r="AD2163" s="60">
        <v>0</v>
      </c>
      <c r="AE2163" s="60">
        <v>0</v>
      </c>
      <c r="AF2163" s="60">
        <v>10</v>
      </c>
      <c r="AG2163" s="60">
        <v>2</v>
      </c>
      <c r="AH2163" s="60" t="s">
        <v>2169</v>
      </c>
      <c r="AI2163" s="68">
        <v>0</v>
      </c>
      <c r="AJ2163" s="12">
        <v>0</v>
      </c>
      <c r="AK2163" s="12">
        <v>0</v>
      </c>
      <c r="AL2163" s="68">
        <v>1.5</v>
      </c>
      <c r="AM2163" s="60">
        <v>0</v>
      </c>
      <c r="AN2163" s="60">
        <v>0</v>
      </c>
      <c r="AO2163" s="60">
        <v>0</v>
      </c>
      <c r="AP2163" s="60">
        <v>2</v>
      </c>
      <c r="AQ2163" s="60">
        <v>3000</v>
      </c>
      <c r="AR2163" s="60">
        <v>0.5</v>
      </c>
      <c r="AS2163" s="60">
        <v>0</v>
      </c>
      <c r="AT2163" s="12">
        <v>0</v>
      </c>
      <c r="AU2163" s="60" t="s">
        <v>198</v>
      </c>
      <c r="AV2163" s="60"/>
      <c r="AW2163" s="59" t="s">
        <v>287</v>
      </c>
      <c r="AX2163" s="16">
        <v>0</v>
      </c>
      <c r="AY2163" s="64">
        <v>10000007</v>
      </c>
      <c r="AZ2163" s="18">
        <v>23000010</v>
      </c>
      <c r="BA2163" s="59" t="s">
        <v>200</v>
      </c>
      <c r="BB2163" s="60">
        <v>0</v>
      </c>
      <c r="BC2163" s="66">
        <v>0</v>
      </c>
      <c r="BD2163" s="27">
        <v>1</v>
      </c>
      <c r="BE2163" s="90" t="s">
        <v>5020</v>
      </c>
      <c r="BF2163" s="90" t="s">
        <v>5021</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67000265</v>
      </c>
      <c r="D2164" s="17" t="s">
        <v>5022</v>
      </c>
      <c r="E2164" s="17" t="s">
        <v>5023</v>
      </c>
      <c r="F2164" s="16">
        <v>1</v>
      </c>
      <c r="G2164" s="16">
        <v>90002001</v>
      </c>
      <c r="H2164" s="16">
        <v>0</v>
      </c>
      <c r="I2164" s="27">
        <v>0</v>
      </c>
      <c r="J2164" s="18">
        <v>1</v>
      </c>
      <c r="K2164" s="18">
        <v>0</v>
      </c>
      <c r="L2164" s="18">
        <v>0</v>
      </c>
      <c r="M2164" s="16">
        <v>0</v>
      </c>
      <c r="N2164" s="16">
        <v>0</v>
      </c>
      <c r="O2164" s="16">
        <v>1</v>
      </c>
      <c r="P2164" s="16">
        <v>2</v>
      </c>
      <c r="Q2164" s="16">
        <v>1</v>
      </c>
      <c r="R2164" s="16">
        <v>0</v>
      </c>
      <c r="S2164" s="12">
        <v>0</v>
      </c>
      <c r="T2164" s="16">
        <v>0</v>
      </c>
      <c r="U2164" s="16">
        <v>1</v>
      </c>
      <c r="V2164" s="16">
        <v>2</v>
      </c>
      <c r="W2164" s="16">
        <v>0</v>
      </c>
      <c r="X2164" s="16">
        <v>0</v>
      </c>
      <c r="Y2164" s="12">
        <v>0</v>
      </c>
      <c r="Z2164" s="16">
        <v>0</v>
      </c>
      <c r="AA2164" s="16">
        <v>0</v>
      </c>
      <c r="AB2164" s="16">
        <v>0</v>
      </c>
      <c r="AC2164" s="16">
        <v>0</v>
      </c>
      <c r="AD2164" s="16">
        <v>0</v>
      </c>
      <c r="AE2164" s="16">
        <v>0</v>
      </c>
      <c r="AF2164" s="16">
        <v>30</v>
      </c>
      <c r="AG2164" s="16">
        <v>2</v>
      </c>
      <c r="AH2164" s="16" t="s">
        <v>213</v>
      </c>
      <c r="AI2164" s="12">
        <v>0</v>
      </c>
      <c r="AJ2164" s="12">
        <v>0</v>
      </c>
      <c r="AK2164" s="12">
        <v>0</v>
      </c>
      <c r="AL2164" s="12">
        <v>1.5</v>
      </c>
      <c r="AM2164" s="16">
        <v>0</v>
      </c>
      <c r="AN2164" s="16">
        <v>0</v>
      </c>
      <c r="AO2164" s="16">
        <v>0</v>
      </c>
      <c r="AP2164" s="16">
        <v>1</v>
      </c>
      <c r="AQ2164" s="16">
        <v>3000</v>
      </c>
      <c r="AR2164" s="16">
        <v>0.5</v>
      </c>
      <c r="AS2164" s="16">
        <v>0</v>
      </c>
      <c r="AT2164" s="12">
        <v>93000203</v>
      </c>
      <c r="AU2164" s="16" t="s">
        <v>198</v>
      </c>
      <c r="AV2164" s="16"/>
      <c r="AW2164" s="17" t="s">
        <v>199</v>
      </c>
      <c r="AX2164" s="16">
        <v>0</v>
      </c>
      <c r="AY2164" s="18">
        <v>0</v>
      </c>
      <c r="AZ2164" s="18">
        <v>0</v>
      </c>
      <c r="BA2164" s="17" t="s">
        <v>5010</v>
      </c>
      <c r="BB2164" s="16">
        <v>0</v>
      </c>
      <c r="BC2164" s="27">
        <v>0</v>
      </c>
      <c r="BD2164" s="27">
        <v>1</v>
      </c>
      <c r="BE2164" s="44" t="s">
        <v>5024</v>
      </c>
      <c r="BF2164" s="44" t="s">
        <v>5025</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67000266</v>
      </c>
      <c r="D2165" s="17" t="s">
        <v>5026</v>
      </c>
      <c r="E2165" s="17" t="s">
        <v>5027</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0</v>
      </c>
      <c r="AK2165" s="12">
        <v>0</v>
      </c>
      <c r="AL2165" s="12">
        <v>1.5</v>
      </c>
      <c r="AM2165" s="16">
        <v>0</v>
      </c>
      <c r="AN2165" s="16">
        <v>0</v>
      </c>
      <c r="AO2165" s="16">
        <v>0</v>
      </c>
      <c r="AP2165" s="16">
        <v>1</v>
      </c>
      <c r="AQ2165" s="16">
        <v>3000</v>
      </c>
      <c r="AR2165" s="16">
        <v>0.5</v>
      </c>
      <c r="AS2165" s="16">
        <v>0</v>
      </c>
      <c r="AT2165" s="12">
        <v>0</v>
      </c>
      <c r="AU2165" s="16" t="s">
        <v>5028</v>
      </c>
      <c r="AV2165" s="16"/>
      <c r="AW2165" s="17" t="s">
        <v>287</v>
      </c>
      <c r="AX2165" s="16">
        <v>0</v>
      </c>
      <c r="AY2165" s="18">
        <v>0</v>
      </c>
      <c r="AZ2165" s="18">
        <v>0</v>
      </c>
      <c r="BA2165" s="17" t="s">
        <v>200</v>
      </c>
      <c r="BB2165" s="16">
        <v>0</v>
      </c>
      <c r="BC2165" s="27">
        <v>0</v>
      </c>
      <c r="BD2165" s="27">
        <v>1</v>
      </c>
      <c r="BE2165" s="44" t="s">
        <v>5029</v>
      </c>
      <c r="BF2165" s="44" t="s">
        <v>5030</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67000267</v>
      </c>
      <c r="D2166" s="59" t="s">
        <v>5031</v>
      </c>
      <c r="E2166" s="59" t="s">
        <v>5032</v>
      </c>
      <c r="F2166" s="16">
        <v>1</v>
      </c>
      <c r="G2166" s="16">
        <v>90002001</v>
      </c>
      <c r="H2166" s="60">
        <v>0</v>
      </c>
      <c r="I2166" s="27">
        <v>0</v>
      </c>
      <c r="J2166" s="18">
        <v>1</v>
      </c>
      <c r="K2166" s="18">
        <v>0</v>
      </c>
      <c r="L2166" s="18">
        <v>0</v>
      </c>
      <c r="M2166" s="60">
        <v>0</v>
      </c>
      <c r="N2166" s="60">
        <v>0</v>
      </c>
      <c r="O2166" s="60">
        <v>1</v>
      </c>
      <c r="P2166" s="60">
        <v>1</v>
      </c>
      <c r="Q2166" s="60">
        <v>0.1</v>
      </c>
      <c r="R2166" s="60">
        <v>0</v>
      </c>
      <c r="S2166" s="12">
        <v>0</v>
      </c>
      <c r="T2166" s="60">
        <v>0</v>
      </c>
      <c r="U2166" s="16">
        <v>1</v>
      </c>
      <c r="V2166" s="60">
        <v>2</v>
      </c>
      <c r="W2166" s="60">
        <v>0</v>
      </c>
      <c r="X2166" s="60">
        <v>1.5</v>
      </c>
      <c r="Y2166" s="12">
        <v>0</v>
      </c>
      <c r="Z2166" s="60">
        <v>0</v>
      </c>
      <c r="AA2166" s="60">
        <v>0</v>
      </c>
      <c r="AB2166" s="60">
        <v>0</v>
      </c>
      <c r="AC2166" s="60">
        <v>0</v>
      </c>
      <c r="AD2166" s="60">
        <v>0</v>
      </c>
      <c r="AE2166" s="60">
        <v>0</v>
      </c>
      <c r="AF2166" s="60">
        <v>3</v>
      </c>
      <c r="AG2166" s="60">
        <v>1</v>
      </c>
      <c r="AH2166" s="60" t="s">
        <v>861</v>
      </c>
      <c r="AI2166" s="68">
        <v>0</v>
      </c>
      <c r="AJ2166" s="68">
        <v>0</v>
      </c>
      <c r="AK2166" s="12">
        <v>0</v>
      </c>
      <c r="AL2166" s="68">
        <v>1.5</v>
      </c>
      <c r="AM2166" s="60">
        <v>0</v>
      </c>
      <c r="AN2166" s="60">
        <v>0</v>
      </c>
      <c r="AO2166" s="60">
        <v>0</v>
      </c>
      <c r="AP2166" s="60">
        <v>1</v>
      </c>
      <c r="AQ2166" s="60">
        <v>3000</v>
      </c>
      <c r="AR2166" s="60">
        <v>1</v>
      </c>
      <c r="AS2166" s="60">
        <v>0</v>
      </c>
      <c r="AT2166" s="12">
        <v>0</v>
      </c>
      <c r="AU2166" s="60" t="s">
        <v>198</v>
      </c>
      <c r="AV2166" s="60"/>
      <c r="AW2166" s="59" t="s">
        <v>199</v>
      </c>
      <c r="AX2166" s="16">
        <v>0</v>
      </c>
      <c r="AY2166" s="64">
        <v>10000007</v>
      </c>
      <c r="AZ2166" s="18">
        <v>23000020</v>
      </c>
      <c r="BA2166" s="59" t="s">
        <v>200</v>
      </c>
      <c r="BB2166" s="60">
        <v>0</v>
      </c>
      <c r="BC2166" s="66">
        <v>0</v>
      </c>
      <c r="BD2166" s="27">
        <v>1</v>
      </c>
      <c r="BE2166" s="90" t="s">
        <v>5033</v>
      </c>
      <c r="BF2166" s="90" t="s">
        <v>5034</v>
      </c>
      <c r="BG2166" s="60">
        <v>0</v>
      </c>
      <c r="BH2166" s="16">
        <v>0</v>
      </c>
      <c r="BI2166" s="60">
        <v>0</v>
      </c>
      <c r="BJ2166" s="60">
        <v>0</v>
      </c>
      <c r="BK2166" s="60">
        <v>0</v>
      </c>
      <c r="BL2166" s="60">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67000268</v>
      </c>
      <c r="D2167" s="59" t="s">
        <v>5035</v>
      </c>
      <c r="E2167" s="59" t="s">
        <v>5036</v>
      </c>
      <c r="F2167" s="16">
        <v>1</v>
      </c>
      <c r="G2167" s="16">
        <v>90002001</v>
      </c>
      <c r="H2167" s="60">
        <v>0</v>
      </c>
      <c r="I2167" s="27">
        <v>0</v>
      </c>
      <c r="J2167" s="18">
        <v>1</v>
      </c>
      <c r="K2167" s="18">
        <v>0</v>
      </c>
      <c r="L2167" s="18">
        <v>0</v>
      </c>
      <c r="M2167" s="60">
        <v>0</v>
      </c>
      <c r="N2167" s="60">
        <v>0</v>
      </c>
      <c r="O2167" s="60">
        <v>1</v>
      </c>
      <c r="P2167" s="60">
        <v>1</v>
      </c>
      <c r="Q2167" s="60">
        <v>0.1</v>
      </c>
      <c r="R2167" s="60">
        <v>0</v>
      </c>
      <c r="S2167" s="12">
        <v>0</v>
      </c>
      <c r="T2167" s="60">
        <v>0</v>
      </c>
      <c r="U2167" s="16">
        <v>1</v>
      </c>
      <c r="V2167" s="60">
        <v>2</v>
      </c>
      <c r="W2167" s="60">
        <v>0</v>
      </c>
      <c r="X2167" s="60">
        <v>1</v>
      </c>
      <c r="Y2167" s="12">
        <v>0</v>
      </c>
      <c r="Z2167" s="60">
        <v>0</v>
      </c>
      <c r="AA2167" s="60">
        <v>0</v>
      </c>
      <c r="AB2167" s="60">
        <v>0</v>
      </c>
      <c r="AC2167" s="60">
        <v>0</v>
      </c>
      <c r="AD2167" s="60">
        <v>0</v>
      </c>
      <c r="AE2167" s="60">
        <v>0</v>
      </c>
      <c r="AF2167" s="60">
        <v>3</v>
      </c>
      <c r="AG2167" s="60">
        <v>2</v>
      </c>
      <c r="AH2167" s="60" t="s">
        <v>213</v>
      </c>
      <c r="AI2167" s="68">
        <v>0</v>
      </c>
      <c r="AJ2167" s="68">
        <v>1</v>
      </c>
      <c r="AK2167" s="12">
        <v>0</v>
      </c>
      <c r="AL2167" s="68">
        <v>1.5</v>
      </c>
      <c r="AM2167" s="60">
        <v>0</v>
      </c>
      <c r="AN2167" s="60">
        <v>0</v>
      </c>
      <c r="AO2167" s="60">
        <v>0</v>
      </c>
      <c r="AP2167" s="60">
        <v>1</v>
      </c>
      <c r="AQ2167" s="60">
        <v>3000</v>
      </c>
      <c r="AR2167" s="60">
        <v>0.5</v>
      </c>
      <c r="AS2167" s="60">
        <v>0</v>
      </c>
      <c r="AT2167" s="12">
        <v>0</v>
      </c>
      <c r="AU2167" s="60" t="s">
        <v>5037</v>
      </c>
      <c r="AV2167" s="60"/>
      <c r="AW2167" s="59" t="s">
        <v>287</v>
      </c>
      <c r="AX2167" s="16">
        <v>0</v>
      </c>
      <c r="AY2167" s="64">
        <v>10000007</v>
      </c>
      <c r="AZ2167" s="18">
        <v>23000030</v>
      </c>
      <c r="BA2167" s="59" t="s">
        <v>200</v>
      </c>
      <c r="BB2167" s="60">
        <v>0</v>
      </c>
      <c r="BC2167" s="66">
        <v>0</v>
      </c>
      <c r="BD2167" s="27">
        <v>1</v>
      </c>
      <c r="BE2167" s="90" t="s">
        <v>5038</v>
      </c>
      <c r="BF2167" s="90" t="s">
        <v>5039</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67000269</v>
      </c>
      <c r="D2168" s="59" t="s">
        <v>5040</v>
      </c>
      <c r="E2168" s="59" t="s">
        <v>5041</v>
      </c>
      <c r="F2168" s="16">
        <v>1</v>
      </c>
      <c r="G2168" s="16">
        <v>90002001</v>
      </c>
      <c r="H2168" s="60">
        <v>0</v>
      </c>
      <c r="I2168" s="27">
        <v>0</v>
      </c>
      <c r="J2168" s="18">
        <v>1</v>
      </c>
      <c r="K2168" s="18">
        <v>0</v>
      </c>
      <c r="L2168" s="18">
        <v>0</v>
      </c>
      <c r="M2168" s="60">
        <v>0</v>
      </c>
      <c r="N2168" s="60">
        <v>0</v>
      </c>
      <c r="O2168" s="60">
        <v>1</v>
      </c>
      <c r="P2168" s="60">
        <v>1</v>
      </c>
      <c r="Q2168" s="60">
        <v>0.1</v>
      </c>
      <c r="R2168" s="60">
        <v>0</v>
      </c>
      <c r="S2168" s="12">
        <v>0</v>
      </c>
      <c r="T2168" s="60">
        <v>0</v>
      </c>
      <c r="U2168" s="16">
        <v>1</v>
      </c>
      <c r="V2168" s="60">
        <v>2</v>
      </c>
      <c r="W2168" s="60">
        <v>0</v>
      </c>
      <c r="X2168" s="60">
        <v>1</v>
      </c>
      <c r="Y2168" s="12">
        <v>0</v>
      </c>
      <c r="Z2168" s="60">
        <v>0</v>
      </c>
      <c r="AA2168" s="60">
        <v>0</v>
      </c>
      <c r="AB2168" s="60">
        <v>0</v>
      </c>
      <c r="AC2168" s="60">
        <v>0</v>
      </c>
      <c r="AD2168" s="60">
        <v>0</v>
      </c>
      <c r="AE2168" s="60">
        <v>0</v>
      </c>
      <c r="AF2168" s="60">
        <v>3</v>
      </c>
      <c r="AG2168" s="60">
        <v>2</v>
      </c>
      <c r="AH2168" s="60" t="s">
        <v>213</v>
      </c>
      <c r="AI2168" s="68">
        <v>0</v>
      </c>
      <c r="AJ2168" s="68">
        <v>0</v>
      </c>
      <c r="AK2168" s="12">
        <v>0</v>
      </c>
      <c r="AL2168" s="68">
        <v>1.5</v>
      </c>
      <c r="AM2168" s="60">
        <v>0</v>
      </c>
      <c r="AN2168" s="60">
        <v>0</v>
      </c>
      <c r="AO2168" s="60">
        <v>0</v>
      </c>
      <c r="AP2168" s="60">
        <v>1</v>
      </c>
      <c r="AQ2168" s="60">
        <v>3000</v>
      </c>
      <c r="AR2168" s="60">
        <v>0.5</v>
      </c>
      <c r="AS2168" s="60">
        <v>0</v>
      </c>
      <c r="AT2168" s="12">
        <v>0</v>
      </c>
      <c r="AU2168" s="60" t="s">
        <v>1483</v>
      </c>
      <c r="AV2168" s="60"/>
      <c r="AW2168" s="59" t="s">
        <v>287</v>
      </c>
      <c r="AX2168" s="16">
        <v>0</v>
      </c>
      <c r="AY2168" s="64">
        <v>10000007</v>
      </c>
      <c r="AZ2168" s="18">
        <v>23000040</v>
      </c>
      <c r="BA2168" s="59" t="s">
        <v>200</v>
      </c>
      <c r="BB2168" s="60">
        <v>0</v>
      </c>
      <c r="BC2168" s="66">
        <v>0</v>
      </c>
      <c r="BD2168" s="27">
        <v>1</v>
      </c>
      <c r="BE2168" s="90" t="s">
        <v>5042</v>
      </c>
      <c r="BF2168" s="90" t="s">
        <v>5043</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67000270</v>
      </c>
      <c r="D2169" s="17" t="s">
        <v>5044</v>
      </c>
      <c r="E2169" s="17" t="s">
        <v>5045</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1.5</v>
      </c>
      <c r="Y2169" s="12">
        <v>0</v>
      </c>
      <c r="Z2169" s="16">
        <v>0</v>
      </c>
      <c r="AA2169" s="16">
        <v>0</v>
      </c>
      <c r="AB2169" s="16">
        <v>0</v>
      </c>
      <c r="AC2169" s="16">
        <v>0</v>
      </c>
      <c r="AD2169" s="16">
        <v>0</v>
      </c>
      <c r="AE2169" s="16">
        <v>0</v>
      </c>
      <c r="AF2169" s="16">
        <v>3</v>
      </c>
      <c r="AG2169" s="16">
        <v>2</v>
      </c>
      <c r="AH2169" s="16" t="s">
        <v>213</v>
      </c>
      <c r="AI2169" s="12">
        <v>7</v>
      </c>
      <c r="AJ2169" s="12">
        <v>2</v>
      </c>
      <c r="AK2169" s="12">
        <v>0</v>
      </c>
      <c r="AL2169" s="12">
        <v>1.5</v>
      </c>
      <c r="AM2169" s="16">
        <v>0</v>
      </c>
      <c r="AN2169" s="16">
        <v>0</v>
      </c>
      <c r="AO2169" s="16">
        <v>0</v>
      </c>
      <c r="AP2169" s="16">
        <v>1</v>
      </c>
      <c r="AQ2169" s="16">
        <v>3000</v>
      </c>
      <c r="AR2169" s="16">
        <v>0.5</v>
      </c>
      <c r="AS2169" s="16">
        <v>0</v>
      </c>
      <c r="AT2169" s="12">
        <v>0</v>
      </c>
      <c r="AU2169" s="16" t="s">
        <v>5046</v>
      </c>
      <c r="AV2169" s="16"/>
      <c r="AW2169" s="17" t="s">
        <v>287</v>
      </c>
      <c r="AX2169" s="16">
        <v>0</v>
      </c>
      <c r="AY2169" s="18">
        <v>0</v>
      </c>
      <c r="AZ2169" s="18">
        <v>0</v>
      </c>
      <c r="BA2169" s="17" t="s">
        <v>200</v>
      </c>
      <c r="BB2169" s="16">
        <v>0</v>
      </c>
      <c r="BC2169" s="27">
        <v>0</v>
      </c>
      <c r="BD2169" s="27">
        <v>1</v>
      </c>
      <c r="BE2169" s="44" t="s">
        <v>5047</v>
      </c>
      <c r="BF2169" s="44" t="s">
        <v>5048</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67000271</v>
      </c>
      <c r="D2170" s="17" t="s">
        <v>5049</v>
      </c>
      <c r="E2170" s="17" t="s">
        <v>5050</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1.5</v>
      </c>
      <c r="Y2170" s="12">
        <v>0</v>
      </c>
      <c r="Z2170" s="16">
        <v>0</v>
      </c>
      <c r="AA2170" s="16">
        <v>0</v>
      </c>
      <c r="AB2170" s="16">
        <v>0</v>
      </c>
      <c r="AC2170" s="16">
        <v>0</v>
      </c>
      <c r="AD2170" s="16">
        <v>0</v>
      </c>
      <c r="AE2170" s="16">
        <v>0</v>
      </c>
      <c r="AF2170" s="16">
        <v>3</v>
      </c>
      <c r="AG2170" s="16">
        <v>2</v>
      </c>
      <c r="AH2170" s="16" t="s">
        <v>213</v>
      </c>
      <c r="AI2170" s="12">
        <v>7</v>
      </c>
      <c r="AJ2170" s="12">
        <v>2</v>
      </c>
      <c r="AK2170" s="12">
        <v>0</v>
      </c>
      <c r="AL2170" s="12">
        <v>1.5</v>
      </c>
      <c r="AM2170" s="16">
        <v>0</v>
      </c>
      <c r="AN2170" s="16">
        <v>0</v>
      </c>
      <c r="AO2170" s="16">
        <v>0</v>
      </c>
      <c r="AP2170" s="16">
        <v>1</v>
      </c>
      <c r="AQ2170" s="16">
        <v>3000</v>
      </c>
      <c r="AR2170" s="16">
        <v>0.5</v>
      </c>
      <c r="AS2170" s="16">
        <v>0</v>
      </c>
      <c r="AT2170" s="12">
        <v>0</v>
      </c>
      <c r="AU2170" s="16" t="s">
        <v>5051</v>
      </c>
      <c r="AV2170" s="16"/>
      <c r="AW2170" s="17" t="s">
        <v>287</v>
      </c>
      <c r="AX2170" s="16">
        <v>0</v>
      </c>
      <c r="AY2170" s="18">
        <v>0</v>
      </c>
      <c r="AZ2170" s="18">
        <v>0</v>
      </c>
      <c r="BA2170" s="17" t="s">
        <v>200</v>
      </c>
      <c r="BB2170" s="16">
        <v>0</v>
      </c>
      <c r="BC2170" s="27">
        <v>0</v>
      </c>
      <c r="BD2170" s="27">
        <v>1</v>
      </c>
      <c r="BE2170" s="44" t="s">
        <v>5052</v>
      </c>
      <c r="BF2170" s="44" t="s">
        <v>5053</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67000272</v>
      </c>
      <c r="D2171" s="17" t="s">
        <v>5054</v>
      </c>
      <c r="E2171" s="17" t="s">
        <v>5055</v>
      </c>
      <c r="F2171" s="16">
        <v>1</v>
      </c>
      <c r="G2171" s="16">
        <v>90002001</v>
      </c>
      <c r="H2171" s="16">
        <v>0</v>
      </c>
      <c r="I2171" s="27">
        <v>0</v>
      </c>
      <c r="J2171" s="18">
        <v>1</v>
      </c>
      <c r="K2171" s="18">
        <v>0</v>
      </c>
      <c r="L2171" s="18">
        <v>0</v>
      </c>
      <c r="M2171" s="16">
        <v>0</v>
      </c>
      <c r="N2171" s="16">
        <v>0</v>
      </c>
      <c r="O2171" s="16">
        <v>1</v>
      </c>
      <c r="P2171" s="16">
        <v>1</v>
      </c>
      <c r="Q2171" s="16">
        <v>0.1</v>
      </c>
      <c r="R2171" s="16">
        <v>0</v>
      </c>
      <c r="S2171" s="12">
        <v>0</v>
      </c>
      <c r="T2171" s="16">
        <v>0</v>
      </c>
      <c r="U2171" s="16">
        <v>1</v>
      </c>
      <c r="V2171" s="16">
        <v>2</v>
      </c>
      <c r="W2171" s="16">
        <v>0</v>
      </c>
      <c r="X2171" s="16">
        <v>1.5</v>
      </c>
      <c r="Y2171" s="12">
        <v>0</v>
      </c>
      <c r="Z2171" s="16">
        <v>0</v>
      </c>
      <c r="AA2171" s="16">
        <v>0</v>
      </c>
      <c r="AB2171" s="16">
        <v>0</v>
      </c>
      <c r="AC2171" s="16">
        <v>0</v>
      </c>
      <c r="AD2171" s="16">
        <v>0</v>
      </c>
      <c r="AE2171" s="16">
        <v>0</v>
      </c>
      <c r="AF2171" s="16">
        <v>3</v>
      </c>
      <c r="AG2171" s="16">
        <v>2</v>
      </c>
      <c r="AH2171" s="16" t="s">
        <v>213</v>
      </c>
      <c r="AI2171" s="12">
        <v>7</v>
      </c>
      <c r="AJ2171" s="12">
        <v>2</v>
      </c>
      <c r="AK2171" s="12">
        <v>0</v>
      </c>
      <c r="AL2171" s="12">
        <v>1.5</v>
      </c>
      <c r="AM2171" s="16">
        <v>0</v>
      </c>
      <c r="AN2171" s="16">
        <v>0</v>
      </c>
      <c r="AO2171" s="16">
        <v>0</v>
      </c>
      <c r="AP2171" s="16">
        <v>1</v>
      </c>
      <c r="AQ2171" s="16">
        <v>3000</v>
      </c>
      <c r="AR2171" s="16">
        <v>0.5</v>
      </c>
      <c r="AS2171" s="16">
        <v>0</v>
      </c>
      <c r="AT2171" s="12">
        <v>0</v>
      </c>
      <c r="AU2171" s="16" t="s">
        <v>5056</v>
      </c>
      <c r="AV2171" s="16"/>
      <c r="AW2171" s="17" t="s">
        <v>287</v>
      </c>
      <c r="AX2171" s="16">
        <v>0</v>
      </c>
      <c r="AY2171" s="18">
        <v>0</v>
      </c>
      <c r="AZ2171" s="18">
        <v>0</v>
      </c>
      <c r="BA2171" s="17" t="s">
        <v>200</v>
      </c>
      <c r="BB2171" s="16">
        <v>0</v>
      </c>
      <c r="BC2171" s="27">
        <v>0</v>
      </c>
      <c r="BD2171" s="27">
        <v>1</v>
      </c>
      <c r="BE2171" s="44" t="s">
        <v>5057</v>
      </c>
      <c r="BF2171" s="44" t="s">
        <v>5058</v>
      </c>
      <c r="BG2171" s="16">
        <v>0</v>
      </c>
      <c r="BH2171" s="16">
        <v>0</v>
      </c>
      <c r="BI2171" s="16">
        <v>0</v>
      </c>
      <c r="BJ2171" s="16">
        <v>0</v>
      </c>
      <c r="BK2171" s="16">
        <v>0</v>
      </c>
      <c r="BL2171" s="16">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67000273</v>
      </c>
      <c r="D2172" s="17" t="s">
        <v>5059</v>
      </c>
      <c r="E2172" s="17" t="s">
        <v>5060</v>
      </c>
      <c r="F2172" s="16">
        <v>1</v>
      </c>
      <c r="G2172" s="16">
        <v>90002001</v>
      </c>
      <c r="H2172" s="16">
        <v>0</v>
      </c>
      <c r="I2172" s="27">
        <v>0</v>
      </c>
      <c r="J2172" s="18">
        <v>1</v>
      </c>
      <c r="K2172" s="18">
        <v>0</v>
      </c>
      <c r="L2172" s="18">
        <v>0</v>
      </c>
      <c r="M2172" s="16">
        <v>0</v>
      </c>
      <c r="N2172" s="16">
        <v>0</v>
      </c>
      <c r="O2172" s="16">
        <v>1</v>
      </c>
      <c r="P2172" s="16">
        <v>1</v>
      </c>
      <c r="Q2172" s="16">
        <v>0.1</v>
      </c>
      <c r="R2172" s="16">
        <v>0</v>
      </c>
      <c r="S2172" s="12">
        <v>0</v>
      </c>
      <c r="T2172" s="16">
        <v>0</v>
      </c>
      <c r="U2172" s="16">
        <v>1</v>
      </c>
      <c r="V2172" s="16">
        <v>2</v>
      </c>
      <c r="W2172" s="16">
        <v>0</v>
      </c>
      <c r="X2172" s="16">
        <v>2</v>
      </c>
      <c r="Y2172" s="12">
        <v>0</v>
      </c>
      <c r="Z2172" s="16">
        <v>0</v>
      </c>
      <c r="AA2172" s="16">
        <v>0</v>
      </c>
      <c r="AB2172" s="16">
        <v>0</v>
      </c>
      <c r="AC2172" s="16">
        <v>0</v>
      </c>
      <c r="AD2172" s="16">
        <v>0</v>
      </c>
      <c r="AE2172" s="16">
        <v>0</v>
      </c>
      <c r="AF2172" s="16">
        <v>3</v>
      </c>
      <c r="AG2172" s="16">
        <v>2</v>
      </c>
      <c r="AH2172" s="16" t="s">
        <v>213</v>
      </c>
      <c r="AI2172" s="12">
        <v>7</v>
      </c>
      <c r="AJ2172" s="12">
        <v>2</v>
      </c>
      <c r="AK2172" s="12">
        <v>0</v>
      </c>
      <c r="AL2172" s="12">
        <v>1.5</v>
      </c>
      <c r="AM2172" s="16">
        <v>0</v>
      </c>
      <c r="AN2172" s="16">
        <v>0</v>
      </c>
      <c r="AO2172" s="16">
        <v>0</v>
      </c>
      <c r="AP2172" s="16">
        <v>1</v>
      </c>
      <c r="AQ2172" s="16">
        <v>3000</v>
      </c>
      <c r="AR2172" s="16">
        <v>0.5</v>
      </c>
      <c r="AS2172" s="16">
        <v>0</v>
      </c>
      <c r="AT2172" s="12">
        <v>0</v>
      </c>
      <c r="AU2172" s="16" t="s">
        <v>198</v>
      </c>
      <c r="AV2172" s="16"/>
      <c r="AW2172" s="17" t="s">
        <v>287</v>
      </c>
      <c r="AX2172" s="16">
        <v>0</v>
      </c>
      <c r="AY2172" s="18">
        <v>0</v>
      </c>
      <c r="AZ2172" s="18">
        <v>0</v>
      </c>
      <c r="BA2172" s="17" t="s">
        <v>200</v>
      </c>
      <c r="BB2172" s="16">
        <v>0</v>
      </c>
      <c r="BC2172" s="27">
        <v>0</v>
      </c>
      <c r="BD2172" s="27">
        <v>1</v>
      </c>
      <c r="BE2172" s="44" t="s">
        <v>5061</v>
      </c>
      <c r="BF2172" s="44" t="s">
        <v>5062</v>
      </c>
      <c r="BG2172" s="16">
        <v>0</v>
      </c>
      <c r="BH2172" s="16">
        <v>0</v>
      </c>
      <c r="BI2172" s="16">
        <v>0</v>
      </c>
      <c r="BJ2172" s="16">
        <v>0</v>
      </c>
      <c r="BK2172" s="16">
        <v>0</v>
      </c>
      <c r="BL2172" s="16">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67000274</v>
      </c>
      <c r="D2173" s="17" t="s">
        <v>5063</v>
      </c>
      <c r="E2173" s="17" t="s">
        <v>5064</v>
      </c>
      <c r="F2173" s="16">
        <v>1</v>
      </c>
      <c r="G2173" s="16">
        <v>90002001</v>
      </c>
      <c r="H2173" s="16">
        <v>0</v>
      </c>
      <c r="I2173" s="27">
        <v>0</v>
      </c>
      <c r="J2173" s="18">
        <v>1</v>
      </c>
      <c r="K2173" s="18">
        <v>0</v>
      </c>
      <c r="L2173" s="18">
        <v>0</v>
      </c>
      <c r="M2173" s="16">
        <v>0</v>
      </c>
      <c r="N2173" s="16">
        <v>0</v>
      </c>
      <c r="O2173" s="16">
        <v>1</v>
      </c>
      <c r="P2173" s="16">
        <v>1</v>
      </c>
      <c r="Q2173" s="16">
        <v>0.1</v>
      </c>
      <c r="R2173" s="16">
        <v>0</v>
      </c>
      <c r="S2173" s="12">
        <v>0</v>
      </c>
      <c r="T2173" s="16">
        <v>0</v>
      </c>
      <c r="U2173" s="16">
        <v>1</v>
      </c>
      <c r="V2173" s="16">
        <v>2</v>
      </c>
      <c r="W2173" s="16">
        <v>0</v>
      </c>
      <c r="X2173" s="16">
        <v>1</v>
      </c>
      <c r="Y2173" s="12">
        <v>0</v>
      </c>
      <c r="Z2173" s="16">
        <v>0</v>
      </c>
      <c r="AA2173" s="16">
        <v>0</v>
      </c>
      <c r="AB2173" s="16">
        <v>0</v>
      </c>
      <c r="AC2173" s="16">
        <v>0</v>
      </c>
      <c r="AD2173" s="16">
        <v>0</v>
      </c>
      <c r="AE2173" s="16">
        <v>0</v>
      </c>
      <c r="AF2173" s="16">
        <v>10</v>
      </c>
      <c r="AG2173" s="16">
        <v>2</v>
      </c>
      <c r="AH2173" s="16" t="s">
        <v>213</v>
      </c>
      <c r="AI2173" s="12">
        <v>0</v>
      </c>
      <c r="AJ2173" s="12">
        <v>0</v>
      </c>
      <c r="AK2173" s="12">
        <v>0</v>
      </c>
      <c r="AL2173" s="12">
        <v>1.5</v>
      </c>
      <c r="AM2173" s="16">
        <v>0</v>
      </c>
      <c r="AN2173" s="16">
        <v>0</v>
      </c>
      <c r="AO2173" s="16">
        <v>0</v>
      </c>
      <c r="AP2173" s="16">
        <v>1</v>
      </c>
      <c r="AQ2173" s="16">
        <v>3000</v>
      </c>
      <c r="AR2173" s="16">
        <v>0.5</v>
      </c>
      <c r="AS2173" s="16">
        <v>0</v>
      </c>
      <c r="AT2173" s="12">
        <v>0</v>
      </c>
      <c r="AU2173" s="16" t="s">
        <v>1483</v>
      </c>
      <c r="AV2173" s="16"/>
      <c r="AW2173" s="17" t="s">
        <v>287</v>
      </c>
      <c r="AX2173" s="16">
        <v>0</v>
      </c>
      <c r="AY2173" s="18">
        <v>10000007</v>
      </c>
      <c r="AZ2173" s="18">
        <v>23000070</v>
      </c>
      <c r="BA2173" s="17" t="s">
        <v>200</v>
      </c>
      <c r="BB2173" s="16">
        <v>0</v>
      </c>
      <c r="BC2173" s="27">
        <v>0</v>
      </c>
      <c r="BD2173" s="27">
        <v>1</v>
      </c>
      <c r="BE2173" s="44" t="s">
        <v>5065</v>
      </c>
      <c r="BF2173" s="44" t="s">
        <v>5066</v>
      </c>
      <c r="BG2173" s="16">
        <v>0</v>
      </c>
      <c r="BH2173" s="16">
        <v>0</v>
      </c>
      <c r="BI2173" s="16">
        <v>0</v>
      </c>
      <c r="BJ2173" s="16">
        <v>0</v>
      </c>
      <c r="BK2173" s="16">
        <v>0</v>
      </c>
      <c r="BL2173" s="16">
        <v>0</v>
      </c>
      <c r="BM2173" s="16">
        <v>0</v>
      </c>
      <c r="BN2173" s="12">
        <v>0</v>
      </c>
      <c r="BO2173" s="12">
        <v>0</v>
      </c>
      <c r="BP2173" s="12">
        <v>0</v>
      </c>
      <c r="BQ2173" s="12">
        <v>0</v>
      </c>
      <c r="BR2173" s="12">
        <v>0</v>
      </c>
      <c r="BS2173" s="12">
        <v>0</v>
      </c>
      <c r="BT2173" s="12">
        <v>0</v>
      </c>
      <c r="BU2173" s="47">
        <v>0</v>
      </c>
      <c r="BV2173" s="47"/>
      <c r="BW2173" s="47"/>
    </row>
    <row r="2174" spans="3:75" ht="20.100000000000001" customHeight="1">
      <c r="C2174" s="18">
        <v>67000275</v>
      </c>
      <c r="D2174" s="59" t="s">
        <v>5067</v>
      </c>
      <c r="E2174" s="59" t="s">
        <v>5068</v>
      </c>
      <c r="F2174" s="16">
        <v>1</v>
      </c>
      <c r="G2174" s="16">
        <v>90002001</v>
      </c>
      <c r="H2174" s="60">
        <v>0</v>
      </c>
      <c r="I2174" s="27">
        <v>0</v>
      </c>
      <c r="J2174" s="18">
        <v>1</v>
      </c>
      <c r="K2174" s="18">
        <v>0</v>
      </c>
      <c r="L2174" s="18">
        <v>0</v>
      </c>
      <c r="M2174" s="60">
        <v>0</v>
      </c>
      <c r="N2174" s="60">
        <v>0</v>
      </c>
      <c r="O2174" s="60">
        <v>1</v>
      </c>
      <c r="P2174" s="60">
        <v>2</v>
      </c>
      <c r="Q2174" s="60">
        <v>1</v>
      </c>
      <c r="R2174" s="60">
        <v>0</v>
      </c>
      <c r="S2174" s="12">
        <v>0</v>
      </c>
      <c r="T2174" s="60">
        <v>0</v>
      </c>
      <c r="U2174" s="16">
        <v>1</v>
      </c>
      <c r="V2174" s="60">
        <v>2</v>
      </c>
      <c r="W2174" s="60">
        <v>0</v>
      </c>
      <c r="X2174" s="60">
        <v>0</v>
      </c>
      <c r="Y2174" s="12">
        <v>0</v>
      </c>
      <c r="Z2174" s="60">
        <v>0</v>
      </c>
      <c r="AA2174" s="60">
        <v>0</v>
      </c>
      <c r="AB2174" s="60">
        <v>0</v>
      </c>
      <c r="AC2174" s="60">
        <v>0</v>
      </c>
      <c r="AD2174" s="60">
        <v>0</v>
      </c>
      <c r="AE2174" s="60">
        <v>0</v>
      </c>
      <c r="AF2174" s="60">
        <v>20</v>
      </c>
      <c r="AG2174" s="60">
        <v>2</v>
      </c>
      <c r="AH2174" s="60" t="s">
        <v>213</v>
      </c>
      <c r="AI2174" s="12">
        <v>0</v>
      </c>
      <c r="AJ2174" s="12">
        <v>0</v>
      </c>
      <c r="AK2174" s="12">
        <v>0</v>
      </c>
      <c r="AL2174" s="68">
        <v>1.5</v>
      </c>
      <c r="AM2174" s="60">
        <v>0</v>
      </c>
      <c r="AN2174" s="60">
        <v>0</v>
      </c>
      <c r="AO2174" s="60">
        <v>0</v>
      </c>
      <c r="AP2174" s="60">
        <v>1</v>
      </c>
      <c r="AQ2174" s="60">
        <v>3000</v>
      </c>
      <c r="AR2174" s="60">
        <v>0.5</v>
      </c>
      <c r="AS2174" s="60">
        <v>0</v>
      </c>
      <c r="AT2174" s="12">
        <v>0</v>
      </c>
      <c r="AU2174" s="60" t="s">
        <v>5069</v>
      </c>
      <c r="AV2174" s="60"/>
      <c r="AW2174" s="59" t="s">
        <v>287</v>
      </c>
      <c r="AX2174" s="16">
        <v>0</v>
      </c>
      <c r="AY2174" s="64">
        <v>10000007</v>
      </c>
      <c r="AZ2174" s="18">
        <v>23000050</v>
      </c>
      <c r="BA2174" s="59" t="s">
        <v>200</v>
      </c>
      <c r="BB2174" s="60">
        <v>0</v>
      </c>
      <c r="BC2174" s="66">
        <v>0</v>
      </c>
      <c r="BD2174" s="27">
        <v>1</v>
      </c>
      <c r="BE2174" s="90" t="s">
        <v>5070</v>
      </c>
      <c r="BF2174" s="90" t="s">
        <v>5071</v>
      </c>
      <c r="BG2174" s="60">
        <v>0</v>
      </c>
      <c r="BH2174" s="16">
        <v>0</v>
      </c>
      <c r="BI2174" s="60">
        <v>0</v>
      </c>
      <c r="BJ2174" s="60">
        <v>0</v>
      </c>
      <c r="BK2174" s="60">
        <v>0</v>
      </c>
      <c r="BL2174" s="60">
        <v>0</v>
      </c>
      <c r="BM2174" s="16">
        <v>0</v>
      </c>
      <c r="BN2174" s="12">
        <v>0</v>
      </c>
      <c r="BO2174" s="12">
        <v>0</v>
      </c>
      <c r="BP2174" s="12">
        <v>0</v>
      </c>
      <c r="BQ2174" s="12">
        <v>0</v>
      </c>
      <c r="BR2174" s="12">
        <v>0</v>
      </c>
      <c r="BS2174" s="12">
        <v>0</v>
      </c>
      <c r="BT2174" s="12">
        <v>0</v>
      </c>
      <c r="BU2174" s="47">
        <v>0</v>
      </c>
      <c r="BV2174" s="47"/>
      <c r="BW2174" s="47"/>
    </row>
    <row r="2175" spans="3:75" ht="20.100000000000001" customHeight="1">
      <c r="C2175" s="18">
        <v>67000276</v>
      </c>
      <c r="D2175" s="59" t="s">
        <v>5072</v>
      </c>
      <c r="E2175" s="59" t="s">
        <v>5073</v>
      </c>
      <c r="F2175" s="16">
        <v>1</v>
      </c>
      <c r="G2175" s="16">
        <v>90002001</v>
      </c>
      <c r="H2175" s="60">
        <v>0</v>
      </c>
      <c r="I2175" s="27">
        <v>0</v>
      </c>
      <c r="J2175" s="18">
        <v>1</v>
      </c>
      <c r="K2175" s="18">
        <v>0</v>
      </c>
      <c r="L2175" s="18">
        <v>0</v>
      </c>
      <c r="M2175" s="60">
        <v>0</v>
      </c>
      <c r="N2175" s="60">
        <v>0</v>
      </c>
      <c r="O2175" s="60">
        <v>1</v>
      </c>
      <c r="P2175" s="60">
        <v>2</v>
      </c>
      <c r="Q2175" s="60">
        <v>1</v>
      </c>
      <c r="R2175" s="60">
        <v>0</v>
      </c>
      <c r="S2175" s="12">
        <v>0</v>
      </c>
      <c r="T2175" s="60">
        <v>0</v>
      </c>
      <c r="U2175" s="16">
        <v>1</v>
      </c>
      <c r="V2175" s="60">
        <v>2</v>
      </c>
      <c r="W2175" s="60">
        <v>0</v>
      </c>
      <c r="X2175" s="60">
        <v>0</v>
      </c>
      <c r="Y2175" s="12">
        <v>0</v>
      </c>
      <c r="Z2175" s="60">
        <v>0</v>
      </c>
      <c r="AA2175" s="60">
        <v>0</v>
      </c>
      <c r="AB2175" s="60">
        <v>0</v>
      </c>
      <c r="AC2175" s="60">
        <v>0</v>
      </c>
      <c r="AD2175" s="60">
        <v>0</v>
      </c>
      <c r="AE2175" s="60">
        <v>0</v>
      </c>
      <c r="AF2175" s="60">
        <v>30</v>
      </c>
      <c r="AG2175" s="60">
        <v>2</v>
      </c>
      <c r="AH2175" s="60" t="s">
        <v>213</v>
      </c>
      <c r="AI2175" s="12">
        <v>0</v>
      </c>
      <c r="AJ2175" s="12">
        <v>0</v>
      </c>
      <c r="AK2175" s="12">
        <v>0</v>
      </c>
      <c r="AL2175" s="68">
        <v>1.5</v>
      </c>
      <c r="AM2175" s="60">
        <v>0</v>
      </c>
      <c r="AN2175" s="60">
        <v>0</v>
      </c>
      <c r="AO2175" s="60">
        <v>0</v>
      </c>
      <c r="AP2175" s="60">
        <v>1</v>
      </c>
      <c r="AQ2175" s="60">
        <v>3000</v>
      </c>
      <c r="AR2175" s="60">
        <v>0.5</v>
      </c>
      <c r="AS2175" s="60">
        <v>0</v>
      </c>
      <c r="AT2175" s="12">
        <v>0</v>
      </c>
      <c r="AU2175" s="60" t="s">
        <v>5074</v>
      </c>
      <c r="AV2175" s="60"/>
      <c r="AW2175" s="59" t="s">
        <v>287</v>
      </c>
      <c r="AX2175" s="16">
        <v>0</v>
      </c>
      <c r="AY2175" s="64">
        <v>10000007</v>
      </c>
      <c r="AZ2175" s="18">
        <v>23000060</v>
      </c>
      <c r="BA2175" s="59" t="s">
        <v>200</v>
      </c>
      <c r="BB2175" s="60">
        <v>0</v>
      </c>
      <c r="BC2175" s="66">
        <v>0</v>
      </c>
      <c r="BD2175" s="66">
        <v>0</v>
      </c>
      <c r="BE2175" s="90" t="s">
        <v>5075</v>
      </c>
      <c r="BF2175" s="90" t="s">
        <v>5076</v>
      </c>
      <c r="BG2175" s="60">
        <v>0</v>
      </c>
      <c r="BH2175" s="16">
        <v>0</v>
      </c>
      <c r="BI2175" s="60">
        <v>0</v>
      </c>
      <c r="BJ2175" s="60">
        <v>0</v>
      </c>
      <c r="BK2175" s="60">
        <v>0</v>
      </c>
      <c r="BL2175" s="60">
        <v>0</v>
      </c>
      <c r="BM2175" s="16">
        <v>0</v>
      </c>
      <c r="BN2175" s="12">
        <v>0</v>
      </c>
      <c r="BO2175" s="12">
        <v>0</v>
      </c>
      <c r="BP2175" s="12">
        <v>0</v>
      </c>
      <c r="BQ2175" s="12">
        <v>0</v>
      </c>
      <c r="BR2175" s="12">
        <v>0</v>
      </c>
      <c r="BS2175" s="12">
        <v>0</v>
      </c>
      <c r="BT2175" s="12">
        <v>0</v>
      </c>
      <c r="BU2175" s="47">
        <v>0</v>
      </c>
      <c r="BV2175" s="47"/>
      <c r="BW2175" s="47"/>
    </row>
    <row r="2176" spans="3:75" ht="20.100000000000001" customHeight="1">
      <c r="C2176" s="18">
        <v>67000277</v>
      </c>
      <c r="D2176" s="59" t="s">
        <v>625</v>
      </c>
      <c r="E2176" s="59" t="s">
        <v>626</v>
      </c>
      <c r="F2176" s="16">
        <v>1</v>
      </c>
      <c r="G2176" s="16">
        <v>90002001</v>
      </c>
      <c r="H2176" s="60">
        <v>0</v>
      </c>
      <c r="I2176" s="27">
        <v>0</v>
      </c>
      <c r="J2176" s="18">
        <v>1</v>
      </c>
      <c r="K2176" s="18">
        <v>0</v>
      </c>
      <c r="L2176" s="18">
        <v>0</v>
      </c>
      <c r="M2176" s="60">
        <v>0</v>
      </c>
      <c r="N2176" s="60">
        <v>0</v>
      </c>
      <c r="O2176" s="60">
        <v>1</v>
      </c>
      <c r="P2176" s="60">
        <v>0</v>
      </c>
      <c r="Q2176" s="60">
        <v>0</v>
      </c>
      <c r="R2176" s="60">
        <v>0</v>
      </c>
      <c r="S2176" s="12">
        <v>0</v>
      </c>
      <c r="T2176" s="60">
        <v>0</v>
      </c>
      <c r="U2176" s="16">
        <v>1</v>
      </c>
      <c r="V2176" s="60">
        <v>2</v>
      </c>
      <c r="W2176" s="60">
        <v>0</v>
      </c>
      <c r="X2176" s="60">
        <v>1</v>
      </c>
      <c r="Y2176" s="12">
        <v>0</v>
      </c>
      <c r="Z2176" s="60">
        <v>0</v>
      </c>
      <c r="AA2176" s="60">
        <v>0</v>
      </c>
      <c r="AB2176" s="60">
        <v>0</v>
      </c>
      <c r="AC2176" s="60">
        <v>0</v>
      </c>
      <c r="AD2176" s="60">
        <v>0</v>
      </c>
      <c r="AE2176" s="60">
        <v>0</v>
      </c>
      <c r="AF2176" s="60">
        <v>30</v>
      </c>
      <c r="AG2176" s="60">
        <v>2</v>
      </c>
      <c r="AH2176" s="60" t="s">
        <v>627</v>
      </c>
      <c r="AI2176" s="12">
        <v>0</v>
      </c>
      <c r="AJ2176" s="12">
        <v>2</v>
      </c>
      <c r="AK2176" s="12">
        <v>0</v>
      </c>
      <c r="AL2176" s="68">
        <v>0</v>
      </c>
      <c r="AM2176" s="60">
        <v>0</v>
      </c>
      <c r="AN2176" s="60">
        <v>0</v>
      </c>
      <c r="AO2176" s="60">
        <v>0</v>
      </c>
      <c r="AP2176" s="60">
        <v>5</v>
      </c>
      <c r="AQ2176" s="60">
        <v>5000</v>
      </c>
      <c r="AR2176" s="60">
        <v>0</v>
      </c>
      <c r="AS2176" s="60">
        <v>0</v>
      </c>
      <c r="AT2176" s="12">
        <v>0</v>
      </c>
      <c r="AU2176" s="60">
        <v>0</v>
      </c>
      <c r="AV2176" s="60"/>
      <c r="AW2176" s="59" t="s">
        <v>287</v>
      </c>
      <c r="AX2176" s="16">
        <v>0</v>
      </c>
      <c r="AY2176" s="64">
        <v>0</v>
      </c>
      <c r="AZ2176" s="18">
        <v>21000010</v>
      </c>
      <c r="BA2176" s="59" t="s">
        <v>628</v>
      </c>
      <c r="BB2176" s="60" t="s">
        <v>5077</v>
      </c>
      <c r="BC2176" s="66">
        <v>0</v>
      </c>
      <c r="BD2176" s="66">
        <v>0</v>
      </c>
      <c r="BE2176" s="90" t="s">
        <v>5075</v>
      </c>
      <c r="BF2176" s="90" t="s">
        <v>5076</v>
      </c>
      <c r="BG2176" s="60">
        <v>0</v>
      </c>
      <c r="BH2176" s="16">
        <v>0</v>
      </c>
      <c r="BI2176" s="60">
        <v>0</v>
      </c>
      <c r="BJ2176" s="60">
        <v>0</v>
      </c>
      <c r="BK2176" s="60">
        <v>0</v>
      </c>
      <c r="BL2176" s="60">
        <v>0</v>
      </c>
      <c r="BM2176" s="16">
        <v>0</v>
      </c>
      <c r="BN2176" s="12">
        <v>0</v>
      </c>
      <c r="BO2176" s="12">
        <v>0</v>
      </c>
      <c r="BP2176" s="12">
        <v>0</v>
      </c>
      <c r="BQ2176" s="12">
        <v>0</v>
      </c>
      <c r="BR2176" s="12">
        <v>0</v>
      </c>
      <c r="BS2176" s="12">
        <v>0</v>
      </c>
      <c r="BT2176" s="12">
        <v>0</v>
      </c>
      <c r="BU2176" s="47">
        <v>0</v>
      </c>
      <c r="BV2176" s="47"/>
      <c r="BW2176" s="47"/>
    </row>
    <row r="2177" spans="3:75" ht="20.100000000000001" customHeight="1">
      <c r="C2177" s="18">
        <v>67000278</v>
      </c>
      <c r="D2177" s="19" t="s">
        <v>5078</v>
      </c>
      <c r="E2177" s="19" t="s">
        <v>5079</v>
      </c>
      <c r="F2177" s="16">
        <v>1</v>
      </c>
      <c r="G2177" s="18">
        <v>63001001</v>
      </c>
      <c r="H2177" s="18">
        <v>0</v>
      </c>
      <c r="I2177" s="27">
        <v>0</v>
      </c>
      <c r="J2177" s="18">
        <v>1</v>
      </c>
      <c r="K2177" s="18">
        <v>0</v>
      </c>
      <c r="L2177" s="16">
        <v>0</v>
      </c>
      <c r="M2177" s="18">
        <v>0</v>
      </c>
      <c r="N2177" s="18">
        <v>0</v>
      </c>
      <c r="O2177" s="18">
        <v>1</v>
      </c>
      <c r="P2177" s="18">
        <v>0</v>
      </c>
      <c r="Q2177" s="18">
        <v>1</v>
      </c>
      <c r="R2177" s="18">
        <v>0</v>
      </c>
      <c r="S2177" s="12">
        <v>0</v>
      </c>
      <c r="T2177" s="27">
        <v>0</v>
      </c>
      <c r="U2177" s="16">
        <v>1</v>
      </c>
      <c r="V2177" s="18">
        <v>2</v>
      </c>
      <c r="W2177" s="18">
        <v>0</v>
      </c>
      <c r="X2177" s="18">
        <v>0</v>
      </c>
      <c r="Y2177" s="12">
        <v>0</v>
      </c>
      <c r="Z2177" s="18">
        <v>0</v>
      </c>
      <c r="AA2177" s="18">
        <v>0</v>
      </c>
      <c r="AB2177" s="18">
        <v>0</v>
      </c>
      <c r="AC2177" s="18">
        <v>0</v>
      </c>
      <c r="AD2177" s="18">
        <v>1</v>
      </c>
      <c r="AE2177" s="18">
        <v>0</v>
      </c>
      <c r="AF2177" s="18">
        <v>60</v>
      </c>
      <c r="AG2177" s="18">
        <v>2</v>
      </c>
      <c r="AH2177" s="18" t="s">
        <v>5080</v>
      </c>
      <c r="AI2177" s="12">
        <v>0</v>
      </c>
      <c r="AJ2177" s="12">
        <v>0</v>
      </c>
      <c r="AK2177" s="12">
        <v>0</v>
      </c>
      <c r="AL2177" s="12">
        <v>0</v>
      </c>
      <c r="AM2177" s="18">
        <v>0</v>
      </c>
      <c r="AN2177" s="18">
        <v>0</v>
      </c>
      <c r="AO2177" s="18">
        <v>0</v>
      </c>
      <c r="AP2177" s="18">
        <v>1</v>
      </c>
      <c r="AQ2177" s="18">
        <v>1800000</v>
      </c>
      <c r="AR2177" s="18">
        <v>0</v>
      </c>
      <c r="AS2177" s="18">
        <v>0</v>
      </c>
      <c r="AT2177" s="12">
        <v>0</v>
      </c>
      <c r="AU2177" s="18">
        <v>90106002</v>
      </c>
      <c r="AV2177" s="18"/>
      <c r="AW2177" s="19" t="s">
        <v>198</v>
      </c>
      <c r="AX2177" s="18">
        <v>0</v>
      </c>
      <c r="AY2177" s="18">
        <v>0</v>
      </c>
      <c r="AZ2177" s="18">
        <v>0</v>
      </c>
      <c r="BA2177" s="19" t="s">
        <v>2955</v>
      </c>
      <c r="BB2177" s="19">
        <v>0</v>
      </c>
      <c r="BC2177" s="27">
        <v>0</v>
      </c>
      <c r="BD2177" s="27">
        <v>0</v>
      </c>
      <c r="BE2177" s="183" t="s">
        <v>5081</v>
      </c>
      <c r="BF2177" s="183" t="s">
        <v>5082</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spans="3:75" ht="19.5" customHeight="1">
      <c r="C2178" s="18">
        <v>67000279</v>
      </c>
      <c r="D2178" s="17" t="s">
        <v>5083</v>
      </c>
      <c r="E2178" s="17" t="s">
        <v>5084</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10</v>
      </c>
      <c r="AI2178" s="12">
        <v>0</v>
      </c>
      <c r="AJ2178" s="12">
        <v>0</v>
      </c>
      <c r="AK2178" s="12">
        <v>0</v>
      </c>
      <c r="AL2178" s="12">
        <v>0</v>
      </c>
      <c r="AM2178" s="16">
        <v>0</v>
      </c>
      <c r="AN2178" s="16">
        <v>0</v>
      </c>
      <c r="AO2178" s="16">
        <v>0</v>
      </c>
      <c r="AP2178" s="16">
        <v>0.5</v>
      </c>
      <c r="AQ2178" s="16">
        <v>3000</v>
      </c>
      <c r="AR2178" s="16">
        <v>0.2</v>
      </c>
      <c r="AS2178" s="16">
        <v>0</v>
      </c>
      <c r="AT2178" s="12">
        <v>0</v>
      </c>
      <c r="AU2178" s="16" t="s">
        <v>198</v>
      </c>
      <c r="AV2178" s="16"/>
      <c r="AW2178" s="17" t="s">
        <v>617</v>
      </c>
      <c r="AX2178" s="16" t="s">
        <v>534</v>
      </c>
      <c r="AY2178" s="18">
        <v>10000007</v>
      </c>
      <c r="AZ2178" s="18">
        <v>21000020</v>
      </c>
      <c r="BA2178" s="17" t="s">
        <v>1549</v>
      </c>
      <c r="BB2178" s="16">
        <v>0</v>
      </c>
      <c r="BC2178" s="27">
        <v>0</v>
      </c>
      <c r="BD2178" s="27">
        <v>0</v>
      </c>
      <c r="BE2178" s="183" t="s">
        <v>5085</v>
      </c>
      <c r="BF2178" s="183" t="s">
        <v>5086</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67000280</v>
      </c>
      <c r="D2179" s="17" t="s">
        <v>5087</v>
      </c>
      <c r="E2179" s="17" t="s">
        <v>5088</v>
      </c>
      <c r="F2179" s="16">
        <v>1</v>
      </c>
      <c r="G2179" s="16">
        <v>62011201</v>
      </c>
      <c r="H2179" s="16">
        <v>0</v>
      </c>
      <c r="I2179" s="27">
        <v>0</v>
      </c>
      <c r="J2179" s="16">
        <v>5</v>
      </c>
      <c r="K2179" s="16">
        <v>3</v>
      </c>
      <c r="L2179" s="16">
        <v>0</v>
      </c>
      <c r="M2179" s="16">
        <v>0</v>
      </c>
      <c r="N2179" s="16">
        <v>0</v>
      </c>
      <c r="O2179" s="16">
        <v>1</v>
      </c>
      <c r="P2179" s="16">
        <v>0</v>
      </c>
      <c r="Q2179" s="16">
        <v>0</v>
      </c>
      <c r="R2179" s="16">
        <v>0</v>
      </c>
      <c r="S2179" s="12">
        <v>0</v>
      </c>
      <c r="T2179" s="16">
        <v>0</v>
      </c>
      <c r="U2179" s="16">
        <v>1</v>
      </c>
      <c r="V2179" s="16">
        <v>2</v>
      </c>
      <c r="W2179" s="16">
        <v>0</v>
      </c>
      <c r="X2179" s="16">
        <v>1.5</v>
      </c>
      <c r="Y2179" s="12">
        <v>0</v>
      </c>
      <c r="Z2179" s="16">
        <v>10</v>
      </c>
      <c r="AA2179" s="16">
        <v>1</v>
      </c>
      <c r="AB2179" s="16">
        <v>0</v>
      </c>
      <c r="AC2179" s="16">
        <v>0</v>
      </c>
      <c r="AD2179" s="16">
        <v>0</v>
      </c>
      <c r="AE2179" s="16">
        <v>0</v>
      </c>
      <c r="AF2179" s="16">
        <v>5</v>
      </c>
      <c r="AG2179" s="16">
        <v>1</v>
      </c>
      <c r="AH2179" s="60">
        <v>3</v>
      </c>
      <c r="AI2179" s="12">
        <v>2</v>
      </c>
      <c r="AJ2179" s="12">
        <v>1</v>
      </c>
      <c r="AK2179" s="12">
        <v>0</v>
      </c>
      <c r="AL2179" s="12">
        <v>8</v>
      </c>
      <c r="AM2179" s="16">
        <v>0</v>
      </c>
      <c r="AN2179" s="16">
        <v>0</v>
      </c>
      <c r="AO2179" s="16">
        <v>0</v>
      </c>
      <c r="AP2179" s="16">
        <v>0.5</v>
      </c>
      <c r="AQ2179" s="16">
        <v>10000</v>
      </c>
      <c r="AR2179" s="16">
        <v>0.2</v>
      </c>
      <c r="AS2179" s="16">
        <v>0</v>
      </c>
      <c r="AT2179" s="12">
        <v>0</v>
      </c>
      <c r="AU2179" s="16" t="s">
        <v>198</v>
      </c>
      <c r="AV2179" s="16"/>
      <c r="AW2179" s="17" t="s">
        <v>617</v>
      </c>
      <c r="AX2179" s="16" t="s">
        <v>534</v>
      </c>
      <c r="AY2179" s="18">
        <v>10000007</v>
      </c>
      <c r="AZ2179" s="18">
        <v>21102020</v>
      </c>
      <c r="BA2179" s="17" t="s">
        <v>1549</v>
      </c>
      <c r="BB2179" s="16">
        <v>0</v>
      </c>
      <c r="BC2179" s="27">
        <v>0</v>
      </c>
      <c r="BD2179" s="27">
        <v>0</v>
      </c>
      <c r="BE2179" s="183" t="s">
        <v>5089</v>
      </c>
      <c r="BF2179" s="183" t="s">
        <v>5090</v>
      </c>
      <c r="BG2179" s="16">
        <v>0</v>
      </c>
      <c r="BH2179" s="16">
        <v>0</v>
      </c>
      <c r="BI2179" s="16">
        <v>0</v>
      </c>
      <c r="BJ2179" s="16">
        <v>0</v>
      </c>
      <c r="BK2179" s="16">
        <v>0</v>
      </c>
      <c r="BL2179" s="16">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67000281</v>
      </c>
      <c r="D2180" s="17" t="s">
        <v>5091</v>
      </c>
      <c r="E2180" s="17" t="s">
        <v>5092</v>
      </c>
      <c r="F2180" s="16">
        <v>1</v>
      </c>
      <c r="G2180" s="16">
        <v>62011201</v>
      </c>
      <c r="H2180" s="16">
        <v>0</v>
      </c>
      <c r="I2180" s="27">
        <v>0</v>
      </c>
      <c r="J2180" s="16">
        <v>5</v>
      </c>
      <c r="K2180" s="16">
        <v>3</v>
      </c>
      <c r="L2180" s="16">
        <v>0</v>
      </c>
      <c r="M2180" s="16">
        <v>0</v>
      </c>
      <c r="N2180" s="16">
        <v>0</v>
      </c>
      <c r="O2180" s="16">
        <v>1</v>
      </c>
      <c r="P2180" s="16">
        <v>0</v>
      </c>
      <c r="Q2180" s="16">
        <v>0</v>
      </c>
      <c r="R2180" s="16">
        <v>0</v>
      </c>
      <c r="S2180" s="12">
        <v>0</v>
      </c>
      <c r="T2180" s="16">
        <v>0</v>
      </c>
      <c r="U2180" s="16">
        <v>1</v>
      </c>
      <c r="V2180" s="16">
        <v>2</v>
      </c>
      <c r="W2180" s="16">
        <v>0</v>
      </c>
      <c r="X2180" s="16">
        <v>1.5</v>
      </c>
      <c r="Y2180" s="12">
        <v>0</v>
      </c>
      <c r="Z2180" s="16">
        <v>10</v>
      </c>
      <c r="AA2180" s="16">
        <v>1</v>
      </c>
      <c r="AB2180" s="16">
        <v>0</v>
      </c>
      <c r="AC2180" s="16">
        <v>0</v>
      </c>
      <c r="AD2180" s="16">
        <v>0</v>
      </c>
      <c r="AE2180" s="16">
        <v>0</v>
      </c>
      <c r="AF2180" s="16">
        <v>5</v>
      </c>
      <c r="AG2180" s="16">
        <v>1</v>
      </c>
      <c r="AH2180" s="60">
        <v>3</v>
      </c>
      <c r="AI2180" s="12">
        <v>0</v>
      </c>
      <c r="AJ2180" s="12">
        <v>2</v>
      </c>
      <c r="AK2180" s="12">
        <v>0</v>
      </c>
      <c r="AL2180" s="12">
        <v>3</v>
      </c>
      <c r="AM2180" s="16">
        <v>0</v>
      </c>
      <c r="AN2180" s="16">
        <v>0</v>
      </c>
      <c r="AO2180" s="16">
        <v>0</v>
      </c>
      <c r="AP2180" s="16">
        <v>0.5</v>
      </c>
      <c r="AQ2180" s="16">
        <v>10000</v>
      </c>
      <c r="AR2180" s="16">
        <v>0.2</v>
      </c>
      <c r="AS2180" s="16">
        <v>3</v>
      </c>
      <c r="AT2180" s="12">
        <v>0</v>
      </c>
      <c r="AU2180" s="16" t="s">
        <v>198</v>
      </c>
      <c r="AV2180" s="16"/>
      <c r="AW2180" s="17" t="s">
        <v>617</v>
      </c>
      <c r="AX2180" s="16" t="s">
        <v>534</v>
      </c>
      <c r="AY2180" s="18">
        <v>10000007</v>
      </c>
      <c r="AZ2180" s="18">
        <v>21102020</v>
      </c>
      <c r="BA2180" s="17" t="s">
        <v>1574</v>
      </c>
      <c r="BB2180" s="16">
        <v>0</v>
      </c>
      <c r="BC2180" s="27">
        <v>0</v>
      </c>
      <c r="BD2180" s="27">
        <v>0</v>
      </c>
      <c r="BE2180" s="183" t="s">
        <v>5093</v>
      </c>
      <c r="BF2180" s="183" t="s">
        <v>5094</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19.5" customHeight="1">
      <c r="C2181" s="18">
        <v>67000282</v>
      </c>
      <c r="D2181" s="17" t="s">
        <v>5095</v>
      </c>
      <c r="E2181" s="17" t="s">
        <v>5096</v>
      </c>
      <c r="F2181" s="16">
        <v>1</v>
      </c>
      <c r="G2181" s="18">
        <v>61021201</v>
      </c>
      <c r="H2181" s="18">
        <v>0</v>
      </c>
      <c r="I2181" s="27">
        <v>0</v>
      </c>
      <c r="J2181" s="16">
        <f>J2175+5</f>
        <v>6</v>
      </c>
      <c r="K2181" s="16">
        <v>5</v>
      </c>
      <c r="L2181" s="16">
        <v>0</v>
      </c>
      <c r="M2181" s="18">
        <v>0</v>
      </c>
      <c r="N2181" s="18">
        <v>0</v>
      </c>
      <c r="O2181" s="18">
        <v>1</v>
      </c>
      <c r="P2181" s="18">
        <v>0</v>
      </c>
      <c r="Q2181" s="18">
        <v>0</v>
      </c>
      <c r="R2181" s="18">
        <v>0</v>
      </c>
      <c r="S2181" s="12">
        <v>0</v>
      </c>
      <c r="T2181" s="27">
        <v>0</v>
      </c>
      <c r="U2181" s="16">
        <v>1</v>
      </c>
      <c r="V2181" s="18">
        <v>2</v>
      </c>
      <c r="W2181" s="18">
        <v>0</v>
      </c>
      <c r="X2181" s="16">
        <v>3.5</v>
      </c>
      <c r="Y2181" s="12">
        <v>0</v>
      </c>
      <c r="Z2181" s="16">
        <v>500</v>
      </c>
      <c r="AA2181" s="18">
        <v>1</v>
      </c>
      <c r="AB2181" s="18">
        <v>0</v>
      </c>
      <c r="AC2181" s="18">
        <v>0</v>
      </c>
      <c r="AD2181" s="18">
        <v>0</v>
      </c>
      <c r="AE2181" s="18">
        <v>0</v>
      </c>
      <c r="AF2181" s="18">
        <v>7</v>
      </c>
      <c r="AG2181" s="18">
        <v>1</v>
      </c>
      <c r="AH2181" s="18">
        <v>3</v>
      </c>
      <c r="AI2181" s="12">
        <v>2</v>
      </c>
      <c r="AJ2181" s="12">
        <v>1</v>
      </c>
      <c r="AK2181" s="12">
        <v>0</v>
      </c>
      <c r="AL2181" s="12">
        <v>8</v>
      </c>
      <c r="AM2181" s="18">
        <v>0</v>
      </c>
      <c r="AN2181" s="18">
        <v>0.5</v>
      </c>
      <c r="AO2181" s="18">
        <v>0</v>
      </c>
      <c r="AP2181" s="18">
        <v>0.25</v>
      </c>
      <c r="AQ2181" s="18">
        <v>9000</v>
      </c>
      <c r="AR2181" s="18">
        <v>0.5</v>
      </c>
      <c r="AS2181" s="18">
        <v>0</v>
      </c>
      <c r="AT2181" s="12">
        <v>0</v>
      </c>
      <c r="AU2181" s="18">
        <v>0</v>
      </c>
      <c r="AV2181" s="18"/>
      <c r="AW2181" s="19" t="s">
        <v>1557</v>
      </c>
      <c r="AX2181" s="18" t="s">
        <v>1041</v>
      </c>
      <c r="AY2181" s="18">
        <v>10003002</v>
      </c>
      <c r="AZ2181" s="18">
        <v>21010020</v>
      </c>
      <c r="BA2181" s="19" t="s">
        <v>1574</v>
      </c>
      <c r="BB2181" s="19">
        <v>0</v>
      </c>
      <c r="BC2181" s="27">
        <v>0</v>
      </c>
      <c r="BD2181" s="27">
        <v>0</v>
      </c>
      <c r="BE2181" s="183" t="s">
        <v>5097</v>
      </c>
      <c r="BF2181" s="183" t="s">
        <v>5098</v>
      </c>
      <c r="BG2181" s="18">
        <v>0</v>
      </c>
      <c r="BH2181" s="16">
        <v>0</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67000283</v>
      </c>
      <c r="D2182" s="19" t="s">
        <v>5099</v>
      </c>
      <c r="E2182" s="19" t="s">
        <v>5100</v>
      </c>
      <c r="F2182" s="16">
        <v>1</v>
      </c>
      <c r="G2182" s="18">
        <v>63001001</v>
      </c>
      <c r="H2182" s="18">
        <v>0</v>
      </c>
      <c r="I2182" s="27">
        <v>0</v>
      </c>
      <c r="J2182" s="18">
        <v>1</v>
      </c>
      <c r="K2182" s="18">
        <v>0</v>
      </c>
      <c r="L2182" s="16">
        <v>0</v>
      </c>
      <c r="M2182" s="18">
        <v>0</v>
      </c>
      <c r="N2182" s="18">
        <v>0</v>
      </c>
      <c r="O2182" s="18">
        <v>1</v>
      </c>
      <c r="P2182" s="18">
        <v>0</v>
      </c>
      <c r="Q2182" s="18">
        <v>1</v>
      </c>
      <c r="R2182" s="18">
        <v>0</v>
      </c>
      <c r="S2182" s="12">
        <v>0</v>
      </c>
      <c r="T2182" s="27">
        <v>0</v>
      </c>
      <c r="U2182" s="16">
        <v>1</v>
      </c>
      <c r="V2182" s="18">
        <v>2</v>
      </c>
      <c r="W2182" s="18">
        <v>0</v>
      </c>
      <c r="X2182" s="18">
        <v>0</v>
      </c>
      <c r="Y2182" s="12">
        <v>0</v>
      </c>
      <c r="Z2182" s="18">
        <v>0</v>
      </c>
      <c r="AA2182" s="18">
        <v>0</v>
      </c>
      <c r="AB2182" s="18">
        <v>0</v>
      </c>
      <c r="AC2182" s="18">
        <v>0</v>
      </c>
      <c r="AD2182" s="18">
        <v>1</v>
      </c>
      <c r="AE2182" s="18">
        <v>0</v>
      </c>
      <c r="AF2182" s="18">
        <v>60</v>
      </c>
      <c r="AG2182" s="18">
        <v>2</v>
      </c>
      <c r="AH2182" s="18" t="s">
        <v>5101</v>
      </c>
      <c r="AI2182" s="12">
        <v>0</v>
      </c>
      <c r="AJ2182" s="12">
        <v>0</v>
      </c>
      <c r="AK2182" s="12">
        <v>0</v>
      </c>
      <c r="AL2182" s="12">
        <v>0</v>
      </c>
      <c r="AM2182" s="18">
        <v>0</v>
      </c>
      <c r="AN2182" s="18">
        <v>0</v>
      </c>
      <c r="AO2182" s="18">
        <v>0</v>
      </c>
      <c r="AP2182" s="18">
        <v>1</v>
      </c>
      <c r="AQ2182" s="18">
        <v>1800000</v>
      </c>
      <c r="AR2182" s="18">
        <v>0</v>
      </c>
      <c r="AS2182" s="18">
        <v>0</v>
      </c>
      <c r="AT2182" s="12">
        <v>0</v>
      </c>
      <c r="AU2182" s="18">
        <v>99002002</v>
      </c>
      <c r="AV2182" s="18"/>
      <c r="AW2182" s="19" t="s">
        <v>198</v>
      </c>
      <c r="AX2182" s="18">
        <v>0</v>
      </c>
      <c r="AY2182" s="18">
        <v>0</v>
      </c>
      <c r="AZ2182" s="18">
        <v>0</v>
      </c>
      <c r="BA2182" s="19" t="s">
        <v>2955</v>
      </c>
      <c r="BB2182" s="19">
        <v>0</v>
      </c>
      <c r="BC2182" s="27">
        <v>0</v>
      </c>
      <c r="BD2182" s="27">
        <v>0</v>
      </c>
      <c r="BE2182" s="183" t="s">
        <v>5081</v>
      </c>
      <c r="BF2182" s="183" t="s">
        <v>5082</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67000284</v>
      </c>
      <c r="D2183" s="19" t="s">
        <v>5102</v>
      </c>
      <c r="E2183" s="19" t="s">
        <v>5103</v>
      </c>
      <c r="F2183" s="16">
        <v>1</v>
      </c>
      <c r="G2183" s="18">
        <v>63001001</v>
      </c>
      <c r="H2183" s="18">
        <v>0</v>
      </c>
      <c r="I2183" s="27">
        <v>0</v>
      </c>
      <c r="J2183" s="18">
        <v>1</v>
      </c>
      <c r="K2183" s="18">
        <v>0</v>
      </c>
      <c r="L2183" s="16">
        <v>0</v>
      </c>
      <c r="M2183" s="18">
        <v>0</v>
      </c>
      <c r="N2183" s="18">
        <v>0</v>
      </c>
      <c r="O2183" s="18">
        <v>1</v>
      </c>
      <c r="P2183" s="18">
        <v>0</v>
      </c>
      <c r="Q2183" s="18">
        <v>1</v>
      </c>
      <c r="R2183" s="18">
        <v>0</v>
      </c>
      <c r="S2183" s="12">
        <v>0</v>
      </c>
      <c r="T2183" s="27">
        <v>0</v>
      </c>
      <c r="U2183" s="16">
        <v>1</v>
      </c>
      <c r="V2183" s="18">
        <v>2</v>
      </c>
      <c r="W2183" s="18">
        <v>0</v>
      </c>
      <c r="X2183" s="18">
        <v>0</v>
      </c>
      <c r="Y2183" s="12">
        <v>0</v>
      </c>
      <c r="Z2183" s="18">
        <v>0</v>
      </c>
      <c r="AA2183" s="18">
        <v>0</v>
      </c>
      <c r="AB2183" s="18">
        <v>0</v>
      </c>
      <c r="AC2183" s="18">
        <v>0</v>
      </c>
      <c r="AD2183" s="18">
        <v>1</v>
      </c>
      <c r="AE2183" s="18">
        <v>0</v>
      </c>
      <c r="AF2183" s="18">
        <v>60</v>
      </c>
      <c r="AG2183" s="18">
        <v>2</v>
      </c>
      <c r="AH2183" s="18" t="s">
        <v>711</v>
      </c>
      <c r="AI2183" s="12">
        <v>0</v>
      </c>
      <c r="AJ2183" s="12">
        <v>0</v>
      </c>
      <c r="AK2183" s="12">
        <v>0</v>
      </c>
      <c r="AL2183" s="12">
        <v>0</v>
      </c>
      <c r="AM2183" s="18">
        <v>0</v>
      </c>
      <c r="AN2183" s="18">
        <v>0</v>
      </c>
      <c r="AO2183" s="18">
        <v>0</v>
      </c>
      <c r="AP2183" s="18">
        <v>1</v>
      </c>
      <c r="AQ2183" s="18">
        <v>1800000</v>
      </c>
      <c r="AR2183" s="18">
        <v>0</v>
      </c>
      <c r="AS2183" s="18">
        <v>0</v>
      </c>
      <c r="AT2183" s="12">
        <v>0</v>
      </c>
      <c r="AU2183" s="18">
        <v>99002002</v>
      </c>
      <c r="AV2183" s="18"/>
      <c r="AW2183" s="19" t="s">
        <v>198</v>
      </c>
      <c r="AX2183" s="18">
        <v>0</v>
      </c>
      <c r="AY2183" s="18">
        <v>0</v>
      </c>
      <c r="AZ2183" s="18">
        <v>0</v>
      </c>
      <c r="BA2183" s="19" t="s">
        <v>2955</v>
      </c>
      <c r="BB2183" s="19">
        <v>0</v>
      </c>
      <c r="BC2183" s="27">
        <v>0</v>
      </c>
      <c r="BD2183" s="27">
        <v>0</v>
      </c>
      <c r="BE2183" s="183" t="s">
        <v>5081</v>
      </c>
      <c r="BF2183" s="183" t="s">
        <v>5082</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row>
    <row r="2184" spans="3:75" ht="21.75" customHeight="1">
      <c r="C2184" s="18">
        <v>90010301</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4</v>
      </c>
      <c r="AI2184" s="12">
        <v>0</v>
      </c>
      <c r="AJ2184" s="12">
        <v>1</v>
      </c>
      <c r="AK2184" s="12">
        <v>0</v>
      </c>
      <c r="AL2184" s="12">
        <v>2</v>
      </c>
      <c r="AM2184" s="16">
        <v>0</v>
      </c>
      <c r="AN2184" s="16">
        <v>0</v>
      </c>
      <c r="AO2184" s="16">
        <v>0</v>
      </c>
      <c r="AP2184" s="16">
        <v>3</v>
      </c>
      <c r="AQ2184" s="16">
        <v>5000</v>
      </c>
      <c r="AR2184" s="16">
        <v>1.1000000000000001</v>
      </c>
      <c r="AS2184" s="16">
        <v>0</v>
      </c>
      <c r="AT2184" s="12">
        <v>0</v>
      </c>
      <c r="AU2184" s="16">
        <v>90000002</v>
      </c>
      <c r="AV2184" s="16"/>
      <c r="AW2184" s="17" t="s">
        <v>287</v>
      </c>
      <c r="AX2184" s="16" t="s">
        <v>534</v>
      </c>
      <c r="AY2184" s="18">
        <v>10000007</v>
      </c>
      <c r="AZ2184" s="18">
        <v>90010301</v>
      </c>
      <c r="BA2184" s="17" t="s">
        <v>200</v>
      </c>
      <c r="BB2184" s="16" t="s">
        <v>4370</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90010302</v>
      </c>
      <c r="D2185" s="17" t="s">
        <v>543</v>
      </c>
      <c r="E2185" s="17" t="s">
        <v>544</v>
      </c>
      <c r="F2185" s="18">
        <v>1</v>
      </c>
      <c r="G2185" s="16">
        <v>60010300</v>
      </c>
      <c r="H2185" s="18">
        <v>0</v>
      </c>
      <c r="I2185" s="27">
        <v>0</v>
      </c>
      <c r="J2185" s="18">
        <v>1</v>
      </c>
      <c r="K2185" s="18">
        <v>0</v>
      </c>
      <c r="L2185" s="18">
        <v>0</v>
      </c>
      <c r="M2185" s="16">
        <v>0</v>
      </c>
      <c r="N2185" s="16">
        <v>0</v>
      </c>
      <c r="O2185" s="16">
        <v>2</v>
      </c>
      <c r="P2185" s="16">
        <v>1</v>
      </c>
      <c r="Q2185" s="16">
        <v>0.5</v>
      </c>
      <c r="R2185" s="16">
        <v>0</v>
      </c>
      <c r="S2185" s="12">
        <v>0</v>
      </c>
      <c r="T2185" s="16">
        <v>0</v>
      </c>
      <c r="U2185" s="16">
        <v>1</v>
      </c>
      <c r="V2185" s="16">
        <v>2</v>
      </c>
      <c r="W2185" s="16">
        <v>0</v>
      </c>
      <c r="X2185" s="16">
        <v>3</v>
      </c>
      <c r="Y2185" s="12">
        <v>0</v>
      </c>
      <c r="Z2185" s="16">
        <v>0</v>
      </c>
      <c r="AA2185" s="16">
        <v>0</v>
      </c>
      <c r="AB2185" s="16">
        <v>0</v>
      </c>
      <c r="AC2185" s="16">
        <v>0</v>
      </c>
      <c r="AD2185" s="16">
        <v>0</v>
      </c>
      <c r="AE2185" s="16">
        <v>0</v>
      </c>
      <c r="AF2185" s="16">
        <v>12</v>
      </c>
      <c r="AG2185" s="16">
        <v>2</v>
      </c>
      <c r="AH2185" s="16" t="s">
        <v>213</v>
      </c>
      <c r="AI2185" s="12">
        <v>0</v>
      </c>
      <c r="AJ2185" s="12">
        <v>2</v>
      </c>
      <c r="AK2185" s="12">
        <v>0</v>
      </c>
      <c r="AL2185" s="12">
        <v>1.5</v>
      </c>
      <c r="AM2185" s="16">
        <v>0</v>
      </c>
      <c r="AN2185" s="16">
        <v>0</v>
      </c>
      <c r="AO2185" s="16">
        <v>0</v>
      </c>
      <c r="AP2185" s="16">
        <v>1.1000000000000001</v>
      </c>
      <c r="AQ2185" s="16">
        <v>3000</v>
      </c>
      <c r="AR2185" s="16">
        <v>1.1000000000000001</v>
      </c>
      <c r="AS2185" s="16">
        <v>0</v>
      </c>
      <c r="AT2185" s="12">
        <v>0</v>
      </c>
      <c r="AU2185" s="16" t="s">
        <v>198</v>
      </c>
      <c r="AV2185" s="16"/>
      <c r="AW2185" s="19" t="s">
        <v>287</v>
      </c>
      <c r="AX2185" s="16" t="s">
        <v>545</v>
      </c>
      <c r="AY2185" s="18">
        <v>10001007</v>
      </c>
      <c r="AZ2185" s="18">
        <v>70103001</v>
      </c>
      <c r="BA2185" s="17" t="s">
        <v>200</v>
      </c>
      <c r="BB2185" s="16">
        <v>0</v>
      </c>
      <c r="BC2185" s="27">
        <v>0</v>
      </c>
      <c r="BD2185" s="27">
        <v>0</v>
      </c>
      <c r="BE2185" s="44" t="s">
        <v>546</v>
      </c>
      <c r="BF2185" s="44" t="s">
        <v>547</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90010303</v>
      </c>
      <c r="D2186" s="19" t="s">
        <v>538</v>
      </c>
      <c r="E2186" s="19" t="s">
        <v>539</v>
      </c>
      <c r="F2186" s="18">
        <v>1</v>
      </c>
      <c r="G2186" s="18">
        <v>60010500</v>
      </c>
      <c r="H2186" s="18">
        <v>0</v>
      </c>
      <c r="I2186" s="27">
        <v>0</v>
      </c>
      <c r="J2186" s="18">
        <v>1</v>
      </c>
      <c r="K2186" s="18">
        <v>0</v>
      </c>
      <c r="L2186" s="18">
        <v>0</v>
      </c>
      <c r="M2186" s="18">
        <v>0</v>
      </c>
      <c r="N2186" s="18">
        <v>0</v>
      </c>
      <c r="O2186" s="16">
        <v>2</v>
      </c>
      <c r="P2186" s="18">
        <v>2</v>
      </c>
      <c r="Q2186" s="18">
        <v>0.6</v>
      </c>
      <c r="R2186" s="18">
        <v>0</v>
      </c>
      <c r="S2186" s="12">
        <v>0</v>
      </c>
      <c r="T2186" s="27">
        <v>0</v>
      </c>
      <c r="U2186" s="16">
        <v>1</v>
      </c>
      <c r="V2186" s="18">
        <v>2</v>
      </c>
      <c r="W2186" s="18">
        <v>0</v>
      </c>
      <c r="X2186" s="18">
        <v>0</v>
      </c>
      <c r="Y2186" s="12">
        <v>0</v>
      </c>
      <c r="Z2186" s="18">
        <v>0</v>
      </c>
      <c r="AA2186" s="18">
        <v>0</v>
      </c>
      <c r="AB2186" s="18">
        <v>0</v>
      </c>
      <c r="AC2186" s="18">
        <v>0</v>
      </c>
      <c r="AD2186" s="18">
        <v>0</v>
      </c>
      <c r="AE2186" s="18">
        <v>0</v>
      </c>
      <c r="AF2186" s="18">
        <v>20</v>
      </c>
      <c r="AG2186" s="18">
        <v>0</v>
      </c>
      <c r="AH2186" s="18">
        <v>0</v>
      </c>
      <c r="AI2186" s="12">
        <v>0</v>
      </c>
      <c r="AJ2186" s="12">
        <v>0</v>
      </c>
      <c r="AK2186" s="12">
        <v>0</v>
      </c>
      <c r="AL2186" s="12">
        <v>0</v>
      </c>
      <c r="AM2186" s="18">
        <v>0</v>
      </c>
      <c r="AN2186" s="18">
        <v>0</v>
      </c>
      <c r="AO2186" s="18">
        <v>0</v>
      </c>
      <c r="AP2186" s="18">
        <v>0</v>
      </c>
      <c r="AQ2186" s="18">
        <v>1000</v>
      </c>
      <c r="AR2186" s="18">
        <v>0</v>
      </c>
      <c r="AS2186" s="18">
        <v>0</v>
      </c>
      <c r="AT2186" s="12">
        <v>90103001</v>
      </c>
      <c r="AU2186" s="18" t="s">
        <v>198</v>
      </c>
      <c r="AV2186" s="18"/>
      <c r="AW2186" s="19" t="s">
        <v>198</v>
      </c>
      <c r="AX2186" s="18" t="s">
        <v>348</v>
      </c>
      <c r="AY2186" s="18">
        <v>0</v>
      </c>
      <c r="AZ2186" s="18">
        <v>40000003</v>
      </c>
      <c r="BA2186" s="19" t="s">
        <v>200</v>
      </c>
      <c r="BB2186" s="19" t="s">
        <v>198</v>
      </c>
      <c r="BC2186" s="27">
        <v>0</v>
      </c>
      <c r="BD2186" s="27">
        <v>0</v>
      </c>
      <c r="BE2186" s="87" t="s">
        <v>548</v>
      </c>
      <c r="BF2186" s="87" t="s">
        <v>549</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90010401</v>
      </c>
      <c r="D2187" s="15" t="s">
        <v>5104</v>
      </c>
      <c r="E2187" s="15" t="s">
        <v>5105</v>
      </c>
      <c r="F2187" s="15">
        <v>1</v>
      </c>
      <c r="G2187" s="15">
        <v>0</v>
      </c>
      <c r="H2187" s="15">
        <v>0</v>
      </c>
      <c r="I2187" s="26">
        <v>0</v>
      </c>
      <c r="J2187" s="15">
        <v>1</v>
      </c>
      <c r="K2187" s="15">
        <v>0</v>
      </c>
      <c r="L2187" s="26">
        <v>0</v>
      </c>
      <c r="M2187" s="26">
        <v>0</v>
      </c>
      <c r="N2187" s="15">
        <v>0</v>
      </c>
      <c r="O2187" s="15">
        <v>2</v>
      </c>
      <c r="P2187" s="15">
        <v>1</v>
      </c>
      <c r="Q2187" s="15">
        <v>0.1</v>
      </c>
      <c r="R2187" s="15">
        <v>0</v>
      </c>
      <c r="S2187" s="12">
        <v>0</v>
      </c>
      <c r="T2187" s="15">
        <v>0</v>
      </c>
      <c r="U2187" s="16">
        <v>1</v>
      </c>
      <c r="V2187" s="15">
        <v>1</v>
      </c>
      <c r="W2187" s="26">
        <v>0</v>
      </c>
      <c r="X2187" s="15">
        <v>2.5</v>
      </c>
      <c r="Y2187" s="12">
        <v>0</v>
      </c>
      <c r="Z2187" s="15">
        <v>0</v>
      </c>
      <c r="AA2187" s="15">
        <v>1</v>
      </c>
      <c r="AB2187" s="15">
        <v>0</v>
      </c>
      <c r="AC2187" s="26">
        <v>0</v>
      </c>
      <c r="AD2187" s="15">
        <v>0</v>
      </c>
      <c r="AE2187" s="15">
        <v>0</v>
      </c>
      <c r="AF2187" s="15">
        <v>1</v>
      </c>
      <c r="AG2187" s="15">
        <v>0</v>
      </c>
      <c r="AH2187" s="15">
        <v>0</v>
      </c>
      <c r="AI2187" s="12">
        <v>0</v>
      </c>
      <c r="AJ2187" s="12">
        <v>0</v>
      </c>
      <c r="AK2187" s="12">
        <v>0</v>
      </c>
      <c r="AL2187" s="15">
        <v>0</v>
      </c>
      <c r="AM2187" s="33">
        <v>0</v>
      </c>
      <c r="AN2187" s="15">
        <v>0</v>
      </c>
      <c r="AO2187" s="15">
        <v>0</v>
      </c>
      <c r="AP2187" s="15">
        <v>0</v>
      </c>
      <c r="AQ2187" s="15">
        <v>3000</v>
      </c>
      <c r="AR2187" s="15">
        <v>0</v>
      </c>
      <c r="AS2187" s="15">
        <v>0</v>
      </c>
      <c r="AT2187" s="12">
        <v>0</v>
      </c>
      <c r="AU2187" s="15">
        <v>0</v>
      </c>
      <c r="AV2187" s="15"/>
      <c r="AW2187" s="15">
        <v>0</v>
      </c>
      <c r="AX2187" s="26">
        <v>0</v>
      </c>
      <c r="AY2187" s="26">
        <v>0</v>
      </c>
      <c r="AZ2187" s="26">
        <v>0</v>
      </c>
      <c r="BA2187" s="19" t="s">
        <v>200</v>
      </c>
      <c r="BB2187" s="7">
        <v>0</v>
      </c>
      <c r="BC2187" s="80">
        <v>0</v>
      </c>
      <c r="BD2187" s="80">
        <v>0</v>
      </c>
      <c r="BE2187" s="43" t="s">
        <v>634</v>
      </c>
      <c r="BF2187" s="43" t="s">
        <v>635</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row>
    <row r="2188" spans="3:75" ht="21.75" customHeight="1">
      <c r="C2188" s="18">
        <v>90010402</v>
      </c>
      <c r="D2188" s="17" t="s">
        <v>532</v>
      </c>
      <c r="E2188" s="17" t="s">
        <v>255</v>
      </c>
      <c r="F2188" s="18">
        <v>1</v>
      </c>
      <c r="G2188" s="16">
        <v>60010100</v>
      </c>
      <c r="H2188" s="18">
        <v>0</v>
      </c>
      <c r="I2188" s="27">
        <v>0</v>
      </c>
      <c r="J2188" s="18">
        <v>1</v>
      </c>
      <c r="K2188" s="18">
        <v>0</v>
      </c>
      <c r="L2188" s="18">
        <v>0</v>
      </c>
      <c r="M2188" s="16">
        <v>0</v>
      </c>
      <c r="N2188" s="16">
        <v>0</v>
      </c>
      <c r="O2188" s="16">
        <v>2</v>
      </c>
      <c r="P2188" s="16">
        <v>3</v>
      </c>
      <c r="Q2188" s="16">
        <v>1</v>
      </c>
      <c r="R2188" s="16">
        <v>0</v>
      </c>
      <c r="S2188" s="12">
        <v>0</v>
      </c>
      <c r="T2188" s="16">
        <v>0</v>
      </c>
      <c r="U2188" s="16">
        <v>1</v>
      </c>
      <c r="V2188" s="16">
        <v>2</v>
      </c>
      <c r="W2188" s="16">
        <v>0</v>
      </c>
      <c r="X2188" s="16">
        <v>3</v>
      </c>
      <c r="Y2188" s="12">
        <v>0</v>
      </c>
      <c r="Z2188" s="16">
        <v>0</v>
      </c>
      <c r="AA2188" s="16">
        <v>1</v>
      </c>
      <c r="AB2188" s="16">
        <v>0</v>
      </c>
      <c r="AC2188" s="16">
        <v>0</v>
      </c>
      <c r="AD2188" s="16">
        <v>0</v>
      </c>
      <c r="AE2188" s="16">
        <v>0</v>
      </c>
      <c r="AF2188" s="16">
        <v>9</v>
      </c>
      <c r="AG2188" s="16">
        <v>1</v>
      </c>
      <c r="AH2188" s="16">
        <v>5</v>
      </c>
      <c r="AI2188" s="12">
        <v>0</v>
      </c>
      <c r="AJ2188" s="12">
        <v>1</v>
      </c>
      <c r="AK2188" s="12">
        <v>0</v>
      </c>
      <c r="AL2188" s="12">
        <v>2.5</v>
      </c>
      <c r="AM2188" s="16">
        <v>0</v>
      </c>
      <c r="AN2188" s="16">
        <v>0</v>
      </c>
      <c r="AO2188" s="16">
        <v>0</v>
      </c>
      <c r="AP2188" s="16">
        <v>2.5</v>
      </c>
      <c r="AQ2188" s="16">
        <v>5000</v>
      </c>
      <c r="AR2188" s="16">
        <v>2</v>
      </c>
      <c r="AS2188" s="16">
        <v>0</v>
      </c>
      <c r="AT2188" s="12">
        <v>0</v>
      </c>
      <c r="AU2188" s="15">
        <v>91000005</v>
      </c>
      <c r="AV2188" s="15"/>
      <c r="AW2188" s="15" t="s">
        <v>256</v>
      </c>
      <c r="AX2188" s="16">
        <v>0</v>
      </c>
      <c r="AY2188" s="18">
        <v>10000007</v>
      </c>
      <c r="AZ2188" s="18">
        <v>90010402</v>
      </c>
      <c r="BA2188" s="17" t="s">
        <v>200</v>
      </c>
      <c r="BB2188" s="16" t="s">
        <v>5106</v>
      </c>
      <c r="BC2188" s="27">
        <v>0</v>
      </c>
      <c r="BD2188" s="27">
        <v>0</v>
      </c>
      <c r="BE2188" s="44" t="s">
        <v>536</v>
      </c>
      <c r="BF2188" s="44" t="s">
        <v>537</v>
      </c>
      <c r="BG2188" s="16">
        <v>0</v>
      </c>
      <c r="BH2188" s="16">
        <v>0</v>
      </c>
      <c r="BI2188" s="16">
        <v>0</v>
      </c>
      <c r="BJ2188" s="16">
        <v>0</v>
      </c>
      <c r="BK2188" s="16">
        <v>0</v>
      </c>
      <c r="BL2188" s="16">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90010403</v>
      </c>
      <c r="D2189" s="15" t="s">
        <v>5107</v>
      </c>
      <c r="E2189" s="15" t="s">
        <v>5108</v>
      </c>
      <c r="F2189" s="15">
        <v>1</v>
      </c>
      <c r="G2189" s="15">
        <v>0</v>
      </c>
      <c r="H2189" s="15">
        <v>0</v>
      </c>
      <c r="I2189" s="26">
        <v>0</v>
      </c>
      <c r="J2189" s="15">
        <v>1</v>
      </c>
      <c r="K2189" s="15">
        <v>0</v>
      </c>
      <c r="L2189" s="26">
        <v>0</v>
      </c>
      <c r="M2189" s="26">
        <v>0</v>
      </c>
      <c r="N2189" s="15">
        <v>0</v>
      </c>
      <c r="O2189" s="15">
        <v>2</v>
      </c>
      <c r="P2189" s="15">
        <v>2</v>
      </c>
      <c r="Q2189" s="15">
        <v>0.95</v>
      </c>
      <c r="R2189" s="15">
        <v>0</v>
      </c>
      <c r="S2189" s="12">
        <v>0</v>
      </c>
      <c r="T2189" s="15">
        <v>0</v>
      </c>
      <c r="U2189" s="16">
        <v>1</v>
      </c>
      <c r="V2189" s="15">
        <v>1</v>
      </c>
      <c r="W2189" s="26">
        <v>0</v>
      </c>
      <c r="X2189" s="15">
        <v>2.5</v>
      </c>
      <c r="Y2189" s="12">
        <v>0</v>
      </c>
      <c r="Z2189" s="15">
        <v>0</v>
      </c>
      <c r="AA2189" s="15">
        <v>1</v>
      </c>
      <c r="AB2189" s="15">
        <v>0</v>
      </c>
      <c r="AC2189" s="26">
        <v>0</v>
      </c>
      <c r="AD2189" s="15">
        <v>0</v>
      </c>
      <c r="AE2189" s="15">
        <v>0</v>
      </c>
      <c r="AF2189" s="15">
        <v>6</v>
      </c>
      <c r="AG2189" s="15">
        <v>1</v>
      </c>
      <c r="AH2189" s="15">
        <v>3</v>
      </c>
      <c r="AI2189" s="12">
        <v>1</v>
      </c>
      <c r="AJ2189" s="12">
        <v>1</v>
      </c>
      <c r="AK2189" s="12">
        <v>0</v>
      </c>
      <c r="AL2189" s="15">
        <v>1.5</v>
      </c>
      <c r="AM2189" s="33">
        <v>0</v>
      </c>
      <c r="AN2189" s="15">
        <v>0</v>
      </c>
      <c r="AO2189" s="15">
        <v>0</v>
      </c>
      <c r="AP2189" s="15">
        <v>2</v>
      </c>
      <c r="AQ2189" s="15">
        <v>4000</v>
      </c>
      <c r="AR2189" s="15">
        <v>2</v>
      </c>
      <c r="AS2189" s="15">
        <v>0</v>
      </c>
      <c r="AT2189" s="12">
        <v>0</v>
      </c>
      <c r="AU2189" s="73" t="s">
        <v>559</v>
      </c>
      <c r="AV2189" s="73"/>
      <c r="AW2189" s="15" t="s">
        <v>199</v>
      </c>
      <c r="AX2189" s="26">
        <v>0</v>
      </c>
      <c r="AY2189" s="26">
        <v>0</v>
      </c>
      <c r="AZ2189" s="26">
        <v>90010403</v>
      </c>
      <c r="BA2189" s="19" t="s">
        <v>200</v>
      </c>
      <c r="BB2189" s="7">
        <v>0</v>
      </c>
      <c r="BC2189" s="80">
        <v>0</v>
      </c>
      <c r="BD2189" s="80">
        <v>0</v>
      </c>
      <c r="BE2189" s="43" t="s">
        <v>645</v>
      </c>
      <c r="BF2189" s="43" t="s">
        <v>646</v>
      </c>
      <c r="BG2189" s="15">
        <v>2</v>
      </c>
      <c r="BH2189" s="15">
        <v>0</v>
      </c>
      <c r="BI2189" s="18">
        <v>0</v>
      </c>
      <c r="BJ2189" s="15">
        <v>0</v>
      </c>
      <c r="BK2189" s="15">
        <v>3</v>
      </c>
      <c r="BL2189" s="33">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90010404</v>
      </c>
      <c r="D2190" s="15" t="s">
        <v>5109</v>
      </c>
      <c r="E2190" s="15" t="s">
        <v>5110</v>
      </c>
      <c r="F2190" s="15">
        <v>1</v>
      </c>
      <c r="G2190" s="15">
        <v>0</v>
      </c>
      <c r="H2190" s="15">
        <v>0</v>
      </c>
      <c r="I2190" s="26">
        <v>0</v>
      </c>
      <c r="J2190" s="15">
        <v>0</v>
      </c>
      <c r="K2190" s="15">
        <v>0</v>
      </c>
      <c r="L2190" s="26">
        <v>0</v>
      </c>
      <c r="M2190" s="26">
        <v>0</v>
      </c>
      <c r="N2190" s="15">
        <v>0</v>
      </c>
      <c r="O2190" s="15">
        <v>2</v>
      </c>
      <c r="P2190" s="15">
        <v>2</v>
      </c>
      <c r="Q2190" s="15">
        <v>0.9</v>
      </c>
      <c r="R2190" s="15">
        <v>0</v>
      </c>
      <c r="S2190" s="12">
        <v>0</v>
      </c>
      <c r="T2190" s="15">
        <v>0</v>
      </c>
      <c r="U2190" s="16">
        <v>1</v>
      </c>
      <c r="V2190" s="15">
        <v>1</v>
      </c>
      <c r="W2190" s="26">
        <v>0</v>
      </c>
      <c r="X2190" s="15">
        <v>1.5</v>
      </c>
      <c r="Y2190" s="12">
        <v>0</v>
      </c>
      <c r="Z2190" s="15">
        <v>0</v>
      </c>
      <c r="AA2190" s="15">
        <v>1</v>
      </c>
      <c r="AB2190" s="15">
        <v>0</v>
      </c>
      <c r="AC2190" s="26">
        <v>0</v>
      </c>
      <c r="AD2190" s="15">
        <v>0</v>
      </c>
      <c r="AE2190" s="15">
        <v>0</v>
      </c>
      <c r="AF2190" s="15">
        <v>8</v>
      </c>
      <c r="AG2190" s="15">
        <v>2</v>
      </c>
      <c r="AH2190" s="15" t="s">
        <v>564</v>
      </c>
      <c r="AI2190" s="12">
        <v>0</v>
      </c>
      <c r="AJ2190" s="12">
        <v>0</v>
      </c>
      <c r="AK2190" s="12">
        <v>0</v>
      </c>
      <c r="AL2190" s="15">
        <v>0</v>
      </c>
      <c r="AM2190" s="33">
        <v>0</v>
      </c>
      <c r="AN2190" s="15">
        <v>0</v>
      </c>
      <c r="AO2190" s="15">
        <v>0</v>
      </c>
      <c r="AP2190" s="15">
        <v>0.5</v>
      </c>
      <c r="AQ2190" s="15">
        <v>999000</v>
      </c>
      <c r="AR2190" s="15">
        <v>0</v>
      </c>
      <c r="AS2190" s="15">
        <v>0</v>
      </c>
      <c r="AT2190" s="12">
        <v>0</v>
      </c>
      <c r="AU2190" s="36" t="s">
        <v>198</v>
      </c>
      <c r="AV2190" s="36"/>
      <c r="AW2190" s="15" t="s">
        <v>287</v>
      </c>
      <c r="AX2190" s="26">
        <v>0</v>
      </c>
      <c r="AY2190" s="26">
        <v>0</v>
      </c>
      <c r="AZ2190" s="26">
        <v>20000021</v>
      </c>
      <c r="BA2190" s="19" t="s">
        <v>200</v>
      </c>
      <c r="BB2190" s="7">
        <v>0</v>
      </c>
      <c r="BC2190" s="80">
        <v>0</v>
      </c>
      <c r="BD2190" s="80">
        <v>0</v>
      </c>
      <c r="BE2190" s="43" t="s">
        <v>322</v>
      </c>
      <c r="BF2190" s="43" t="s">
        <v>323</v>
      </c>
      <c r="BG2190" s="15">
        <v>0</v>
      </c>
      <c r="BH2190" s="15">
        <v>0</v>
      </c>
      <c r="BI2190" s="18">
        <v>0</v>
      </c>
      <c r="BJ2190" s="15">
        <v>0</v>
      </c>
      <c r="BK2190" s="15">
        <v>0</v>
      </c>
      <c r="BL2190" s="33">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90010405</v>
      </c>
      <c r="D2191" s="19" t="s">
        <v>567</v>
      </c>
      <c r="E2191" s="19" t="s">
        <v>568</v>
      </c>
      <c r="F2191" s="18">
        <v>1</v>
      </c>
      <c r="G2191" s="18">
        <v>0</v>
      </c>
      <c r="H2191" s="18">
        <v>0</v>
      </c>
      <c r="I2191" s="27">
        <v>0</v>
      </c>
      <c r="J2191" s="18">
        <v>1</v>
      </c>
      <c r="K2191" s="18">
        <v>0</v>
      </c>
      <c r="L2191" s="18">
        <v>0</v>
      </c>
      <c r="M2191" s="18">
        <v>0</v>
      </c>
      <c r="N2191" s="18">
        <v>0</v>
      </c>
      <c r="O2191" s="15">
        <v>2</v>
      </c>
      <c r="P2191" s="18">
        <v>2</v>
      </c>
      <c r="Q2191" s="18">
        <v>0.6</v>
      </c>
      <c r="R2191" s="18">
        <v>0</v>
      </c>
      <c r="S2191" s="12">
        <v>0</v>
      </c>
      <c r="T2191" s="27">
        <v>0</v>
      </c>
      <c r="U2191" s="16">
        <v>1</v>
      </c>
      <c r="V2191" s="18">
        <v>2</v>
      </c>
      <c r="W2191" s="18">
        <v>0</v>
      </c>
      <c r="X2191" s="18">
        <v>0</v>
      </c>
      <c r="Y2191" s="12">
        <v>0</v>
      </c>
      <c r="Z2191" s="18">
        <v>0</v>
      </c>
      <c r="AA2191" s="18">
        <v>0</v>
      </c>
      <c r="AB2191" s="18">
        <v>0</v>
      </c>
      <c r="AC2191" s="18">
        <v>0</v>
      </c>
      <c r="AD2191" s="18">
        <v>0</v>
      </c>
      <c r="AE2191" s="18">
        <v>0</v>
      </c>
      <c r="AF2191" s="16">
        <v>99999</v>
      </c>
      <c r="AG2191" s="18">
        <v>0</v>
      </c>
      <c r="AH2191" s="18">
        <v>0</v>
      </c>
      <c r="AI2191" s="12">
        <v>2</v>
      </c>
      <c r="AJ2191" s="12">
        <v>0</v>
      </c>
      <c r="AK2191" s="12">
        <v>0</v>
      </c>
      <c r="AL2191" s="12">
        <v>0</v>
      </c>
      <c r="AM2191" s="18">
        <v>0</v>
      </c>
      <c r="AN2191" s="18">
        <v>0</v>
      </c>
      <c r="AO2191" s="18">
        <v>0</v>
      </c>
      <c r="AP2191" s="18">
        <v>0</v>
      </c>
      <c r="AQ2191" s="18">
        <v>1000</v>
      </c>
      <c r="AR2191" s="18">
        <v>0</v>
      </c>
      <c r="AS2191" s="18">
        <v>0</v>
      </c>
      <c r="AT2191" s="12">
        <v>90104002</v>
      </c>
      <c r="AU2191" s="18" t="s">
        <v>198</v>
      </c>
      <c r="AV2191" s="74"/>
      <c r="AW2191" s="15" t="s">
        <v>287</v>
      </c>
      <c r="AX2191" s="18" t="s">
        <v>348</v>
      </c>
      <c r="AY2191" s="18">
        <v>0</v>
      </c>
      <c r="AZ2191" s="18">
        <v>0</v>
      </c>
      <c r="BA2191" s="19" t="s">
        <v>200</v>
      </c>
      <c r="BB2191" s="19" t="s">
        <v>198</v>
      </c>
      <c r="BC2191" s="27">
        <v>0</v>
      </c>
      <c r="BD2191" s="27">
        <v>0</v>
      </c>
      <c r="BE2191" s="87" t="s">
        <v>675</v>
      </c>
      <c r="BF2191" s="87" t="s">
        <v>676</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20.100000000000001" customHeight="1">
      <c r="C2192" s="18">
        <v>90010406</v>
      </c>
      <c r="D2192" s="19" t="s">
        <v>5111</v>
      </c>
      <c r="E2192" s="19" t="s">
        <v>5112</v>
      </c>
      <c r="F2192" s="18">
        <v>1</v>
      </c>
      <c r="G2192" s="18">
        <v>60010500</v>
      </c>
      <c r="H2192" s="18">
        <v>0</v>
      </c>
      <c r="I2192" s="27">
        <v>0</v>
      </c>
      <c r="J2192" s="18">
        <v>1</v>
      </c>
      <c r="K2192" s="18">
        <v>0</v>
      </c>
      <c r="L2192" s="18">
        <v>0</v>
      </c>
      <c r="M2192" s="18">
        <v>0</v>
      </c>
      <c r="N2192" s="18">
        <v>0</v>
      </c>
      <c r="O2192" s="15">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8">
        <v>20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90103001</v>
      </c>
      <c r="AU2192" s="18" t="s">
        <v>198</v>
      </c>
      <c r="AV2192" s="74"/>
      <c r="AW2192" s="15" t="s">
        <v>287</v>
      </c>
      <c r="AX2192" s="18" t="s">
        <v>348</v>
      </c>
      <c r="AY2192" s="18">
        <v>0</v>
      </c>
      <c r="AZ2192" s="18">
        <v>40000003</v>
      </c>
      <c r="BA2192" s="19" t="s">
        <v>200</v>
      </c>
      <c r="BB2192" s="19" t="s">
        <v>198</v>
      </c>
      <c r="BC2192" s="27">
        <v>0</v>
      </c>
      <c r="BD2192" s="27">
        <v>0</v>
      </c>
      <c r="BE2192" s="87" t="s">
        <v>5113</v>
      </c>
      <c r="BF2192" s="87" t="s">
        <v>5114</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90010501</v>
      </c>
      <c r="D2193" s="19" t="s">
        <v>573</v>
      </c>
      <c r="E2193" s="19" t="s">
        <v>574</v>
      </c>
      <c r="F2193" s="18">
        <v>1</v>
      </c>
      <c r="G2193" s="18">
        <v>60010300</v>
      </c>
      <c r="H2193" s="18">
        <v>0</v>
      </c>
      <c r="I2193" s="27">
        <v>0</v>
      </c>
      <c r="J2193" s="18">
        <v>1</v>
      </c>
      <c r="K2193" s="18">
        <v>0</v>
      </c>
      <c r="L2193" s="18">
        <v>0</v>
      </c>
      <c r="M2193" s="18">
        <v>0</v>
      </c>
      <c r="N2193" s="18">
        <v>0</v>
      </c>
      <c r="O2193" s="16">
        <v>2</v>
      </c>
      <c r="P2193" s="18">
        <v>1</v>
      </c>
      <c r="Q2193" s="18">
        <v>0.5</v>
      </c>
      <c r="R2193" s="18">
        <v>0</v>
      </c>
      <c r="S2193" s="12">
        <v>0</v>
      </c>
      <c r="T2193" s="27">
        <v>0</v>
      </c>
      <c r="U2193" s="16">
        <v>1</v>
      </c>
      <c r="V2193" s="18">
        <v>2</v>
      </c>
      <c r="W2193" s="18">
        <v>0</v>
      </c>
      <c r="X2193" s="18">
        <v>0.5</v>
      </c>
      <c r="Y2193" s="12">
        <v>0</v>
      </c>
      <c r="Z2193" s="18">
        <v>0</v>
      </c>
      <c r="AA2193" s="18">
        <v>0</v>
      </c>
      <c r="AB2193" s="18">
        <v>0</v>
      </c>
      <c r="AC2193" s="18">
        <v>0</v>
      </c>
      <c r="AD2193" s="18">
        <v>0</v>
      </c>
      <c r="AE2193" s="18">
        <v>0</v>
      </c>
      <c r="AF2193" s="18">
        <v>15</v>
      </c>
      <c r="AG2193" s="18">
        <v>1</v>
      </c>
      <c r="AH2193" s="18">
        <v>3</v>
      </c>
      <c r="AI2193" s="12">
        <v>1</v>
      </c>
      <c r="AJ2193" s="12">
        <v>0</v>
      </c>
      <c r="AK2193" s="12">
        <v>0</v>
      </c>
      <c r="AL2193" s="12">
        <v>1.5</v>
      </c>
      <c r="AM2193" s="18">
        <v>0</v>
      </c>
      <c r="AN2193" s="18">
        <v>0</v>
      </c>
      <c r="AO2193" s="18">
        <v>0</v>
      </c>
      <c r="AP2193" s="18">
        <v>1</v>
      </c>
      <c r="AQ2193" s="18">
        <v>360000</v>
      </c>
      <c r="AR2193" s="18">
        <v>0.5</v>
      </c>
      <c r="AS2193" s="18">
        <v>0</v>
      </c>
      <c r="AT2193" s="12">
        <v>0</v>
      </c>
      <c r="AU2193" s="18" t="s">
        <v>575</v>
      </c>
      <c r="AV2193" s="18"/>
      <c r="AW2193" s="19" t="s">
        <v>199</v>
      </c>
      <c r="AX2193" s="18" t="s">
        <v>545</v>
      </c>
      <c r="AY2193" s="18">
        <v>10002001</v>
      </c>
      <c r="AZ2193" s="18">
        <v>70106001</v>
      </c>
      <c r="BA2193" s="19" t="s">
        <v>315</v>
      </c>
      <c r="BB2193" s="19" t="s">
        <v>576</v>
      </c>
      <c r="BC2193" s="27">
        <v>0</v>
      </c>
      <c r="BD2193" s="27">
        <v>0</v>
      </c>
      <c r="BE2193" s="87" t="s">
        <v>577</v>
      </c>
      <c r="BF2193" s="87" t="s">
        <v>578</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90010502</v>
      </c>
      <c r="D2194" s="17" t="s">
        <v>579</v>
      </c>
      <c r="E2194" s="17" t="s">
        <v>580</v>
      </c>
      <c r="F2194" s="18">
        <v>1</v>
      </c>
      <c r="G2194" s="16">
        <v>60010100</v>
      </c>
      <c r="H2194" s="18">
        <v>0</v>
      </c>
      <c r="I2194" s="27">
        <v>0</v>
      </c>
      <c r="J2194" s="18">
        <v>1</v>
      </c>
      <c r="K2194" s="18">
        <v>0</v>
      </c>
      <c r="L2194" s="18">
        <v>0</v>
      </c>
      <c r="M2194" s="16">
        <v>0</v>
      </c>
      <c r="N2194" s="16">
        <v>0</v>
      </c>
      <c r="O2194" s="16">
        <v>2</v>
      </c>
      <c r="P2194" s="16">
        <v>1</v>
      </c>
      <c r="Q2194" s="16">
        <v>0.3</v>
      </c>
      <c r="R2194" s="16">
        <v>0</v>
      </c>
      <c r="S2194" s="12">
        <v>0</v>
      </c>
      <c r="T2194" s="16">
        <v>0</v>
      </c>
      <c r="U2194" s="16">
        <v>1</v>
      </c>
      <c r="V2194" s="16">
        <v>2</v>
      </c>
      <c r="W2194" s="16">
        <v>0</v>
      </c>
      <c r="X2194" s="16">
        <v>3</v>
      </c>
      <c r="Y2194" s="12">
        <v>0</v>
      </c>
      <c r="Z2194" s="16">
        <v>0</v>
      </c>
      <c r="AA2194" s="16">
        <v>0</v>
      </c>
      <c r="AB2194" s="16">
        <v>0</v>
      </c>
      <c r="AC2194" s="16">
        <v>0</v>
      </c>
      <c r="AD2194" s="16">
        <v>0</v>
      </c>
      <c r="AE2194" s="16">
        <v>0</v>
      </c>
      <c r="AF2194" s="16">
        <v>12</v>
      </c>
      <c r="AG2194" s="16">
        <v>1</v>
      </c>
      <c r="AH2194" s="16">
        <v>3</v>
      </c>
      <c r="AI2194" s="12">
        <v>6</v>
      </c>
      <c r="AJ2194" s="12">
        <v>1</v>
      </c>
      <c r="AK2194" s="12">
        <v>0</v>
      </c>
      <c r="AL2194" s="12">
        <v>1.5</v>
      </c>
      <c r="AM2194" s="16">
        <v>0</v>
      </c>
      <c r="AN2194" s="16">
        <v>0</v>
      </c>
      <c r="AO2194" s="16">
        <v>0</v>
      </c>
      <c r="AP2194" s="16">
        <v>3</v>
      </c>
      <c r="AQ2194" s="16">
        <v>5000</v>
      </c>
      <c r="AR2194" s="16">
        <v>2</v>
      </c>
      <c r="AS2194" s="16">
        <v>0</v>
      </c>
      <c r="AT2194" s="12">
        <v>0</v>
      </c>
      <c r="AU2194" s="16" t="s">
        <v>198</v>
      </c>
      <c r="AV2194" s="16"/>
      <c r="AW2194" s="19" t="s">
        <v>199</v>
      </c>
      <c r="AX2194" s="16" t="s">
        <v>534</v>
      </c>
      <c r="AY2194" s="18">
        <v>10000007</v>
      </c>
      <c r="AZ2194" s="18">
        <v>90010502</v>
      </c>
      <c r="BA2194" s="17" t="s">
        <v>200</v>
      </c>
      <c r="BB2194" s="16" t="s">
        <v>5115</v>
      </c>
      <c r="BC2194" s="27">
        <v>0</v>
      </c>
      <c r="BD2194" s="27">
        <v>0</v>
      </c>
      <c r="BE2194" s="44" t="s">
        <v>582</v>
      </c>
      <c r="BF2194" s="44" t="s">
        <v>583</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row>
    <row r="2195" spans="3:75" ht="19.5" customHeight="1">
      <c r="C2195" s="18">
        <v>90010503</v>
      </c>
      <c r="D2195" s="19" t="s">
        <v>584</v>
      </c>
      <c r="E2195" s="19" t="s">
        <v>585</v>
      </c>
      <c r="F2195" s="18">
        <v>1</v>
      </c>
      <c r="G2195" s="18">
        <v>60010300</v>
      </c>
      <c r="H2195" s="18">
        <v>0</v>
      </c>
      <c r="I2195" s="27">
        <v>0</v>
      </c>
      <c r="J2195" s="18">
        <v>1</v>
      </c>
      <c r="K2195" s="18">
        <v>0</v>
      </c>
      <c r="L2195" s="18">
        <v>0</v>
      </c>
      <c r="M2195" s="18">
        <v>0</v>
      </c>
      <c r="N2195" s="18">
        <v>0</v>
      </c>
      <c r="O2195" s="16">
        <v>2</v>
      </c>
      <c r="P2195" s="18">
        <v>1</v>
      </c>
      <c r="Q2195" s="18">
        <v>0.5</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2</v>
      </c>
      <c r="AK2195" s="12">
        <v>0</v>
      </c>
      <c r="AL2195" s="12">
        <v>3</v>
      </c>
      <c r="AM2195" s="18">
        <v>0</v>
      </c>
      <c r="AN2195" s="18">
        <v>0</v>
      </c>
      <c r="AO2195" s="18">
        <v>0</v>
      </c>
      <c r="AP2195" s="18">
        <v>2</v>
      </c>
      <c r="AQ2195" s="18">
        <v>30000</v>
      </c>
      <c r="AR2195" s="18">
        <v>2</v>
      </c>
      <c r="AS2195" s="18">
        <v>4</v>
      </c>
      <c r="AT2195" s="12">
        <v>0</v>
      </c>
      <c r="AU2195" s="18" t="s">
        <v>198</v>
      </c>
      <c r="AV2195" s="18"/>
      <c r="AW2195" s="19" t="s">
        <v>199</v>
      </c>
      <c r="AX2195" s="18" t="s">
        <v>545</v>
      </c>
      <c r="AY2195" s="18">
        <v>10003002</v>
      </c>
      <c r="AZ2195" s="18">
        <v>70106005</v>
      </c>
      <c r="BA2195" s="19" t="s">
        <v>586</v>
      </c>
      <c r="BB2195" s="19">
        <v>0</v>
      </c>
      <c r="BC2195" s="27">
        <v>0</v>
      </c>
      <c r="BD2195" s="27">
        <v>0</v>
      </c>
      <c r="BE2195" s="87" t="s">
        <v>577</v>
      </c>
      <c r="BF2195" s="87" t="s">
        <v>578</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20.100000000000001" customHeight="1">
      <c r="C2196" s="18">
        <v>90010504</v>
      </c>
      <c r="D2196" s="19" t="s">
        <v>567</v>
      </c>
      <c r="E2196" s="19" t="s">
        <v>568</v>
      </c>
      <c r="F2196" s="18">
        <v>1</v>
      </c>
      <c r="G2196" s="18">
        <v>60010500</v>
      </c>
      <c r="H2196" s="18">
        <v>0</v>
      </c>
      <c r="I2196" s="27">
        <v>0</v>
      </c>
      <c r="J2196" s="18">
        <v>1</v>
      </c>
      <c r="K2196" s="18">
        <v>0</v>
      </c>
      <c r="L2196" s="18">
        <v>0</v>
      </c>
      <c r="M2196" s="18">
        <v>0</v>
      </c>
      <c r="N2196" s="18">
        <v>0</v>
      </c>
      <c r="O2196" s="16">
        <v>2</v>
      </c>
      <c r="P2196" s="18">
        <v>2</v>
      </c>
      <c r="Q2196" s="18">
        <v>0.6</v>
      </c>
      <c r="R2196" s="18">
        <v>0</v>
      </c>
      <c r="S2196" s="12">
        <v>0</v>
      </c>
      <c r="T2196" s="27">
        <v>0</v>
      </c>
      <c r="U2196" s="16">
        <v>1</v>
      </c>
      <c r="V2196" s="18">
        <v>2</v>
      </c>
      <c r="W2196" s="18">
        <v>0</v>
      </c>
      <c r="X2196" s="18">
        <v>0</v>
      </c>
      <c r="Y2196" s="12">
        <v>0</v>
      </c>
      <c r="Z2196" s="18">
        <v>0</v>
      </c>
      <c r="AA2196" s="18">
        <v>0</v>
      </c>
      <c r="AB2196" s="18">
        <v>0</v>
      </c>
      <c r="AC2196" s="18">
        <v>0</v>
      </c>
      <c r="AD2196" s="18">
        <v>0</v>
      </c>
      <c r="AE2196" s="18">
        <v>0</v>
      </c>
      <c r="AF2196" s="16">
        <v>30</v>
      </c>
      <c r="AG2196" s="18">
        <v>0</v>
      </c>
      <c r="AH2196" s="18">
        <v>0</v>
      </c>
      <c r="AI2196" s="12">
        <v>2</v>
      </c>
      <c r="AJ2196" s="12">
        <v>0</v>
      </c>
      <c r="AK2196" s="12">
        <v>0</v>
      </c>
      <c r="AL2196" s="12">
        <v>0</v>
      </c>
      <c r="AM2196" s="18">
        <v>0</v>
      </c>
      <c r="AN2196" s="18">
        <v>0</v>
      </c>
      <c r="AO2196" s="18">
        <v>0</v>
      </c>
      <c r="AP2196" s="18">
        <v>0</v>
      </c>
      <c r="AQ2196" s="18">
        <v>1000</v>
      </c>
      <c r="AR2196" s="18">
        <v>0</v>
      </c>
      <c r="AS2196" s="18">
        <v>0</v>
      </c>
      <c r="AT2196" s="12">
        <v>90104002</v>
      </c>
      <c r="AU2196" s="18" t="s">
        <v>198</v>
      </c>
      <c r="AV2196" s="18"/>
      <c r="AW2196" s="19" t="s">
        <v>199</v>
      </c>
      <c r="AX2196" s="18" t="s">
        <v>348</v>
      </c>
      <c r="AY2196" s="18">
        <v>0</v>
      </c>
      <c r="AZ2196" s="18">
        <v>0</v>
      </c>
      <c r="BA2196" s="19" t="s">
        <v>200</v>
      </c>
      <c r="BB2196" s="19" t="s">
        <v>198</v>
      </c>
      <c r="BC2196" s="27">
        <v>0</v>
      </c>
      <c r="BD2196" s="27">
        <v>0</v>
      </c>
      <c r="BE2196" s="87" t="s">
        <v>587</v>
      </c>
      <c r="BF2196" s="87" t="s">
        <v>588</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20.100000000000001" customHeight="1">
      <c r="C2197" s="18">
        <v>90010505</v>
      </c>
      <c r="D2197" s="17" t="s">
        <v>589</v>
      </c>
      <c r="E2197" s="17" t="s">
        <v>590</v>
      </c>
      <c r="F2197" s="18">
        <v>1</v>
      </c>
      <c r="G2197" s="16">
        <v>60010300</v>
      </c>
      <c r="H2197" s="18">
        <v>0</v>
      </c>
      <c r="I2197" s="27">
        <v>0</v>
      </c>
      <c r="J2197" s="18">
        <v>1</v>
      </c>
      <c r="K2197" s="18">
        <v>0</v>
      </c>
      <c r="L2197" s="18">
        <v>0</v>
      </c>
      <c r="M2197" s="16">
        <v>0</v>
      </c>
      <c r="N2197" s="16">
        <v>0</v>
      </c>
      <c r="O2197" s="16">
        <v>2</v>
      </c>
      <c r="P2197" s="16">
        <v>1</v>
      </c>
      <c r="Q2197" s="16">
        <v>0.6</v>
      </c>
      <c r="R2197" s="16">
        <v>0</v>
      </c>
      <c r="S2197" s="12">
        <v>0</v>
      </c>
      <c r="T2197" s="16">
        <v>0</v>
      </c>
      <c r="U2197" s="16">
        <v>1</v>
      </c>
      <c r="V2197" s="16">
        <v>2</v>
      </c>
      <c r="W2197" s="16">
        <v>0</v>
      </c>
      <c r="X2197" s="16">
        <v>0</v>
      </c>
      <c r="Y2197" s="12">
        <v>0</v>
      </c>
      <c r="Z2197" s="16">
        <v>0</v>
      </c>
      <c r="AA2197" s="16">
        <v>0</v>
      </c>
      <c r="AB2197" s="16">
        <v>0</v>
      </c>
      <c r="AC2197" s="16">
        <v>0</v>
      </c>
      <c r="AD2197" s="16">
        <v>0</v>
      </c>
      <c r="AE2197" s="16">
        <v>0</v>
      </c>
      <c r="AF2197" s="16">
        <v>20</v>
      </c>
      <c r="AG2197" s="16">
        <v>0</v>
      </c>
      <c r="AH2197" s="16">
        <v>0</v>
      </c>
      <c r="AI2197" s="12">
        <v>2</v>
      </c>
      <c r="AJ2197" s="12">
        <v>2</v>
      </c>
      <c r="AK2197" s="12">
        <v>0</v>
      </c>
      <c r="AL2197" s="12">
        <v>1.5</v>
      </c>
      <c r="AM2197" s="16">
        <v>0</v>
      </c>
      <c r="AN2197" s="16">
        <v>0</v>
      </c>
      <c r="AO2197" s="16">
        <v>0</v>
      </c>
      <c r="AP2197" s="16">
        <v>1</v>
      </c>
      <c r="AQ2197" s="16">
        <v>3000</v>
      </c>
      <c r="AR2197" s="16">
        <v>0.5</v>
      </c>
      <c r="AS2197" s="16">
        <v>0</v>
      </c>
      <c r="AT2197" s="12">
        <v>0</v>
      </c>
      <c r="AU2197" s="16" t="s">
        <v>198</v>
      </c>
      <c r="AV2197" s="16"/>
      <c r="AW2197" s="19" t="s">
        <v>199</v>
      </c>
      <c r="AX2197" s="16" t="s">
        <v>545</v>
      </c>
      <c r="AY2197" s="18">
        <v>0</v>
      </c>
      <c r="AZ2197" s="18">
        <v>0</v>
      </c>
      <c r="BA2197" s="17" t="s">
        <v>528</v>
      </c>
      <c r="BB2197" s="16" t="s">
        <v>591</v>
      </c>
      <c r="BC2197" s="27">
        <v>0</v>
      </c>
      <c r="BD2197" s="27">
        <v>0</v>
      </c>
      <c r="BE2197" s="44" t="s">
        <v>592</v>
      </c>
      <c r="BF2197" s="44" t="s">
        <v>593</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18">
        <v>90010901</v>
      </c>
      <c r="D2198" s="270" t="s">
        <v>5116</v>
      </c>
      <c r="E2198" s="270" t="s">
        <v>5117</v>
      </c>
      <c r="F2198" s="16">
        <v>1</v>
      </c>
      <c r="G2198" s="16">
        <v>62021401</v>
      </c>
      <c r="H2198" s="18">
        <f>C2199</f>
        <v>90010902</v>
      </c>
      <c r="I2198" s="27">
        <v>0</v>
      </c>
      <c r="J2198" s="16">
        <v>27</v>
      </c>
      <c r="K2198" s="16">
        <v>2</v>
      </c>
      <c r="L2198" s="16">
        <v>0</v>
      </c>
      <c r="M2198" s="18">
        <v>0</v>
      </c>
      <c r="N2198" s="18">
        <v>0</v>
      </c>
      <c r="O2198" s="18">
        <v>2</v>
      </c>
      <c r="P2198" s="18">
        <v>2</v>
      </c>
      <c r="Q2198" s="18">
        <v>0.95</v>
      </c>
      <c r="R2198" s="18">
        <v>0</v>
      </c>
      <c r="S2198" s="12">
        <v>0</v>
      </c>
      <c r="T2198" s="27">
        <v>0</v>
      </c>
      <c r="U2198" s="16">
        <v>1</v>
      </c>
      <c r="V2198" s="18">
        <v>2</v>
      </c>
      <c r="W2198" s="18">
        <v>0</v>
      </c>
      <c r="X2198" s="18">
        <v>1.2</v>
      </c>
      <c r="Y2198" s="12">
        <v>0</v>
      </c>
      <c r="Z2198" s="18">
        <v>500</v>
      </c>
      <c r="AA2198" s="18">
        <v>0</v>
      </c>
      <c r="AB2198" s="18">
        <v>0</v>
      </c>
      <c r="AC2198" s="18">
        <v>0</v>
      </c>
      <c r="AD2198" s="18">
        <v>0</v>
      </c>
      <c r="AE2198" s="18">
        <v>0</v>
      </c>
      <c r="AF2198" s="18">
        <v>6</v>
      </c>
      <c r="AG2198" s="18">
        <v>1</v>
      </c>
      <c r="AH2198" s="18">
        <v>3</v>
      </c>
      <c r="AI2198" s="12">
        <v>2</v>
      </c>
      <c r="AJ2198" s="12">
        <v>1</v>
      </c>
      <c r="AK2198" s="12">
        <v>0</v>
      </c>
      <c r="AL2198" s="12">
        <v>7</v>
      </c>
      <c r="AM2198" s="18">
        <v>0</v>
      </c>
      <c r="AN2198" s="18">
        <v>0</v>
      </c>
      <c r="AO2198" s="18">
        <v>6</v>
      </c>
      <c r="AP2198" s="18">
        <v>0.25</v>
      </c>
      <c r="AQ2198" s="18">
        <v>6000</v>
      </c>
      <c r="AR2198" s="18">
        <v>0</v>
      </c>
      <c r="AS2198" s="18">
        <v>0</v>
      </c>
      <c r="AT2198" s="12">
        <v>0</v>
      </c>
      <c r="AU2198" s="18">
        <v>92014001</v>
      </c>
      <c r="AV2198" s="18"/>
      <c r="AW2198" s="19" t="s">
        <v>369</v>
      </c>
      <c r="AX2198" s="18" t="s">
        <v>370</v>
      </c>
      <c r="AY2198" s="18">
        <v>10002001</v>
      </c>
      <c r="AZ2198" s="18">
        <v>21101040</v>
      </c>
      <c r="BA2198" s="19" t="s">
        <v>315</v>
      </c>
      <c r="BB2198" s="19" t="s">
        <v>1756</v>
      </c>
      <c r="BC2198" s="27">
        <v>0</v>
      </c>
      <c r="BD2198" s="27">
        <v>0</v>
      </c>
      <c r="BE2198" s="183" t="str">
        <f t="shared" ref="BE2198" si="155">"对目标区域持续造成伤害,在此范围内的敌方目标每秒造成2次"&amp;X2198*100&amp;"%攻击伤害+"&amp;Z2198&amp;"点固定伤害,目标移动速度降低75%,持续6秒,当在施法过程中进行移动会中断此技能施放"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8" s="183" t="s">
        <v>5118</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6">
        <v>90010902</v>
      </c>
      <c r="D2199" s="270" t="s">
        <v>5119</v>
      </c>
      <c r="E2199" s="270" t="s">
        <v>5120</v>
      </c>
      <c r="F2199" s="16">
        <v>1</v>
      </c>
      <c r="G2199" s="18">
        <v>62021301</v>
      </c>
      <c r="H2199" s="16">
        <v>62021203</v>
      </c>
      <c r="I2199" s="27">
        <v>0</v>
      </c>
      <c r="J2199" s="16">
        <v>32</v>
      </c>
      <c r="K2199" s="16">
        <v>2</v>
      </c>
      <c r="L2199" s="16">
        <v>0</v>
      </c>
      <c r="M2199" s="18">
        <v>0</v>
      </c>
      <c r="N2199" s="18">
        <v>0</v>
      </c>
      <c r="O2199" s="18">
        <v>2</v>
      </c>
      <c r="P2199" s="18">
        <v>2</v>
      </c>
      <c r="Q2199" s="18">
        <v>0.95</v>
      </c>
      <c r="R2199" s="18">
        <v>0</v>
      </c>
      <c r="S2199" s="12">
        <v>0</v>
      </c>
      <c r="T2199" s="27">
        <v>0</v>
      </c>
      <c r="U2199" s="16">
        <v>1</v>
      </c>
      <c r="V2199" s="18">
        <v>2</v>
      </c>
      <c r="W2199" s="18">
        <v>0</v>
      </c>
      <c r="X2199" s="18">
        <v>2.5</v>
      </c>
      <c r="Y2199" s="12">
        <v>0</v>
      </c>
      <c r="Z2199" s="18">
        <v>1500</v>
      </c>
      <c r="AA2199" s="18">
        <v>0</v>
      </c>
      <c r="AB2199" s="18">
        <v>0</v>
      </c>
      <c r="AC2199" s="18">
        <v>0</v>
      </c>
      <c r="AD2199" s="18">
        <v>0</v>
      </c>
      <c r="AE2199" s="18">
        <v>0</v>
      </c>
      <c r="AF2199" s="18">
        <v>12</v>
      </c>
      <c r="AG2199" s="18">
        <v>1</v>
      </c>
      <c r="AH2199" s="18">
        <v>3</v>
      </c>
      <c r="AI2199" s="12">
        <v>2</v>
      </c>
      <c r="AJ2199" s="12">
        <v>2</v>
      </c>
      <c r="AK2199" s="12">
        <v>0</v>
      </c>
      <c r="AL2199" s="12">
        <v>4</v>
      </c>
      <c r="AM2199" s="18">
        <v>0</v>
      </c>
      <c r="AN2199" s="18">
        <v>3</v>
      </c>
      <c r="AO2199" s="18">
        <v>0</v>
      </c>
      <c r="AP2199" s="18">
        <v>0.25</v>
      </c>
      <c r="AQ2199" s="18">
        <v>2000</v>
      </c>
      <c r="AR2199" s="18">
        <v>0</v>
      </c>
      <c r="AS2199" s="18">
        <v>10</v>
      </c>
      <c r="AT2199" s="12">
        <v>0</v>
      </c>
      <c r="AU2199" s="18">
        <v>92002001</v>
      </c>
      <c r="AV2199" s="18"/>
      <c r="AW2199" s="19" t="s">
        <v>199</v>
      </c>
      <c r="AX2199" s="18" t="s">
        <v>545</v>
      </c>
      <c r="AY2199" s="18">
        <v>10003002</v>
      </c>
      <c r="AZ2199" s="18">
        <v>21101030</v>
      </c>
      <c r="BA2199" s="19" t="s">
        <v>586</v>
      </c>
      <c r="BB2199" s="19">
        <v>0</v>
      </c>
      <c r="BC2199" s="27">
        <v>0</v>
      </c>
      <c r="BD2199" s="27">
        <v>0</v>
      </c>
      <c r="BE2199" s="183" t="str">
        <f t="shared" ref="BE2199" si="156">"立即对指定前方区域释放冲击波,冲击波对触碰的怪物造成"&amp;X2199*100&amp;"%攻击伤害+"&amp;Z2199&amp;"点固定伤害"</f>
        <v>立即对指定前方区域释放冲击波,冲击波对触碰的怪物造成250%攻击伤害+1500点固定伤害</v>
      </c>
      <c r="BF2199" s="183" t="s">
        <v>1783</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row>
    <row r="2200" spans="3:75" ht="19.5" customHeight="1">
      <c r="C2200" s="18">
        <v>90010903</v>
      </c>
      <c r="D2200" s="270" t="s">
        <v>5121</v>
      </c>
      <c r="E2200" s="270" t="s">
        <v>5122</v>
      </c>
      <c r="F2200" s="16">
        <v>1</v>
      </c>
      <c r="G2200" s="18">
        <v>62021301</v>
      </c>
      <c r="H2200" s="16">
        <v>62021203</v>
      </c>
      <c r="I2200" s="27">
        <v>0</v>
      </c>
      <c r="J2200" s="16">
        <v>32</v>
      </c>
      <c r="K2200" s="16">
        <v>2</v>
      </c>
      <c r="L2200" s="16">
        <v>0</v>
      </c>
      <c r="M2200" s="18">
        <v>0</v>
      </c>
      <c r="N2200" s="18">
        <v>0</v>
      </c>
      <c r="O2200" s="18">
        <v>2</v>
      </c>
      <c r="P2200" s="18">
        <v>2</v>
      </c>
      <c r="Q2200" s="18">
        <v>0.95</v>
      </c>
      <c r="R2200" s="18">
        <v>0</v>
      </c>
      <c r="S2200" s="12">
        <v>0</v>
      </c>
      <c r="T2200" s="27">
        <v>0</v>
      </c>
      <c r="U2200" s="16">
        <v>1</v>
      </c>
      <c r="V2200" s="18">
        <v>2</v>
      </c>
      <c r="W2200" s="18">
        <v>0</v>
      </c>
      <c r="X2200" s="18">
        <v>2.5</v>
      </c>
      <c r="Y2200" s="12">
        <v>0</v>
      </c>
      <c r="Z2200" s="18">
        <v>1500</v>
      </c>
      <c r="AA2200" s="18">
        <v>0</v>
      </c>
      <c r="AB2200" s="18">
        <v>0</v>
      </c>
      <c r="AC2200" s="18">
        <v>0</v>
      </c>
      <c r="AD2200" s="18">
        <v>0</v>
      </c>
      <c r="AE2200" s="18">
        <v>0</v>
      </c>
      <c r="AF2200" s="18">
        <v>12</v>
      </c>
      <c r="AG2200" s="18">
        <v>1</v>
      </c>
      <c r="AH2200" s="18">
        <v>3</v>
      </c>
      <c r="AI2200" s="12">
        <v>2</v>
      </c>
      <c r="AJ2200" s="12">
        <v>2</v>
      </c>
      <c r="AK2200" s="12">
        <v>0</v>
      </c>
      <c r="AL2200" s="12">
        <v>4</v>
      </c>
      <c r="AM2200" s="18">
        <v>0</v>
      </c>
      <c r="AN2200" s="18">
        <v>3</v>
      </c>
      <c r="AO2200" s="18">
        <v>0</v>
      </c>
      <c r="AP2200" s="18">
        <v>0.25</v>
      </c>
      <c r="AQ2200" s="18">
        <v>2000</v>
      </c>
      <c r="AR2200" s="18">
        <v>0</v>
      </c>
      <c r="AS2200" s="18">
        <v>10</v>
      </c>
      <c r="AT2200" s="12">
        <v>0</v>
      </c>
      <c r="AU2200" s="18">
        <v>92002001</v>
      </c>
      <c r="AV2200" s="18"/>
      <c r="AW2200" s="19" t="s">
        <v>199</v>
      </c>
      <c r="AX2200" s="18" t="s">
        <v>545</v>
      </c>
      <c r="AY2200" s="18">
        <v>10003002</v>
      </c>
      <c r="AZ2200" s="18">
        <v>21101030</v>
      </c>
      <c r="BA2200" s="19" t="s">
        <v>586</v>
      </c>
      <c r="BB2200" s="19">
        <v>0</v>
      </c>
      <c r="BC2200" s="27">
        <v>0</v>
      </c>
      <c r="BD2200" s="27">
        <v>0</v>
      </c>
      <c r="BE2200" s="183" t="str">
        <f t="shared" ref="BE2200" si="157">"立即对指定前方区域释放冲击波,冲击波对触碰的怪物造成"&amp;X2200*100&amp;"%攻击伤害+"&amp;Z2200&amp;"点固定伤害"</f>
        <v>立即对指定前方区域释放冲击波,冲击波对触碰的怪物造成250%攻击伤害+1500点固定伤害</v>
      </c>
      <c r="BF2200" s="183" t="s">
        <v>1783</v>
      </c>
      <c r="BG2200" s="18">
        <v>0</v>
      </c>
      <c r="BH2200" s="16">
        <v>0</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19.5" customHeight="1">
      <c r="C2201" s="16">
        <v>90010904</v>
      </c>
      <c r="D2201" s="19" t="s">
        <v>5123</v>
      </c>
      <c r="E2201" s="19" t="s">
        <v>5124</v>
      </c>
      <c r="F2201" s="18">
        <v>1</v>
      </c>
      <c r="G2201" s="18">
        <v>60010300</v>
      </c>
      <c r="H2201" s="18">
        <v>0</v>
      </c>
      <c r="I2201" s="27">
        <v>0</v>
      </c>
      <c r="J2201" s="18">
        <v>1</v>
      </c>
      <c r="K2201" s="18">
        <v>0</v>
      </c>
      <c r="L2201" s="18">
        <v>0</v>
      </c>
      <c r="M2201" s="18">
        <v>0</v>
      </c>
      <c r="N2201" s="18">
        <v>0</v>
      </c>
      <c r="O2201" s="16">
        <v>1</v>
      </c>
      <c r="P2201" s="18">
        <v>0</v>
      </c>
      <c r="Q2201" s="18">
        <v>0</v>
      </c>
      <c r="R2201" s="18">
        <v>0</v>
      </c>
      <c r="S2201" s="12">
        <v>0</v>
      </c>
      <c r="T2201" s="27">
        <v>0</v>
      </c>
      <c r="U2201" s="16">
        <v>1</v>
      </c>
      <c r="V2201" s="18">
        <v>2</v>
      </c>
      <c r="W2201" s="18">
        <v>0</v>
      </c>
      <c r="X2201" s="18">
        <v>3</v>
      </c>
      <c r="Y2201" s="12">
        <v>0</v>
      </c>
      <c r="Z2201" s="18">
        <v>0</v>
      </c>
      <c r="AA2201" s="18">
        <v>0</v>
      </c>
      <c r="AB2201" s="18">
        <v>0</v>
      </c>
      <c r="AC2201" s="18">
        <v>0</v>
      </c>
      <c r="AD2201" s="18">
        <v>0</v>
      </c>
      <c r="AE2201" s="18">
        <v>0</v>
      </c>
      <c r="AF2201" s="18">
        <v>9</v>
      </c>
      <c r="AG2201" s="18">
        <v>1</v>
      </c>
      <c r="AH2201" s="18">
        <v>2</v>
      </c>
      <c r="AI2201" s="12">
        <v>2</v>
      </c>
      <c r="AJ2201" s="12">
        <v>2</v>
      </c>
      <c r="AK2201" s="12">
        <v>0</v>
      </c>
      <c r="AL2201" s="12">
        <v>3</v>
      </c>
      <c r="AM2201" s="18">
        <v>0</v>
      </c>
      <c r="AN2201" s="18">
        <v>0</v>
      </c>
      <c r="AO2201" s="18">
        <v>0</v>
      </c>
      <c r="AP2201" s="18">
        <v>0.5</v>
      </c>
      <c r="AQ2201" s="18">
        <v>2000</v>
      </c>
      <c r="AR2201" s="18">
        <v>0</v>
      </c>
      <c r="AS2201" s="18">
        <v>20</v>
      </c>
      <c r="AT2201" s="12">
        <v>0</v>
      </c>
      <c r="AU2201" s="18" t="s">
        <v>198</v>
      </c>
      <c r="AV2201" s="18"/>
      <c r="AW2201" s="19" t="s">
        <v>199</v>
      </c>
      <c r="AX2201" s="18" t="s">
        <v>545</v>
      </c>
      <c r="AY2201" s="18">
        <v>10003002</v>
      </c>
      <c r="AZ2201" s="18">
        <v>70106005</v>
      </c>
      <c r="BA2201" s="19" t="s">
        <v>1899</v>
      </c>
      <c r="BB2201" s="19">
        <v>0</v>
      </c>
      <c r="BC2201" s="27">
        <v>0</v>
      </c>
      <c r="BD2201" s="27">
        <v>0</v>
      </c>
      <c r="BE2201" s="87" t="s">
        <v>5125</v>
      </c>
      <c r="BF2201" s="87" t="s">
        <v>5126</v>
      </c>
      <c r="BG2201" s="18">
        <v>0</v>
      </c>
      <c r="BH2201" s="16">
        <v>0</v>
      </c>
      <c r="BI2201" s="18">
        <v>0</v>
      </c>
      <c r="BJ2201" s="18">
        <v>0</v>
      </c>
      <c r="BK2201" s="18">
        <v>0</v>
      </c>
      <c r="BL2201" s="18">
        <v>0</v>
      </c>
      <c r="BM2201" s="15">
        <v>0</v>
      </c>
      <c r="BN2201" s="12">
        <v>0</v>
      </c>
      <c r="BO2201" s="12">
        <v>0</v>
      </c>
      <c r="BP2201" s="12">
        <v>0</v>
      </c>
      <c r="BQ2201" s="12">
        <v>0</v>
      </c>
      <c r="BR2201" s="12">
        <v>0</v>
      </c>
      <c r="BS2201" s="12">
        <v>0</v>
      </c>
      <c r="BT2201" s="12">
        <v>0</v>
      </c>
      <c r="BU2201" s="47">
        <v>0</v>
      </c>
      <c r="BV2201" s="47"/>
      <c r="BW2201" s="47"/>
    </row>
    <row r="2202" spans="3:75" ht="19.5" customHeight="1">
      <c r="C2202" s="18">
        <v>90010905</v>
      </c>
      <c r="D2202" s="19" t="s">
        <v>5127</v>
      </c>
      <c r="E2202" s="19" t="s">
        <v>5128</v>
      </c>
      <c r="F2202" s="18">
        <v>1</v>
      </c>
      <c r="G2202" s="18">
        <v>60010300</v>
      </c>
      <c r="H2202" s="18">
        <v>0</v>
      </c>
      <c r="I2202" s="27">
        <v>0</v>
      </c>
      <c r="J2202" s="18">
        <v>1</v>
      </c>
      <c r="K2202" s="18">
        <v>0</v>
      </c>
      <c r="L2202" s="18">
        <v>0</v>
      </c>
      <c r="M2202" s="18">
        <v>0</v>
      </c>
      <c r="N2202" s="18">
        <v>0</v>
      </c>
      <c r="O2202" s="16">
        <v>1</v>
      </c>
      <c r="P2202" s="18">
        <v>0</v>
      </c>
      <c r="Q2202" s="18">
        <v>0</v>
      </c>
      <c r="R2202" s="18">
        <v>0</v>
      </c>
      <c r="S2202" s="12">
        <v>0</v>
      </c>
      <c r="T2202" s="27">
        <v>0</v>
      </c>
      <c r="U2202" s="16">
        <v>1</v>
      </c>
      <c r="V2202" s="18">
        <v>2</v>
      </c>
      <c r="W2202" s="18">
        <v>0</v>
      </c>
      <c r="X2202" s="18">
        <v>3</v>
      </c>
      <c r="Y2202" s="12">
        <v>0</v>
      </c>
      <c r="Z2202" s="18">
        <v>0</v>
      </c>
      <c r="AA2202" s="18">
        <v>0</v>
      </c>
      <c r="AB2202" s="18">
        <v>0</v>
      </c>
      <c r="AC2202" s="18">
        <v>0</v>
      </c>
      <c r="AD2202" s="18">
        <v>0</v>
      </c>
      <c r="AE2202" s="18">
        <v>0</v>
      </c>
      <c r="AF2202" s="18">
        <v>9</v>
      </c>
      <c r="AG2202" s="18">
        <v>1</v>
      </c>
      <c r="AH2202" s="18">
        <v>2</v>
      </c>
      <c r="AI2202" s="12">
        <v>2</v>
      </c>
      <c r="AJ2202" s="12">
        <v>1</v>
      </c>
      <c r="AK2202" s="12">
        <v>0</v>
      </c>
      <c r="AL2202" s="12">
        <v>5</v>
      </c>
      <c r="AM2202" s="18">
        <v>0</v>
      </c>
      <c r="AN2202" s="18">
        <v>0</v>
      </c>
      <c r="AO2202" s="18">
        <v>0</v>
      </c>
      <c r="AP2202" s="18">
        <v>0.5</v>
      </c>
      <c r="AQ2202" s="18">
        <v>2000</v>
      </c>
      <c r="AR2202" s="18">
        <v>0</v>
      </c>
      <c r="AS2202" s="18">
        <v>20</v>
      </c>
      <c r="AT2202" s="12">
        <v>0</v>
      </c>
      <c r="AU2202" s="18" t="s">
        <v>198</v>
      </c>
      <c r="AV2202" s="18"/>
      <c r="AW2202" s="19" t="s">
        <v>199</v>
      </c>
      <c r="AX2202" s="18" t="s">
        <v>545</v>
      </c>
      <c r="AY2202" s="18">
        <v>0</v>
      </c>
      <c r="AZ2202" s="18">
        <v>70106005</v>
      </c>
      <c r="BA2202" s="19" t="s">
        <v>2039</v>
      </c>
      <c r="BB2202" s="369" t="s">
        <v>5129</v>
      </c>
      <c r="BC2202" s="27">
        <v>0</v>
      </c>
      <c r="BD2202" s="27">
        <v>0</v>
      </c>
      <c r="BE2202" s="87" t="s">
        <v>5130</v>
      </c>
      <c r="BF2202" s="87" t="s">
        <v>5131</v>
      </c>
      <c r="BG2202" s="18">
        <v>0</v>
      </c>
      <c r="BH2202" s="16">
        <v>0</v>
      </c>
      <c r="BI2202" s="18">
        <v>0</v>
      </c>
      <c r="BJ2202" s="18">
        <v>0</v>
      </c>
      <c r="BK2202" s="18">
        <v>0</v>
      </c>
      <c r="BL2202" s="18">
        <v>0</v>
      </c>
      <c r="BM2202" s="15">
        <v>0</v>
      </c>
      <c r="BN2202" s="12">
        <v>0</v>
      </c>
      <c r="BO2202" s="12">
        <v>0</v>
      </c>
      <c r="BP2202" s="12">
        <v>0</v>
      </c>
      <c r="BQ2202" s="12">
        <v>0</v>
      </c>
      <c r="BR2202" s="12">
        <v>0</v>
      </c>
      <c r="BS2202" s="12">
        <v>0</v>
      </c>
      <c r="BT2202" s="12">
        <v>0</v>
      </c>
      <c r="BU2202" s="47">
        <v>0</v>
      </c>
      <c r="BV2202" s="47"/>
      <c r="BW2202" s="47"/>
    </row>
    <row r="2203" spans="3:75" ht="19.5" customHeight="1">
      <c r="C2203" s="16">
        <v>90010906</v>
      </c>
      <c r="D2203" s="17" t="s">
        <v>5132</v>
      </c>
      <c r="E2203" s="17" t="s">
        <v>5133</v>
      </c>
      <c r="F2203" s="16">
        <v>1</v>
      </c>
      <c r="G2203" s="16">
        <v>62011201</v>
      </c>
      <c r="H2203" s="16">
        <v>0</v>
      </c>
      <c r="I2203" s="27">
        <v>0</v>
      </c>
      <c r="J2203" s="16">
        <v>5</v>
      </c>
      <c r="K2203" s="16">
        <v>3</v>
      </c>
      <c r="L2203" s="16">
        <v>0</v>
      </c>
      <c r="M2203" s="16">
        <v>0</v>
      </c>
      <c r="N2203" s="16">
        <v>0</v>
      </c>
      <c r="O2203" s="16">
        <v>1</v>
      </c>
      <c r="P2203" s="16">
        <v>0</v>
      </c>
      <c r="Q2203" s="16">
        <v>0</v>
      </c>
      <c r="R2203" s="16">
        <v>0</v>
      </c>
      <c r="S2203" s="12">
        <v>0</v>
      </c>
      <c r="T2203" s="16">
        <v>0</v>
      </c>
      <c r="U2203" s="16">
        <v>1</v>
      </c>
      <c r="V2203" s="16">
        <v>2</v>
      </c>
      <c r="W2203" s="16">
        <v>0</v>
      </c>
      <c r="X2203" s="16">
        <v>1.5</v>
      </c>
      <c r="Y2203" s="12">
        <v>0</v>
      </c>
      <c r="Z2203" s="16">
        <v>10</v>
      </c>
      <c r="AA2203" s="16">
        <v>1</v>
      </c>
      <c r="AB2203" s="16">
        <v>0</v>
      </c>
      <c r="AC2203" s="16">
        <v>0</v>
      </c>
      <c r="AD2203" s="16">
        <v>0</v>
      </c>
      <c r="AE2203" s="16">
        <v>0</v>
      </c>
      <c r="AF2203" s="16">
        <v>5</v>
      </c>
      <c r="AG2203" s="16">
        <v>1</v>
      </c>
      <c r="AH2203" s="16">
        <v>2</v>
      </c>
      <c r="AI2203" s="12">
        <v>7</v>
      </c>
      <c r="AJ2203" s="12">
        <v>0</v>
      </c>
      <c r="AK2203" s="12">
        <v>0</v>
      </c>
      <c r="AL2203" s="12">
        <v>7</v>
      </c>
      <c r="AM2203" s="16">
        <v>0</v>
      </c>
      <c r="AN2203" s="16">
        <v>0</v>
      </c>
      <c r="AO2203" s="16">
        <v>0</v>
      </c>
      <c r="AP2203" s="16">
        <v>0.5</v>
      </c>
      <c r="AQ2203" s="16">
        <v>3000</v>
      </c>
      <c r="AR2203" s="16">
        <v>0</v>
      </c>
      <c r="AS2203" s="16">
        <v>0</v>
      </c>
      <c r="AT2203" s="12">
        <v>0</v>
      </c>
      <c r="AU2203" s="16" t="s">
        <v>198</v>
      </c>
      <c r="AV2203" s="16"/>
      <c r="AW2203" s="17" t="s">
        <v>617</v>
      </c>
      <c r="AX2203" s="16" t="s">
        <v>534</v>
      </c>
      <c r="AY2203" s="18">
        <v>10000007</v>
      </c>
      <c r="AZ2203" s="18">
        <v>21000020</v>
      </c>
      <c r="BA2203" s="17" t="s">
        <v>4978</v>
      </c>
      <c r="BB2203" s="16">
        <v>0</v>
      </c>
      <c r="BC2203" s="27">
        <v>0</v>
      </c>
      <c r="BD2203" s="27">
        <v>0</v>
      </c>
      <c r="BE2203" s="183" t="s">
        <v>5085</v>
      </c>
      <c r="BF2203" s="183" t="s">
        <v>5086</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row>
    <row r="2204" spans="3:75" ht="19.5" customHeight="1">
      <c r="C2204" s="16">
        <v>90010907</v>
      </c>
      <c r="D2204" s="17" t="s">
        <v>5134</v>
      </c>
      <c r="E2204" s="17" t="s">
        <v>5135</v>
      </c>
      <c r="F2204" s="16">
        <v>1</v>
      </c>
      <c r="G2204" s="16">
        <v>62011201</v>
      </c>
      <c r="H2204" s="16">
        <v>0</v>
      </c>
      <c r="I2204" s="27">
        <v>0</v>
      </c>
      <c r="J2204" s="16">
        <v>5</v>
      </c>
      <c r="K2204" s="16">
        <v>3</v>
      </c>
      <c r="L2204" s="16">
        <v>0</v>
      </c>
      <c r="M2204" s="16">
        <v>0</v>
      </c>
      <c r="N2204" s="16">
        <v>0</v>
      </c>
      <c r="O2204" s="16">
        <v>1</v>
      </c>
      <c r="P2204" s="16">
        <v>0</v>
      </c>
      <c r="Q2204" s="16">
        <v>0</v>
      </c>
      <c r="R2204" s="16">
        <v>0</v>
      </c>
      <c r="S2204" s="12">
        <v>0</v>
      </c>
      <c r="T2204" s="16">
        <v>0</v>
      </c>
      <c r="U2204" s="16">
        <v>1</v>
      </c>
      <c r="V2204" s="16">
        <v>2</v>
      </c>
      <c r="W2204" s="16">
        <v>0</v>
      </c>
      <c r="X2204" s="16">
        <v>1.5</v>
      </c>
      <c r="Y2204" s="12">
        <v>0</v>
      </c>
      <c r="Z2204" s="16">
        <v>10</v>
      </c>
      <c r="AA2204" s="16">
        <v>1</v>
      </c>
      <c r="AB2204" s="16">
        <v>0</v>
      </c>
      <c r="AC2204" s="16">
        <v>0</v>
      </c>
      <c r="AD2204" s="16">
        <v>0</v>
      </c>
      <c r="AE2204" s="16">
        <v>0</v>
      </c>
      <c r="AF2204" s="16">
        <v>5</v>
      </c>
      <c r="AG2204" s="16">
        <v>1</v>
      </c>
      <c r="AH2204" s="16">
        <v>3</v>
      </c>
      <c r="AI2204" s="12">
        <v>2</v>
      </c>
      <c r="AJ2204" s="12">
        <v>1</v>
      </c>
      <c r="AK2204" s="12">
        <v>0</v>
      </c>
      <c r="AL2204" s="12">
        <v>7</v>
      </c>
      <c r="AM2204" s="16">
        <v>0</v>
      </c>
      <c r="AN2204" s="16">
        <v>0</v>
      </c>
      <c r="AO2204" s="16">
        <v>0</v>
      </c>
      <c r="AP2204" s="16">
        <v>0.5</v>
      </c>
      <c r="AQ2204" s="16">
        <v>3000</v>
      </c>
      <c r="AR2204" s="16">
        <v>0</v>
      </c>
      <c r="AS2204" s="16">
        <v>0</v>
      </c>
      <c r="AT2204" s="12">
        <v>0</v>
      </c>
      <c r="AU2204" s="16" t="s">
        <v>198</v>
      </c>
      <c r="AV2204" s="16"/>
      <c r="AW2204" s="17" t="s">
        <v>617</v>
      </c>
      <c r="AX2204" s="16" t="s">
        <v>534</v>
      </c>
      <c r="AY2204" s="18">
        <v>10000007</v>
      </c>
      <c r="AZ2204" s="18">
        <v>21000020</v>
      </c>
      <c r="BA2204" s="17" t="s">
        <v>1042</v>
      </c>
      <c r="BB2204" s="16">
        <v>0</v>
      </c>
      <c r="BC2204" s="27">
        <v>0</v>
      </c>
      <c r="BD2204" s="27">
        <v>0</v>
      </c>
      <c r="BE2204" s="183" t="s">
        <v>5085</v>
      </c>
      <c r="BF2204" s="183" t="s">
        <v>5086</v>
      </c>
      <c r="BG2204" s="16">
        <v>0</v>
      </c>
      <c r="BH2204" s="16">
        <v>0</v>
      </c>
      <c r="BI2204" s="16">
        <v>0</v>
      </c>
      <c r="BJ2204" s="16">
        <v>0</v>
      </c>
      <c r="BK2204" s="16">
        <v>0</v>
      </c>
      <c r="BL2204" s="16">
        <v>0</v>
      </c>
      <c r="BM2204" s="15">
        <v>0</v>
      </c>
      <c r="BN2204" s="12">
        <v>0</v>
      </c>
      <c r="BO2204" s="12">
        <v>0</v>
      </c>
      <c r="BP2204" s="12">
        <v>0</v>
      </c>
      <c r="BQ2204" s="12">
        <v>0</v>
      </c>
      <c r="BR2204" s="12">
        <v>0</v>
      </c>
      <c r="BS2204" s="12">
        <v>0</v>
      </c>
      <c r="BT2204" s="12">
        <v>0</v>
      </c>
      <c r="BU2204" s="47">
        <v>0</v>
      </c>
      <c r="BV2204" s="47"/>
      <c r="BW2204" s="47"/>
    </row>
    <row r="2205" spans="3:75" ht="20.100000000000001" customHeight="1">
      <c r="C2205" s="60">
        <v>90010908</v>
      </c>
      <c r="D2205" s="63" t="s">
        <v>5136</v>
      </c>
      <c r="E2205" s="63" t="s">
        <v>5137</v>
      </c>
      <c r="F2205" s="64">
        <v>1</v>
      </c>
      <c r="G2205" s="93">
        <v>0</v>
      </c>
      <c r="H2205" s="64">
        <v>0</v>
      </c>
      <c r="I2205" s="66">
        <v>0</v>
      </c>
      <c r="J2205" s="64">
        <v>1</v>
      </c>
      <c r="K2205" s="64">
        <v>0</v>
      </c>
      <c r="L2205" s="64">
        <v>0</v>
      </c>
      <c r="M2205" s="64">
        <v>0</v>
      </c>
      <c r="N2205" s="64">
        <v>0</v>
      </c>
      <c r="O2205" s="64">
        <v>1</v>
      </c>
      <c r="P2205" s="64">
        <v>0</v>
      </c>
      <c r="Q2205" s="64">
        <v>0</v>
      </c>
      <c r="R2205" s="64">
        <v>0</v>
      </c>
      <c r="S2205" s="68">
        <v>0</v>
      </c>
      <c r="T2205" s="66">
        <v>0</v>
      </c>
      <c r="U2205" s="60">
        <v>1</v>
      </c>
      <c r="V2205" s="64">
        <v>1</v>
      </c>
      <c r="W2205" s="64">
        <v>0</v>
      </c>
      <c r="X2205" s="64">
        <v>1.5</v>
      </c>
      <c r="Y2205" s="12">
        <v>0</v>
      </c>
      <c r="Z2205" s="64">
        <v>0</v>
      </c>
      <c r="AA2205" s="64">
        <v>0</v>
      </c>
      <c r="AB2205" s="64">
        <v>0</v>
      </c>
      <c r="AC2205" s="64">
        <v>0</v>
      </c>
      <c r="AD2205" s="64">
        <v>1</v>
      </c>
      <c r="AE2205" s="64">
        <v>0</v>
      </c>
      <c r="AF2205" s="64">
        <v>5</v>
      </c>
      <c r="AG2205" s="64">
        <v>1</v>
      </c>
      <c r="AH2205" s="64">
        <v>3</v>
      </c>
      <c r="AI2205" s="68">
        <v>2</v>
      </c>
      <c r="AJ2205" s="68">
        <v>1</v>
      </c>
      <c r="AK2205" s="68">
        <v>0</v>
      </c>
      <c r="AL2205" s="68">
        <v>6</v>
      </c>
      <c r="AM2205" s="64">
        <v>0</v>
      </c>
      <c r="AN2205" s="64">
        <v>0</v>
      </c>
      <c r="AO2205" s="64">
        <v>0</v>
      </c>
      <c r="AP2205" s="64">
        <v>0</v>
      </c>
      <c r="AQ2205" s="64">
        <v>5000</v>
      </c>
      <c r="AR2205" s="64">
        <v>0.2</v>
      </c>
      <c r="AS2205" s="64">
        <v>0</v>
      </c>
      <c r="AT2205" s="68">
        <v>0</v>
      </c>
      <c r="AU2205" s="64" t="s">
        <v>198</v>
      </c>
      <c r="AV2205" s="64"/>
      <c r="AW2205" s="63" t="s">
        <v>198</v>
      </c>
      <c r="AX2205" s="64" t="s">
        <v>1608</v>
      </c>
      <c r="AY2205" s="64">
        <v>10000006</v>
      </c>
      <c r="AZ2205" s="125">
        <v>60000004</v>
      </c>
      <c r="BA2205" s="63" t="s">
        <v>1609</v>
      </c>
      <c r="BB2205" s="63" t="s">
        <v>198</v>
      </c>
      <c r="BC2205" s="66">
        <v>0</v>
      </c>
      <c r="BD2205" s="66">
        <v>0</v>
      </c>
      <c r="BE2205" s="92"/>
      <c r="BF2205" s="92"/>
      <c r="BG2205" s="64">
        <v>0</v>
      </c>
      <c r="BH2205" s="60">
        <v>0</v>
      </c>
      <c r="BI2205" s="64">
        <v>0</v>
      </c>
      <c r="BJ2205" s="64">
        <v>0</v>
      </c>
      <c r="BK2205" s="64">
        <v>0</v>
      </c>
      <c r="BL2205" s="64">
        <v>0</v>
      </c>
      <c r="BM2205" s="93">
        <v>0</v>
      </c>
      <c r="BN2205" s="68">
        <v>1</v>
      </c>
      <c r="BO2205" s="68">
        <v>0</v>
      </c>
      <c r="BP2205" s="68">
        <v>0</v>
      </c>
      <c r="BQ2205" s="68">
        <v>0</v>
      </c>
      <c r="BR2205" s="68">
        <v>0</v>
      </c>
      <c r="BS2205" s="68">
        <v>0</v>
      </c>
      <c r="BT2205" s="12">
        <v>0</v>
      </c>
      <c r="BU2205" s="47">
        <v>0</v>
      </c>
      <c r="BV2205" s="47"/>
      <c r="BW2205" s="47"/>
    </row>
    <row r="2206" spans="3:75" ht="20.100000000000001" customHeight="1">
      <c r="C2206" s="16">
        <v>90010909</v>
      </c>
      <c r="D2206" s="17" t="s">
        <v>5138</v>
      </c>
      <c r="E2206" s="17" t="s">
        <v>5139</v>
      </c>
      <c r="F2206" s="16">
        <v>0</v>
      </c>
      <c r="G2206" s="16">
        <v>61011301</v>
      </c>
      <c r="H2206" s="16">
        <v>0</v>
      </c>
      <c r="I2206" s="27">
        <v>0</v>
      </c>
      <c r="J2206" s="16">
        <v>10</v>
      </c>
      <c r="K2206" s="16">
        <v>3</v>
      </c>
      <c r="L2206" s="16">
        <v>0</v>
      </c>
      <c r="M2206" s="16">
        <v>0</v>
      </c>
      <c r="N2206" s="16">
        <v>0</v>
      </c>
      <c r="O2206" s="16">
        <v>2</v>
      </c>
      <c r="P2206" s="16">
        <v>1</v>
      </c>
      <c r="Q2206" s="16">
        <v>0.1</v>
      </c>
      <c r="R2206" s="16">
        <v>0</v>
      </c>
      <c r="S2206" s="12">
        <v>3</v>
      </c>
      <c r="T2206" s="16">
        <v>0</v>
      </c>
      <c r="U2206" s="16">
        <v>1</v>
      </c>
      <c r="V2206" s="16">
        <v>2</v>
      </c>
      <c r="W2206" s="16">
        <v>0</v>
      </c>
      <c r="X2206" s="16">
        <v>3</v>
      </c>
      <c r="Y2206" s="12">
        <v>0</v>
      </c>
      <c r="Z2206" s="16">
        <v>350</v>
      </c>
      <c r="AA2206" s="16">
        <v>1</v>
      </c>
      <c r="AB2206" s="16">
        <v>0</v>
      </c>
      <c r="AC2206" s="16">
        <v>0</v>
      </c>
      <c r="AD2206" s="16">
        <v>0</v>
      </c>
      <c r="AE2206" s="16">
        <v>0</v>
      </c>
      <c r="AF2206" s="16">
        <v>9</v>
      </c>
      <c r="AG2206" s="16">
        <v>1</v>
      </c>
      <c r="AH2206" s="16">
        <v>3</v>
      </c>
      <c r="AI2206" s="12">
        <v>2</v>
      </c>
      <c r="AJ2206" s="12">
        <v>1</v>
      </c>
      <c r="AK2206" s="12">
        <v>0</v>
      </c>
      <c r="AL2206" s="12">
        <v>6</v>
      </c>
      <c r="AM2206" s="16">
        <v>0</v>
      </c>
      <c r="AN2206" s="16">
        <v>0</v>
      </c>
      <c r="AO2206" s="16">
        <v>0</v>
      </c>
      <c r="AP2206" s="16">
        <v>1</v>
      </c>
      <c r="AQ2206" s="16">
        <v>3000</v>
      </c>
      <c r="AR2206" s="16">
        <v>4</v>
      </c>
      <c r="AS2206" s="16">
        <v>0</v>
      </c>
      <c r="AT2206" s="12">
        <v>0</v>
      </c>
      <c r="AU2206" s="16" t="s">
        <v>198</v>
      </c>
      <c r="AV2206" s="16"/>
      <c r="AW2206" s="17" t="s">
        <v>762</v>
      </c>
      <c r="AX2206" s="16" t="s">
        <v>215</v>
      </c>
      <c r="AY2206" s="18">
        <v>10000015</v>
      </c>
      <c r="AZ2206" s="18">
        <v>21000030</v>
      </c>
      <c r="BA2206" s="17" t="s">
        <v>771</v>
      </c>
      <c r="BB2206" s="16">
        <v>0</v>
      </c>
      <c r="BC2206" s="27">
        <v>0</v>
      </c>
      <c r="BD2206" s="27">
        <v>0</v>
      </c>
      <c r="BE2206" s="170" t="str">
        <f>"&lt;color=#D3FD3A&gt;冲锋击(剑类武器技能):\n&lt;/color&gt;"&amp;BE2230&amp;"\n\n&lt;color=#D3FD3A&gt;跳跃击(刀类武器技能):\n&lt;/color&gt;"&amp;BE2212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6" s="170" t="s">
        <v>5140</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row>
    <row r="2207" spans="3:75" ht="19.5" customHeight="1">
      <c r="C2207" s="16">
        <v>90010910</v>
      </c>
      <c r="D2207" s="19" t="s">
        <v>5141</v>
      </c>
      <c r="E2207" s="19" t="s">
        <v>5142</v>
      </c>
      <c r="F2207" s="18">
        <v>1</v>
      </c>
      <c r="G2207" s="18">
        <v>60010300</v>
      </c>
      <c r="H2207" s="18">
        <v>0</v>
      </c>
      <c r="I2207" s="27">
        <v>0</v>
      </c>
      <c r="J2207" s="18">
        <v>1</v>
      </c>
      <c r="K2207" s="18">
        <v>0</v>
      </c>
      <c r="L2207" s="18">
        <v>0</v>
      </c>
      <c r="M2207" s="18">
        <v>0</v>
      </c>
      <c r="N2207" s="18">
        <v>0</v>
      </c>
      <c r="O2207" s="16">
        <v>1</v>
      </c>
      <c r="P2207" s="18">
        <v>0</v>
      </c>
      <c r="Q2207" s="18">
        <v>0</v>
      </c>
      <c r="R2207" s="18">
        <v>0</v>
      </c>
      <c r="S2207" s="12">
        <v>0</v>
      </c>
      <c r="T2207" s="27">
        <v>0</v>
      </c>
      <c r="U2207" s="16">
        <v>1</v>
      </c>
      <c r="V2207" s="18">
        <v>2</v>
      </c>
      <c r="W2207" s="18">
        <v>0</v>
      </c>
      <c r="X2207" s="18">
        <v>3</v>
      </c>
      <c r="Y2207" s="12">
        <v>0</v>
      </c>
      <c r="Z2207" s="18">
        <v>0</v>
      </c>
      <c r="AA2207" s="18">
        <v>0</v>
      </c>
      <c r="AB2207" s="18">
        <v>0</v>
      </c>
      <c r="AC2207" s="18">
        <v>0</v>
      </c>
      <c r="AD2207" s="18">
        <v>0</v>
      </c>
      <c r="AE2207" s="18">
        <v>0</v>
      </c>
      <c r="AF2207" s="18">
        <v>9</v>
      </c>
      <c r="AG2207" s="18">
        <v>1</v>
      </c>
      <c r="AH2207" s="18">
        <v>2</v>
      </c>
      <c r="AI2207" s="12">
        <v>2</v>
      </c>
      <c r="AJ2207" s="12">
        <v>1</v>
      </c>
      <c r="AK2207" s="12">
        <v>0</v>
      </c>
      <c r="AL2207" s="12">
        <v>5</v>
      </c>
      <c r="AM2207" s="18">
        <v>0</v>
      </c>
      <c r="AN2207" s="18">
        <v>0</v>
      </c>
      <c r="AO2207" s="18">
        <v>0</v>
      </c>
      <c r="AP2207" s="18">
        <v>0.5</v>
      </c>
      <c r="AQ2207" s="18">
        <v>2000</v>
      </c>
      <c r="AR2207" s="18">
        <v>0</v>
      </c>
      <c r="AS2207" s="18">
        <v>20</v>
      </c>
      <c r="AT2207" s="12">
        <v>0</v>
      </c>
      <c r="AU2207" s="18" t="s">
        <v>198</v>
      </c>
      <c r="AV2207" s="18"/>
      <c r="AW2207" s="19" t="s">
        <v>199</v>
      </c>
      <c r="AX2207" s="18" t="s">
        <v>545</v>
      </c>
      <c r="AY2207" s="18">
        <v>0</v>
      </c>
      <c r="AZ2207" s="18">
        <v>70106005</v>
      </c>
      <c r="BA2207" s="19" t="s">
        <v>2039</v>
      </c>
      <c r="BB2207" s="369" t="s">
        <v>2040</v>
      </c>
      <c r="BC2207" s="27">
        <v>0</v>
      </c>
      <c r="BD2207" s="27">
        <v>0</v>
      </c>
      <c r="BE2207" s="87" t="s">
        <v>5130</v>
      </c>
      <c r="BF2207" s="87" t="s">
        <v>5131</v>
      </c>
      <c r="BG2207" s="18">
        <v>0</v>
      </c>
      <c r="BH2207" s="370" t="s">
        <v>5143</v>
      </c>
      <c r="BI2207" s="18">
        <v>0</v>
      </c>
      <c r="BJ2207" s="18">
        <v>0</v>
      </c>
      <c r="BK2207" s="18">
        <v>0</v>
      </c>
      <c r="BL2207" s="18">
        <v>0</v>
      </c>
      <c r="BM2207" s="15">
        <v>0</v>
      </c>
      <c r="BN2207" s="12">
        <v>0</v>
      </c>
      <c r="BO2207" s="12">
        <v>0</v>
      </c>
      <c r="BP2207" s="12">
        <v>0</v>
      </c>
      <c r="BQ2207" s="12">
        <v>0</v>
      </c>
      <c r="BR2207" s="12">
        <v>0</v>
      </c>
      <c r="BS2207" s="12">
        <v>0</v>
      </c>
      <c r="BT2207" s="12">
        <v>0</v>
      </c>
      <c r="BU2207" s="47">
        <v>0</v>
      </c>
      <c r="BV2207" s="47"/>
      <c r="BW2207" s="47"/>
    </row>
    <row r="2208" spans="3:75" ht="20.100000000000001" customHeight="1">
      <c r="C2208" s="100">
        <v>90010911</v>
      </c>
      <c r="D2208" s="99" t="s">
        <v>5144</v>
      </c>
      <c r="E2208" s="99" t="s">
        <v>5145</v>
      </c>
      <c r="F2208" s="100">
        <v>1</v>
      </c>
      <c r="G2208" s="101">
        <v>60010100</v>
      </c>
      <c r="H2208" s="100">
        <v>0</v>
      </c>
      <c r="I2208" s="105">
        <v>0</v>
      </c>
      <c r="J2208" s="100">
        <v>1</v>
      </c>
      <c r="K2208" s="100">
        <v>0</v>
      </c>
      <c r="L2208" s="100">
        <v>0</v>
      </c>
      <c r="M2208" s="101">
        <v>0</v>
      </c>
      <c r="N2208" s="101">
        <v>0</v>
      </c>
      <c r="O2208" s="101">
        <v>2</v>
      </c>
      <c r="P2208" s="101">
        <v>10</v>
      </c>
      <c r="Q2208" s="101">
        <v>0.5</v>
      </c>
      <c r="R2208" s="101">
        <v>0</v>
      </c>
      <c r="S2208" s="106">
        <v>1</v>
      </c>
      <c r="T2208" s="101">
        <v>0</v>
      </c>
      <c r="U2208" s="101">
        <v>1</v>
      </c>
      <c r="V2208" s="101">
        <v>1</v>
      </c>
      <c r="W2208" s="101">
        <v>0</v>
      </c>
      <c r="X2208" s="101">
        <v>0</v>
      </c>
      <c r="Y2208" s="12">
        <v>0</v>
      </c>
      <c r="Z2208" s="101">
        <v>0</v>
      </c>
      <c r="AA2208" s="101">
        <v>0</v>
      </c>
      <c r="AB2208" s="101">
        <v>0</v>
      </c>
      <c r="AC2208" s="101">
        <v>0</v>
      </c>
      <c r="AD2208" s="101">
        <v>0</v>
      </c>
      <c r="AE2208" s="101">
        <v>1</v>
      </c>
      <c r="AF2208" s="101">
        <v>15</v>
      </c>
      <c r="AG2208" s="101">
        <v>1</v>
      </c>
      <c r="AH2208" s="101">
        <v>2</v>
      </c>
      <c r="AI2208" s="106">
        <v>1</v>
      </c>
      <c r="AJ2208" s="106">
        <v>0</v>
      </c>
      <c r="AK2208" s="106">
        <v>0</v>
      </c>
      <c r="AL2208" s="106">
        <v>0</v>
      </c>
      <c r="AM2208" s="101">
        <v>0</v>
      </c>
      <c r="AN2208" s="101">
        <v>0</v>
      </c>
      <c r="AO2208" s="101">
        <v>0</v>
      </c>
      <c r="AP2208" s="101">
        <v>0</v>
      </c>
      <c r="AQ2208" s="101">
        <v>2000</v>
      </c>
      <c r="AR2208" s="101">
        <v>0</v>
      </c>
      <c r="AS2208" s="101">
        <v>0</v>
      </c>
      <c r="AT2208" s="106">
        <v>90104051</v>
      </c>
      <c r="AU2208" s="114">
        <v>0</v>
      </c>
      <c r="AV2208" s="114"/>
      <c r="AW2208" s="102" t="s">
        <v>287</v>
      </c>
      <c r="AX2208" s="101">
        <v>0</v>
      </c>
      <c r="AY2208" s="100">
        <v>0</v>
      </c>
      <c r="AZ2208" s="100">
        <v>0</v>
      </c>
      <c r="BA2208" s="99" t="s">
        <v>528</v>
      </c>
      <c r="BB2208" s="101" t="s">
        <v>5146</v>
      </c>
      <c r="BC2208" s="105">
        <v>0</v>
      </c>
      <c r="BD2208" s="105">
        <v>0</v>
      </c>
      <c r="BE2208" s="119" t="s">
        <v>916</v>
      </c>
      <c r="BF2208" s="119" t="s">
        <v>917</v>
      </c>
      <c r="BG2208" s="101">
        <v>0</v>
      </c>
      <c r="BH2208" s="101">
        <v>0</v>
      </c>
      <c r="BI2208" s="101">
        <v>0</v>
      </c>
      <c r="BJ2208" s="101">
        <v>0</v>
      </c>
      <c r="BK2208" s="101">
        <v>0</v>
      </c>
      <c r="BL2208" s="101">
        <v>0</v>
      </c>
      <c r="BM2208" s="97">
        <v>0</v>
      </c>
      <c r="BN2208" s="106">
        <v>0</v>
      </c>
      <c r="BO2208" s="106">
        <v>0</v>
      </c>
      <c r="BP2208" s="106">
        <v>0</v>
      </c>
      <c r="BQ2208" s="106">
        <v>0</v>
      </c>
      <c r="BR2208" s="106">
        <v>0</v>
      </c>
      <c r="BS2208" s="106">
        <v>0</v>
      </c>
      <c r="BT2208" s="12">
        <v>0</v>
      </c>
      <c r="BU2208" s="47">
        <v>0</v>
      </c>
      <c r="BV2208" s="47"/>
      <c r="BW2208" s="47"/>
    </row>
    <row r="2209" spans="3:75" ht="20.100000000000001" customHeight="1">
      <c r="C2209" s="100">
        <v>90010912</v>
      </c>
      <c r="D2209" s="99" t="s">
        <v>562</v>
      </c>
      <c r="E2209" s="99" t="s">
        <v>563</v>
      </c>
      <c r="F2209" s="101">
        <v>1</v>
      </c>
      <c r="G2209" s="101">
        <v>61012201</v>
      </c>
      <c r="H2209" s="101">
        <v>0</v>
      </c>
      <c r="I2209" s="105">
        <v>0</v>
      </c>
      <c r="J2209" s="101">
        <v>3</v>
      </c>
      <c r="K2209" s="101">
        <v>0</v>
      </c>
      <c r="L2209" s="101">
        <v>0</v>
      </c>
      <c r="M2209" s="101">
        <v>0</v>
      </c>
      <c r="N2209" s="101">
        <v>0</v>
      </c>
      <c r="O2209" s="101">
        <v>2</v>
      </c>
      <c r="P2209" s="101">
        <v>2</v>
      </c>
      <c r="Q2209" s="101">
        <v>1</v>
      </c>
      <c r="R2209" s="101">
        <v>0</v>
      </c>
      <c r="S2209" s="106">
        <v>0</v>
      </c>
      <c r="T2209" s="101">
        <v>0</v>
      </c>
      <c r="U2209" s="101">
        <v>1</v>
      </c>
      <c r="V2209" s="101">
        <v>2</v>
      </c>
      <c r="W2209" s="101">
        <v>0</v>
      </c>
      <c r="X2209" s="101">
        <v>1.5</v>
      </c>
      <c r="Y2209" s="12">
        <v>0</v>
      </c>
      <c r="Z2209" s="101">
        <v>300</v>
      </c>
      <c r="AA2209" s="101">
        <v>1</v>
      </c>
      <c r="AB2209" s="101">
        <v>0</v>
      </c>
      <c r="AC2209" s="101">
        <v>0</v>
      </c>
      <c r="AD2209" s="101">
        <v>0</v>
      </c>
      <c r="AE2209" s="101">
        <v>0</v>
      </c>
      <c r="AF2209" s="101">
        <v>15</v>
      </c>
      <c r="AG2209" s="101">
        <v>1</v>
      </c>
      <c r="AH2209" s="101">
        <v>4</v>
      </c>
      <c r="AI2209" s="106">
        <v>2</v>
      </c>
      <c r="AJ2209" s="106">
        <v>0</v>
      </c>
      <c r="AK2209" s="106">
        <v>0</v>
      </c>
      <c r="AL2209" s="106">
        <v>0</v>
      </c>
      <c r="AM2209" s="101">
        <v>0</v>
      </c>
      <c r="AN2209" s="101">
        <v>0</v>
      </c>
      <c r="AO2209" s="101">
        <v>0</v>
      </c>
      <c r="AP2209" s="101">
        <v>0</v>
      </c>
      <c r="AQ2209" s="101">
        <v>60000</v>
      </c>
      <c r="AR2209" s="101">
        <v>0.1</v>
      </c>
      <c r="AS2209" s="101">
        <v>0</v>
      </c>
      <c r="AT2209" s="106">
        <v>0</v>
      </c>
      <c r="AU2209" s="340" t="s">
        <v>5147</v>
      </c>
      <c r="AV2209" s="101"/>
      <c r="AW2209" s="99" t="s">
        <v>762</v>
      </c>
      <c r="AX2209" s="101" t="s">
        <v>534</v>
      </c>
      <c r="AY2209" s="100">
        <v>10000001</v>
      </c>
      <c r="AZ2209" s="100">
        <v>62001701</v>
      </c>
      <c r="BA2209" s="99" t="s">
        <v>1165</v>
      </c>
      <c r="BB2209" s="101">
        <v>0</v>
      </c>
      <c r="BC2209" s="105">
        <v>0</v>
      </c>
      <c r="BD2209" s="105">
        <v>0</v>
      </c>
      <c r="BE2209" s="137" t="str">
        <f t="shared" ref="BE2209" si="158">"每秒对周围的怪物造成"&amp;X2209*100&amp;"%攻击伤害+"&amp;Z2209&amp;"点固定伤害.持续4秒并使自身免疫怪物攻击"</f>
        <v>每秒对周围的怪物造成150%攻击伤害+300点固定伤害.持续4秒并使自身免疫怪物攻击</v>
      </c>
      <c r="BF2209" s="137" t="s">
        <v>5148</v>
      </c>
      <c r="BG2209" s="101">
        <v>0</v>
      </c>
      <c r="BH2209" s="101">
        <v>0</v>
      </c>
      <c r="BI2209" s="101">
        <v>0</v>
      </c>
      <c r="BJ2209" s="101">
        <v>0</v>
      </c>
      <c r="BK2209" s="101">
        <v>0</v>
      </c>
      <c r="BL2209" s="101">
        <v>0</v>
      </c>
      <c r="BM2209" s="97">
        <v>0</v>
      </c>
      <c r="BN2209" s="106">
        <v>0</v>
      </c>
      <c r="BO2209" s="106">
        <v>0</v>
      </c>
      <c r="BP2209" s="106">
        <v>0</v>
      </c>
      <c r="BQ2209" s="106">
        <v>0</v>
      </c>
      <c r="BR2209" s="106">
        <v>0</v>
      </c>
      <c r="BS2209" s="106">
        <v>1</v>
      </c>
      <c r="BT2209" s="12">
        <v>0</v>
      </c>
      <c r="BU2209" s="47">
        <v>0</v>
      </c>
      <c r="BV2209" s="47"/>
      <c r="BW2209" s="47"/>
    </row>
    <row r="2210" spans="3:75" ht="20.100000000000001" customHeight="1">
      <c r="C2210" s="283">
        <v>90020002</v>
      </c>
      <c r="D2210" s="284" t="s">
        <v>5149</v>
      </c>
      <c r="E2210" s="284" t="s">
        <v>5150</v>
      </c>
      <c r="F2210" s="283">
        <v>1</v>
      </c>
      <c r="G2210" s="283">
        <v>80003005</v>
      </c>
      <c r="H2210" s="283">
        <v>0</v>
      </c>
      <c r="I2210" s="291">
        <v>0</v>
      </c>
      <c r="J2210" s="283">
        <v>1</v>
      </c>
      <c r="K2210" s="283">
        <v>0</v>
      </c>
      <c r="L2210" s="283">
        <v>0</v>
      </c>
      <c r="M2210" s="283">
        <v>0</v>
      </c>
      <c r="N2210" s="283">
        <v>0</v>
      </c>
      <c r="O2210" s="283">
        <v>1</v>
      </c>
      <c r="P2210" s="283">
        <v>0</v>
      </c>
      <c r="Q2210" s="283">
        <v>0</v>
      </c>
      <c r="R2210" s="283">
        <v>0</v>
      </c>
      <c r="S2210" s="293">
        <v>0</v>
      </c>
      <c r="T2210" s="291">
        <v>0</v>
      </c>
      <c r="U2210" s="294">
        <v>1</v>
      </c>
      <c r="V2210" s="283">
        <v>1</v>
      </c>
      <c r="W2210" s="283">
        <v>0</v>
      </c>
      <c r="X2210" s="283">
        <v>1.5</v>
      </c>
      <c r="Y2210" s="12">
        <v>0</v>
      </c>
      <c r="Z2210" s="283">
        <v>0</v>
      </c>
      <c r="AA2210" s="283">
        <v>0</v>
      </c>
      <c r="AB2210" s="283">
        <v>0</v>
      </c>
      <c r="AC2210" s="283">
        <v>0</v>
      </c>
      <c r="AD2210" s="283">
        <v>1</v>
      </c>
      <c r="AE2210" s="283">
        <v>1</v>
      </c>
      <c r="AF2210" s="283">
        <v>5</v>
      </c>
      <c r="AG2210" s="283">
        <v>1</v>
      </c>
      <c r="AH2210" s="283">
        <v>3</v>
      </c>
      <c r="AI2210" s="293">
        <v>2</v>
      </c>
      <c r="AJ2210" s="293">
        <v>1</v>
      </c>
      <c r="AK2210" s="293">
        <v>0</v>
      </c>
      <c r="AL2210" s="293">
        <v>6</v>
      </c>
      <c r="AM2210" s="283">
        <v>0</v>
      </c>
      <c r="AN2210" s="283">
        <v>0</v>
      </c>
      <c r="AO2210" s="283">
        <v>0</v>
      </c>
      <c r="AP2210" s="283">
        <v>0</v>
      </c>
      <c r="AQ2210" s="283">
        <v>5000</v>
      </c>
      <c r="AR2210" s="283">
        <v>0.2</v>
      </c>
      <c r="AS2210" s="283">
        <v>0</v>
      </c>
      <c r="AT2210" s="293">
        <v>0</v>
      </c>
      <c r="AU2210" s="283">
        <v>0</v>
      </c>
      <c r="AV2210" s="283"/>
      <c r="AW2210" s="284" t="s">
        <v>198</v>
      </c>
      <c r="AX2210" s="283" t="s">
        <v>1608</v>
      </c>
      <c r="AY2210" s="283">
        <v>10000006</v>
      </c>
      <c r="AZ2210" s="298">
        <v>91000307</v>
      </c>
      <c r="BA2210" s="284" t="s">
        <v>5151</v>
      </c>
      <c r="BB2210" s="284" t="s">
        <v>5152</v>
      </c>
      <c r="BC2210" s="291">
        <v>0</v>
      </c>
      <c r="BD2210" s="291">
        <v>0</v>
      </c>
      <c r="BE2210" s="300" t="s">
        <v>5153</v>
      </c>
      <c r="BF2210" s="300" t="s">
        <v>5154</v>
      </c>
      <c r="BG2210" s="283">
        <v>0</v>
      </c>
      <c r="BH2210" s="294">
        <v>0</v>
      </c>
      <c r="BI2210" s="283">
        <v>0</v>
      </c>
      <c r="BJ2210" s="283">
        <v>0</v>
      </c>
      <c r="BK2210" s="283">
        <v>0</v>
      </c>
      <c r="BL2210" s="283">
        <v>0</v>
      </c>
      <c r="BM2210" s="303">
        <v>0</v>
      </c>
      <c r="BN2210" s="293">
        <v>1</v>
      </c>
      <c r="BO2210" s="293">
        <v>0</v>
      </c>
      <c r="BP2210" s="293">
        <v>0</v>
      </c>
      <c r="BQ2210" s="293">
        <v>0</v>
      </c>
      <c r="BR2210" s="293">
        <v>0</v>
      </c>
      <c r="BS2210" s="293">
        <v>1</v>
      </c>
      <c r="BT2210" s="12">
        <v>0</v>
      </c>
      <c r="BU2210" s="47">
        <v>0</v>
      </c>
      <c r="BV2210" s="47"/>
      <c r="BW2210" s="47"/>
    </row>
    <row r="2211" spans="3:75" ht="20.100000000000001" customHeight="1">
      <c r="C2211" s="283">
        <v>90020003</v>
      </c>
      <c r="D2211" s="284" t="s">
        <v>5155</v>
      </c>
      <c r="E2211" s="284" t="s">
        <v>5156</v>
      </c>
      <c r="F2211" s="283">
        <v>1</v>
      </c>
      <c r="G2211" s="283">
        <v>80003005</v>
      </c>
      <c r="H2211" s="283">
        <v>0</v>
      </c>
      <c r="I2211" s="291">
        <v>0</v>
      </c>
      <c r="J2211" s="283">
        <v>1</v>
      </c>
      <c r="K2211" s="283">
        <v>0</v>
      </c>
      <c r="L2211" s="283">
        <v>0</v>
      </c>
      <c r="M2211" s="283">
        <v>0</v>
      </c>
      <c r="N2211" s="283">
        <v>0</v>
      </c>
      <c r="O2211" s="283">
        <v>1</v>
      </c>
      <c r="P2211" s="283">
        <v>0</v>
      </c>
      <c r="Q2211" s="283">
        <v>0</v>
      </c>
      <c r="R2211" s="283">
        <v>0</v>
      </c>
      <c r="S2211" s="293">
        <v>0</v>
      </c>
      <c r="T2211" s="291">
        <v>0</v>
      </c>
      <c r="U2211" s="294">
        <v>1</v>
      </c>
      <c r="V2211" s="283">
        <v>1</v>
      </c>
      <c r="W2211" s="283">
        <v>0</v>
      </c>
      <c r="X2211" s="283">
        <v>1.5</v>
      </c>
      <c r="Y2211" s="12">
        <v>0</v>
      </c>
      <c r="Z2211" s="283">
        <v>0</v>
      </c>
      <c r="AA2211" s="283">
        <v>0</v>
      </c>
      <c r="AB2211" s="283">
        <v>0</v>
      </c>
      <c r="AC2211" s="283">
        <v>0</v>
      </c>
      <c r="AD2211" s="283">
        <v>1</v>
      </c>
      <c r="AE2211" s="283">
        <v>1</v>
      </c>
      <c r="AF2211" s="283">
        <v>5</v>
      </c>
      <c r="AG2211" s="283">
        <v>1</v>
      </c>
      <c r="AH2211" s="283">
        <v>10</v>
      </c>
      <c r="AI2211" s="293">
        <v>2</v>
      </c>
      <c r="AJ2211" s="293">
        <v>1</v>
      </c>
      <c r="AK2211" s="293">
        <v>0</v>
      </c>
      <c r="AL2211" s="293">
        <v>6</v>
      </c>
      <c r="AM2211" s="283">
        <v>0</v>
      </c>
      <c r="AN2211" s="283">
        <v>0</v>
      </c>
      <c r="AO2211" s="283">
        <v>0</v>
      </c>
      <c r="AP2211" s="283">
        <v>0</v>
      </c>
      <c r="AQ2211" s="283">
        <v>5000</v>
      </c>
      <c r="AR2211" s="283">
        <v>1</v>
      </c>
      <c r="AS2211" s="283">
        <v>0</v>
      </c>
      <c r="AT2211" s="293">
        <v>0</v>
      </c>
      <c r="AU2211" s="283">
        <v>0</v>
      </c>
      <c r="AV2211" s="283"/>
      <c r="AW2211" s="284" t="s">
        <v>198</v>
      </c>
      <c r="AX2211" s="283" t="s">
        <v>1608</v>
      </c>
      <c r="AY2211" s="283">
        <v>10000006</v>
      </c>
      <c r="AZ2211" s="298">
        <v>91000315</v>
      </c>
      <c r="BA2211" s="284" t="s">
        <v>5157</v>
      </c>
      <c r="BB2211" s="284" t="s">
        <v>198</v>
      </c>
      <c r="BC2211" s="291">
        <v>0</v>
      </c>
      <c r="BD2211" s="291">
        <v>0</v>
      </c>
      <c r="BE2211" s="300" t="s">
        <v>5158</v>
      </c>
      <c r="BF2211" s="300" t="s">
        <v>5159</v>
      </c>
      <c r="BG2211" s="283">
        <v>0</v>
      </c>
      <c r="BH2211" s="294">
        <v>0</v>
      </c>
      <c r="BI2211" s="283">
        <v>0</v>
      </c>
      <c r="BJ2211" s="283">
        <v>0</v>
      </c>
      <c r="BK2211" s="283">
        <v>0</v>
      </c>
      <c r="BL2211" s="283">
        <v>0</v>
      </c>
      <c r="BM2211" s="303">
        <v>0</v>
      </c>
      <c r="BN2211" s="293">
        <v>1</v>
      </c>
      <c r="BO2211" s="293">
        <v>0</v>
      </c>
      <c r="BP2211" s="293">
        <v>0</v>
      </c>
      <c r="BQ2211" s="293">
        <v>0</v>
      </c>
      <c r="BR2211" s="293">
        <v>0</v>
      </c>
      <c r="BS2211" s="293">
        <v>1</v>
      </c>
      <c r="BT2211" s="12">
        <v>0</v>
      </c>
      <c r="BU2211" s="47">
        <v>0</v>
      </c>
      <c r="BV2211" s="47"/>
      <c r="BW2211" s="47"/>
    </row>
    <row r="2212" spans="3:75" ht="20.100000000000001" customHeight="1">
      <c r="C2212" s="283">
        <v>90020004</v>
      </c>
      <c r="D2212" s="19" t="s">
        <v>5160</v>
      </c>
      <c r="E2212" s="19" t="s">
        <v>5161</v>
      </c>
      <c r="F2212" s="16">
        <v>1</v>
      </c>
      <c r="G2212" s="16">
        <v>60010300</v>
      </c>
      <c r="H2212" s="16">
        <v>0</v>
      </c>
      <c r="I2212" s="27">
        <v>0</v>
      </c>
      <c r="J2212" s="16">
        <v>1</v>
      </c>
      <c r="K2212" s="16">
        <v>0</v>
      </c>
      <c r="L2212" s="16">
        <v>0</v>
      </c>
      <c r="M2212" s="16">
        <v>0</v>
      </c>
      <c r="N2212" s="16">
        <v>0</v>
      </c>
      <c r="O2212" s="16">
        <v>2</v>
      </c>
      <c r="P2212" s="16">
        <v>1</v>
      </c>
      <c r="Q2212" s="16">
        <v>1</v>
      </c>
      <c r="R2212" s="16">
        <v>0</v>
      </c>
      <c r="S2212" s="12">
        <v>0</v>
      </c>
      <c r="T2212" s="16">
        <v>0</v>
      </c>
      <c r="U2212" s="16">
        <v>0</v>
      </c>
      <c r="V2212" s="16">
        <v>1</v>
      </c>
      <c r="W2212" s="16">
        <v>0</v>
      </c>
      <c r="X2212" s="16">
        <v>1</v>
      </c>
      <c r="Y2212" s="12">
        <v>0</v>
      </c>
      <c r="Z2212" s="18">
        <v>0</v>
      </c>
      <c r="AA2212" s="16">
        <v>0</v>
      </c>
      <c r="AB2212" s="16">
        <v>0</v>
      </c>
      <c r="AC2212" s="16">
        <v>0</v>
      </c>
      <c r="AD2212" s="16">
        <v>1</v>
      </c>
      <c r="AE2212" s="16">
        <v>0</v>
      </c>
      <c r="AF2212" s="16">
        <v>5</v>
      </c>
      <c r="AG2212" s="16">
        <v>2</v>
      </c>
      <c r="AH2212" s="16" t="s">
        <v>231</v>
      </c>
      <c r="AI2212" s="12">
        <v>2</v>
      </c>
      <c r="AJ2212" s="12">
        <v>0</v>
      </c>
      <c r="AK2212" s="12">
        <v>0</v>
      </c>
      <c r="AL2212" s="12">
        <v>3</v>
      </c>
      <c r="AM2212" s="16">
        <v>0</v>
      </c>
      <c r="AN2212" s="16">
        <v>0</v>
      </c>
      <c r="AO2212" s="21">
        <v>0</v>
      </c>
      <c r="AP2212" s="16">
        <v>1.25</v>
      </c>
      <c r="AQ2212" s="16">
        <v>3000</v>
      </c>
      <c r="AR2212" s="16">
        <v>0.4</v>
      </c>
      <c r="AS2212" s="16">
        <v>0</v>
      </c>
      <c r="AT2212" s="12">
        <v>0</v>
      </c>
      <c r="AU2212" s="16" t="s">
        <v>198</v>
      </c>
      <c r="AV2212" s="16"/>
      <c r="AW2212" s="17" t="s">
        <v>232</v>
      </c>
      <c r="AX2212" s="16" t="s">
        <v>233</v>
      </c>
      <c r="AY2212" s="18">
        <v>12000001</v>
      </c>
      <c r="AZ2212" s="26">
        <v>20100010</v>
      </c>
      <c r="BA2212" s="17" t="s">
        <v>5162</v>
      </c>
      <c r="BB2212" s="16" t="s">
        <v>5163</v>
      </c>
      <c r="BC2212" s="27">
        <v>0</v>
      </c>
      <c r="BD2212" s="27">
        <v>0</v>
      </c>
      <c r="BE2212" s="44"/>
      <c r="BF2212" s="44"/>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row>
    <row r="2213" spans="3:75" ht="20.100000000000001" customHeight="1">
      <c r="C2213" s="283">
        <v>90020005</v>
      </c>
      <c r="D2213" s="19" t="s">
        <v>5164</v>
      </c>
      <c r="E2213" s="19" t="s">
        <v>5165</v>
      </c>
      <c r="F2213" s="16">
        <v>1</v>
      </c>
      <c r="G2213" s="16">
        <v>60010300</v>
      </c>
      <c r="H2213" s="16">
        <v>0</v>
      </c>
      <c r="I2213" s="27">
        <v>0</v>
      </c>
      <c r="J2213" s="16">
        <v>1</v>
      </c>
      <c r="K2213" s="16">
        <v>0</v>
      </c>
      <c r="L2213" s="16">
        <v>0</v>
      </c>
      <c r="M2213" s="16">
        <v>0</v>
      </c>
      <c r="N2213" s="16">
        <v>0</v>
      </c>
      <c r="O2213" s="16">
        <v>1</v>
      </c>
      <c r="P2213" s="16">
        <v>0</v>
      </c>
      <c r="Q2213" s="16">
        <v>0</v>
      </c>
      <c r="R2213" s="16">
        <v>0</v>
      </c>
      <c r="S2213" s="12">
        <v>0</v>
      </c>
      <c r="T2213" s="16">
        <v>0</v>
      </c>
      <c r="U2213" s="16">
        <v>0</v>
      </c>
      <c r="V2213" s="16">
        <v>1</v>
      </c>
      <c r="W2213" s="16">
        <v>0</v>
      </c>
      <c r="X2213" s="16">
        <v>1</v>
      </c>
      <c r="Y2213" s="12">
        <v>0</v>
      </c>
      <c r="Z2213" s="18">
        <v>0</v>
      </c>
      <c r="AA2213" s="16">
        <v>0</v>
      </c>
      <c r="AB2213" s="16">
        <v>0</v>
      </c>
      <c r="AC2213" s="16">
        <v>0</v>
      </c>
      <c r="AD2213" s="16">
        <v>1</v>
      </c>
      <c r="AE2213" s="16">
        <v>0</v>
      </c>
      <c r="AF2213" s="16">
        <v>5</v>
      </c>
      <c r="AG2213" s="16">
        <v>2</v>
      </c>
      <c r="AH2213" s="16" t="s">
        <v>231</v>
      </c>
      <c r="AI2213" s="12">
        <v>2</v>
      </c>
      <c r="AJ2213" s="12">
        <v>0</v>
      </c>
      <c r="AK2213" s="12">
        <v>0</v>
      </c>
      <c r="AL2213" s="12">
        <v>3</v>
      </c>
      <c r="AM2213" s="16">
        <v>0</v>
      </c>
      <c r="AN2213" s="16">
        <v>0</v>
      </c>
      <c r="AO2213" s="21">
        <v>0</v>
      </c>
      <c r="AP2213" s="16">
        <v>1.25</v>
      </c>
      <c r="AQ2213" s="16">
        <v>3000</v>
      </c>
      <c r="AR2213" s="16">
        <v>0.4</v>
      </c>
      <c r="AS2213" s="16">
        <v>0</v>
      </c>
      <c r="AT2213" s="12">
        <v>99004003</v>
      </c>
      <c r="AU2213" s="16" t="s">
        <v>198</v>
      </c>
      <c r="AV2213" s="16"/>
      <c r="AW2213" s="17" t="s">
        <v>232</v>
      </c>
      <c r="AX2213" s="16" t="s">
        <v>233</v>
      </c>
      <c r="AY2213" s="18">
        <v>0</v>
      </c>
      <c r="AZ2213" s="26">
        <v>0</v>
      </c>
      <c r="BA2213" s="17" t="s">
        <v>200</v>
      </c>
      <c r="BB2213" s="16">
        <v>0</v>
      </c>
      <c r="BC2213" s="27">
        <v>0</v>
      </c>
      <c r="BD2213" s="27">
        <v>0</v>
      </c>
      <c r="BE2213" s="44"/>
      <c r="BF2213" s="44"/>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row>
    <row r="2214" spans="3:75" ht="20.100000000000001" customHeight="1">
      <c r="C2214" s="285">
        <v>77001101</v>
      </c>
      <c r="D2214" s="286" t="s">
        <v>731</v>
      </c>
      <c r="E2214" s="286" t="s">
        <v>674</v>
      </c>
      <c r="F2214" s="93">
        <v>1</v>
      </c>
      <c r="G2214" s="60">
        <v>0</v>
      </c>
      <c r="H2214" s="93">
        <v>0</v>
      </c>
      <c r="I2214" s="93">
        <v>0</v>
      </c>
      <c r="J2214" s="93">
        <v>1</v>
      </c>
      <c r="K2214" s="93">
        <v>0</v>
      </c>
      <c r="L2214" s="125">
        <v>0</v>
      </c>
      <c r="M2214" s="125">
        <v>0</v>
      </c>
      <c r="N2214" s="93">
        <v>0</v>
      </c>
      <c r="O2214" s="93">
        <v>2</v>
      </c>
      <c r="P2214" s="93">
        <v>2</v>
      </c>
      <c r="Q2214" s="93">
        <v>0.6</v>
      </c>
      <c r="R2214" s="93">
        <v>0</v>
      </c>
      <c r="S2214" s="68">
        <v>0</v>
      </c>
      <c r="T2214" s="93">
        <v>0</v>
      </c>
      <c r="U2214" s="60">
        <v>1</v>
      </c>
      <c r="V2214" s="93">
        <v>1</v>
      </c>
      <c r="W2214" s="125">
        <v>0</v>
      </c>
      <c r="X2214" s="93">
        <v>3</v>
      </c>
      <c r="Y2214" s="12">
        <v>0</v>
      </c>
      <c r="Z2214" s="93">
        <v>0</v>
      </c>
      <c r="AA2214" s="93">
        <v>0</v>
      </c>
      <c r="AB2214" s="93">
        <v>0</v>
      </c>
      <c r="AC2214" s="125">
        <v>0</v>
      </c>
      <c r="AD2214" s="93">
        <v>0</v>
      </c>
      <c r="AE2214" s="93">
        <v>0</v>
      </c>
      <c r="AF2214" s="93">
        <v>20</v>
      </c>
      <c r="AG2214" s="93">
        <v>1</v>
      </c>
      <c r="AH2214" s="93">
        <v>5</v>
      </c>
      <c r="AI2214" s="126">
        <v>0</v>
      </c>
      <c r="AJ2214" s="126">
        <v>1</v>
      </c>
      <c r="AK2214" s="68">
        <v>0</v>
      </c>
      <c r="AL2214" s="93">
        <v>2.5</v>
      </c>
      <c r="AM2214" s="127">
        <v>0</v>
      </c>
      <c r="AN2214" s="93">
        <v>1</v>
      </c>
      <c r="AO2214" s="93">
        <v>0</v>
      </c>
      <c r="AP2214" s="93">
        <v>1</v>
      </c>
      <c r="AQ2214" s="93">
        <v>3000</v>
      </c>
      <c r="AR2214" s="93">
        <v>1</v>
      </c>
      <c r="AS2214" s="93">
        <v>0</v>
      </c>
      <c r="AT2214" s="342" t="s">
        <v>5166</v>
      </c>
      <c r="AU2214" s="334" t="s">
        <v>5167</v>
      </c>
      <c r="AV2214" s="79"/>
      <c r="AW2214" s="59" t="s">
        <v>287</v>
      </c>
      <c r="AX2214" s="125">
        <v>0</v>
      </c>
      <c r="AY2214" s="125">
        <v>0</v>
      </c>
      <c r="AZ2214" s="125">
        <v>77001101</v>
      </c>
      <c r="BA2214" s="63" t="s">
        <v>200</v>
      </c>
      <c r="BB2214" s="60">
        <v>0</v>
      </c>
      <c r="BC2214" s="66">
        <v>0</v>
      </c>
      <c r="BD2214" s="66">
        <v>0</v>
      </c>
      <c r="BE2214" s="301" t="s">
        <v>5168</v>
      </c>
      <c r="BF2214" s="301" t="s">
        <v>5169</v>
      </c>
      <c r="BG2214" s="93">
        <v>0</v>
      </c>
      <c r="BH2214" s="93">
        <v>0</v>
      </c>
      <c r="BI2214" s="64">
        <v>0</v>
      </c>
      <c r="BJ2214" s="93">
        <v>0</v>
      </c>
      <c r="BK2214" s="93">
        <v>0</v>
      </c>
      <c r="BL2214" s="127">
        <v>0</v>
      </c>
      <c r="BM2214" s="93">
        <v>0</v>
      </c>
      <c r="BN2214" s="68">
        <v>0</v>
      </c>
      <c r="BO2214" s="68">
        <v>0</v>
      </c>
      <c r="BP2214" s="68">
        <v>0</v>
      </c>
      <c r="BQ2214" s="68">
        <v>0</v>
      </c>
      <c r="BR2214" s="68">
        <v>0</v>
      </c>
      <c r="BS2214" s="68">
        <v>0</v>
      </c>
      <c r="BT2214" s="68">
        <v>0</v>
      </c>
      <c r="BU2214" s="47">
        <v>0</v>
      </c>
      <c r="BV2214" s="47"/>
      <c r="BW2214" s="47"/>
    </row>
    <row r="2215" spans="3:75" ht="20.100000000000001" customHeight="1">
      <c r="C2215" s="285">
        <v>77001102</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1.5</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1</v>
      </c>
      <c r="AQ2215" s="60">
        <v>2000</v>
      </c>
      <c r="AR2215" s="60">
        <v>1</v>
      </c>
      <c r="AS2215" s="60">
        <v>0</v>
      </c>
      <c r="AT2215" s="68">
        <v>0</v>
      </c>
      <c r="AU2215" s="334" t="s">
        <v>5167</v>
      </c>
      <c r="AV2215" s="79"/>
      <c r="AW2215" s="63" t="s">
        <v>199</v>
      </c>
      <c r="AX2215" s="60" t="s">
        <v>545</v>
      </c>
      <c r="AY2215" s="64">
        <v>10001007</v>
      </c>
      <c r="AZ2215" s="64">
        <v>77001104</v>
      </c>
      <c r="BA2215" s="59" t="s">
        <v>200</v>
      </c>
      <c r="BB2215" s="60">
        <v>0</v>
      </c>
      <c r="BC2215" s="66">
        <v>0</v>
      </c>
      <c r="BD2215" s="66">
        <v>0</v>
      </c>
      <c r="BE2215" s="90" t="s">
        <v>5170</v>
      </c>
      <c r="BF2215" s="90" t="s">
        <v>5171</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spans="3:75" ht="20.100000000000001" customHeight="1">
      <c r="C2216" s="285">
        <v>77001103</v>
      </c>
      <c r="D2216" s="59" t="s">
        <v>736</v>
      </c>
      <c r="E2216" s="147" t="s">
        <v>737</v>
      </c>
      <c r="F2216" s="93">
        <v>1</v>
      </c>
      <c r="G2216" s="93">
        <v>0</v>
      </c>
      <c r="H2216" s="64">
        <v>0</v>
      </c>
      <c r="I2216" s="66">
        <v>0</v>
      </c>
      <c r="J2216" s="64">
        <v>1</v>
      </c>
      <c r="K2216" s="64">
        <v>0</v>
      </c>
      <c r="L2216" s="64">
        <v>0</v>
      </c>
      <c r="M2216" s="60">
        <v>0</v>
      </c>
      <c r="N2216" s="60">
        <v>0</v>
      </c>
      <c r="O2216" s="60">
        <v>2</v>
      </c>
      <c r="P2216" s="60">
        <v>1</v>
      </c>
      <c r="Q2216" s="60">
        <v>0.2</v>
      </c>
      <c r="R2216" s="60">
        <v>0</v>
      </c>
      <c r="S2216" s="68">
        <v>0</v>
      </c>
      <c r="T2216" s="60">
        <v>0</v>
      </c>
      <c r="U2216" s="60">
        <v>1</v>
      </c>
      <c r="V2216" s="60">
        <v>2</v>
      </c>
      <c r="W2216" s="60">
        <v>0</v>
      </c>
      <c r="X2216" s="60">
        <v>0.8</v>
      </c>
      <c r="Y2216" s="12">
        <v>0</v>
      </c>
      <c r="Z2216" s="60">
        <v>0</v>
      </c>
      <c r="AA2216" s="60">
        <v>0</v>
      </c>
      <c r="AB2216" s="60">
        <v>0</v>
      </c>
      <c r="AC2216" s="60">
        <v>0</v>
      </c>
      <c r="AD2216" s="60">
        <v>0</v>
      </c>
      <c r="AE2216" s="60">
        <v>0</v>
      </c>
      <c r="AF2216" s="60">
        <v>0</v>
      </c>
      <c r="AG2216" s="60">
        <v>1</v>
      </c>
      <c r="AH2216" s="60">
        <v>3</v>
      </c>
      <c r="AI2216" s="68">
        <v>0</v>
      </c>
      <c r="AJ2216" s="68">
        <v>1</v>
      </c>
      <c r="AK2216" s="68">
        <v>0</v>
      </c>
      <c r="AL2216" s="68">
        <v>1.5</v>
      </c>
      <c r="AM2216" s="60">
        <v>0</v>
      </c>
      <c r="AN2216" s="60">
        <v>0</v>
      </c>
      <c r="AO2216" s="60">
        <v>0</v>
      </c>
      <c r="AP2216" s="60">
        <v>0.3</v>
      </c>
      <c r="AQ2216" s="60">
        <v>2000</v>
      </c>
      <c r="AR2216" s="60">
        <v>0.3</v>
      </c>
      <c r="AS2216" s="60">
        <v>0</v>
      </c>
      <c r="AT2216" s="68">
        <v>0</v>
      </c>
      <c r="AU2216" s="334" t="s">
        <v>5172</v>
      </c>
      <c r="AV2216" s="79"/>
      <c r="AW2216" s="63" t="s">
        <v>199</v>
      </c>
      <c r="AX2216" s="60" t="s">
        <v>545</v>
      </c>
      <c r="AY2216" s="64">
        <v>10001007</v>
      </c>
      <c r="AZ2216" s="64">
        <v>77001103</v>
      </c>
      <c r="BA2216" s="59" t="s">
        <v>200</v>
      </c>
      <c r="BB2216" s="60">
        <v>0</v>
      </c>
      <c r="BC2216" s="66">
        <v>0</v>
      </c>
      <c r="BD2216" s="66">
        <v>0</v>
      </c>
      <c r="BE2216" s="90" t="s">
        <v>5173</v>
      </c>
      <c r="BF2216" s="90" t="s">
        <v>5174</v>
      </c>
      <c r="BG2216" s="60">
        <v>0</v>
      </c>
      <c r="BH2216" s="60">
        <v>0</v>
      </c>
      <c r="BI2216" s="60">
        <v>0</v>
      </c>
      <c r="BJ2216" s="60">
        <v>0</v>
      </c>
      <c r="BK2216" s="60">
        <v>0</v>
      </c>
      <c r="BL2216" s="60">
        <v>0</v>
      </c>
      <c r="BM2216" s="93">
        <v>0</v>
      </c>
      <c r="BN2216" s="68">
        <v>0</v>
      </c>
      <c r="BO2216" s="68">
        <v>0</v>
      </c>
      <c r="BP2216" s="68">
        <v>0</v>
      </c>
      <c r="BQ2216" s="68">
        <v>0</v>
      </c>
      <c r="BR2216" s="68">
        <v>0</v>
      </c>
      <c r="BS2216" s="68">
        <v>0</v>
      </c>
      <c r="BT2216" s="68">
        <v>77001104</v>
      </c>
      <c r="BU2216" s="47">
        <v>0</v>
      </c>
      <c r="BV2216" s="47"/>
      <c r="BW2216" s="47"/>
    </row>
    <row r="2217" spans="3:75" ht="20.100000000000001" customHeight="1">
      <c r="C2217" s="285">
        <v>77001104</v>
      </c>
      <c r="D2217" s="59" t="s">
        <v>736</v>
      </c>
      <c r="E2217" s="147" t="s">
        <v>737</v>
      </c>
      <c r="F2217" s="93">
        <v>1</v>
      </c>
      <c r="G2217" s="93">
        <v>0</v>
      </c>
      <c r="H2217" s="64">
        <v>0</v>
      </c>
      <c r="I2217" s="66">
        <v>0</v>
      </c>
      <c r="J2217" s="64">
        <v>1</v>
      </c>
      <c r="K2217" s="64">
        <v>0</v>
      </c>
      <c r="L2217" s="64">
        <v>0</v>
      </c>
      <c r="M2217" s="60">
        <v>0</v>
      </c>
      <c r="N2217" s="60">
        <v>0</v>
      </c>
      <c r="O2217" s="60">
        <v>2</v>
      </c>
      <c r="P2217" s="60">
        <v>1</v>
      </c>
      <c r="Q2217" s="60">
        <v>0.2</v>
      </c>
      <c r="R2217" s="60">
        <v>0</v>
      </c>
      <c r="S2217" s="68">
        <v>0</v>
      </c>
      <c r="T2217" s="60">
        <v>0</v>
      </c>
      <c r="U2217" s="60">
        <v>1</v>
      </c>
      <c r="V2217" s="60">
        <v>2</v>
      </c>
      <c r="W2217" s="60">
        <v>0</v>
      </c>
      <c r="X2217" s="60">
        <v>0.8</v>
      </c>
      <c r="Y2217" s="12">
        <v>0</v>
      </c>
      <c r="Z2217" s="60">
        <v>0</v>
      </c>
      <c r="AA2217" s="60">
        <v>0</v>
      </c>
      <c r="AB2217" s="60">
        <v>0</v>
      </c>
      <c r="AC2217" s="60">
        <v>0</v>
      </c>
      <c r="AD2217" s="60">
        <v>0</v>
      </c>
      <c r="AE2217" s="60">
        <v>0</v>
      </c>
      <c r="AF2217" s="60">
        <v>0</v>
      </c>
      <c r="AG2217" s="60">
        <v>1</v>
      </c>
      <c r="AH2217" s="60">
        <v>3</v>
      </c>
      <c r="AI2217" s="68">
        <v>0</v>
      </c>
      <c r="AJ2217" s="68">
        <v>1</v>
      </c>
      <c r="AK2217" s="68">
        <v>0</v>
      </c>
      <c r="AL2217" s="68">
        <v>1.5</v>
      </c>
      <c r="AM2217" s="60">
        <v>0</v>
      </c>
      <c r="AN2217" s="60">
        <v>0</v>
      </c>
      <c r="AO2217" s="60">
        <v>0</v>
      </c>
      <c r="AP2217" s="60">
        <v>0</v>
      </c>
      <c r="AQ2217" s="60">
        <v>2000</v>
      </c>
      <c r="AR2217" s="60">
        <v>0.3</v>
      </c>
      <c r="AS2217" s="60">
        <v>0</v>
      </c>
      <c r="AT2217" s="68">
        <v>0</v>
      </c>
      <c r="AU2217" s="334" t="s">
        <v>5172</v>
      </c>
      <c r="AV2217" s="79"/>
      <c r="AW2217" s="63" t="s">
        <v>198</v>
      </c>
      <c r="AX2217" s="60" t="s">
        <v>545</v>
      </c>
      <c r="AY2217" s="64">
        <v>10001007</v>
      </c>
      <c r="AZ2217" s="64">
        <v>77001103</v>
      </c>
      <c r="BA2217" s="59" t="s">
        <v>200</v>
      </c>
      <c r="BB2217" s="60">
        <v>0</v>
      </c>
      <c r="BC2217" s="66">
        <v>0</v>
      </c>
      <c r="BD2217" s="66">
        <v>0</v>
      </c>
      <c r="BE2217" s="90" t="s">
        <v>5175</v>
      </c>
      <c r="BF2217" s="90" t="s">
        <v>5176</v>
      </c>
      <c r="BG2217" s="60">
        <v>0</v>
      </c>
      <c r="BH2217" s="60">
        <v>0</v>
      </c>
      <c r="BI2217" s="60">
        <v>0</v>
      </c>
      <c r="BJ2217" s="60">
        <v>0</v>
      </c>
      <c r="BK2217" s="60">
        <v>0</v>
      </c>
      <c r="BL2217" s="60">
        <v>0</v>
      </c>
      <c r="BM2217" s="93">
        <v>0</v>
      </c>
      <c r="BN2217" s="68">
        <v>0</v>
      </c>
      <c r="BO2217" s="68">
        <v>0</v>
      </c>
      <c r="BP2217" s="68">
        <v>0</v>
      </c>
      <c r="BQ2217" s="68">
        <v>0</v>
      </c>
      <c r="BR2217" s="68">
        <v>0</v>
      </c>
      <c r="BS2217" s="68">
        <v>0</v>
      </c>
      <c r="BT2217" s="68">
        <v>77001105</v>
      </c>
      <c r="BU2217" s="47">
        <v>0</v>
      </c>
      <c r="BV2217" s="47"/>
      <c r="BW2217" s="47"/>
    </row>
    <row r="2218" spans="3:75" ht="20.100000000000001" customHeight="1">
      <c r="C2218" s="285">
        <v>77001105</v>
      </c>
      <c r="D2218" s="59" t="s">
        <v>736</v>
      </c>
      <c r="E2218" s="147" t="s">
        <v>737</v>
      </c>
      <c r="F2218" s="93">
        <v>1</v>
      </c>
      <c r="G2218" s="93">
        <v>0</v>
      </c>
      <c r="H2218" s="64">
        <v>0</v>
      </c>
      <c r="I2218" s="66">
        <v>0</v>
      </c>
      <c r="J2218" s="64">
        <v>1</v>
      </c>
      <c r="K2218" s="64">
        <v>0</v>
      </c>
      <c r="L2218" s="64">
        <v>0</v>
      </c>
      <c r="M2218" s="60">
        <v>0</v>
      </c>
      <c r="N2218" s="60">
        <v>0</v>
      </c>
      <c r="O2218" s="60">
        <v>2</v>
      </c>
      <c r="P2218" s="60">
        <v>1</v>
      </c>
      <c r="Q2218" s="60">
        <v>0.2</v>
      </c>
      <c r="R2218" s="60">
        <v>0</v>
      </c>
      <c r="S2218" s="68">
        <v>0</v>
      </c>
      <c r="T2218" s="60">
        <v>0</v>
      </c>
      <c r="U2218" s="60">
        <v>1</v>
      </c>
      <c r="V2218" s="60">
        <v>2</v>
      </c>
      <c r="W2218" s="60">
        <v>0</v>
      </c>
      <c r="X2218" s="60">
        <v>0.8</v>
      </c>
      <c r="Y2218" s="12">
        <v>0</v>
      </c>
      <c r="Z2218" s="60">
        <v>0</v>
      </c>
      <c r="AA2218" s="60">
        <v>0</v>
      </c>
      <c r="AB2218" s="60">
        <v>0</v>
      </c>
      <c r="AC2218" s="60">
        <v>0</v>
      </c>
      <c r="AD2218" s="60">
        <v>0</v>
      </c>
      <c r="AE2218" s="60">
        <v>0</v>
      </c>
      <c r="AF2218" s="60">
        <v>0</v>
      </c>
      <c r="AG2218" s="60">
        <v>1</v>
      </c>
      <c r="AH2218" s="60">
        <v>3</v>
      </c>
      <c r="AI2218" s="68">
        <v>0</v>
      </c>
      <c r="AJ2218" s="68">
        <v>1</v>
      </c>
      <c r="AK2218" s="68">
        <v>0</v>
      </c>
      <c r="AL2218" s="68">
        <v>1.5</v>
      </c>
      <c r="AM2218" s="60">
        <v>0</v>
      </c>
      <c r="AN2218" s="60">
        <v>0</v>
      </c>
      <c r="AO2218" s="60">
        <v>0</v>
      </c>
      <c r="AP2218" s="60">
        <v>0.3</v>
      </c>
      <c r="AQ2218" s="60">
        <v>2000</v>
      </c>
      <c r="AR2218" s="60">
        <v>0.3</v>
      </c>
      <c r="AS2218" s="60">
        <v>0</v>
      </c>
      <c r="AT2218" s="68">
        <v>0</v>
      </c>
      <c r="AU2218" s="334" t="s">
        <v>5172</v>
      </c>
      <c r="AV2218" s="79"/>
      <c r="AW2218" s="63" t="s">
        <v>198</v>
      </c>
      <c r="AX2218" s="60" t="s">
        <v>545</v>
      </c>
      <c r="AY2218" s="64">
        <v>10001007</v>
      </c>
      <c r="AZ2218" s="64">
        <v>77001103</v>
      </c>
      <c r="BA2218" s="59" t="s">
        <v>200</v>
      </c>
      <c r="BB2218" s="60">
        <v>0</v>
      </c>
      <c r="BC2218" s="66">
        <v>0</v>
      </c>
      <c r="BD2218" s="66">
        <v>0</v>
      </c>
      <c r="BE2218" s="90" t="s">
        <v>5175</v>
      </c>
      <c r="BF2218" s="90" t="s">
        <v>5176</v>
      </c>
      <c r="BG2218" s="60">
        <v>0</v>
      </c>
      <c r="BH2218" s="60">
        <v>0</v>
      </c>
      <c r="BI2218" s="60">
        <v>0</v>
      </c>
      <c r="BJ2218" s="60">
        <v>0</v>
      </c>
      <c r="BK2218" s="60">
        <v>0</v>
      </c>
      <c r="BL2218" s="60">
        <v>0</v>
      </c>
      <c r="BM2218" s="93">
        <v>0</v>
      </c>
      <c r="BN2218" s="68">
        <v>0</v>
      </c>
      <c r="BO2218" s="68">
        <v>0</v>
      </c>
      <c r="BP2218" s="68">
        <v>0</v>
      </c>
      <c r="BQ2218" s="68">
        <v>0</v>
      </c>
      <c r="BR2218" s="68">
        <v>0</v>
      </c>
      <c r="BS2218" s="68">
        <v>0</v>
      </c>
      <c r="BT2218" s="68">
        <v>77001106</v>
      </c>
      <c r="BU2218" s="47">
        <v>0</v>
      </c>
      <c r="BV2218" s="47"/>
      <c r="BW2218" s="47"/>
    </row>
    <row r="2219" spans="3:75" ht="19.5" customHeight="1">
      <c r="C2219" s="285">
        <v>77001106</v>
      </c>
      <c r="D2219" s="59" t="s">
        <v>598</v>
      </c>
      <c r="E2219" s="147" t="s">
        <v>1162</v>
      </c>
      <c r="F2219" s="93">
        <v>1</v>
      </c>
      <c r="G2219" s="93">
        <v>0</v>
      </c>
      <c r="H2219" s="64">
        <v>0</v>
      </c>
      <c r="I2219" s="66">
        <v>0</v>
      </c>
      <c r="J2219" s="64">
        <v>1</v>
      </c>
      <c r="K2219" s="64">
        <v>0</v>
      </c>
      <c r="L2219" s="64">
        <v>0</v>
      </c>
      <c r="M2219" s="60">
        <v>0</v>
      </c>
      <c r="N2219" s="60">
        <v>0</v>
      </c>
      <c r="O2219" s="60">
        <v>2</v>
      </c>
      <c r="P2219" s="60">
        <v>16</v>
      </c>
      <c r="Q2219" s="60">
        <v>5</v>
      </c>
      <c r="R2219" s="60">
        <v>0</v>
      </c>
      <c r="S2219" s="68">
        <v>0</v>
      </c>
      <c r="T2219" s="60">
        <v>0</v>
      </c>
      <c r="U2219" s="60">
        <v>1</v>
      </c>
      <c r="V2219" s="60">
        <v>2</v>
      </c>
      <c r="W2219" s="60">
        <v>0</v>
      </c>
      <c r="X2219" s="60">
        <v>2</v>
      </c>
      <c r="Y2219" s="12">
        <v>0</v>
      </c>
      <c r="Z2219" s="60">
        <v>0</v>
      </c>
      <c r="AA2219" s="60">
        <v>0</v>
      </c>
      <c r="AB2219" s="60">
        <v>0</v>
      </c>
      <c r="AC2219" s="60">
        <v>0</v>
      </c>
      <c r="AD2219" s="60">
        <v>0</v>
      </c>
      <c r="AE2219" s="60">
        <v>0</v>
      </c>
      <c r="AF2219" s="60">
        <v>0</v>
      </c>
      <c r="AG2219" s="60">
        <v>2</v>
      </c>
      <c r="AH2219" s="60" t="s">
        <v>213</v>
      </c>
      <c r="AI2219" s="68">
        <v>0</v>
      </c>
      <c r="AJ2219" s="68">
        <v>2</v>
      </c>
      <c r="AK2219" s="68">
        <v>0</v>
      </c>
      <c r="AL2219" s="68">
        <v>1.5</v>
      </c>
      <c r="AM2219" s="60">
        <v>0</v>
      </c>
      <c r="AN2219" s="60">
        <v>0</v>
      </c>
      <c r="AO2219" s="60">
        <v>0</v>
      </c>
      <c r="AP2219" s="60">
        <v>0.5</v>
      </c>
      <c r="AQ2219" s="60">
        <v>2000</v>
      </c>
      <c r="AR2219" s="60">
        <v>0.5</v>
      </c>
      <c r="AS2219" s="60">
        <v>0</v>
      </c>
      <c r="AT2219" s="68">
        <v>0</v>
      </c>
      <c r="AU2219" s="334" t="s">
        <v>5167</v>
      </c>
      <c r="AV2219" s="79"/>
      <c r="AW2219" s="63" t="s">
        <v>198</v>
      </c>
      <c r="AX2219" s="60" t="s">
        <v>545</v>
      </c>
      <c r="AY2219" s="64">
        <v>10001007</v>
      </c>
      <c r="AZ2219" s="64">
        <v>77001105</v>
      </c>
      <c r="BA2219" s="59" t="s">
        <v>200</v>
      </c>
      <c r="BB2219" s="60">
        <v>0</v>
      </c>
      <c r="BC2219" s="66">
        <v>0</v>
      </c>
      <c r="BD2219" s="66">
        <v>0</v>
      </c>
      <c r="BE2219" s="90" t="s">
        <v>5175</v>
      </c>
      <c r="BF2219" s="90" t="s">
        <v>5176</v>
      </c>
      <c r="BG2219" s="60">
        <v>0</v>
      </c>
      <c r="BH2219" s="60">
        <v>0</v>
      </c>
      <c r="BI2219" s="60">
        <v>0</v>
      </c>
      <c r="BJ2219" s="60">
        <v>0</v>
      </c>
      <c r="BK2219" s="60">
        <v>0</v>
      </c>
      <c r="BL2219" s="60">
        <v>0</v>
      </c>
      <c r="BM2219" s="93">
        <v>0</v>
      </c>
      <c r="BN2219" s="68">
        <v>0</v>
      </c>
      <c r="BO2219" s="68">
        <v>0</v>
      </c>
      <c r="BP2219" s="68">
        <v>0</v>
      </c>
      <c r="BQ2219" s="68">
        <v>0</v>
      </c>
      <c r="BR2219" s="68">
        <v>0</v>
      </c>
      <c r="BS2219" s="68">
        <v>0</v>
      </c>
      <c r="BT2219" s="68">
        <v>0</v>
      </c>
      <c r="BU2219" s="47">
        <v>0</v>
      </c>
      <c r="BV2219" s="47"/>
      <c r="BW2219" s="47"/>
    </row>
    <row r="2220" spans="3:75" ht="19.5" customHeight="1">
      <c r="C2220" s="287">
        <v>77001201</v>
      </c>
      <c r="D2220" s="288" t="s">
        <v>5177</v>
      </c>
      <c r="E2220" s="288" t="s">
        <v>5178</v>
      </c>
      <c r="F2220" s="287">
        <v>1</v>
      </c>
      <c r="G2220" s="289">
        <v>0</v>
      </c>
      <c r="H2220" s="287">
        <v>0</v>
      </c>
      <c r="I2220" s="292">
        <v>0</v>
      </c>
      <c r="J2220" s="287">
        <v>1</v>
      </c>
      <c r="K2220" s="287">
        <v>0</v>
      </c>
      <c r="L2220" s="287">
        <v>0</v>
      </c>
      <c r="M2220" s="289">
        <v>0</v>
      </c>
      <c r="N2220" s="289">
        <v>0</v>
      </c>
      <c r="O2220" s="289">
        <v>2</v>
      </c>
      <c r="P2220" s="289">
        <v>3</v>
      </c>
      <c r="Q2220" s="289">
        <v>0.15</v>
      </c>
      <c r="R2220" s="289">
        <v>0</v>
      </c>
      <c r="S2220" s="295">
        <v>0</v>
      </c>
      <c r="T2220" s="289">
        <v>0</v>
      </c>
      <c r="U2220" s="289">
        <v>1</v>
      </c>
      <c r="V2220" s="289">
        <v>1</v>
      </c>
      <c r="W2220" s="289">
        <v>0</v>
      </c>
      <c r="X2220" s="289">
        <v>2</v>
      </c>
      <c r="Y2220" s="12">
        <v>0</v>
      </c>
      <c r="Z2220" s="289">
        <v>0</v>
      </c>
      <c r="AA2220" s="289">
        <v>1</v>
      </c>
      <c r="AB2220" s="289">
        <v>0</v>
      </c>
      <c r="AC2220" s="289">
        <v>0</v>
      </c>
      <c r="AD2220" s="289">
        <v>0</v>
      </c>
      <c r="AE2220" s="289">
        <v>1</v>
      </c>
      <c r="AF2220" s="289">
        <v>15</v>
      </c>
      <c r="AG2220" s="289">
        <v>1</v>
      </c>
      <c r="AH2220" s="289">
        <v>4</v>
      </c>
      <c r="AI2220" s="295">
        <v>0</v>
      </c>
      <c r="AJ2220" s="295">
        <v>1</v>
      </c>
      <c r="AK2220" s="295">
        <v>0</v>
      </c>
      <c r="AL2220" s="295">
        <v>3</v>
      </c>
      <c r="AM2220" s="289">
        <v>0</v>
      </c>
      <c r="AN2220" s="289">
        <v>0</v>
      </c>
      <c r="AO2220" s="289">
        <v>0</v>
      </c>
      <c r="AP2220" s="289">
        <v>1.2</v>
      </c>
      <c r="AQ2220" s="289">
        <v>2000</v>
      </c>
      <c r="AR2220" s="289">
        <v>1.2</v>
      </c>
      <c r="AS2220" s="289">
        <v>0</v>
      </c>
      <c r="AT2220" s="295">
        <v>97002003</v>
      </c>
      <c r="AU2220" s="289">
        <v>0</v>
      </c>
      <c r="AV2220" s="289"/>
      <c r="AW2220" s="299" t="s">
        <v>199</v>
      </c>
      <c r="AX2220" s="289" t="s">
        <v>534</v>
      </c>
      <c r="AY2220" s="287">
        <v>0</v>
      </c>
      <c r="AZ2220" s="287">
        <v>77001201</v>
      </c>
      <c r="BA2220" s="288" t="s">
        <v>200</v>
      </c>
      <c r="BB2220" s="289">
        <v>0</v>
      </c>
      <c r="BC2220" s="292">
        <v>0</v>
      </c>
      <c r="BD2220" s="292">
        <v>0</v>
      </c>
      <c r="BE2220" s="302" t="s">
        <v>5179</v>
      </c>
      <c r="BF2220" s="302" t="s">
        <v>5180</v>
      </c>
      <c r="BG2220" s="289">
        <v>0</v>
      </c>
      <c r="BH2220" s="289">
        <v>0</v>
      </c>
      <c r="BI2220" s="289">
        <v>0</v>
      </c>
      <c r="BJ2220" s="289">
        <v>0</v>
      </c>
      <c r="BK2220" s="289">
        <v>0</v>
      </c>
      <c r="BL2220" s="289">
        <v>0</v>
      </c>
      <c r="BM2220" s="304">
        <v>0</v>
      </c>
      <c r="BN2220" s="295">
        <v>0</v>
      </c>
      <c r="BO2220" s="295">
        <v>0</v>
      </c>
      <c r="BP2220" s="295">
        <v>0</v>
      </c>
      <c r="BQ2220" s="295">
        <v>0</v>
      </c>
      <c r="BR2220" s="295">
        <v>0</v>
      </c>
      <c r="BS2220" s="295">
        <v>0</v>
      </c>
      <c r="BT2220" s="295">
        <v>0</v>
      </c>
      <c r="BU2220" s="47">
        <v>0</v>
      </c>
      <c r="BV2220" s="47"/>
      <c r="BW2220" s="47"/>
    </row>
    <row r="2221" spans="3:75" ht="19.5" customHeight="1">
      <c r="C2221" s="287">
        <v>77001202</v>
      </c>
      <c r="D2221" s="288" t="s">
        <v>5181</v>
      </c>
      <c r="E2221" s="288" t="s">
        <v>674</v>
      </c>
      <c r="F2221" s="287">
        <v>1</v>
      </c>
      <c r="G2221" s="289">
        <v>0</v>
      </c>
      <c r="H2221" s="287">
        <v>0</v>
      </c>
      <c r="I2221" s="292">
        <v>0</v>
      </c>
      <c r="J2221" s="287">
        <v>1</v>
      </c>
      <c r="K2221" s="287">
        <v>0</v>
      </c>
      <c r="L2221" s="287">
        <v>0</v>
      </c>
      <c r="M2221" s="289">
        <v>0</v>
      </c>
      <c r="N2221" s="289">
        <v>0</v>
      </c>
      <c r="O2221" s="289">
        <v>2</v>
      </c>
      <c r="P2221" s="289">
        <v>3</v>
      </c>
      <c r="Q2221" s="289">
        <v>0.15</v>
      </c>
      <c r="R2221" s="289">
        <v>0</v>
      </c>
      <c r="S2221" s="295">
        <v>0</v>
      </c>
      <c r="T2221" s="289">
        <v>0</v>
      </c>
      <c r="U2221" s="289">
        <v>1</v>
      </c>
      <c r="V2221" s="289">
        <v>1</v>
      </c>
      <c r="W2221" s="289">
        <v>0</v>
      </c>
      <c r="X2221" s="289">
        <v>0.5</v>
      </c>
      <c r="Y2221" s="12">
        <v>0</v>
      </c>
      <c r="Z2221" s="289">
        <v>0</v>
      </c>
      <c r="AA2221" s="289">
        <v>1</v>
      </c>
      <c r="AB2221" s="289">
        <v>0</v>
      </c>
      <c r="AC2221" s="289">
        <v>0</v>
      </c>
      <c r="AD2221" s="289">
        <v>0</v>
      </c>
      <c r="AE2221" s="289">
        <v>1</v>
      </c>
      <c r="AF2221" s="289">
        <v>0</v>
      </c>
      <c r="AG2221" s="289">
        <v>1</v>
      </c>
      <c r="AH2221" s="289">
        <v>5</v>
      </c>
      <c r="AI2221" s="295">
        <v>0</v>
      </c>
      <c r="AJ2221" s="295">
        <v>1</v>
      </c>
      <c r="AK2221" s="295">
        <v>0</v>
      </c>
      <c r="AL2221" s="295">
        <v>3</v>
      </c>
      <c r="AM2221" s="289">
        <v>0</v>
      </c>
      <c r="AN2221" s="289">
        <v>0</v>
      </c>
      <c r="AO2221" s="289">
        <v>0</v>
      </c>
      <c r="AP2221" s="289">
        <v>0</v>
      </c>
      <c r="AQ2221" s="289">
        <v>1000</v>
      </c>
      <c r="AR2221" s="289">
        <v>0.2</v>
      </c>
      <c r="AS2221" s="289">
        <v>0</v>
      </c>
      <c r="AT2221" s="295">
        <v>0</v>
      </c>
      <c r="AU2221" s="371" t="s">
        <v>5182</v>
      </c>
      <c r="AV2221" s="296"/>
      <c r="AW2221" s="299" t="s">
        <v>198</v>
      </c>
      <c r="AX2221" s="289" t="s">
        <v>534</v>
      </c>
      <c r="AY2221" s="287">
        <v>0</v>
      </c>
      <c r="AZ2221" s="287">
        <v>77001202</v>
      </c>
      <c r="BA2221" s="288" t="s">
        <v>200</v>
      </c>
      <c r="BB2221" s="289">
        <v>0</v>
      </c>
      <c r="BC2221" s="292">
        <v>0</v>
      </c>
      <c r="BD2221" s="292">
        <v>0</v>
      </c>
      <c r="BE2221" s="302" t="s">
        <v>5183</v>
      </c>
      <c r="BF2221" s="302" t="s">
        <v>5184</v>
      </c>
      <c r="BG2221" s="289">
        <v>0</v>
      </c>
      <c r="BH2221" s="289">
        <v>0</v>
      </c>
      <c r="BI2221" s="289">
        <v>0</v>
      </c>
      <c r="BJ2221" s="289">
        <v>0</v>
      </c>
      <c r="BK2221" s="289">
        <v>0</v>
      </c>
      <c r="BL2221" s="289">
        <v>0</v>
      </c>
      <c r="BM2221" s="304">
        <v>0</v>
      </c>
      <c r="BN2221" s="295">
        <v>0</v>
      </c>
      <c r="BO2221" s="295">
        <v>0</v>
      </c>
      <c r="BP2221" s="295">
        <v>0</v>
      </c>
      <c r="BQ2221" s="295">
        <v>0</v>
      </c>
      <c r="BR2221" s="295">
        <v>0</v>
      </c>
      <c r="BS2221" s="295">
        <v>1</v>
      </c>
      <c r="BT2221" s="295">
        <v>0</v>
      </c>
      <c r="BU2221" s="47">
        <v>0</v>
      </c>
      <c r="BV2221" s="47"/>
      <c r="BW2221" s="47"/>
    </row>
    <row r="2222" spans="3:75" ht="19.5" customHeight="1">
      <c r="C2222" s="287">
        <v>77001203</v>
      </c>
      <c r="D2222" s="288" t="s">
        <v>5185</v>
      </c>
      <c r="E2222" s="288" t="s">
        <v>5186</v>
      </c>
      <c r="F2222" s="287">
        <v>1</v>
      </c>
      <c r="G2222" s="289">
        <v>0</v>
      </c>
      <c r="H2222" s="287">
        <v>0</v>
      </c>
      <c r="I2222" s="292">
        <v>0</v>
      </c>
      <c r="J2222" s="287">
        <v>1</v>
      </c>
      <c r="K2222" s="287">
        <v>0</v>
      </c>
      <c r="L2222" s="287">
        <v>0</v>
      </c>
      <c r="M2222" s="289">
        <v>0</v>
      </c>
      <c r="N2222" s="289">
        <v>0</v>
      </c>
      <c r="O2222" s="289">
        <v>2</v>
      </c>
      <c r="P2222" s="289">
        <v>3</v>
      </c>
      <c r="Q2222" s="289">
        <v>0.1</v>
      </c>
      <c r="R2222" s="289">
        <v>0</v>
      </c>
      <c r="S2222" s="295">
        <v>0</v>
      </c>
      <c r="T2222" s="289">
        <v>0</v>
      </c>
      <c r="U2222" s="289">
        <v>1</v>
      </c>
      <c r="V2222" s="289">
        <v>1</v>
      </c>
      <c r="W2222" s="289">
        <v>0</v>
      </c>
      <c r="X2222" s="289">
        <v>3</v>
      </c>
      <c r="Y2222" s="12">
        <v>0</v>
      </c>
      <c r="Z2222" s="289">
        <v>0</v>
      </c>
      <c r="AA2222" s="289">
        <v>1</v>
      </c>
      <c r="AB2222" s="289">
        <v>0</v>
      </c>
      <c r="AC2222" s="289">
        <v>0</v>
      </c>
      <c r="AD2222" s="289">
        <v>0</v>
      </c>
      <c r="AE2222" s="289">
        <v>1</v>
      </c>
      <c r="AF2222" s="289">
        <v>5</v>
      </c>
      <c r="AG2222" s="289">
        <v>1</v>
      </c>
      <c r="AH2222" s="289">
        <v>6</v>
      </c>
      <c r="AI2222" s="295">
        <v>1</v>
      </c>
      <c r="AJ2222" s="295">
        <v>1</v>
      </c>
      <c r="AK2222" s="295">
        <v>0</v>
      </c>
      <c r="AL2222" s="295">
        <v>3</v>
      </c>
      <c r="AM2222" s="289">
        <v>0</v>
      </c>
      <c r="AN2222" s="289">
        <v>0</v>
      </c>
      <c r="AO2222" s="289">
        <v>0</v>
      </c>
      <c r="AP2222" s="289">
        <v>1.8</v>
      </c>
      <c r="AQ2222" s="289">
        <v>2000</v>
      </c>
      <c r="AR2222" s="289">
        <v>2</v>
      </c>
      <c r="AS2222" s="289">
        <v>0</v>
      </c>
      <c r="AT2222" s="295">
        <v>0</v>
      </c>
      <c r="AU2222" s="289">
        <v>97002001</v>
      </c>
      <c r="AV2222" s="289"/>
      <c r="AW2222" s="299" t="s">
        <v>199</v>
      </c>
      <c r="AX2222" s="289" t="s">
        <v>534</v>
      </c>
      <c r="AY2222" s="287">
        <v>0</v>
      </c>
      <c r="AZ2222" s="287">
        <v>77001203</v>
      </c>
      <c r="BA2222" s="288" t="s">
        <v>771</v>
      </c>
      <c r="BB2222" s="289">
        <v>0</v>
      </c>
      <c r="BC2222" s="292">
        <v>0</v>
      </c>
      <c r="BD2222" s="292">
        <v>0</v>
      </c>
      <c r="BE2222" s="302" t="s">
        <v>5187</v>
      </c>
      <c r="BF2222" s="302" t="s">
        <v>5188</v>
      </c>
      <c r="BG2222" s="289">
        <v>0</v>
      </c>
      <c r="BH2222" s="289">
        <v>0</v>
      </c>
      <c r="BI2222" s="289">
        <v>0</v>
      </c>
      <c r="BJ2222" s="289">
        <v>0</v>
      </c>
      <c r="BK2222" s="289">
        <v>0</v>
      </c>
      <c r="BL2222" s="289">
        <v>0</v>
      </c>
      <c r="BM2222" s="304">
        <v>0</v>
      </c>
      <c r="BN2222" s="295">
        <v>0</v>
      </c>
      <c r="BO2222" s="295">
        <v>0</v>
      </c>
      <c r="BP2222" s="295">
        <v>0</v>
      </c>
      <c r="BQ2222" s="295">
        <v>0</v>
      </c>
      <c r="BR2222" s="295">
        <v>0</v>
      </c>
      <c r="BS2222" s="295">
        <v>0</v>
      </c>
      <c r="BT2222" s="295">
        <v>77001208</v>
      </c>
      <c r="BU2222" s="47">
        <v>0</v>
      </c>
      <c r="BV2222" s="47"/>
      <c r="BW2222" s="47"/>
    </row>
    <row r="2223" spans="3:75" ht="20.100000000000001" customHeight="1">
      <c r="C2223" s="287">
        <v>77001204</v>
      </c>
      <c r="D2223" s="288" t="s">
        <v>5189</v>
      </c>
      <c r="E2223" s="288" t="s">
        <v>5190</v>
      </c>
      <c r="F2223" s="289">
        <v>1</v>
      </c>
      <c r="G2223" s="289">
        <v>0</v>
      </c>
      <c r="H2223" s="287">
        <v>0</v>
      </c>
      <c r="I2223" s="292">
        <v>0</v>
      </c>
      <c r="J2223" s="287">
        <v>1</v>
      </c>
      <c r="K2223" s="287">
        <v>0</v>
      </c>
      <c r="L2223" s="287">
        <v>0</v>
      </c>
      <c r="M2223" s="289">
        <v>0</v>
      </c>
      <c r="N2223" s="289">
        <v>0</v>
      </c>
      <c r="O2223" s="289">
        <v>2</v>
      </c>
      <c r="P2223" s="289">
        <v>1</v>
      </c>
      <c r="Q2223" s="289">
        <v>0.3</v>
      </c>
      <c r="R2223" s="289">
        <v>0</v>
      </c>
      <c r="S2223" s="295">
        <v>3</v>
      </c>
      <c r="T2223" s="289">
        <v>0</v>
      </c>
      <c r="U2223" s="289">
        <v>1</v>
      </c>
      <c r="V2223" s="289">
        <v>2</v>
      </c>
      <c r="W2223" s="289">
        <v>0</v>
      </c>
      <c r="X2223" s="289">
        <v>1</v>
      </c>
      <c r="Y2223" s="12">
        <v>0</v>
      </c>
      <c r="Z2223" s="289">
        <v>0</v>
      </c>
      <c r="AA2223" s="289">
        <v>0</v>
      </c>
      <c r="AB2223" s="289">
        <v>0</v>
      </c>
      <c r="AC2223" s="289">
        <v>0</v>
      </c>
      <c r="AD2223" s="289">
        <v>0</v>
      </c>
      <c r="AE2223" s="289">
        <v>0</v>
      </c>
      <c r="AF2223" s="289">
        <v>12</v>
      </c>
      <c r="AG2223" s="289">
        <v>1</v>
      </c>
      <c r="AH2223" s="289">
        <v>3</v>
      </c>
      <c r="AI2223" s="295">
        <v>6</v>
      </c>
      <c r="AJ2223" s="295">
        <v>1</v>
      </c>
      <c r="AK2223" s="295">
        <v>0</v>
      </c>
      <c r="AL2223" s="295">
        <v>1.5</v>
      </c>
      <c r="AM2223" s="289">
        <v>0</v>
      </c>
      <c r="AN2223" s="289">
        <v>0</v>
      </c>
      <c r="AO2223" s="289">
        <v>0</v>
      </c>
      <c r="AP2223" s="289">
        <v>0.5</v>
      </c>
      <c r="AQ2223" s="289">
        <v>5000</v>
      </c>
      <c r="AR2223" s="289">
        <v>1</v>
      </c>
      <c r="AS2223" s="289">
        <v>0</v>
      </c>
      <c r="AT2223" s="295">
        <v>0</v>
      </c>
      <c r="AU2223" s="289">
        <v>97002002</v>
      </c>
      <c r="AV2223" s="289"/>
      <c r="AW2223" s="299" t="s">
        <v>199</v>
      </c>
      <c r="AX2223" s="289" t="s">
        <v>534</v>
      </c>
      <c r="AY2223" s="287">
        <v>10000007</v>
      </c>
      <c r="AZ2223" s="372" t="s">
        <v>5191</v>
      </c>
      <c r="BA2223" s="288" t="s">
        <v>200</v>
      </c>
      <c r="BB2223" s="289" t="s">
        <v>5192</v>
      </c>
      <c r="BC2223" s="292">
        <v>0</v>
      </c>
      <c r="BD2223" s="292">
        <v>0</v>
      </c>
      <c r="BE2223" s="302" t="s">
        <v>5193</v>
      </c>
      <c r="BF2223" s="302" t="s">
        <v>5194</v>
      </c>
      <c r="BG2223" s="289">
        <v>0</v>
      </c>
      <c r="BH2223" s="289">
        <v>0</v>
      </c>
      <c r="BI2223" s="289">
        <v>0</v>
      </c>
      <c r="BJ2223" s="289">
        <v>0</v>
      </c>
      <c r="BK2223" s="289">
        <v>0</v>
      </c>
      <c r="BL2223" s="289">
        <v>0</v>
      </c>
      <c r="BM2223" s="304">
        <v>0</v>
      </c>
      <c r="BN2223" s="295">
        <v>0</v>
      </c>
      <c r="BO2223" s="295">
        <v>0</v>
      </c>
      <c r="BP2223" s="295">
        <v>0</v>
      </c>
      <c r="BQ2223" s="295">
        <v>0</v>
      </c>
      <c r="BR2223" s="295">
        <v>0</v>
      </c>
      <c r="BS2223" s="295">
        <v>0</v>
      </c>
      <c r="BT2223" s="295">
        <v>0</v>
      </c>
      <c r="BU2223" s="47">
        <v>0</v>
      </c>
      <c r="BV2223" s="47"/>
      <c r="BW2223" s="47"/>
    </row>
    <row r="2224" spans="3:75" ht="19.5" customHeight="1">
      <c r="C2224" s="287">
        <v>77001205</v>
      </c>
      <c r="D2224" s="288" t="s">
        <v>2294</v>
      </c>
      <c r="E2224" s="288" t="s">
        <v>2295</v>
      </c>
      <c r="F2224" s="287">
        <v>1</v>
      </c>
      <c r="G2224" s="289">
        <v>0</v>
      </c>
      <c r="H2224" s="287">
        <v>0</v>
      </c>
      <c r="I2224" s="292">
        <v>0</v>
      </c>
      <c r="J2224" s="287">
        <v>1</v>
      </c>
      <c r="K2224" s="287">
        <v>0</v>
      </c>
      <c r="L2224" s="287">
        <v>0</v>
      </c>
      <c r="M2224" s="289">
        <v>0</v>
      </c>
      <c r="N2224" s="289">
        <v>0</v>
      </c>
      <c r="O2224" s="289">
        <v>2</v>
      </c>
      <c r="P2224" s="289">
        <v>3</v>
      </c>
      <c r="Q2224" s="289">
        <v>0.15</v>
      </c>
      <c r="R2224" s="289">
        <v>0</v>
      </c>
      <c r="S2224" s="295">
        <v>0</v>
      </c>
      <c r="T2224" s="289">
        <v>0</v>
      </c>
      <c r="U2224" s="289">
        <v>1</v>
      </c>
      <c r="V2224" s="289">
        <v>1</v>
      </c>
      <c r="W2224" s="289">
        <v>0</v>
      </c>
      <c r="X2224" s="289">
        <v>0</v>
      </c>
      <c r="Y2224" s="12">
        <v>0</v>
      </c>
      <c r="Z2224" s="289">
        <v>0</v>
      </c>
      <c r="AA2224" s="289">
        <v>1</v>
      </c>
      <c r="AB2224" s="289">
        <v>0</v>
      </c>
      <c r="AC2224" s="289">
        <v>0</v>
      </c>
      <c r="AD2224" s="289">
        <v>0</v>
      </c>
      <c r="AE2224" s="289">
        <v>1</v>
      </c>
      <c r="AF2224" s="289">
        <v>0</v>
      </c>
      <c r="AG2224" s="289">
        <v>1</v>
      </c>
      <c r="AH2224" s="289">
        <v>5</v>
      </c>
      <c r="AI2224" s="295">
        <v>0</v>
      </c>
      <c r="AJ2224" s="295">
        <v>1</v>
      </c>
      <c r="AK2224" s="295">
        <v>0</v>
      </c>
      <c r="AL2224" s="295">
        <v>3</v>
      </c>
      <c r="AM2224" s="289">
        <v>0</v>
      </c>
      <c r="AN2224" s="289">
        <v>0</v>
      </c>
      <c r="AO2224" s="289">
        <v>0</v>
      </c>
      <c r="AP2224" s="289">
        <v>0</v>
      </c>
      <c r="AQ2224" s="289">
        <v>1000</v>
      </c>
      <c r="AR2224" s="289">
        <v>0</v>
      </c>
      <c r="AS2224" s="289">
        <v>0</v>
      </c>
      <c r="AT2224" s="295">
        <v>97002005</v>
      </c>
      <c r="AU2224" s="296">
        <v>0</v>
      </c>
      <c r="AV2224" s="296"/>
      <c r="AW2224" s="299" t="s">
        <v>198</v>
      </c>
      <c r="AX2224" s="289" t="s">
        <v>534</v>
      </c>
      <c r="AY2224" s="287">
        <v>0</v>
      </c>
      <c r="AZ2224" s="287">
        <v>0</v>
      </c>
      <c r="BA2224" s="288" t="s">
        <v>200</v>
      </c>
      <c r="BB2224" s="289">
        <v>0</v>
      </c>
      <c r="BC2224" s="292">
        <v>0</v>
      </c>
      <c r="BD2224" s="292">
        <v>0</v>
      </c>
      <c r="BE2224" s="302" t="s">
        <v>5183</v>
      </c>
      <c r="BF2224" s="302" t="s">
        <v>5184</v>
      </c>
      <c r="BG2224" s="289">
        <v>0</v>
      </c>
      <c r="BH2224" s="289">
        <v>0</v>
      </c>
      <c r="BI2224" s="289">
        <v>0</v>
      </c>
      <c r="BJ2224" s="289">
        <v>0</v>
      </c>
      <c r="BK2224" s="289">
        <v>0</v>
      </c>
      <c r="BL2224" s="289">
        <v>0</v>
      </c>
      <c r="BM2224" s="304">
        <v>0</v>
      </c>
      <c r="BN2224" s="295">
        <v>0</v>
      </c>
      <c r="BO2224" s="295">
        <v>0</v>
      </c>
      <c r="BP2224" s="295">
        <v>0</v>
      </c>
      <c r="BQ2224" s="295">
        <v>0</v>
      </c>
      <c r="BR2224" s="295">
        <v>0</v>
      </c>
      <c r="BS2224" s="295">
        <v>1</v>
      </c>
      <c r="BT2224" s="295">
        <v>0</v>
      </c>
      <c r="BU2224" s="47">
        <v>0</v>
      </c>
      <c r="BV2224" s="47"/>
      <c r="BW2224" s="47"/>
    </row>
    <row r="2225" spans="3:75" ht="19.5" customHeight="1">
      <c r="C2225" s="287">
        <v>77001206</v>
      </c>
      <c r="D2225" s="288" t="s">
        <v>5195</v>
      </c>
      <c r="E2225" s="288" t="s">
        <v>3312</v>
      </c>
      <c r="F2225" s="287">
        <v>1</v>
      </c>
      <c r="G2225" s="289">
        <v>0</v>
      </c>
      <c r="H2225" s="287">
        <v>0</v>
      </c>
      <c r="I2225" s="292">
        <v>0</v>
      </c>
      <c r="J2225" s="287">
        <v>1</v>
      </c>
      <c r="K2225" s="287">
        <v>0</v>
      </c>
      <c r="L2225" s="287">
        <v>0</v>
      </c>
      <c r="M2225" s="289">
        <v>0</v>
      </c>
      <c r="N2225" s="289">
        <v>0</v>
      </c>
      <c r="O2225" s="289">
        <v>2</v>
      </c>
      <c r="P2225" s="289" t="s">
        <v>5196</v>
      </c>
      <c r="Q2225" s="289" t="s">
        <v>5197</v>
      </c>
      <c r="R2225" s="289">
        <v>0</v>
      </c>
      <c r="S2225" s="295">
        <v>0</v>
      </c>
      <c r="T2225" s="289">
        <v>0</v>
      </c>
      <c r="U2225" s="289">
        <v>1</v>
      </c>
      <c r="V2225" s="289">
        <v>2</v>
      </c>
      <c r="W2225" s="289">
        <v>0</v>
      </c>
      <c r="X2225" s="289">
        <v>1.5</v>
      </c>
      <c r="Y2225" s="12">
        <v>0</v>
      </c>
      <c r="Z2225" s="289">
        <v>0</v>
      </c>
      <c r="AA2225" s="289">
        <v>0</v>
      </c>
      <c r="AB2225" s="289">
        <v>0</v>
      </c>
      <c r="AC2225" s="289">
        <v>0</v>
      </c>
      <c r="AD2225" s="289">
        <v>0</v>
      </c>
      <c r="AE2225" s="289">
        <v>1</v>
      </c>
      <c r="AF2225" s="289">
        <v>18</v>
      </c>
      <c r="AG2225" s="289">
        <v>1</v>
      </c>
      <c r="AH2225" s="289">
        <v>2</v>
      </c>
      <c r="AI2225" s="295">
        <v>0</v>
      </c>
      <c r="AJ2225" s="295">
        <v>2</v>
      </c>
      <c r="AK2225" s="295">
        <v>0</v>
      </c>
      <c r="AL2225" s="295">
        <v>2</v>
      </c>
      <c r="AM2225" s="289">
        <v>0</v>
      </c>
      <c r="AN2225" s="289">
        <v>0</v>
      </c>
      <c r="AO2225" s="289">
        <v>0</v>
      </c>
      <c r="AP2225" s="289">
        <v>1</v>
      </c>
      <c r="AQ2225" s="289">
        <v>12000</v>
      </c>
      <c r="AR2225" s="289">
        <v>1</v>
      </c>
      <c r="AS2225" s="289">
        <v>10</v>
      </c>
      <c r="AT2225" s="297">
        <v>0</v>
      </c>
      <c r="AU2225" s="371" t="s">
        <v>5198</v>
      </c>
      <c r="AV2225" s="296"/>
      <c r="AW2225" s="288" t="s">
        <v>199</v>
      </c>
      <c r="AX2225" s="289" t="s">
        <v>534</v>
      </c>
      <c r="AY2225" s="287">
        <v>10000007</v>
      </c>
      <c r="AZ2225" s="372" t="s">
        <v>5199</v>
      </c>
      <c r="BA2225" s="288" t="s">
        <v>586</v>
      </c>
      <c r="BB2225" s="289" t="s">
        <v>5200</v>
      </c>
      <c r="BC2225" s="292">
        <v>0</v>
      </c>
      <c r="BD2225" s="292">
        <v>0</v>
      </c>
      <c r="BE2225" s="302" t="s">
        <v>5201</v>
      </c>
      <c r="BF2225" s="302" t="s">
        <v>5202</v>
      </c>
      <c r="BG2225" s="289">
        <v>0</v>
      </c>
      <c r="BH2225" s="289">
        <v>0</v>
      </c>
      <c r="BI2225" s="289">
        <v>0</v>
      </c>
      <c r="BJ2225" s="289">
        <v>0</v>
      </c>
      <c r="BK2225" s="289">
        <v>0</v>
      </c>
      <c r="BL2225" s="289">
        <v>0</v>
      </c>
      <c r="BM2225" s="304">
        <v>0</v>
      </c>
      <c r="BN2225" s="295">
        <v>0</v>
      </c>
      <c r="BO2225" s="295">
        <v>0</v>
      </c>
      <c r="BP2225" s="295">
        <v>0</v>
      </c>
      <c r="BQ2225" s="295">
        <v>0</v>
      </c>
      <c r="BR2225" s="295">
        <v>0</v>
      </c>
      <c r="BS2225" s="295">
        <v>0</v>
      </c>
      <c r="BT2225" s="295">
        <v>0</v>
      </c>
      <c r="BU2225" s="47">
        <v>0</v>
      </c>
      <c r="BV2225" s="47"/>
      <c r="BW2225" s="47"/>
    </row>
    <row r="2226" spans="3:75" ht="19.5" customHeight="1">
      <c r="C2226" s="100">
        <v>77001301</v>
      </c>
      <c r="D2226" s="98" t="s">
        <v>1195</v>
      </c>
      <c r="E2226" s="98" t="s">
        <v>1196</v>
      </c>
      <c r="F2226" s="97">
        <v>1</v>
      </c>
      <c r="G2226" s="97">
        <v>0</v>
      </c>
      <c r="H2226" s="97">
        <v>0</v>
      </c>
      <c r="I2226" s="104">
        <v>0</v>
      </c>
      <c r="J2226" s="97">
        <v>1</v>
      </c>
      <c r="K2226" s="97">
        <v>0</v>
      </c>
      <c r="L2226" s="104">
        <v>0</v>
      </c>
      <c r="M2226" s="104">
        <v>0</v>
      </c>
      <c r="N2226" s="97">
        <v>0</v>
      </c>
      <c r="O2226" s="97">
        <v>2</v>
      </c>
      <c r="P2226" s="97">
        <v>2</v>
      </c>
      <c r="Q2226" s="97">
        <v>0.5</v>
      </c>
      <c r="R2226" s="97">
        <v>1</v>
      </c>
      <c r="S2226" s="106">
        <v>0</v>
      </c>
      <c r="T2226" s="97">
        <v>0</v>
      </c>
      <c r="U2226" s="101">
        <v>1</v>
      </c>
      <c r="V2226" s="97">
        <v>1</v>
      </c>
      <c r="W2226" s="104">
        <v>0</v>
      </c>
      <c r="X2226" s="97">
        <v>5</v>
      </c>
      <c r="Y2226" s="12">
        <v>0</v>
      </c>
      <c r="Z2226" s="97">
        <v>0</v>
      </c>
      <c r="AA2226" s="97">
        <v>0</v>
      </c>
      <c r="AB2226" s="97">
        <v>0</v>
      </c>
      <c r="AC2226" s="104">
        <v>0</v>
      </c>
      <c r="AD2226" s="97">
        <v>0</v>
      </c>
      <c r="AE2226" s="97">
        <v>0</v>
      </c>
      <c r="AF2226" s="97">
        <v>99999</v>
      </c>
      <c r="AG2226" s="97">
        <v>1</v>
      </c>
      <c r="AH2226" s="97">
        <v>5</v>
      </c>
      <c r="AI2226" s="107">
        <v>0</v>
      </c>
      <c r="AJ2226" s="107">
        <v>0</v>
      </c>
      <c r="AK2226" s="106">
        <v>0</v>
      </c>
      <c r="AL2226" s="97">
        <v>0</v>
      </c>
      <c r="AM2226" s="108">
        <v>0</v>
      </c>
      <c r="AN2226" s="97">
        <v>1.5</v>
      </c>
      <c r="AO2226" s="97">
        <v>0</v>
      </c>
      <c r="AP2226" s="97">
        <v>1</v>
      </c>
      <c r="AQ2226" s="97">
        <v>2000</v>
      </c>
      <c r="AR2226" s="97">
        <v>1</v>
      </c>
      <c r="AS2226" s="97">
        <v>0</v>
      </c>
      <c r="AT2226" s="335" t="s">
        <v>5203</v>
      </c>
      <c r="AU2226" s="97">
        <v>0</v>
      </c>
      <c r="AV2226" s="112"/>
      <c r="AW2226" s="102" t="s">
        <v>199</v>
      </c>
      <c r="AX2226" s="104">
        <v>0</v>
      </c>
      <c r="AY2226" s="104">
        <v>0</v>
      </c>
      <c r="AZ2226" s="104">
        <v>77001305</v>
      </c>
      <c r="BA2226" s="99" t="s">
        <v>528</v>
      </c>
      <c r="BB2226" s="97" t="s">
        <v>5204</v>
      </c>
      <c r="BC2226" s="115">
        <v>0</v>
      </c>
      <c r="BD2226" s="105">
        <v>0</v>
      </c>
      <c r="BE2226" s="118" t="s">
        <v>5205</v>
      </c>
      <c r="BF2226" s="118" t="s">
        <v>5206</v>
      </c>
      <c r="BG2226" s="97">
        <v>0</v>
      </c>
      <c r="BH2226" s="97">
        <v>0</v>
      </c>
      <c r="BI2226" s="100">
        <v>0</v>
      </c>
      <c r="BJ2226" s="97">
        <v>0</v>
      </c>
      <c r="BK2226" s="97">
        <v>0</v>
      </c>
      <c r="BL2226" s="108">
        <v>0</v>
      </c>
      <c r="BM2226" s="97">
        <v>0</v>
      </c>
      <c r="BN2226" s="106">
        <v>0</v>
      </c>
      <c r="BO2226" s="106">
        <v>0</v>
      </c>
      <c r="BP2226" s="106">
        <v>0</v>
      </c>
      <c r="BQ2226" s="106">
        <v>0</v>
      </c>
      <c r="BR2226" s="106">
        <v>0</v>
      </c>
      <c r="BS2226" s="106">
        <v>0</v>
      </c>
      <c r="BT2226" s="106">
        <v>0</v>
      </c>
      <c r="BU2226" s="47">
        <v>0</v>
      </c>
      <c r="BV2226" s="47"/>
      <c r="BW2226" s="47"/>
    </row>
    <row r="2227" spans="3:75" ht="19.5" hidden="1" customHeight="1">
      <c r="C2227" s="100">
        <v>77001302</v>
      </c>
      <c r="D2227" s="99" t="s">
        <v>804</v>
      </c>
      <c r="E2227" s="290" t="s">
        <v>805</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8</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8" t="s">
        <v>5207</v>
      </c>
      <c r="AU2227" s="339" t="s">
        <v>5208</v>
      </c>
      <c r="AV2227" s="114"/>
      <c r="AW2227" s="99" t="s">
        <v>256</v>
      </c>
      <c r="AX2227" s="101" t="s">
        <v>215</v>
      </c>
      <c r="AY2227" s="100">
        <v>10000011</v>
      </c>
      <c r="AZ2227" s="100">
        <v>77001301</v>
      </c>
      <c r="BA2227" s="99" t="s">
        <v>216</v>
      </c>
      <c r="BB2227" s="101">
        <v>0</v>
      </c>
      <c r="BC2227" s="105">
        <v>0</v>
      </c>
      <c r="BD2227" s="105">
        <v>0</v>
      </c>
      <c r="BE2227" s="119" t="s">
        <v>5209</v>
      </c>
      <c r="BF2227" s="119" t="s">
        <v>5210</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77001305</v>
      </c>
      <c r="BU2227" s="47">
        <v>0</v>
      </c>
      <c r="BV2227" s="47"/>
      <c r="BW2227" s="47"/>
    </row>
    <row r="2228" spans="3:75" ht="20.100000000000001" customHeight="1">
      <c r="C2228" s="100">
        <v>77001303</v>
      </c>
      <c r="D2228" s="99" t="s">
        <v>810</v>
      </c>
      <c r="E2228" s="290" t="s">
        <v>811</v>
      </c>
      <c r="F2228" s="97">
        <v>1</v>
      </c>
      <c r="G2228" s="97">
        <v>0</v>
      </c>
      <c r="H2228" s="101">
        <v>0</v>
      </c>
      <c r="I2228" s="105">
        <v>0</v>
      </c>
      <c r="J2228" s="100">
        <v>1</v>
      </c>
      <c r="K2228" s="100">
        <v>0</v>
      </c>
      <c r="L2228" s="100">
        <v>0</v>
      </c>
      <c r="M2228" s="101">
        <v>0</v>
      </c>
      <c r="N2228" s="101">
        <v>0</v>
      </c>
      <c r="O2228" s="101">
        <v>2</v>
      </c>
      <c r="P2228" s="101">
        <v>3</v>
      </c>
      <c r="Q2228" s="101">
        <v>0.2</v>
      </c>
      <c r="R2228" s="101">
        <v>0</v>
      </c>
      <c r="S2228" s="106">
        <v>0</v>
      </c>
      <c r="T2228" s="101">
        <v>0</v>
      </c>
      <c r="U2228" s="101">
        <v>1</v>
      </c>
      <c r="V2228" s="97">
        <v>1</v>
      </c>
      <c r="W2228" s="101">
        <v>0</v>
      </c>
      <c r="X2228" s="101">
        <v>3</v>
      </c>
      <c r="Y2228" s="12">
        <v>0</v>
      </c>
      <c r="Z2228" s="101">
        <v>0</v>
      </c>
      <c r="AA2228" s="101">
        <v>1</v>
      </c>
      <c r="AB2228" s="101">
        <v>0</v>
      </c>
      <c r="AC2228" s="101">
        <v>0</v>
      </c>
      <c r="AD2228" s="101">
        <v>0</v>
      </c>
      <c r="AE2228" s="101">
        <v>1</v>
      </c>
      <c r="AF2228" s="101">
        <v>5</v>
      </c>
      <c r="AG2228" s="101">
        <v>1</v>
      </c>
      <c r="AH2228" s="101">
        <v>6</v>
      </c>
      <c r="AI2228" s="106">
        <v>0</v>
      </c>
      <c r="AJ2228" s="106">
        <v>1</v>
      </c>
      <c r="AK2228" s="106">
        <v>0</v>
      </c>
      <c r="AL2228" s="106">
        <v>3</v>
      </c>
      <c r="AM2228" s="101">
        <v>0</v>
      </c>
      <c r="AN2228" s="101">
        <v>1</v>
      </c>
      <c r="AO2228" s="101">
        <v>0</v>
      </c>
      <c r="AP2228" s="101">
        <v>1</v>
      </c>
      <c r="AQ2228" s="101">
        <v>3000</v>
      </c>
      <c r="AR2228" s="101">
        <v>1</v>
      </c>
      <c r="AS2228" s="101">
        <v>0</v>
      </c>
      <c r="AT2228" s="106">
        <v>0</v>
      </c>
      <c r="AU2228" s="339" t="s">
        <v>5208</v>
      </c>
      <c r="AV2228" s="114"/>
      <c r="AW2228" s="99" t="s">
        <v>617</v>
      </c>
      <c r="AX2228" s="101" t="s">
        <v>215</v>
      </c>
      <c r="AY2228" s="100">
        <v>10000011</v>
      </c>
      <c r="AZ2228" s="100">
        <v>77001302</v>
      </c>
      <c r="BA2228" s="102" t="s">
        <v>200</v>
      </c>
      <c r="BB2228" s="101">
        <v>0</v>
      </c>
      <c r="BC2228" s="105">
        <v>0</v>
      </c>
      <c r="BD2228" s="105">
        <v>0</v>
      </c>
      <c r="BE2228" s="119" t="s">
        <v>812</v>
      </c>
      <c r="BF2228" s="119" t="s">
        <v>813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3:75" ht="20.100000000000001" customHeight="1">
      <c r="C2229" s="100">
        <v>77001304</v>
      </c>
      <c r="D2229" s="103" t="s">
        <v>814</v>
      </c>
      <c r="E2229" s="103" t="s">
        <v>815</v>
      </c>
      <c r="F2229" s="97">
        <v>1</v>
      </c>
      <c r="G2229" s="97">
        <v>0</v>
      </c>
      <c r="H2229" s="97">
        <v>0</v>
      </c>
      <c r="I2229" s="104">
        <v>0</v>
      </c>
      <c r="J2229" s="97">
        <v>0</v>
      </c>
      <c r="K2229" s="97">
        <v>0</v>
      </c>
      <c r="L2229" s="104">
        <v>0</v>
      </c>
      <c r="M2229" s="104">
        <v>0</v>
      </c>
      <c r="N2229" s="97">
        <v>0</v>
      </c>
      <c r="O2229" s="101">
        <v>2</v>
      </c>
      <c r="P2229" s="101">
        <v>2</v>
      </c>
      <c r="Q2229" s="97">
        <v>0.8</v>
      </c>
      <c r="R2229" s="97">
        <v>0</v>
      </c>
      <c r="S2229" s="106">
        <v>0</v>
      </c>
      <c r="T2229" s="97">
        <v>0</v>
      </c>
      <c r="U2229" s="101">
        <v>1</v>
      </c>
      <c r="V2229" s="97">
        <v>1</v>
      </c>
      <c r="W2229" s="104">
        <v>0</v>
      </c>
      <c r="X2229" s="97">
        <v>3</v>
      </c>
      <c r="Y2229" s="12">
        <v>0</v>
      </c>
      <c r="Z2229" s="97">
        <v>0</v>
      </c>
      <c r="AA2229" s="97">
        <v>0</v>
      </c>
      <c r="AB2229" s="97">
        <v>0</v>
      </c>
      <c r="AC2229" s="104">
        <v>0</v>
      </c>
      <c r="AD2229" s="97">
        <v>0</v>
      </c>
      <c r="AE2229" s="97">
        <v>0</v>
      </c>
      <c r="AF2229" s="97">
        <v>12</v>
      </c>
      <c r="AG2229" s="97">
        <v>1</v>
      </c>
      <c r="AH2229" s="101">
        <v>2</v>
      </c>
      <c r="AI2229" s="107">
        <v>0</v>
      </c>
      <c r="AJ2229" s="107">
        <v>2</v>
      </c>
      <c r="AK2229" s="106">
        <v>0</v>
      </c>
      <c r="AL2229" s="97">
        <v>1.5</v>
      </c>
      <c r="AM2229" s="108">
        <v>0</v>
      </c>
      <c r="AN2229" s="97">
        <v>0</v>
      </c>
      <c r="AO2229" s="97">
        <v>0</v>
      </c>
      <c r="AP2229" s="97">
        <v>2.5</v>
      </c>
      <c r="AQ2229" s="101">
        <v>8000</v>
      </c>
      <c r="AR2229" s="97">
        <v>1.5</v>
      </c>
      <c r="AS2229" s="97">
        <v>10</v>
      </c>
      <c r="AT2229" s="106">
        <v>0</v>
      </c>
      <c r="AU2229" s="339" t="s">
        <v>5211</v>
      </c>
      <c r="AV2229" s="114"/>
      <c r="AW2229" s="102" t="s">
        <v>287</v>
      </c>
      <c r="AX2229" s="104">
        <v>0</v>
      </c>
      <c r="AY2229" s="104">
        <v>0</v>
      </c>
      <c r="AZ2229" s="100">
        <v>77001303</v>
      </c>
      <c r="BA2229" s="102" t="s">
        <v>586</v>
      </c>
      <c r="BB2229" s="101" t="s">
        <v>816</v>
      </c>
      <c r="BC2229" s="105">
        <v>0</v>
      </c>
      <c r="BD2229" s="105">
        <v>0</v>
      </c>
      <c r="BE2229" s="119" t="s">
        <v>5212</v>
      </c>
      <c r="BF2229" s="122" t="s">
        <v>5213</v>
      </c>
      <c r="BG2229" s="97">
        <v>2</v>
      </c>
      <c r="BH2229" s="97">
        <v>0</v>
      </c>
      <c r="BI2229" s="100">
        <v>0</v>
      </c>
      <c r="BJ2229" s="97">
        <v>1</v>
      </c>
      <c r="BK2229" s="97">
        <v>2</v>
      </c>
      <c r="BL2229" s="108">
        <v>0</v>
      </c>
      <c r="BM2229" s="97">
        <v>0</v>
      </c>
      <c r="BN2229" s="106">
        <v>0</v>
      </c>
      <c r="BO2229" s="106">
        <v>0</v>
      </c>
      <c r="BP2229" s="106">
        <v>0</v>
      </c>
      <c r="BQ2229" s="106">
        <v>0</v>
      </c>
      <c r="BR2229" s="106">
        <v>0</v>
      </c>
      <c r="BS2229" s="106">
        <v>0</v>
      </c>
      <c r="BT2229" s="106">
        <v>0</v>
      </c>
      <c r="BU2229" s="47">
        <v>0</v>
      </c>
      <c r="BV2229" s="47"/>
      <c r="BW2229" s="47"/>
    </row>
    <row r="2230" spans="3:75" ht="20.100000000000001" customHeight="1">
      <c r="C2230" s="100">
        <v>77001305</v>
      </c>
      <c r="D2230" s="99" t="s">
        <v>760</v>
      </c>
      <c r="E2230" s="290" t="s">
        <v>761</v>
      </c>
      <c r="F2230" s="97">
        <v>1</v>
      </c>
      <c r="G2230" s="97">
        <v>0</v>
      </c>
      <c r="H2230" s="101">
        <v>0</v>
      </c>
      <c r="I2230" s="105">
        <v>0</v>
      </c>
      <c r="J2230" s="100">
        <v>1</v>
      </c>
      <c r="K2230" s="100">
        <v>0</v>
      </c>
      <c r="L2230" s="100">
        <v>0</v>
      </c>
      <c r="M2230" s="101">
        <v>0</v>
      </c>
      <c r="N2230" s="101">
        <v>0</v>
      </c>
      <c r="O2230" s="101">
        <v>2</v>
      </c>
      <c r="P2230" s="101">
        <v>1</v>
      </c>
      <c r="Q2230" s="101">
        <v>0.2</v>
      </c>
      <c r="R2230" s="101">
        <v>0</v>
      </c>
      <c r="S2230" s="106">
        <v>0</v>
      </c>
      <c r="T2230" s="101">
        <v>0</v>
      </c>
      <c r="U2230" s="101">
        <v>1</v>
      </c>
      <c r="V2230" s="97">
        <v>1</v>
      </c>
      <c r="W2230" s="101">
        <v>0</v>
      </c>
      <c r="X2230" s="101">
        <v>1</v>
      </c>
      <c r="Y2230" s="12">
        <v>0</v>
      </c>
      <c r="Z2230" s="101">
        <v>150</v>
      </c>
      <c r="AA2230" s="101">
        <v>1</v>
      </c>
      <c r="AB2230" s="101">
        <v>0</v>
      </c>
      <c r="AC2230" s="101">
        <v>0</v>
      </c>
      <c r="AD2230" s="101">
        <v>0</v>
      </c>
      <c r="AE2230" s="101">
        <v>1</v>
      </c>
      <c r="AF2230" s="101">
        <v>12</v>
      </c>
      <c r="AG2230" s="101">
        <v>2</v>
      </c>
      <c r="AH2230" s="101" t="s">
        <v>213</v>
      </c>
      <c r="AI2230" s="106">
        <v>0</v>
      </c>
      <c r="AJ2230" s="106">
        <v>2</v>
      </c>
      <c r="AK2230" s="106">
        <v>0</v>
      </c>
      <c r="AL2230" s="106">
        <v>1.5</v>
      </c>
      <c r="AM2230" s="101">
        <v>0</v>
      </c>
      <c r="AN2230" s="101">
        <v>0</v>
      </c>
      <c r="AO2230" s="101">
        <v>0</v>
      </c>
      <c r="AP2230" s="101">
        <v>1.5</v>
      </c>
      <c r="AQ2230" s="101">
        <v>1600</v>
      </c>
      <c r="AR2230" s="101">
        <v>1</v>
      </c>
      <c r="AS2230" s="101">
        <v>15</v>
      </c>
      <c r="AT2230" s="335" t="s">
        <v>5207</v>
      </c>
      <c r="AU2230" s="339" t="s">
        <v>5208</v>
      </c>
      <c r="AV2230" s="114"/>
      <c r="AW2230" s="99" t="s">
        <v>256</v>
      </c>
      <c r="AX2230" s="101" t="s">
        <v>215</v>
      </c>
      <c r="AY2230" s="100">
        <v>10000011</v>
      </c>
      <c r="AZ2230" s="100">
        <v>77001301</v>
      </c>
      <c r="BA2230" s="99" t="s">
        <v>216</v>
      </c>
      <c r="BB2230" s="101">
        <v>0</v>
      </c>
      <c r="BC2230" s="105">
        <v>0</v>
      </c>
      <c r="BD2230" s="105">
        <v>0</v>
      </c>
      <c r="BE2230" s="119" t="s">
        <v>5214</v>
      </c>
      <c r="BF2230" s="119" t="s">
        <v>5215</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77001306</v>
      </c>
      <c r="BU2230" s="47">
        <v>0</v>
      </c>
      <c r="BV2230" s="47"/>
      <c r="BW2230" s="47"/>
    </row>
    <row r="2231" spans="3:75" ht="20.100000000000001" customHeight="1">
      <c r="C2231" s="100">
        <v>77001306</v>
      </c>
      <c r="D2231" s="99" t="s">
        <v>760</v>
      </c>
      <c r="E2231" s="290" t="s">
        <v>761</v>
      </c>
      <c r="F2231" s="97">
        <v>1</v>
      </c>
      <c r="G2231" s="97">
        <v>0</v>
      </c>
      <c r="H2231" s="101">
        <v>0</v>
      </c>
      <c r="I2231" s="105">
        <v>0</v>
      </c>
      <c r="J2231" s="100">
        <v>1</v>
      </c>
      <c r="K2231" s="100">
        <v>0</v>
      </c>
      <c r="L2231" s="100">
        <v>0</v>
      </c>
      <c r="M2231" s="101">
        <v>0</v>
      </c>
      <c r="N2231" s="101">
        <v>0</v>
      </c>
      <c r="O2231" s="101">
        <v>2</v>
      </c>
      <c r="P2231" s="101">
        <v>1</v>
      </c>
      <c r="Q2231" s="101">
        <v>0.2</v>
      </c>
      <c r="R2231" s="101">
        <v>0</v>
      </c>
      <c r="S2231" s="106">
        <v>0</v>
      </c>
      <c r="T2231" s="101">
        <v>0</v>
      </c>
      <c r="U2231" s="101">
        <v>1</v>
      </c>
      <c r="V2231" s="97">
        <v>1</v>
      </c>
      <c r="W2231" s="101">
        <v>0</v>
      </c>
      <c r="X2231" s="101">
        <v>1</v>
      </c>
      <c r="Y2231" s="12">
        <v>0</v>
      </c>
      <c r="Z2231" s="101">
        <v>150</v>
      </c>
      <c r="AA2231" s="101">
        <v>1</v>
      </c>
      <c r="AB2231" s="101">
        <v>0</v>
      </c>
      <c r="AC2231" s="101">
        <v>0</v>
      </c>
      <c r="AD2231" s="101">
        <v>0</v>
      </c>
      <c r="AE2231" s="101">
        <v>1</v>
      </c>
      <c r="AF2231" s="101">
        <v>12</v>
      </c>
      <c r="AG2231" s="101">
        <v>2</v>
      </c>
      <c r="AH2231" s="101" t="s">
        <v>213</v>
      </c>
      <c r="AI2231" s="106">
        <v>0</v>
      </c>
      <c r="AJ2231" s="106">
        <v>2</v>
      </c>
      <c r="AK2231" s="106">
        <v>0</v>
      </c>
      <c r="AL2231" s="106">
        <v>1.5</v>
      </c>
      <c r="AM2231" s="101">
        <v>0</v>
      </c>
      <c r="AN2231" s="101">
        <v>0</v>
      </c>
      <c r="AO2231" s="101">
        <v>0</v>
      </c>
      <c r="AP2231" s="101">
        <v>1.5</v>
      </c>
      <c r="AQ2231" s="101">
        <v>1600</v>
      </c>
      <c r="AR2231" s="101">
        <v>1</v>
      </c>
      <c r="AS2231" s="101">
        <v>15</v>
      </c>
      <c r="AT2231" s="335" t="s">
        <v>5207</v>
      </c>
      <c r="AU2231" s="339" t="s">
        <v>5208</v>
      </c>
      <c r="AV2231" s="114"/>
      <c r="AW2231" s="99" t="s">
        <v>256</v>
      </c>
      <c r="AX2231" s="101" t="s">
        <v>215</v>
      </c>
      <c r="AY2231" s="100">
        <v>10000011</v>
      </c>
      <c r="AZ2231" s="100">
        <v>77001301</v>
      </c>
      <c r="BA2231" s="99" t="s">
        <v>216</v>
      </c>
      <c r="BB2231" s="101">
        <v>0</v>
      </c>
      <c r="BC2231" s="105">
        <v>0</v>
      </c>
      <c r="BD2231" s="105">
        <v>0</v>
      </c>
      <c r="BE2231" s="119" t="s">
        <v>5214</v>
      </c>
      <c r="BF2231" s="119" t="s">
        <v>5215</v>
      </c>
      <c r="BG2231" s="101">
        <v>0</v>
      </c>
      <c r="BH2231" s="101">
        <v>0</v>
      </c>
      <c r="BI2231" s="101">
        <v>0</v>
      </c>
      <c r="BJ2231" s="101">
        <v>0</v>
      </c>
      <c r="BK2231" s="101">
        <v>0</v>
      </c>
      <c r="BL2231" s="101">
        <v>0</v>
      </c>
      <c r="BM2231" s="97">
        <v>0</v>
      </c>
      <c r="BN2231" s="106">
        <v>0</v>
      </c>
      <c r="BO2231" s="106">
        <v>0</v>
      </c>
      <c r="BP2231" s="106">
        <v>0</v>
      </c>
      <c r="BQ2231" s="106">
        <v>0</v>
      </c>
      <c r="BR2231" s="106">
        <v>0</v>
      </c>
      <c r="BS2231" s="106">
        <v>0</v>
      </c>
      <c r="BT2231" s="106">
        <v>77001304</v>
      </c>
      <c r="BU2231" s="47">
        <v>0</v>
      </c>
      <c r="BV2231" s="47"/>
      <c r="BW2231" s="47"/>
    </row>
    <row r="2232" spans="3:75" ht="20.100000000000001" customHeight="1">
      <c r="C2232" s="100">
        <v>77001307</v>
      </c>
      <c r="D2232" s="99" t="s">
        <v>5216</v>
      </c>
      <c r="E2232" s="290" t="s">
        <v>5217</v>
      </c>
      <c r="F2232" s="97">
        <v>1</v>
      </c>
      <c r="G2232" s="97">
        <v>0</v>
      </c>
      <c r="H2232" s="100">
        <v>0</v>
      </c>
      <c r="I2232" s="105">
        <v>0</v>
      </c>
      <c r="J2232" s="100">
        <v>1</v>
      </c>
      <c r="K2232" s="100">
        <v>0</v>
      </c>
      <c r="L2232" s="100">
        <v>0</v>
      </c>
      <c r="M2232" s="101">
        <v>0</v>
      </c>
      <c r="N2232" s="101">
        <v>0</v>
      </c>
      <c r="O2232" s="101">
        <v>2</v>
      </c>
      <c r="P2232" s="101">
        <v>16</v>
      </c>
      <c r="Q2232" s="101">
        <v>5</v>
      </c>
      <c r="R2232" s="101">
        <v>0</v>
      </c>
      <c r="S2232" s="106">
        <v>0</v>
      </c>
      <c r="T2232" s="101">
        <v>0</v>
      </c>
      <c r="U2232" s="101">
        <v>1</v>
      </c>
      <c r="V2232" s="97">
        <v>1</v>
      </c>
      <c r="W2232" s="101">
        <v>0</v>
      </c>
      <c r="X2232" s="101">
        <v>2</v>
      </c>
      <c r="Y2232" s="12">
        <v>0</v>
      </c>
      <c r="Z2232" s="101">
        <v>0</v>
      </c>
      <c r="AA2232" s="101">
        <v>0</v>
      </c>
      <c r="AB2232" s="101">
        <v>0</v>
      </c>
      <c r="AC2232" s="101">
        <v>0</v>
      </c>
      <c r="AD2232" s="101">
        <v>0</v>
      </c>
      <c r="AE2232" s="101">
        <v>0</v>
      </c>
      <c r="AF2232" s="101">
        <v>0</v>
      </c>
      <c r="AG2232" s="101">
        <v>2</v>
      </c>
      <c r="AH2232" s="101" t="s">
        <v>213</v>
      </c>
      <c r="AI2232" s="106">
        <v>0</v>
      </c>
      <c r="AJ2232" s="106">
        <v>2</v>
      </c>
      <c r="AK2232" s="106">
        <v>0</v>
      </c>
      <c r="AL2232" s="106">
        <v>1.5</v>
      </c>
      <c r="AM2232" s="101">
        <v>0</v>
      </c>
      <c r="AN2232" s="101">
        <v>0</v>
      </c>
      <c r="AO2232" s="101">
        <v>0</v>
      </c>
      <c r="AP2232" s="101">
        <v>1</v>
      </c>
      <c r="AQ2232" s="101">
        <v>2000</v>
      </c>
      <c r="AR2232" s="101">
        <v>1</v>
      </c>
      <c r="AS2232" s="101">
        <v>0</v>
      </c>
      <c r="AT2232" s="106">
        <v>0</v>
      </c>
      <c r="AU2232" s="339" t="s">
        <v>5208</v>
      </c>
      <c r="AV2232" s="114"/>
      <c r="AW2232" s="102" t="s">
        <v>198</v>
      </c>
      <c r="AX2232" s="101" t="s">
        <v>545</v>
      </c>
      <c r="AY2232" s="100">
        <v>10001007</v>
      </c>
      <c r="AZ2232" s="100">
        <v>77001304</v>
      </c>
      <c r="BA2232" s="99" t="s">
        <v>200</v>
      </c>
      <c r="BB2232" s="101">
        <v>0</v>
      </c>
      <c r="BC2232" s="105">
        <v>0</v>
      </c>
      <c r="BD2232" s="105">
        <v>0</v>
      </c>
      <c r="BE2232" s="119" t="s">
        <v>5218</v>
      </c>
      <c r="BF2232" s="119" t="s">
        <v>5219</v>
      </c>
      <c r="BG2232" s="101">
        <v>0</v>
      </c>
      <c r="BH2232" s="101">
        <v>0</v>
      </c>
      <c r="BI2232" s="101">
        <v>0</v>
      </c>
      <c r="BJ2232" s="101">
        <v>0</v>
      </c>
      <c r="BK2232" s="101">
        <v>0</v>
      </c>
      <c r="BL2232" s="101">
        <v>0</v>
      </c>
      <c r="BM2232" s="97">
        <v>0</v>
      </c>
      <c r="BN2232" s="106">
        <v>0</v>
      </c>
      <c r="BO2232" s="106">
        <v>0</v>
      </c>
      <c r="BP2232" s="106">
        <v>0</v>
      </c>
      <c r="BQ2232" s="106">
        <v>0</v>
      </c>
      <c r="BR2232" s="106">
        <v>0</v>
      </c>
      <c r="BS2232" s="106">
        <v>0</v>
      </c>
      <c r="BT2232" s="106">
        <v>0</v>
      </c>
      <c r="BU2232" s="47">
        <v>0</v>
      </c>
      <c r="BV2232" s="47"/>
      <c r="BW2232" s="47"/>
    </row>
    <row r="2233" spans="3:75" ht="19.5" customHeight="1">
      <c r="C2233" s="64">
        <v>77001401</v>
      </c>
      <c r="D2233" s="59" t="s">
        <v>5220</v>
      </c>
      <c r="E2233" s="59" t="s">
        <v>5221</v>
      </c>
      <c r="F2233" s="64">
        <v>1</v>
      </c>
      <c r="G2233" s="64">
        <v>0</v>
      </c>
      <c r="H2233" s="64">
        <v>0</v>
      </c>
      <c r="I2233" s="66">
        <v>0</v>
      </c>
      <c r="J2233" s="64">
        <v>1</v>
      </c>
      <c r="K2233" s="64">
        <v>0</v>
      </c>
      <c r="L2233" s="64">
        <v>0</v>
      </c>
      <c r="M2233" s="60">
        <v>0</v>
      </c>
      <c r="N2233" s="60">
        <v>0</v>
      </c>
      <c r="O2233" s="60">
        <v>2</v>
      </c>
      <c r="P2233" s="60">
        <v>16</v>
      </c>
      <c r="Q2233" s="60">
        <v>5</v>
      </c>
      <c r="R2233" s="60">
        <v>0</v>
      </c>
      <c r="S2233" s="68">
        <v>0</v>
      </c>
      <c r="T2233" s="60">
        <v>0</v>
      </c>
      <c r="U2233" s="60">
        <v>1</v>
      </c>
      <c r="V2233" s="60">
        <v>2</v>
      </c>
      <c r="W2233" s="60">
        <v>0</v>
      </c>
      <c r="X2233" s="60">
        <v>1</v>
      </c>
      <c r="Y2233" s="12">
        <v>0</v>
      </c>
      <c r="Z2233" s="60">
        <v>0</v>
      </c>
      <c r="AA2233" s="60">
        <v>1</v>
      </c>
      <c r="AB2233" s="60">
        <v>0</v>
      </c>
      <c r="AC2233" s="60">
        <v>0</v>
      </c>
      <c r="AD2233" s="60">
        <v>0</v>
      </c>
      <c r="AE2233" s="60">
        <v>1</v>
      </c>
      <c r="AF2233" s="60">
        <v>0</v>
      </c>
      <c r="AG2233" s="60">
        <v>1</v>
      </c>
      <c r="AH2233" s="60">
        <v>2</v>
      </c>
      <c r="AI2233" s="68">
        <v>0</v>
      </c>
      <c r="AJ2233" s="68">
        <v>2</v>
      </c>
      <c r="AK2233" s="68">
        <v>0</v>
      </c>
      <c r="AL2233" s="68">
        <v>4</v>
      </c>
      <c r="AM2233" s="60">
        <v>0</v>
      </c>
      <c r="AN2233" s="60">
        <v>1</v>
      </c>
      <c r="AO2233" s="60">
        <v>0</v>
      </c>
      <c r="AP2233" s="60">
        <v>0</v>
      </c>
      <c r="AQ2233" s="60">
        <v>9000</v>
      </c>
      <c r="AR2233" s="60">
        <v>0</v>
      </c>
      <c r="AS2233" s="60">
        <v>10</v>
      </c>
      <c r="AT2233" s="78">
        <v>0</v>
      </c>
      <c r="AU2233" s="334" t="s">
        <v>5222</v>
      </c>
      <c r="AV2233" s="79"/>
      <c r="AW2233" s="59" t="s">
        <v>287</v>
      </c>
      <c r="AX2233" s="60" t="s">
        <v>534</v>
      </c>
      <c r="AY2233" s="64">
        <v>10000007</v>
      </c>
      <c r="AZ2233" s="64">
        <v>77001401</v>
      </c>
      <c r="BA2233" s="59" t="s">
        <v>586</v>
      </c>
      <c r="BB2233" s="60" t="s">
        <v>5223</v>
      </c>
      <c r="BC2233" s="66">
        <v>0</v>
      </c>
      <c r="BD2233" s="66">
        <v>1</v>
      </c>
      <c r="BE2233" s="90" t="s">
        <v>5224</v>
      </c>
      <c r="BF2233" s="90" t="s">
        <v>5225</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spans="3:75" ht="19.5" customHeight="1">
      <c r="C2234" s="64">
        <v>77001402</v>
      </c>
      <c r="D2234" s="59" t="s">
        <v>2846</v>
      </c>
      <c r="E2234" s="59" t="s">
        <v>5226</v>
      </c>
      <c r="F2234" s="64">
        <v>1</v>
      </c>
      <c r="G2234" s="64">
        <v>0</v>
      </c>
      <c r="H2234" s="64">
        <v>0</v>
      </c>
      <c r="I2234" s="66">
        <v>0</v>
      </c>
      <c r="J2234" s="64">
        <v>1</v>
      </c>
      <c r="K2234" s="64">
        <v>0</v>
      </c>
      <c r="L2234" s="64">
        <v>0</v>
      </c>
      <c r="M2234" s="60">
        <v>0</v>
      </c>
      <c r="N2234" s="60">
        <v>0</v>
      </c>
      <c r="O2234" s="60">
        <v>2</v>
      </c>
      <c r="P2234" s="60">
        <v>3</v>
      </c>
      <c r="Q2234" s="60">
        <v>0.2</v>
      </c>
      <c r="R2234" s="60">
        <v>0</v>
      </c>
      <c r="S2234" s="68">
        <v>1</v>
      </c>
      <c r="T2234" s="60">
        <v>0</v>
      </c>
      <c r="U2234" s="60">
        <v>1</v>
      </c>
      <c r="V2234" s="60">
        <v>2</v>
      </c>
      <c r="W2234" s="60">
        <v>0</v>
      </c>
      <c r="X2234" s="60">
        <v>2</v>
      </c>
      <c r="Y2234" s="12">
        <v>0</v>
      </c>
      <c r="Z2234" s="60">
        <v>0</v>
      </c>
      <c r="AA2234" s="60">
        <v>1</v>
      </c>
      <c r="AB2234" s="60">
        <v>0</v>
      </c>
      <c r="AC2234" s="60">
        <v>0</v>
      </c>
      <c r="AD2234" s="60">
        <v>1</v>
      </c>
      <c r="AE2234" s="60">
        <v>1</v>
      </c>
      <c r="AF2234" s="60">
        <v>0</v>
      </c>
      <c r="AG2234" s="60">
        <v>1</v>
      </c>
      <c r="AH2234" s="60">
        <v>3</v>
      </c>
      <c r="AI2234" s="68">
        <v>1</v>
      </c>
      <c r="AJ2234" s="68">
        <v>1</v>
      </c>
      <c r="AK2234" s="68">
        <v>0</v>
      </c>
      <c r="AL2234" s="68">
        <v>3</v>
      </c>
      <c r="AM2234" s="60">
        <v>0</v>
      </c>
      <c r="AN2234" s="60">
        <v>0</v>
      </c>
      <c r="AO2234" s="60">
        <v>0</v>
      </c>
      <c r="AP2234" s="60">
        <v>0</v>
      </c>
      <c r="AQ2234" s="60">
        <v>500</v>
      </c>
      <c r="AR2234" s="60">
        <v>0.3</v>
      </c>
      <c r="AS2234" s="60">
        <v>0</v>
      </c>
      <c r="AT2234" s="342" t="s">
        <v>5227</v>
      </c>
      <c r="AU2234" s="334" t="s">
        <v>5228</v>
      </c>
      <c r="AV2234" s="79"/>
      <c r="AW2234" s="63" t="s">
        <v>198</v>
      </c>
      <c r="AX2234" s="60" t="s">
        <v>534</v>
      </c>
      <c r="AY2234" s="64">
        <v>0</v>
      </c>
      <c r="AZ2234" s="64">
        <v>77001403</v>
      </c>
      <c r="BA2234" s="59" t="s">
        <v>200</v>
      </c>
      <c r="BB2234" s="60">
        <v>0</v>
      </c>
      <c r="BC2234" s="66">
        <v>0</v>
      </c>
      <c r="BD2234" s="66">
        <v>0</v>
      </c>
      <c r="BE2234" s="90" t="s">
        <v>2247</v>
      </c>
      <c r="BF2234" s="90" t="s">
        <v>2248</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row>
    <row r="2235" spans="3:75" ht="19.5" customHeight="1">
      <c r="C2235" s="64">
        <v>77001403</v>
      </c>
      <c r="D2235" s="59" t="s">
        <v>2846</v>
      </c>
      <c r="E2235" s="59" t="s">
        <v>5226</v>
      </c>
      <c r="F2235" s="64">
        <v>1</v>
      </c>
      <c r="G2235" s="64">
        <v>0</v>
      </c>
      <c r="H2235" s="64">
        <v>0</v>
      </c>
      <c r="I2235" s="66">
        <v>0</v>
      </c>
      <c r="J2235" s="64">
        <v>1</v>
      </c>
      <c r="K2235" s="64">
        <v>0</v>
      </c>
      <c r="L2235" s="64">
        <v>0</v>
      </c>
      <c r="M2235" s="60">
        <v>0</v>
      </c>
      <c r="N2235" s="60">
        <v>0</v>
      </c>
      <c r="O2235" s="60">
        <v>2</v>
      </c>
      <c r="P2235" s="60">
        <v>3</v>
      </c>
      <c r="Q2235" s="60">
        <v>0.2</v>
      </c>
      <c r="R2235" s="60">
        <v>0</v>
      </c>
      <c r="S2235" s="68">
        <v>1</v>
      </c>
      <c r="T2235" s="60">
        <v>0</v>
      </c>
      <c r="U2235" s="60">
        <v>1</v>
      </c>
      <c r="V2235" s="60">
        <v>2</v>
      </c>
      <c r="W2235" s="60">
        <v>0</v>
      </c>
      <c r="X2235" s="60">
        <v>2</v>
      </c>
      <c r="Y2235" s="12">
        <v>0</v>
      </c>
      <c r="Z2235" s="60">
        <v>0</v>
      </c>
      <c r="AA2235" s="60">
        <v>1</v>
      </c>
      <c r="AB2235" s="60">
        <v>0</v>
      </c>
      <c r="AC2235" s="60">
        <v>0</v>
      </c>
      <c r="AD2235" s="60">
        <v>1</v>
      </c>
      <c r="AE2235" s="60">
        <v>1</v>
      </c>
      <c r="AF2235" s="60">
        <v>0</v>
      </c>
      <c r="AG2235" s="60">
        <v>1</v>
      </c>
      <c r="AH2235" s="60">
        <v>3</v>
      </c>
      <c r="AI2235" s="68">
        <v>1</v>
      </c>
      <c r="AJ2235" s="68">
        <v>1</v>
      </c>
      <c r="AK2235" s="68">
        <v>0</v>
      </c>
      <c r="AL2235" s="68">
        <v>3</v>
      </c>
      <c r="AM2235" s="60">
        <v>0</v>
      </c>
      <c r="AN2235" s="60">
        <v>0</v>
      </c>
      <c r="AO2235" s="60">
        <v>0</v>
      </c>
      <c r="AP2235" s="60">
        <v>0</v>
      </c>
      <c r="AQ2235" s="60">
        <v>500</v>
      </c>
      <c r="AR2235" s="60">
        <v>0.3</v>
      </c>
      <c r="AS2235" s="60">
        <v>0</v>
      </c>
      <c r="AT2235" s="68">
        <v>0</v>
      </c>
      <c r="AU2235" s="334" t="s">
        <v>5228</v>
      </c>
      <c r="AV2235" s="79"/>
      <c r="AW2235" s="63" t="s">
        <v>198</v>
      </c>
      <c r="AX2235" s="60" t="s">
        <v>534</v>
      </c>
      <c r="AY2235" s="64">
        <v>0</v>
      </c>
      <c r="AZ2235" s="64">
        <v>77001403</v>
      </c>
      <c r="BA2235" s="59" t="s">
        <v>200</v>
      </c>
      <c r="BB2235" s="60">
        <v>0</v>
      </c>
      <c r="BC2235" s="66">
        <v>0</v>
      </c>
      <c r="BD2235" s="66">
        <v>0</v>
      </c>
      <c r="BE2235" s="90" t="s">
        <v>2247</v>
      </c>
      <c r="BF2235" s="90" t="s">
        <v>2248</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spans="3:75" ht="19.5" customHeight="1">
      <c r="C2236" s="64">
        <v>77001404</v>
      </c>
      <c r="D2236" s="59" t="s">
        <v>5229</v>
      </c>
      <c r="E2236" s="59" t="s">
        <v>5230</v>
      </c>
      <c r="F2236" s="64">
        <v>1</v>
      </c>
      <c r="G2236" s="64">
        <v>0</v>
      </c>
      <c r="H2236" s="64">
        <v>0</v>
      </c>
      <c r="I2236" s="66">
        <v>0</v>
      </c>
      <c r="J2236" s="64">
        <v>1</v>
      </c>
      <c r="K2236" s="64">
        <v>0</v>
      </c>
      <c r="L2236" s="64">
        <v>0</v>
      </c>
      <c r="M2236" s="60">
        <v>0</v>
      </c>
      <c r="N2236" s="60">
        <v>0</v>
      </c>
      <c r="O2236" s="60">
        <v>2</v>
      </c>
      <c r="P2236" s="60">
        <v>10</v>
      </c>
      <c r="Q2236" s="60">
        <v>0.3</v>
      </c>
      <c r="R2236" s="60">
        <v>0</v>
      </c>
      <c r="S2236" s="68">
        <v>3</v>
      </c>
      <c r="T2236" s="60">
        <v>0</v>
      </c>
      <c r="U2236" s="60">
        <v>1</v>
      </c>
      <c r="V2236" s="60">
        <v>2</v>
      </c>
      <c r="W2236" s="60">
        <v>0</v>
      </c>
      <c r="X2236" s="60">
        <v>1</v>
      </c>
      <c r="Y2236" s="12">
        <v>0</v>
      </c>
      <c r="Z2236" s="60">
        <v>0</v>
      </c>
      <c r="AA2236" s="60">
        <v>1</v>
      </c>
      <c r="AB2236" s="60">
        <v>0</v>
      </c>
      <c r="AC2236" s="60">
        <v>0</v>
      </c>
      <c r="AD2236" s="60">
        <v>0</v>
      </c>
      <c r="AE2236" s="60">
        <v>1</v>
      </c>
      <c r="AF2236" s="60">
        <v>2</v>
      </c>
      <c r="AG2236" s="60">
        <v>1</v>
      </c>
      <c r="AH2236" s="60">
        <v>2</v>
      </c>
      <c r="AI2236" s="68">
        <v>0</v>
      </c>
      <c r="AJ2236" s="68">
        <v>2</v>
      </c>
      <c r="AK2236" s="68">
        <v>0</v>
      </c>
      <c r="AL2236" s="68">
        <v>1</v>
      </c>
      <c r="AM2236" s="60">
        <v>0</v>
      </c>
      <c r="AN2236" s="60">
        <v>1</v>
      </c>
      <c r="AO2236" s="60">
        <v>0</v>
      </c>
      <c r="AP2236" s="60">
        <v>0</v>
      </c>
      <c r="AQ2236" s="60">
        <v>5000</v>
      </c>
      <c r="AR2236" s="60">
        <v>0</v>
      </c>
      <c r="AS2236" s="60">
        <v>20</v>
      </c>
      <c r="AT2236" s="78">
        <v>0</v>
      </c>
      <c r="AU2236" s="334" t="s">
        <v>5231</v>
      </c>
      <c r="AV2236" s="79"/>
      <c r="AW2236" s="59" t="s">
        <v>256</v>
      </c>
      <c r="AX2236" s="60" t="s">
        <v>534</v>
      </c>
      <c r="AY2236" s="64">
        <v>10000007</v>
      </c>
      <c r="AZ2236" s="64">
        <v>77001402</v>
      </c>
      <c r="BA2236" s="59" t="s">
        <v>586</v>
      </c>
      <c r="BB2236" s="60" t="s">
        <v>5232</v>
      </c>
      <c r="BC2236" s="66">
        <v>0</v>
      </c>
      <c r="BD2236" s="66">
        <v>1</v>
      </c>
      <c r="BE2236" s="90" t="s">
        <v>5233</v>
      </c>
      <c r="BF2236" s="90" t="s">
        <v>5234</v>
      </c>
      <c r="BG2236" s="60">
        <v>0</v>
      </c>
      <c r="BH2236" s="60">
        <v>0</v>
      </c>
      <c r="BI2236" s="60">
        <v>0</v>
      </c>
      <c r="BJ2236" s="60">
        <v>0</v>
      </c>
      <c r="BK2236" s="60">
        <v>0</v>
      </c>
      <c r="BL2236" s="60">
        <v>0</v>
      </c>
      <c r="BM2236" s="93">
        <v>0</v>
      </c>
      <c r="BN2236" s="68">
        <v>0</v>
      </c>
      <c r="BO2236" s="68">
        <v>0</v>
      </c>
      <c r="BP2236" s="68">
        <v>0</v>
      </c>
      <c r="BQ2236" s="68">
        <v>0</v>
      </c>
      <c r="BR2236" s="68">
        <v>0</v>
      </c>
      <c r="BS2236" s="68">
        <v>1</v>
      </c>
      <c r="BT2236" s="68">
        <v>0</v>
      </c>
      <c r="BU2236" s="47">
        <v>0</v>
      </c>
      <c r="BV2236" s="47"/>
      <c r="BW2236" s="47"/>
    </row>
    <row r="2237" spans="3:75" ht="19.5" customHeight="1">
      <c r="C2237" s="64">
        <v>77001405</v>
      </c>
      <c r="D2237" s="59" t="s">
        <v>1045</v>
      </c>
      <c r="E2237" s="59" t="s">
        <v>1046</v>
      </c>
      <c r="F2237" s="64">
        <v>1</v>
      </c>
      <c r="G2237" s="64">
        <v>0</v>
      </c>
      <c r="H2237" s="64">
        <v>0</v>
      </c>
      <c r="I2237" s="66">
        <v>0</v>
      </c>
      <c r="J2237" s="64">
        <v>1</v>
      </c>
      <c r="K2237" s="64">
        <v>0</v>
      </c>
      <c r="L2237" s="64">
        <v>0</v>
      </c>
      <c r="M2237" s="60">
        <v>0</v>
      </c>
      <c r="N2237" s="60">
        <v>0</v>
      </c>
      <c r="O2237" s="60">
        <v>2</v>
      </c>
      <c r="P2237" s="60">
        <v>3</v>
      </c>
      <c r="Q2237" s="60">
        <v>0.1</v>
      </c>
      <c r="R2237" s="60">
        <v>0</v>
      </c>
      <c r="S2237" s="68">
        <v>0</v>
      </c>
      <c r="T2237" s="60">
        <v>0</v>
      </c>
      <c r="U2237" s="60">
        <v>1</v>
      </c>
      <c r="V2237" s="60">
        <v>2</v>
      </c>
      <c r="W2237" s="60">
        <v>0</v>
      </c>
      <c r="X2237" s="60">
        <v>1</v>
      </c>
      <c r="Y2237" s="12">
        <v>0</v>
      </c>
      <c r="Z2237" s="60">
        <v>0</v>
      </c>
      <c r="AA2237" s="60">
        <v>1</v>
      </c>
      <c r="AB2237" s="60">
        <v>0</v>
      </c>
      <c r="AC2237" s="60">
        <v>0</v>
      </c>
      <c r="AD2237" s="60">
        <v>1</v>
      </c>
      <c r="AE2237" s="60">
        <v>0</v>
      </c>
      <c r="AF2237" s="60">
        <v>0</v>
      </c>
      <c r="AG2237" s="60">
        <v>1</v>
      </c>
      <c r="AH2237" s="60">
        <v>3</v>
      </c>
      <c r="AI2237" s="68">
        <v>4</v>
      </c>
      <c r="AJ2237" s="68">
        <v>1</v>
      </c>
      <c r="AK2237" s="68">
        <v>0</v>
      </c>
      <c r="AL2237" s="68">
        <v>1.5</v>
      </c>
      <c r="AM2237" s="60">
        <v>0</v>
      </c>
      <c r="AN2237" s="60">
        <v>0</v>
      </c>
      <c r="AO2237" s="60">
        <v>0</v>
      </c>
      <c r="AP2237" s="60">
        <v>0</v>
      </c>
      <c r="AQ2237" s="60">
        <v>6000</v>
      </c>
      <c r="AR2237" s="60">
        <v>0.8</v>
      </c>
      <c r="AS2237" s="60">
        <v>0</v>
      </c>
      <c r="AT2237" s="68">
        <v>0</v>
      </c>
      <c r="AU2237" s="334" t="s">
        <v>5228</v>
      </c>
      <c r="AV2237" s="79"/>
      <c r="AW2237" s="63" t="s">
        <v>199</v>
      </c>
      <c r="AX2237" s="60" t="s">
        <v>534</v>
      </c>
      <c r="AY2237" s="64">
        <v>0</v>
      </c>
      <c r="AZ2237" s="64">
        <v>77001404</v>
      </c>
      <c r="BA2237" s="59" t="s">
        <v>200</v>
      </c>
      <c r="BB2237" s="60" t="s">
        <v>5235</v>
      </c>
      <c r="BC2237" s="66">
        <v>0</v>
      </c>
      <c r="BD2237" s="66">
        <v>0</v>
      </c>
      <c r="BE2237" s="90" t="s">
        <v>5236</v>
      </c>
      <c r="BF2237" s="90" t="s">
        <v>5237</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spans="3:75" ht="20.100000000000001" customHeight="1">
      <c r="C2238" s="64">
        <v>77001406</v>
      </c>
      <c r="D2238" s="124" t="s">
        <v>1039</v>
      </c>
      <c r="E2238" s="124" t="s">
        <v>1040</v>
      </c>
      <c r="F2238" s="68">
        <v>1</v>
      </c>
      <c r="G2238" s="64">
        <v>0</v>
      </c>
      <c r="H2238" s="68">
        <v>0</v>
      </c>
      <c r="I2238" s="68">
        <v>0</v>
      </c>
      <c r="J2238" s="68">
        <v>1</v>
      </c>
      <c r="K2238" s="68">
        <v>0</v>
      </c>
      <c r="L2238" s="68">
        <v>0</v>
      </c>
      <c r="M2238" s="68">
        <v>0</v>
      </c>
      <c r="N2238" s="68">
        <v>0</v>
      </c>
      <c r="O2238" s="68">
        <v>2</v>
      </c>
      <c r="P2238" s="68">
        <v>2</v>
      </c>
      <c r="Q2238" s="68">
        <v>0.8</v>
      </c>
      <c r="R2238" s="68">
        <v>0</v>
      </c>
      <c r="S2238" s="68">
        <v>0</v>
      </c>
      <c r="T2238" s="68">
        <v>0</v>
      </c>
      <c r="U2238" s="68">
        <v>1</v>
      </c>
      <c r="V2238" s="68">
        <v>2</v>
      </c>
      <c r="W2238" s="68">
        <v>0</v>
      </c>
      <c r="X2238" s="68">
        <v>0</v>
      </c>
      <c r="Y2238" s="12">
        <v>0</v>
      </c>
      <c r="Z2238" s="68">
        <v>0</v>
      </c>
      <c r="AA2238" s="68">
        <v>1</v>
      </c>
      <c r="AB2238" s="68">
        <v>0</v>
      </c>
      <c r="AC2238" s="68">
        <v>0</v>
      </c>
      <c r="AD2238" s="68">
        <v>0</v>
      </c>
      <c r="AE2238" s="68">
        <v>0</v>
      </c>
      <c r="AF2238" s="68">
        <v>12</v>
      </c>
      <c r="AG2238" s="68">
        <v>1</v>
      </c>
      <c r="AH2238" s="68">
        <v>8</v>
      </c>
      <c r="AI2238" s="68">
        <v>0</v>
      </c>
      <c r="AJ2238" s="68">
        <v>1</v>
      </c>
      <c r="AK2238" s="68">
        <v>0</v>
      </c>
      <c r="AL2238" s="68">
        <v>4</v>
      </c>
      <c r="AM2238" s="68">
        <v>0</v>
      </c>
      <c r="AN2238" s="68">
        <v>0</v>
      </c>
      <c r="AO2238" s="68">
        <v>0</v>
      </c>
      <c r="AP2238" s="68">
        <v>0</v>
      </c>
      <c r="AQ2238" s="68">
        <v>2000</v>
      </c>
      <c r="AR2238" s="68">
        <v>1.5</v>
      </c>
      <c r="AS2238" s="68">
        <v>0</v>
      </c>
      <c r="AT2238" s="68">
        <v>0</v>
      </c>
      <c r="AU2238" s="68">
        <v>0</v>
      </c>
      <c r="AV2238" s="68"/>
      <c r="AW2238" s="124" t="s">
        <v>617</v>
      </c>
      <c r="AX2238" s="68" t="s">
        <v>1041</v>
      </c>
      <c r="AY2238" s="68">
        <v>0</v>
      </c>
      <c r="AZ2238" s="68">
        <v>77001405</v>
      </c>
      <c r="BA2238" s="124" t="s">
        <v>1042</v>
      </c>
      <c r="BB2238" s="68">
        <v>0</v>
      </c>
      <c r="BC2238" s="68">
        <v>0</v>
      </c>
      <c r="BD2238" s="68">
        <v>0</v>
      </c>
      <c r="BE2238" s="133" t="s">
        <v>1043</v>
      </c>
      <c r="BF2238" s="133" t="s">
        <v>1044</v>
      </c>
      <c r="BG2238" s="68">
        <v>0</v>
      </c>
      <c r="BH2238" s="68">
        <v>0</v>
      </c>
      <c r="BI2238" s="68">
        <v>0</v>
      </c>
      <c r="BJ2238" s="68">
        <v>0</v>
      </c>
      <c r="BK2238" s="68">
        <v>0</v>
      </c>
      <c r="BL2238" s="68">
        <v>0</v>
      </c>
      <c r="BM2238" s="134">
        <v>0</v>
      </c>
      <c r="BN2238" s="68">
        <v>0</v>
      </c>
      <c r="BO2238" s="68">
        <v>0</v>
      </c>
      <c r="BP2238" s="68">
        <v>1000</v>
      </c>
      <c r="BQ2238" s="68">
        <v>0</v>
      </c>
      <c r="BR2238" s="68">
        <v>0</v>
      </c>
      <c r="BS2238" s="68">
        <v>0</v>
      </c>
      <c r="BT2238" s="68">
        <v>0</v>
      </c>
      <c r="BU2238" s="47">
        <v>0</v>
      </c>
      <c r="BV2238" s="47"/>
      <c r="BW2238" s="47"/>
    </row>
    <row r="2239" spans="3:75" ht="19.5" customHeight="1">
      <c r="C2239" s="64">
        <v>77001407</v>
      </c>
      <c r="D2239" s="59" t="s">
        <v>5238</v>
      </c>
      <c r="E2239" s="59" t="s">
        <v>5239</v>
      </c>
      <c r="F2239" s="64">
        <v>1</v>
      </c>
      <c r="G2239" s="64">
        <v>0</v>
      </c>
      <c r="H2239" s="64">
        <v>0</v>
      </c>
      <c r="I2239" s="66">
        <v>0</v>
      </c>
      <c r="J2239" s="64">
        <v>1</v>
      </c>
      <c r="K2239" s="64">
        <v>0</v>
      </c>
      <c r="L2239" s="64">
        <v>0</v>
      </c>
      <c r="M2239" s="60">
        <v>0</v>
      </c>
      <c r="N2239" s="60">
        <v>0</v>
      </c>
      <c r="O2239" s="60">
        <v>2</v>
      </c>
      <c r="P2239" s="60">
        <v>10</v>
      </c>
      <c r="Q2239" s="60">
        <v>0.15</v>
      </c>
      <c r="R2239" s="60">
        <v>0</v>
      </c>
      <c r="S2239" s="68">
        <v>0</v>
      </c>
      <c r="T2239" s="60">
        <v>0</v>
      </c>
      <c r="U2239" s="60">
        <v>1</v>
      </c>
      <c r="V2239" s="60">
        <v>2</v>
      </c>
      <c r="W2239" s="60">
        <v>0</v>
      </c>
      <c r="X2239" s="60">
        <v>2</v>
      </c>
      <c r="Y2239" s="12">
        <v>0</v>
      </c>
      <c r="Z2239" s="60">
        <v>0</v>
      </c>
      <c r="AA2239" s="60">
        <v>1</v>
      </c>
      <c r="AB2239" s="60">
        <v>0</v>
      </c>
      <c r="AC2239" s="60">
        <v>0</v>
      </c>
      <c r="AD2239" s="60">
        <v>0</v>
      </c>
      <c r="AE2239" s="60">
        <v>1</v>
      </c>
      <c r="AF2239" s="60">
        <v>3</v>
      </c>
      <c r="AG2239" s="60">
        <v>1</v>
      </c>
      <c r="AH2239" s="60">
        <v>4</v>
      </c>
      <c r="AI2239" s="68">
        <v>1</v>
      </c>
      <c r="AJ2239" s="68">
        <v>1</v>
      </c>
      <c r="AK2239" s="68">
        <v>0</v>
      </c>
      <c r="AL2239" s="68">
        <v>3</v>
      </c>
      <c r="AM2239" s="60">
        <v>0</v>
      </c>
      <c r="AN2239" s="60">
        <v>1</v>
      </c>
      <c r="AO2239" s="60">
        <v>0</v>
      </c>
      <c r="AP2239" s="60">
        <v>1</v>
      </c>
      <c r="AQ2239" s="60">
        <v>3000</v>
      </c>
      <c r="AR2239" s="60">
        <v>1</v>
      </c>
      <c r="AS2239" s="60">
        <v>0</v>
      </c>
      <c r="AT2239" s="68">
        <v>0</v>
      </c>
      <c r="AU2239" s="334" t="s">
        <v>5231</v>
      </c>
      <c r="AV2239" s="79"/>
      <c r="AW2239" s="63" t="s">
        <v>287</v>
      </c>
      <c r="AX2239" s="60" t="s">
        <v>534</v>
      </c>
      <c r="AY2239" s="64">
        <v>0</v>
      </c>
      <c r="AZ2239" s="64">
        <v>77001407</v>
      </c>
      <c r="BA2239" s="59" t="s">
        <v>200</v>
      </c>
      <c r="BB2239" s="60">
        <v>0</v>
      </c>
      <c r="BC2239" s="66">
        <v>0</v>
      </c>
      <c r="BD2239" s="66">
        <v>0</v>
      </c>
      <c r="BE2239" s="90" t="s">
        <v>5240</v>
      </c>
      <c r="BF2239" s="90" t="s">
        <v>5241</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spans="3:75" ht="19.5" customHeight="1">
      <c r="C2240" s="287">
        <v>77001501</v>
      </c>
      <c r="D2240" s="288" t="s">
        <v>5242</v>
      </c>
      <c r="E2240" s="288" t="s">
        <v>5243</v>
      </c>
      <c r="F2240" s="287">
        <v>1</v>
      </c>
      <c r="G2240" s="287">
        <v>0</v>
      </c>
      <c r="H2240" s="287">
        <v>0</v>
      </c>
      <c r="I2240" s="292">
        <v>0</v>
      </c>
      <c r="J2240" s="287">
        <v>1</v>
      </c>
      <c r="K2240" s="287">
        <v>0</v>
      </c>
      <c r="L2240" s="287">
        <v>0</v>
      </c>
      <c r="M2240" s="289">
        <v>0</v>
      </c>
      <c r="N2240" s="289">
        <v>0</v>
      </c>
      <c r="O2240" s="289">
        <v>2</v>
      </c>
      <c r="P2240" s="289">
        <v>2</v>
      </c>
      <c r="Q2240" s="289">
        <v>0.5</v>
      </c>
      <c r="R2240" s="289">
        <v>0</v>
      </c>
      <c r="S2240" s="295">
        <v>0</v>
      </c>
      <c r="T2240" s="289">
        <v>0</v>
      </c>
      <c r="U2240" s="289">
        <v>1</v>
      </c>
      <c r="V2240" s="289">
        <v>2</v>
      </c>
      <c r="W2240" s="289">
        <v>0</v>
      </c>
      <c r="X2240" s="289">
        <v>2</v>
      </c>
      <c r="Y2240" s="12">
        <v>0</v>
      </c>
      <c r="Z2240" s="289">
        <v>0</v>
      </c>
      <c r="AA2240" s="289">
        <v>1</v>
      </c>
      <c r="AB2240" s="289">
        <v>0</v>
      </c>
      <c r="AC2240" s="289">
        <v>0</v>
      </c>
      <c r="AD2240" s="289">
        <v>0</v>
      </c>
      <c r="AE2240" s="289">
        <v>1</v>
      </c>
      <c r="AF2240" s="289">
        <v>30</v>
      </c>
      <c r="AG2240" s="289">
        <v>1</v>
      </c>
      <c r="AH2240" s="289">
        <v>4</v>
      </c>
      <c r="AI2240" s="295">
        <v>0</v>
      </c>
      <c r="AJ2240" s="295">
        <v>1</v>
      </c>
      <c r="AK2240" s="295">
        <v>0</v>
      </c>
      <c r="AL2240" s="295">
        <v>3</v>
      </c>
      <c r="AM2240" s="289">
        <v>0</v>
      </c>
      <c r="AN2240" s="289">
        <v>1</v>
      </c>
      <c r="AO2240" s="289">
        <v>0</v>
      </c>
      <c r="AP2240" s="289">
        <v>1</v>
      </c>
      <c r="AQ2240" s="289">
        <v>3000</v>
      </c>
      <c r="AR2240" s="289">
        <v>1</v>
      </c>
      <c r="AS2240" s="289">
        <v>0</v>
      </c>
      <c r="AT2240" s="295">
        <v>97005001</v>
      </c>
      <c r="AU2240" s="371" t="s">
        <v>5244</v>
      </c>
      <c r="AV2240" s="296"/>
      <c r="AW2240" s="299" t="s">
        <v>287</v>
      </c>
      <c r="AX2240" s="289" t="s">
        <v>534</v>
      </c>
      <c r="AY2240" s="287">
        <v>0</v>
      </c>
      <c r="AZ2240" s="287">
        <v>77001501</v>
      </c>
      <c r="BA2240" s="288" t="s">
        <v>200</v>
      </c>
      <c r="BB2240" s="289">
        <v>0</v>
      </c>
      <c r="BC2240" s="292">
        <v>0</v>
      </c>
      <c r="BD2240" s="292">
        <v>0</v>
      </c>
      <c r="BE2240" s="302" t="s">
        <v>5245</v>
      </c>
      <c r="BF2240" s="302" t="s">
        <v>5246</v>
      </c>
      <c r="BG2240" s="289">
        <v>0</v>
      </c>
      <c r="BH2240" s="289">
        <v>0</v>
      </c>
      <c r="BI2240" s="289">
        <v>0</v>
      </c>
      <c r="BJ2240" s="289">
        <v>0</v>
      </c>
      <c r="BK2240" s="289">
        <v>0</v>
      </c>
      <c r="BL2240" s="289">
        <v>0</v>
      </c>
      <c r="BM2240" s="304">
        <v>0</v>
      </c>
      <c r="BN2240" s="295">
        <v>0</v>
      </c>
      <c r="BO2240" s="295">
        <v>0</v>
      </c>
      <c r="BP2240" s="295">
        <v>0</v>
      </c>
      <c r="BQ2240" s="295">
        <v>0</v>
      </c>
      <c r="BR2240" s="295">
        <v>0</v>
      </c>
      <c r="BS2240" s="295">
        <v>0</v>
      </c>
      <c r="BT2240" s="295">
        <v>0</v>
      </c>
      <c r="BU2240" s="47">
        <v>0</v>
      </c>
      <c r="BV2240" s="47"/>
      <c r="BW2240" s="47"/>
    </row>
    <row r="2241" spans="1:75" ht="20.100000000000001" customHeight="1">
      <c r="C2241" s="287">
        <v>77001502</v>
      </c>
      <c r="D2241" s="288" t="s">
        <v>5247</v>
      </c>
      <c r="E2241" s="288" t="s">
        <v>5248</v>
      </c>
      <c r="F2241" s="289">
        <v>1</v>
      </c>
      <c r="G2241" s="289">
        <v>0</v>
      </c>
      <c r="H2241" s="289">
        <v>0</v>
      </c>
      <c r="I2241" s="292">
        <v>0</v>
      </c>
      <c r="J2241" s="287">
        <v>1</v>
      </c>
      <c r="K2241" s="289">
        <v>0</v>
      </c>
      <c r="L2241" s="289">
        <v>0</v>
      </c>
      <c r="M2241" s="289">
        <v>0</v>
      </c>
      <c r="N2241" s="289">
        <v>0</v>
      </c>
      <c r="O2241" s="289">
        <v>2</v>
      </c>
      <c r="P2241" s="289">
        <v>3</v>
      </c>
      <c r="Q2241" s="289">
        <v>0.2</v>
      </c>
      <c r="R2241" s="289">
        <v>0</v>
      </c>
      <c r="S2241" s="295">
        <v>0</v>
      </c>
      <c r="T2241" s="289">
        <v>0</v>
      </c>
      <c r="U2241" s="289">
        <v>1</v>
      </c>
      <c r="V2241" s="289">
        <v>1</v>
      </c>
      <c r="W2241" s="289">
        <v>0</v>
      </c>
      <c r="X2241" s="289">
        <v>1</v>
      </c>
      <c r="Y2241" s="12">
        <v>0</v>
      </c>
      <c r="Z2241" s="289">
        <v>0</v>
      </c>
      <c r="AA2241" s="289">
        <v>1</v>
      </c>
      <c r="AB2241" s="289">
        <v>0</v>
      </c>
      <c r="AC2241" s="289">
        <v>0</v>
      </c>
      <c r="AD2241" s="289">
        <v>0</v>
      </c>
      <c r="AE2241" s="289">
        <v>1</v>
      </c>
      <c r="AF2241" s="289">
        <v>6</v>
      </c>
      <c r="AG2241" s="289">
        <v>1</v>
      </c>
      <c r="AH2241" s="289">
        <v>3</v>
      </c>
      <c r="AI2241" s="295">
        <v>0</v>
      </c>
      <c r="AJ2241" s="295">
        <v>1</v>
      </c>
      <c r="AK2241" s="295">
        <v>0</v>
      </c>
      <c r="AL2241" s="295">
        <v>2</v>
      </c>
      <c r="AM2241" s="289">
        <v>0</v>
      </c>
      <c r="AN2241" s="289">
        <v>0</v>
      </c>
      <c r="AO2241" s="289">
        <v>0</v>
      </c>
      <c r="AP2241" s="289">
        <v>1</v>
      </c>
      <c r="AQ2241" s="289">
        <v>1100</v>
      </c>
      <c r="AR2241" s="289">
        <v>1</v>
      </c>
      <c r="AS2241" s="289">
        <v>0</v>
      </c>
      <c r="AT2241" s="295">
        <v>0</v>
      </c>
      <c r="AU2241" s="289">
        <v>97005003</v>
      </c>
      <c r="AV2241" s="289"/>
      <c r="AW2241" s="288" t="s">
        <v>198</v>
      </c>
      <c r="AX2241" s="289" t="s">
        <v>534</v>
      </c>
      <c r="AY2241" s="287">
        <v>10000001</v>
      </c>
      <c r="AZ2241" s="287">
        <v>77001505</v>
      </c>
      <c r="BA2241" s="288" t="s">
        <v>771</v>
      </c>
      <c r="BB2241" s="289">
        <v>0</v>
      </c>
      <c r="BC2241" s="292">
        <v>0</v>
      </c>
      <c r="BD2241" s="292">
        <v>0</v>
      </c>
      <c r="BE2241" s="309" t="s">
        <v>5249</v>
      </c>
      <c r="BF2241" s="309" t="s">
        <v>5250</v>
      </c>
      <c r="BG2241" s="289">
        <v>0</v>
      </c>
      <c r="BH2241" s="289">
        <v>0</v>
      </c>
      <c r="BI2241" s="289">
        <v>0</v>
      </c>
      <c r="BJ2241" s="289">
        <v>0</v>
      </c>
      <c r="BK2241" s="289">
        <v>0</v>
      </c>
      <c r="BL2241" s="289">
        <v>0</v>
      </c>
      <c r="BM2241" s="304">
        <v>0</v>
      </c>
      <c r="BN2241" s="295">
        <v>0</v>
      </c>
      <c r="BO2241" s="295">
        <v>0</v>
      </c>
      <c r="BP2241" s="295">
        <v>0</v>
      </c>
      <c r="BQ2241" s="295">
        <v>0</v>
      </c>
      <c r="BR2241" s="295">
        <v>0</v>
      </c>
      <c r="BS2241" s="295">
        <v>0</v>
      </c>
      <c r="BT2241" s="295">
        <v>77001508</v>
      </c>
      <c r="BU2241" s="47">
        <v>0</v>
      </c>
      <c r="BV2241" s="47"/>
      <c r="BW2241" s="47"/>
    </row>
    <row r="2242" spans="1:75" ht="19.5" customHeight="1">
      <c r="C2242" s="287">
        <v>77001503</v>
      </c>
      <c r="D2242" s="288" t="s">
        <v>5251</v>
      </c>
      <c r="E2242" s="288" t="s">
        <v>5252</v>
      </c>
      <c r="F2242" s="287">
        <v>1</v>
      </c>
      <c r="G2242" s="289">
        <v>0</v>
      </c>
      <c r="H2242" s="287">
        <v>0</v>
      </c>
      <c r="I2242" s="292">
        <v>0</v>
      </c>
      <c r="J2242" s="287">
        <v>1</v>
      </c>
      <c r="K2242" s="287">
        <v>0</v>
      </c>
      <c r="L2242" s="287">
        <v>0</v>
      </c>
      <c r="M2242" s="289">
        <v>0</v>
      </c>
      <c r="N2242" s="289">
        <v>0</v>
      </c>
      <c r="O2242" s="289">
        <v>2</v>
      </c>
      <c r="P2242" s="289">
        <v>1</v>
      </c>
      <c r="Q2242" s="289">
        <v>0.2</v>
      </c>
      <c r="R2242" s="289">
        <v>0</v>
      </c>
      <c r="S2242" s="295">
        <v>0</v>
      </c>
      <c r="T2242" s="289">
        <v>0</v>
      </c>
      <c r="U2242" s="289">
        <v>1</v>
      </c>
      <c r="V2242" s="289">
        <v>2</v>
      </c>
      <c r="W2242" s="289">
        <v>0</v>
      </c>
      <c r="X2242" s="289">
        <v>0.8</v>
      </c>
      <c r="Y2242" s="12">
        <v>0</v>
      </c>
      <c r="Z2242" s="289">
        <v>0</v>
      </c>
      <c r="AA2242" s="289">
        <v>1</v>
      </c>
      <c r="AB2242" s="289">
        <v>0</v>
      </c>
      <c r="AC2242" s="289">
        <v>0</v>
      </c>
      <c r="AD2242" s="289">
        <v>0</v>
      </c>
      <c r="AE2242" s="289">
        <v>0</v>
      </c>
      <c r="AF2242" s="289">
        <v>14</v>
      </c>
      <c r="AG2242" s="289">
        <v>1</v>
      </c>
      <c r="AH2242" s="289">
        <v>3</v>
      </c>
      <c r="AI2242" s="295">
        <v>1</v>
      </c>
      <c r="AJ2242" s="295">
        <v>0</v>
      </c>
      <c r="AK2242" s="295">
        <v>0</v>
      </c>
      <c r="AL2242" s="295">
        <v>0</v>
      </c>
      <c r="AM2242" s="289">
        <v>0</v>
      </c>
      <c r="AN2242" s="289">
        <v>0</v>
      </c>
      <c r="AO2242" s="289">
        <v>0</v>
      </c>
      <c r="AP2242" s="289">
        <v>0</v>
      </c>
      <c r="AQ2242" s="289">
        <v>999999</v>
      </c>
      <c r="AR2242" s="289">
        <v>0</v>
      </c>
      <c r="AS2242" s="289">
        <v>0</v>
      </c>
      <c r="AT2242" s="295">
        <v>97005004</v>
      </c>
      <c r="AU2242" s="289">
        <v>97005002</v>
      </c>
      <c r="AV2242" s="289"/>
      <c r="AW2242" s="299" t="s">
        <v>287</v>
      </c>
      <c r="AX2242" s="289" t="s">
        <v>534</v>
      </c>
      <c r="AY2242" s="287">
        <v>10000007</v>
      </c>
      <c r="AZ2242" s="287">
        <v>77001503</v>
      </c>
      <c r="BA2242" s="299" t="s">
        <v>315</v>
      </c>
      <c r="BB2242" s="299" t="s">
        <v>371</v>
      </c>
      <c r="BC2242" s="292">
        <v>0</v>
      </c>
      <c r="BD2242" s="292">
        <v>0</v>
      </c>
      <c r="BE2242" s="302" t="s">
        <v>5253</v>
      </c>
      <c r="BF2242" s="302" t="s">
        <v>5254</v>
      </c>
      <c r="BG2242" s="289">
        <v>0</v>
      </c>
      <c r="BH2242" s="289">
        <v>0</v>
      </c>
      <c r="BI2242" s="289">
        <v>0</v>
      </c>
      <c r="BJ2242" s="289">
        <v>0</v>
      </c>
      <c r="BK2242" s="289">
        <v>0</v>
      </c>
      <c r="BL2242" s="289">
        <v>0</v>
      </c>
      <c r="BM2242" s="304">
        <v>0</v>
      </c>
      <c r="BN2242" s="295">
        <v>0</v>
      </c>
      <c r="BO2242" s="295">
        <v>0</v>
      </c>
      <c r="BP2242" s="295">
        <v>0</v>
      </c>
      <c r="BQ2242" s="295">
        <v>0</v>
      </c>
      <c r="BR2242" s="295">
        <v>0</v>
      </c>
      <c r="BS2242" s="295">
        <v>0</v>
      </c>
      <c r="BT2242" s="295">
        <v>0</v>
      </c>
      <c r="BU2242" s="47">
        <v>0</v>
      </c>
      <c r="BV2242" s="47"/>
      <c r="BW2242" s="47"/>
    </row>
    <row r="2243" spans="1:75" ht="20.100000000000001" customHeight="1">
      <c r="C2243" s="287">
        <v>77001504</v>
      </c>
      <c r="D2243" s="288" t="s">
        <v>5255</v>
      </c>
      <c r="E2243" s="305" t="s">
        <v>5256</v>
      </c>
      <c r="F2243" s="304">
        <v>1</v>
      </c>
      <c r="G2243" s="289">
        <v>0</v>
      </c>
      <c r="H2243" s="289">
        <v>0</v>
      </c>
      <c r="I2243" s="292">
        <v>0</v>
      </c>
      <c r="J2243" s="287">
        <v>1</v>
      </c>
      <c r="K2243" s="287">
        <v>0</v>
      </c>
      <c r="L2243" s="287">
        <v>0</v>
      </c>
      <c r="M2243" s="289">
        <v>0</v>
      </c>
      <c r="N2243" s="289">
        <v>0</v>
      </c>
      <c r="O2243" s="289">
        <v>2</v>
      </c>
      <c r="P2243" s="289">
        <v>1</v>
      </c>
      <c r="Q2243" s="289">
        <v>0.2</v>
      </c>
      <c r="R2243" s="289">
        <v>0</v>
      </c>
      <c r="S2243" s="295">
        <v>0</v>
      </c>
      <c r="T2243" s="289">
        <v>0</v>
      </c>
      <c r="U2243" s="289">
        <v>1</v>
      </c>
      <c r="V2243" s="304">
        <v>1</v>
      </c>
      <c r="W2243" s="289">
        <v>0</v>
      </c>
      <c r="X2243" s="289">
        <v>0</v>
      </c>
      <c r="Y2243" s="12">
        <v>0</v>
      </c>
      <c r="Z2243" s="289">
        <v>0</v>
      </c>
      <c r="AA2243" s="289">
        <v>1</v>
      </c>
      <c r="AB2243" s="289">
        <v>0</v>
      </c>
      <c r="AC2243" s="289">
        <v>0</v>
      </c>
      <c r="AD2243" s="289">
        <v>0</v>
      </c>
      <c r="AE2243" s="289">
        <v>1</v>
      </c>
      <c r="AF2243" s="289">
        <v>12</v>
      </c>
      <c r="AG2243" s="289">
        <v>2</v>
      </c>
      <c r="AH2243" s="289" t="s">
        <v>213</v>
      </c>
      <c r="AI2243" s="295">
        <v>0</v>
      </c>
      <c r="AJ2243" s="295">
        <v>2</v>
      </c>
      <c r="AK2243" s="295">
        <v>0</v>
      </c>
      <c r="AL2243" s="295">
        <v>1.5</v>
      </c>
      <c r="AM2243" s="289">
        <v>0</v>
      </c>
      <c r="AN2243" s="289">
        <v>0</v>
      </c>
      <c r="AO2243" s="289">
        <v>0</v>
      </c>
      <c r="AP2243" s="289">
        <v>0.5</v>
      </c>
      <c r="AQ2243" s="289">
        <v>500</v>
      </c>
      <c r="AR2243" s="289">
        <v>0</v>
      </c>
      <c r="AS2243" s="289">
        <v>18</v>
      </c>
      <c r="AT2243" s="295">
        <v>0</v>
      </c>
      <c r="AU2243" s="296">
        <v>0</v>
      </c>
      <c r="AV2243" s="296"/>
      <c r="AW2243" s="288" t="s">
        <v>287</v>
      </c>
      <c r="AX2243" s="289" t="s">
        <v>215</v>
      </c>
      <c r="AY2243" s="287">
        <v>0</v>
      </c>
      <c r="AZ2243" s="287">
        <v>0</v>
      </c>
      <c r="BA2243" s="288" t="s">
        <v>216</v>
      </c>
      <c r="BB2243" s="289">
        <v>0</v>
      </c>
      <c r="BC2243" s="292">
        <v>0</v>
      </c>
      <c r="BD2243" s="292">
        <v>0</v>
      </c>
      <c r="BE2243" s="302" t="s">
        <v>5257</v>
      </c>
      <c r="BF2243" s="302" t="s">
        <v>5258</v>
      </c>
      <c r="BG2243" s="289">
        <v>0</v>
      </c>
      <c r="BH2243" s="289">
        <v>0</v>
      </c>
      <c r="BI2243" s="289">
        <v>0</v>
      </c>
      <c r="BJ2243" s="289">
        <v>0</v>
      </c>
      <c r="BK2243" s="289">
        <v>0</v>
      </c>
      <c r="BL2243" s="289">
        <v>0</v>
      </c>
      <c r="BM2243" s="304">
        <v>0</v>
      </c>
      <c r="BN2243" s="295">
        <v>0</v>
      </c>
      <c r="BO2243" s="295">
        <v>0</v>
      </c>
      <c r="BP2243" s="295">
        <v>0</v>
      </c>
      <c r="BQ2243" s="295">
        <v>0</v>
      </c>
      <c r="BR2243" s="295">
        <v>0</v>
      </c>
      <c r="BS2243" s="295">
        <v>1</v>
      </c>
      <c r="BT2243" s="295">
        <v>77001505</v>
      </c>
      <c r="BU2243" s="47">
        <v>0</v>
      </c>
      <c r="BV2243" s="47"/>
      <c r="BW2243" s="47"/>
    </row>
    <row r="2244" spans="1:75" ht="19.5" customHeight="1">
      <c r="C2244" s="287">
        <v>77001505</v>
      </c>
      <c r="D2244" s="288" t="s">
        <v>5259</v>
      </c>
      <c r="E2244" s="288" t="s">
        <v>1266</v>
      </c>
      <c r="F2244" s="287">
        <v>1</v>
      </c>
      <c r="G2244" s="289">
        <v>0</v>
      </c>
      <c r="H2244" s="287">
        <v>0</v>
      </c>
      <c r="I2244" s="292">
        <v>0</v>
      </c>
      <c r="J2244" s="287">
        <v>1</v>
      </c>
      <c r="K2244" s="287">
        <v>0</v>
      </c>
      <c r="L2244" s="287">
        <v>0</v>
      </c>
      <c r="M2244" s="289">
        <v>0</v>
      </c>
      <c r="N2244" s="289">
        <v>0</v>
      </c>
      <c r="O2244" s="289">
        <v>2</v>
      </c>
      <c r="P2244" s="289">
        <v>16</v>
      </c>
      <c r="Q2244" s="289">
        <v>5</v>
      </c>
      <c r="R2244" s="289">
        <v>0</v>
      </c>
      <c r="S2244" s="295">
        <v>0</v>
      </c>
      <c r="T2244" s="289">
        <v>0</v>
      </c>
      <c r="U2244" s="289">
        <v>1</v>
      </c>
      <c r="V2244" s="289">
        <v>2</v>
      </c>
      <c r="W2244" s="289">
        <v>0</v>
      </c>
      <c r="X2244" s="289">
        <v>2</v>
      </c>
      <c r="Y2244" s="12">
        <v>0</v>
      </c>
      <c r="Z2244" s="289">
        <v>0</v>
      </c>
      <c r="AA2244" s="289">
        <v>0</v>
      </c>
      <c r="AB2244" s="289">
        <v>0</v>
      </c>
      <c r="AC2244" s="289">
        <v>0</v>
      </c>
      <c r="AD2244" s="289">
        <v>0</v>
      </c>
      <c r="AE2244" s="289">
        <v>1</v>
      </c>
      <c r="AF2244" s="289">
        <v>0</v>
      </c>
      <c r="AG2244" s="289">
        <v>1</v>
      </c>
      <c r="AH2244" s="289" t="s">
        <v>5260</v>
      </c>
      <c r="AI2244" s="295">
        <v>0</v>
      </c>
      <c r="AJ2244" s="295">
        <v>2</v>
      </c>
      <c r="AK2244" s="295">
        <v>0</v>
      </c>
      <c r="AL2244" s="295">
        <v>2</v>
      </c>
      <c r="AM2244" s="289">
        <v>0</v>
      </c>
      <c r="AN2244" s="289">
        <v>0</v>
      </c>
      <c r="AO2244" s="289">
        <v>0</v>
      </c>
      <c r="AP2244" s="289">
        <v>0.5</v>
      </c>
      <c r="AQ2244" s="289">
        <v>1000</v>
      </c>
      <c r="AR2244" s="289">
        <v>0.5</v>
      </c>
      <c r="AS2244" s="289">
        <v>0</v>
      </c>
      <c r="AT2244" s="297">
        <v>0</v>
      </c>
      <c r="AU2244" s="371" t="s">
        <v>5261</v>
      </c>
      <c r="AV2244" s="296"/>
      <c r="AW2244" s="288" t="s">
        <v>199</v>
      </c>
      <c r="AX2244" s="289" t="s">
        <v>534</v>
      </c>
      <c r="AY2244" s="287">
        <v>10000007</v>
      </c>
      <c r="AZ2244" s="372" t="s">
        <v>5262</v>
      </c>
      <c r="BA2244" s="288" t="s">
        <v>200</v>
      </c>
      <c r="BB2244" s="289">
        <v>0</v>
      </c>
      <c r="BC2244" s="292">
        <v>0</v>
      </c>
      <c r="BD2244" s="292">
        <v>1</v>
      </c>
      <c r="BE2244" s="302" t="s">
        <v>1306</v>
      </c>
      <c r="BF2244" s="302" t="s">
        <v>1307</v>
      </c>
      <c r="BG2244" s="289">
        <v>0</v>
      </c>
      <c r="BH2244" s="289">
        <v>0</v>
      </c>
      <c r="BI2244" s="289">
        <v>0</v>
      </c>
      <c r="BJ2244" s="289">
        <v>0</v>
      </c>
      <c r="BK2244" s="289">
        <v>0</v>
      </c>
      <c r="BL2244" s="289">
        <v>0</v>
      </c>
      <c r="BM2244" s="304">
        <v>0</v>
      </c>
      <c r="BN2244" s="295">
        <v>0</v>
      </c>
      <c r="BO2244" s="295">
        <v>0</v>
      </c>
      <c r="BP2244" s="295">
        <v>0</v>
      </c>
      <c r="BQ2244" s="295">
        <v>0</v>
      </c>
      <c r="BR2244" s="295">
        <v>0</v>
      </c>
      <c r="BS2244" s="295">
        <v>0</v>
      </c>
      <c r="BT2244" s="295">
        <v>77001508</v>
      </c>
      <c r="BU2244" s="47">
        <v>0</v>
      </c>
      <c r="BV2244" s="47"/>
      <c r="BW2244" s="47"/>
    </row>
    <row r="2245" spans="1:75" ht="19.5" customHeight="1">
      <c r="C2245" s="287">
        <v>77001506</v>
      </c>
      <c r="D2245" s="288" t="s">
        <v>5263</v>
      </c>
      <c r="E2245" s="288" t="s">
        <v>5264</v>
      </c>
      <c r="F2245" s="287">
        <v>1</v>
      </c>
      <c r="G2245" s="287">
        <v>0</v>
      </c>
      <c r="H2245" s="287">
        <v>0</v>
      </c>
      <c r="I2245" s="292">
        <v>0</v>
      </c>
      <c r="J2245" s="287">
        <v>1</v>
      </c>
      <c r="K2245" s="287">
        <v>0</v>
      </c>
      <c r="L2245" s="287">
        <v>0</v>
      </c>
      <c r="M2245" s="289">
        <v>0</v>
      </c>
      <c r="N2245" s="289">
        <v>0</v>
      </c>
      <c r="O2245" s="289">
        <v>2</v>
      </c>
      <c r="P2245" s="289">
        <v>2</v>
      </c>
      <c r="Q2245" s="289">
        <v>0.3</v>
      </c>
      <c r="R2245" s="289">
        <v>1</v>
      </c>
      <c r="S2245" s="295">
        <v>0</v>
      </c>
      <c r="T2245" s="289">
        <v>0</v>
      </c>
      <c r="U2245" s="289">
        <v>1</v>
      </c>
      <c r="V2245" s="289">
        <v>2</v>
      </c>
      <c r="W2245" s="289">
        <v>0</v>
      </c>
      <c r="X2245" s="289">
        <v>2.5</v>
      </c>
      <c r="Y2245" s="12">
        <v>0</v>
      </c>
      <c r="Z2245" s="289">
        <v>0</v>
      </c>
      <c r="AA2245" s="289">
        <v>1</v>
      </c>
      <c r="AB2245" s="289">
        <v>0</v>
      </c>
      <c r="AC2245" s="289">
        <v>0</v>
      </c>
      <c r="AD2245" s="289">
        <v>1</v>
      </c>
      <c r="AE2245" s="289">
        <v>0</v>
      </c>
      <c r="AF2245" s="289">
        <v>0</v>
      </c>
      <c r="AG2245" s="289">
        <v>1</v>
      </c>
      <c r="AH2245" s="289">
        <v>5</v>
      </c>
      <c r="AI2245" s="295">
        <v>0</v>
      </c>
      <c r="AJ2245" s="295">
        <v>1</v>
      </c>
      <c r="AK2245" s="295">
        <v>0</v>
      </c>
      <c r="AL2245" s="295">
        <v>1.5</v>
      </c>
      <c r="AM2245" s="289">
        <v>0</v>
      </c>
      <c r="AN2245" s="289">
        <v>0</v>
      </c>
      <c r="AO2245" s="289">
        <v>0</v>
      </c>
      <c r="AP2245" s="289">
        <v>1.5</v>
      </c>
      <c r="AQ2245" s="289">
        <v>2000</v>
      </c>
      <c r="AR2245" s="289">
        <v>1.5</v>
      </c>
      <c r="AS2245" s="289">
        <v>0</v>
      </c>
      <c r="AT2245" s="295">
        <v>97005007</v>
      </c>
      <c r="AU2245" s="371" t="s">
        <v>5261</v>
      </c>
      <c r="AV2245" s="296"/>
      <c r="AW2245" s="299" t="s">
        <v>617</v>
      </c>
      <c r="AX2245" s="289" t="s">
        <v>534</v>
      </c>
      <c r="AY2245" s="287">
        <v>0</v>
      </c>
      <c r="AZ2245" s="287">
        <v>77001506</v>
      </c>
      <c r="BA2245" s="288" t="s">
        <v>200</v>
      </c>
      <c r="BB2245" s="289">
        <v>0</v>
      </c>
      <c r="BC2245" s="292">
        <v>0</v>
      </c>
      <c r="BD2245" s="292">
        <v>0</v>
      </c>
      <c r="BE2245" s="302" t="s">
        <v>5265</v>
      </c>
      <c r="BF2245" s="302" t="s">
        <v>5266</v>
      </c>
      <c r="BG2245" s="289">
        <v>0</v>
      </c>
      <c r="BH2245" s="289">
        <v>0</v>
      </c>
      <c r="BI2245" s="289">
        <v>0</v>
      </c>
      <c r="BJ2245" s="289">
        <v>0</v>
      </c>
      <c r="BK2245" s="289">
        <v>0</v>
      </c>
      <c r="BL2245" s="289">
        <v>0</v>
      </c>
      <c r="BM2245" s="304">
        <v>0</v>
      </c>
      <c r="BN2245" s="295">
        <v>0</v>
      </c>
      <c r="BO2245" s="295">
        <v>0</v>
      </c>
      <c r="BP2245" s="295">
        <v>0</v>
      </c>
      <c r="BQ2245" s="295">
        <v>0</v>
      </c>
      <c r="BR2245" s="295">
        <v>0</v>
      </c>
      <c r="BS2245" s="295">
        <v>0</v>
      </c>
      <c r="BT2245" s="295">
        <v>0</v>
      </c>
      <c r="BU2245" s="47">
        <v>0</v>
      </c>
      <c r="BV2245" s="47"/>
      <c r="BW2245" s="47"/>
    </row>
    <row r="2246" spans="1:75" ht="19.5" customHeight="1">
      <c r="C2246" s="287">
        <v>77001507</v>
      </c>
      <c r="D2246" s="288" t="s">
        <v>5267</v>
      </c>
      <c r="E2246" s="288" t="s">
        <v>5268</v>
      </c>
      <c r="F2246" s="287">
        <v>1</v>
      </c>
      <c r="G2246" s="287">
        <v>0</v>
      </c>
      <c r="H2246" s="287">
        <v>0</v>
      </c>
      <c r="I2246" s="292">
        <v>0</v>
      </c>
      <c r="J2246" s="287">
        <v>1</v>
      </c>
      <c r="K2246" s="287">
        <v>0</v>
      </c>
      <c r="L2246" s="287">
        <v>0</v>
      </c>
      <c r="M2246" s="289">
        <v>0</v>
      </c>
      <c r="N2246" s="289">
        <v>0</v>
      </c>
      <c r="O2246" s="289">
        <v>2</v>
      </c>
      <c r="P2246" s="289">
        <v>3</v>
      </c>
      <c r="Q2246" s="289">
        <v>0.2</v>
      </c>
      <c r="R2246" s="289">
        <v>0</v>
      </c>
      <c r="S2246" s="295">
        <v>1</v>
      </c>
      <c r="T2246" s="289">
        <v>0</v>
      </c>
      <c r="U2246" s="289">
        <v>1</v>
      </c>
      <c r="V2246" s="289">
        <v>2</v>
      </c>
      <c r="W2246" s="289">
        <v>0</v>
      </c>
      <c r="X2246" s="289">
        <v>2</v>
      </c>
      <c r="Y2246" s="12">
        <v>0</v>
      </c>
      <c r="Z2246" s="289">
        <v>0</v>
      </c>
      <c r="AA2246" s="289">
        <v>1</v>
      </c>
      <c r="AB2246" s="289">
        <v>0</v>
      </c>
      <c r="AC2246" s="289">
        <v>0</v>
      </c>
      <c r="AD2246" s="289">
        <v>1</v>
      </c>
      <c r="AE2246" s="289">
        <v>1</v>
      </c>
      <c r="AF2246" s="289">
        <v>0</v>
      </c>
      <c r="AG2246" s="289">
        <v>1</v>
      </c>
      <c r="AH2246" s="289">
        <v>3</v>
      </c>
      <c r="AI2246" s="295">
        <v>0</v>
      </c>
      <c r="AJ2246" s="295">
        <v>1</v>
      </c>
      <c r="AK2246" s="295">
        <v>0</v>
      </c>
      <c r="AL2246" s="295">
        <v>3</v>
      </c>
      <c r="AM2246" s="289">
        <v>0</v>
      </c>
      <c r="AN2246" s="289">
        <v>0</v>
      </c>
      <c r="AO2246" s="289">
        <v>0</v>
      </c>
      <c r="AP2246" s="289">
        <v>0</v>
      </c>
      <c r="AQ2246" s="289">
        <v>500</v>
      </c>
      <c r="AR2246" s="289">
        <v>0.3</v>
      </c>
      <c r="AS2246" s="289">
        <v>0</v>
      </c>
      <c r="AT2246" s="295">
        <v>0</v>
      </c>
      <c r="AU2246" s="296">
        <v>0</v>
      </c>
      <c r="AV2246" s="296"/>
      <c r="AW2246" s="299" t="s">
        <v>198</v>
      </c>
      <c r="AX2246" s="289" t="s">
        <v>534</v>
      </c>
      <c r="AY2246" s="287">
        <v>0</v>
      </c>
      <c r="AZ2246" s="287">
        <v>77001507</v>
      </c>
      <c r="BA2246" s="288" t="s">
        <v>200</v>
      </c>
      <c r="BB2246" s="289">
        <v>0</v>
      </c>
      <c r="BC2246" s="292">
        <v>0</v>
      </c>
      <c r="BD2246" s="292">
        <v>0</v>
      </c>
      <c r="BE2246" s="302" t="s">
        <v>2247</v>
      </c>
      <c r="BF2246" s="302" t="s">
        <v>2248</v>
      </c>
      <c r="BG2246" s="289">
        <v>0</v>
      </c>
      <c r="BH2246" s="289">
        <v>0</v>
      </c>
      <c r="BI2246" s="289">
        <v>0</v>
      </c>
      <c r="BJ2246" s="289">
        <v>0</v>
      </c>
      <c r="BK2246" s="289">
        <v>0</v>
      </c>
      <c r="BL2246" s="289">
        <v>0</v>
      </c>
      <c r="BM2246" s="304">
        <v>0</v>
      </c>
      <c r="BN2246" s="295">
        <v>0</v>
      </c>
      <c r="BO2246" s="295">
        <v>0</v>
      </c>
      <c r="BP2246" s="295">
        <v>0</v>
      </c>
      <c r="BQ2246" s="295">
        <v>0</v>
      </c>
      <c r="BR2246" s="295">
        <v>0</v>
      </c>
      <c r="BS2246" s="295">
        <v>0</v>
      </c>
      <c r="BT2246" s="295">
        <v>0</v>
      </c>
      <c r="BU2246" s="47">
        <v>0</v>
      </c>
      <c r="BV2246" s="47"/>
      <c r="BW2246" s="47"/>
    </row>
    <row r="2247" spans="1:75" ht="19.5" customHeight="1">
      <c r="C2247" s="287">
        <v>77001508</v>
      </c>
      <c r="D2247" s="288" t="s">
        <v>562</v>
      </c>
      <c r="E2247" s="288" t="s">
        <v>563</v>
      </c>
      <c r="F2247" s="287">
        <v>1</v>
      </c>
      <c r="G2247" s="289">
        <v>0</v>
      </c>
      <c r="H2247" s="287">
        <v>0</v>
      </c>
      <c r="I2247" s="292">
        <v>0</v>
      </c>
      <c r="J2247" s="287">
        <v>1</v>
      </c>
      <c r="K2247" s="287">
        <v>0</v>
      </c>
      <c r="L2247" s="287">
        <v>0</v>
      </c>
      <c r="M2247" s="289">
        <v>0</v>
      </c>
      <c r="N2247" s="289">
        <v>0</v>
      </c>
      <c r="O2247" s="289">
        <v>2</v>
      </c>
      <c r="P2247" s="289">
        <v>1</v>
      </c>
      <c r="Q2247" s="289">
        <v>1</v>
      </c>
      <c r="R2247" s="289">
        <v>0</v>
      </c>
      <c r="S2247" s="295">
        <v>0</v>
      </c>
      <c r="T2247" s="289">
        <v>0</v>
      </c>
      <c r="U2247" s="289">
        <v>1</v>
      </c>
      <c r="V2247" s="289">
        <v>2</v>
      </c>
      <c r="W2247" s="289">
        <v>0</v>
      </c>
      <c r="X2247" s="289">
        <v>0.5</v>
      </c>
      <c r="Y2247" s="12">
        <v>0</v>
      </c>
      <c r="Z2247" s="289">
        <v>0</v>
      </c>
      <c r="AA2247" s="289">
        <v>1</v>
      </c>
      <c r="AB2247" s="289">
        <v>0</v>
      </c>
      <c r="AC2247" s="289">
        <v>0</v>
      </c>
      <c r="AD2247" s="289">
        <v>0</v>
      </c>
      <c r="AE2247" s="289">
        <v>0</v>
      </c>
      <c r="AF2247" s="289">
        <v>25</v>
      </c>
      <c r="AG2247" s="289">
        <v>1</v>
      </c>
      <c r="AH2247" s="289">
        <v>3</v>
      </c>
      <c r="AI2247" s="295">
        <v>0</v>
      </c>
      <c r="AJ2247" s="295">
        <v>0</v>
      </c>
      <c r="AK2247" s="295">
        <v>0</v>
      </c>
      <c r="AL2247" s="295">
        <v>0</v>
      </c>
      <c r="AM2247" s="289">
        <v>0</v>
      </c>
      <c r="AN2247" s="289">
        <v>0</v>
      </c>
      <c r="AO2247" s="289">
        <v>0</v>
      </c>
      <c r="AP2247" s="289">
        <v>0</v>
      </c>
      <c r="AQ2247" s="289">
        <v>300000</v>
      </c>
      <c r="AR2247" s="289">
        <v>0</v>
      </c>
      <c r="AS2247" s="289">
        <v>0</v>
      </c>
      <c r="AT2247" s="373" t="s">
        <v>5269</v>
      </c>
      <c r="AU2247" s="289">
        <v>97005002</v>
      </c>
      <c r="AV2247" s="289"/>
      <c r="AW2247" s="299" t="s">
        <v>198</v>
      </c>
      <c r="AX2247" s="289" t="s">
        <v>534</v>
      </c>
      <c r="AY2247" s="287">
        <v>10000007</v>
      </c>
      <c r="AZ2247" s="287">
        <v>77001503</v>
      </c>
      <c r="BA2247" s="299" t="s">
        <v>315</v>
      </c>
      <c r="BB2247" s="299" t="s">
        <v>371</v>
      </c>
      <c r="BC2247" s="292">
        <v>0</v>
      </c>
      <c r="BD2247" s="292">
        <v>0</v>
      </c>
      <c r="BE2247" s="302" t="s">
        <v>1226</v>
      </c>
      <c r="BF2247" s="302" t="s">
        <v>1227</v>
      </c>
      <c r="BG2247" s="289">
        <v>0</v>
      </c>
      <c r="BH2247" s="289">
        <v>0</v>
      </c>
      <c r="BI2247" s="289">
        <v>0</v>
      </c>
      <c r="BJ2247" s="289">
        <v>0</v>
      </c>
      <c r="BK2247" s="289">
        <v>0</v>
      </c>
      <c r="BL2247" s="289">
        <v>0</v>
      </c>
      <c r="BM2247" s="304">
        <v>0</v>
      </c>
      <c r="BN2247" s="295">
        <v>0</v>
      </c>
      <c r="BO2247" s="295">
        <v>0</v>
      </c>
      <c r="BP2247" s="295">
        <v>0</v>
      </c>
      <c r="BQ2247" s="295">
        <v>0</v>
      </c>
      <c r="BR2247" s="295">
        <v>0</v>
      </c>
      <c r="BS2247" s="295">
        <v>1</v>
      </c>
      <c r="BT2247" s="295">
        <v>0</v>
      </c>
      <c r="BU2247" s="47">
        <v>0</v>
      </c>
      <c r="BV2247" s="47"/>
      <c r="BW2247" s="47"/>
    </row>
    <row r="2248" spans="1:75" ht="20.100000000000001" customHeight="1">
      <c r="C2248" s="100">
        <v>77001601</v>
      </c>
      <c r="D2248" s="99" t="s">
        <v>5270</v>
      </c>
      <c r="E2248" s="99" t="s">
        <v>5271</v>
      </c>
      <c r="F2248" s="101">
        <v>1</v>
      </c>
      <c r="G2248" s="101">
        <v>0</v>
      </c>
      <c r="H2248" s="100">
        <v>0</v>
      </c>
      <c r="I2248" s="105">
        <v>0</v>
      </c>
      <c r="J2248" s="100">
        <v>1</v>
      </c>
      <c r="K2248" s="100">
        <v>0</v>
      </c>
      <c r="L2248" s="100">
        <v>0</v>
      </c>
      <c r="M2248" s="101">
        <v>0</v>
      </c>
      <c r="N2248" s="101">
        <v>0</v>
      </c>
      <c r="O2248" s="101">
        <v>2</v>
      </c>
      <c r="P2248" s="101">
        <v>16</v>
      </c>
      <c r="Q2248" s="101">
        <v>8</v>
      </c>
      <c r="R2248" s="101">
        <v>0</v>
      </c>
      <c r="S2248" s="106">
        <v>3</v>
      </c>
      <c r="T2248" s="101">
        <v>0</v>
      </c>
      <c r="U2248" s="101">
        <v>1</v>
      </c>
      <c r="V2248" s="101">
        <v>2</v>
      </c>
      <c r="W2248" s="101">
        <v>0</v>
      </c>
      <c r="X2248" s="101">
        <v>1.2</v>
      </c>
      <c r="Y2248" s="12">
        <v>0</v>
      </c>
      <c r="Z2248" s="101">
        <v>0</v>
      </c>
      <c r="AA2248" s="101">
        <v>0</v>
      </c>
      <c r="AB2248" s="101">
        <v>0</v>
      </c>
      <c r="AC2248" s="101">
        <v>0</v>
      </c>
      <c r="AD2248" s="101">
        <v>0</v>
      </c>
      <c r="AE2248" s="101">
        <v>0</v>
      </c>
      <c r="AF2248" s="101">
        <v>0</v>
      </c>
      <c r="AG2248" s="101">
        <v>1</v>
      </c>
      <c r="AH2248" s="101">
        <v>3</v>
      </c>
      <c r="AI2248" s="106">
        <v>6</v>
      </c>
      <c r="AJ2248" s="106">
        <v>1</v>
      </c>
      <c r="AK2248" s="106">
        <v>0</v>
      </c>
      <c r="AL2248" s="106">
        <v>1.5</v>
      </c>
      <c r="AM2248" s="101">
        <v>0</v>
      </c>
      <c r="AN2248" s="101">
        <v>0</v>
      </c>
      <c r="AO2248" s="101">
        <v>0</v>
      </c>
      <c r="AP2248" s="101">
        <v>1</v>
      </c>
      <c r="AQ2248" s="101">
        <v>5000</v>
      </c>
      <c r="AR2248" s="101">
        <v>1</v>
      </c>
      <c r="AS2248" s="101">
        <v>0</v>
      </c>
      <c r="AT2248" s="106">
        <v>0</v>
      </c>
      <c r="AU2248" s="339" t="s">
        <v>5272</v>
      </c>
      <c r="AV2248" s="114"/>
      <c r="AW2248" s="102" t="s">
        <v>256</v>
      </c>
      <c r="AX2248" s="101" t="s">
        <v>534</v>
      </c>
      <c r="AY2248" s="100">
        <v>10000007</v>
      </c>
      <c r="AZ2248" s="337" t="s">
        <v>5273</v>
      </c>
      <c r="BA2248" s="99" t="s">
        <v>200</v>
      </c>
      <c r="BB2248" s="101" t="s">
        <v>5274</v>
      </c>
      <c r="BC2248" s="105">
        <v>0</v>
      </c>
      <c r="BD2248" s="105">
        <v>0</v>
      </c>
      <c r="BE2248" s="119" t="s">
        <v>5275</v>
      </c>
      <c r="BF2248" s="119" t="s">
        <v>5276</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0</v>
      </c>
      <c r="BU2248" s="47">
        <v>0</v>
      </c>
      <c r="BV2248" s="47"/>
      <c r="BW2248" s="47"/>
    </row>
    <row r="2249" spans="1:75" ht="20.100000000000001" customHeight="1">
      <c r="C2249" s="100">
        <v>77001602</v>
      </c>
      <c r="D2249" s="103" t="s">
        <v>814</v>
      </c>
      <c r="E2249" s="103" t="s">
        <v>815</v>
      </c>
      <c r="F2249" s="97">
        <v>1</v>
      </c>
      <c r="G2249" s="97">
        <v>0</v>
      </c>
      <c r="H2249" s="97">
        <v>0</v>
      </c>
      <c r="I2249" s="104">
        <v>0</v>
      </c>
      <c r="J2249" s="100">
        <v>1</v>
      </c>
      <c r="K2249" s="97">
        <v>0</v>
      </c>
      <c r="L2249" s="104">
        <v>0</v>
      </c>
      <c r="M2249" s="104">
        <v>0</v>
      </c>
      <c r="N2249" s="97">
        <v>0</v>
      </c>
      <c r="O2249" s="101">
        <v>2</v>
      </c>
      <c r="P2249" s="101">
        <v>2</v>
      </c>
      <c r="Q2249" s="97">
        <v>0.8</v>
      </c>
      <c r="R2249" s="97">
        <v>0</v>
      </c>
      <c r="S2249" s="106">
        <v>0</v>
      </c>
      <c r="T2249" s="97">
        <v>0</v>
      </c>
      <c r="U2249" s="101">
        <v>1</v>
      </c>
      <c r="V2249" s="97">
        <v>1</v>
      </c>
      <c r="W2249" s="104">
        <v>0</v>
      </c>
      <c r="X2249" s="97">
        <v>2</v>
      </c>
      <c r="Y2249" s="12">
        <v>0</v>
      </c>
      <c r="Z2249" s="97">
        <v>0</v>
      </c>
      <c r="AA2249" s="97">
        <v>0</v>
      </c>
      <c r="AB2249" s="97">
        <v>0</v>
      </c>
      <c r="AC2249" s="104">
        <v>0</v>
      </c>
      <c r="AD2249" s="97">
        <v>0</v>
      </c>
      <c r="AE2249" s="97">
        <v>0</v>
      </c>
      <c r="AF2249" s="97">
        <v>0</v>
      </c>
      <c r="AG2249" s="97">
        <v>1</v>
      </c>
      <c r="AH2249" s="101">
        <v>2</v>
      </c>
      <c r="AI2249" s="107">
        <v>0</v>
      </c>
      <c r="AJ2249" s="107">
        <v>2</v>
      </c>
      <c r="AK2249" s="106">
        <v>0</v>
      </c>
      <c r="AL2249" s="97">
        <v>1.5</v>
      </c>
      <c r="AM2249" s="108">
        <v>0</v>
      </c>
      <c r="AN2249" s="97">
        <v>0</v>
      </c>
      <c r="AO2249" s="97">
        <v>0</v>
      </c>
      <c r="AP2249" s="97">
        <v>0</v>
      </c>
      <c r="AQ2249" s="101">
        <v>7000</v>
      </c>
      <c r="AR2249" s="97">
        <v>0</v>
      </c>
      <c r="AS2249" s="97">
        <v>10</v>
      </c>
      <c r="AT2249" s="106">
        <v>0</v>
      </c>
      <c r="AU2249" s="101">
        <v>0</v>
      </c>
      <c r="AV2249" s="101"/>
      <c r="AW2249" s="102" t="s">
        <v>287</v>
      </c>
      <c r="AX2249" s="104">
        <v>0</v>
      </c>
      <c r="AY2249" s="104">
        <v>0</v>
      </c>
      <c r="AZ2249" s="100">
        <v>77001602</v>
      </c>
      <c r="BA2249" s="102" t="s">
        <v>586</v>
      </c>
      <c r="BB2249" s="101" t="s">
        <v>5277</v>
      </c>
      <c r="BC2249" s="105">
        <v>0</v>
      </c>
      <c r="BD2249" s="105">
        <v>0</v>
      </c>
      <c r="BE2249" s="119" t="s">
        <v>5278</v>
      </c>
      <c r="BF2249" s="122" t="s">
        <v>5279</v>
      </c>
      <c r="BG2249" s="97">
        <v>2</v>
      </c>
      <c r="BH2249" s="97">
        <v>0</v>
      </c>
      <c r="BI2249" s="100">
        <v>0</v>
      </c>
      <c r="BJ2249" s="97">
        <v>1</v>
      </c>
      <c r="BK2249" s="97">
        <v>2</v>
      </c>
      <c r="BL2249" s="108">
        <v>0</v>
      </c>
      <c r="BM2249" s="97">
        <v>0</v>
      </c>
      <c r="BN2249" s="106">
        <v>0</v>
      </c>
      <c r="BO2249" s="106">
        <v>0</v>
      </c>
      <c r="BP2249" s="106">
        <v>0</v>
      </c>
      <c r="BQ2249" s="106">
        <v>0</v>
      </c>
      <c r="BR2249" s="106">
        <v>0</v>
      </c>
      <c r="BS2249" s="106">
        <v>1</v>
      </c>
      <c r="BT2249" s="106">
        <v>0</v>
      </c>
      <c r="BU2249" s="47">
        <v>0</v>
      </c>
      <c r="BV2249" s="47"/>
      <c r="BW2249" s="47"/>
    </row>
    <row r="2250" spans="1:75" ht="19.5" customHeight="1">
      <c r="C2250" s="100">
        <v>77001603</v>
      </c>
      <c r="D2250" s="99" t="s">
        <v>5280</v>
      </c>
      <c r="E2250" s="99" t="s">
        <v>5281</v>
      </c>
      <c r="F2250" s="100">
        <v>1</v>
      </c>
      <c r="G2250" s="101">
        <v>0</v>
      </c>
      <c r="H2250" s="100">
        <v>0</v>
      </c>
      <c r="I2250" s="105">
        <v>0</v>
      </c>
      <c r="J2250" s="100">
        <v>1</v>
      </c>
      <c r="K2250" s="100">
        <v>0</v>
      </c>
      <c r="L2250" s="100">
        <v>0</v>
      </c>
      <c r="M2250" s="101">
        <v>0</v>
      </c>
      <c r="N2250" s="101">
        <v>0</v>
      </c>
      <c r="O2250" s="101">
        <v>2</v>
      </c>
      <c r="P2250" s="101">
        <v>2</v>
      </c>
      <c r="Q2250" s="101">
        <v>0.6</v>
      </c>
      <c r="R2250" s="101">
        <v>0</v>
      </c>
      <c r="S2250" s="106">
        <v>0</v>
      </c>
      <c r="T2250" s="101">
        <v>0</v>
      </c>
      <c r="U2250" s="101">
        <v>1</v>
      </c>
      <c r="V2250" s="101">
        <v>2</v>
      </c>
      <c r="W2250" s="101">
        <v>0</v>
      </c>
      <c r="X2250" s="101">
        <v>0.8</v>
      </c>
      <c r="Y2250" s="12">
        <v>0</v>
      </c>
      <c r="Z2250" s="101">
        <v>0</v>
      </c>
      <c r="AA2250" s="101">
        <v>1</v>
      </c>
      <c r="AB2250" s="101">
        <v>0</v>
      </c>
      <c r="AC2250" s="101">
        <v>0</v>
      </c>
      <c r="AD2250" s="101">
        <v>0</v>
      </c>
      <c r="AE2250" s="101">
        <v>0</v>
      </c>
      <c r="AF2250" s="101">
        <v>16</v>
      </c>
      <c r="AG2250" s="101">
        <v>1</v>
      </c>
      <c r="AH2250" s="101">
        <v>5</v>
      </c>
      <c r="AI2250" s="106">
        <v>0</v>
      </c>
      <c r="AJ2250" s="106">
        <v>0</v>
      </c>
      <c r="AK2250" s="106">
        <v>0</v>
      </c>
      <c r="AL2250" s="106">
        <v>0</v>
      </c>
      <c r="AM2250" s="101">
        <v>0</v>
      </c>
      <c r="AN2250" s="101">
        <v>0</v>
      </c>
      <c r="AO2250" s="101">
        <v>0</v>
      </c>
      <c r="AP2250" s="101">
        <v>0.8</v>
      </c>
      <c r="AQ2250" s="101">
        <v>15000</v>
      </c>
      <c r="AR2250" s="101">
        <v>0.8</v>
      </c>
      <c r="AS2250" s="101">
        <v>0</v>
      </c>
      <c r="AT2250" s="113">
        <v>0</v>
      </c>
      <c r="AU2250" s="339" t="s">
        <v>5282</v>
      </c>
      <c r="AV2250" s="114"/>
      <c r="AW2250" s="102" t="s">
        <v>199</v>
      </c>
      <c r="AX2250" s="101" t="s">
        <v>534</v>
      </c>
      <c r="AY2250" s="100">
        <v>10000007</v>
      </c>
      <c r="AZ2250" s="100">
        <v>77001603</v>
      </c>
      <c r="BA2250" s="102" t="s">
        <v>315</v>
      </c>
      <c r="BB2250" s="102" t="s">
        <v>371</v>
      </c>
      <c r="BC2250" s="105">
        <v>0</v>
      </c>
      <c r="BD2250" s="105">
        <v>0</v>
      </c>
      <c r="BE2250" s="119" t="s">
        <v>5283</v>
      </c>
      <c r="BF2250" s="119" t="s">
        <v>5284</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20.100000000000001" customHeight="1">
      <c r="C2251" s="100">
        <v>77001604</v>
      </c>
      <c r="D2251" s="99" t="s">
        <v>5285</v>
      </c>
      <c r="E2251" s="99" t="s">
        <v>5286</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1.5</v>
      </c>
      <c r="Y2251" s="12">
        <v>0</v>
      </c>
      <c r="Z2251" s="101">
        <v>0</v>
      </c>
      <c r="AA2251" s="101">
        <v>1</v>
      </c>
      <c r="AB2251" s="101">
        <v>0</v>
      </c>
      <c r="AC2251" s="101">
        <v>0</v>
      </c>
      <c r="AD2251" s="101">
        <v>0</v>
      </c>
      <c r="AE2251" s="101">
        <v>1</v>
      </c>
      <c r="AF2251" s="101">
        <v>8</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198</v>
      </c>
      <c r="AX2251" s="101" t="s">
        <v>534</v>
      </c>
      <c r="AY2251" s="100">
        <v>10000001</v>
      </c>
      <c r="AZ2251" s="100">
        <v>77001604</v>
      </c>
      <c r="BA2251" s="99" t="s">
        <v>771</v>
      </c>
      <c r="BB2251" s="101">
        <v>0</v>
      </c>
      <c r="BC2251" s="105">
        <v>0</v>
      </c>
      <c r="BD2251" s="105">
        <v>0</v>
      </c>
      <c r="BE2251" s="137" t="s">
        <v>5287</v>
      </c>
      <c r="BF2251" s="137" t="s">
        <v>5288</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77001603</v>
      </c>
      <c r="BU2251" s="47">
        <v>0</v>
      </c>
      <c r="BV2251" s="47"/>
      <c r="BW2251" s="47"/>
    </row>
    <row r="2252" spans="1:75" ht="20.100000000000001" customHeight="1">
      <c r="C2252" s="100">
        <v>77001605</v>
      </c>
      <c r="D2252" s="99" t="s">
        <v>5289</v>
      </c>
      <c r="E2252" s="290" t="s">
        <v>5290</v>
      </c>
      <c r="F2252" s="97">
        <v>1</v>
      </c>
      <c r="G2252" s="97">
        <v>0</v>
      </c>
      <c r="H2252" s="101">
        <v>0</v>
      </c>
      <c r="I2252" s="105">
        <v>0</v>
      </c>
      <c r="J2252" s="100">
        <v>1</v>
      </c>
      <c r="K2252" s="100">
        <v>0</v>
      </c>
      <c r="L2252" s="100">
        <v>0</v>
      </c>
      <c r="M2252" s="101">
        <v>0</v>
      </c>
      <c r="N2252" s="101">
        <v>0</v>
      </c>
      <c r="O2252" s="101">
        <v>2</v>
      </c>
      <c r="P2252" s="101">
        <v>16</v>
      </c>
      <c r="Q2252" s="101">
        <v>30</v>
      </c>
      <c r="R2252" s="101">
        <v>0</v>
      </c>
      <c r="S2252" s="106">
        <v>0</v>
      </c>
      <c r="T2252" s="101">
        <v>0</v>
      </c>
      <c r="U2252" s="101">
        <v>1</v>
      </c>
      <c r="V2252" s="97">
        <v>1</v>
      </c>
      <c r="W2252" s="101">
        <v>0</v>
      </c>
      <c r="X2252" s="101">
        <v>0</v>
      </c>
      <c r="Y2252" s="12">
        <v>0</v>
      </c>
      <c r="Z2252" s="101">
        <v>0</v>
      </c>
      <c r="AA2252" s="101">
        <v>1</v>
      </c>
      <c r="AB2252" s="101">
        <v>0</v>
      </c>
      <c r="AC2252" s="101">
        <v>0</v>
      </c>
      <c r="AD2252" s="101">
        <v>0</v>
      </c>
      <c r="AE2252" s="101">
        <v>1</v>
      </c>
      <c r="AF2252" s="101">
        <v>0</v>
      </c>
      <c r="AG2252" s="101">
        <v>1</v>
      </c>
      <c r="AH2252" s="101">
        <v>15</v>
      </c>
      <c r="AI2252" s="106">
        <v>0</v>
      </c>
      <c r="AJ2252" s="106">
        <v>1</v>
      </c>
      <c r="AK2252" s="106">
        <v>0</v>
      </c>
      <c r="AL2252" s="106">
        <v>1.5</v>
      </c>
      <c r="AM2252" s="101">
        <v>0</v>
      </c>
      <c r="AN2252" s="101">
        <v>0</v>
      </c>
      <c r="AO2252" s="101">
        <v>0</v>
      </c>
      <c r="AP2252" s="101">
        <v>1</v>
      </c>
      <c r="AQ2252" s="101">
        <v>3000</v>
      </c>
      <c r="AR2252" s="101">
        <v>0.5</v>
      </c>
      <c r="AS2252" s="101">
        <v>0</v>
      </c>
      <c r="AT2252" s="335" t="s">
        <v>5291</v>
      </c>
      <c r="AU2252" s="114">
        <v>0</v>
      </c>
      <c r="AV2252" s="114"/>
      <c r="AW2252" s="99" t="s">
        <v>287</v>
      </c>
      <c r="AX2252" s="101" t="s">
        <v>215</v>
      </c>
      <c r="AY2252" s="100">
        <v>0</v>
      </c>
      <c r="AZ2252" s="100">
        <v>0</v>
      </c>
      <c r="BA2252" s="99" t="s">
        <v>200</v>
      </c>
      <c r="BB2252" s="101">
        <v>0</v>
      </c>
      <c r="BC2252" s="105">
        <v>0</v>
      </c>
      <c r="BD2252" s="105">
        <v>0</v>
      </c>
      <c r="BE2252" s="119" t="s">
        <v>5292</v>
      </c>
      <c r="BF2252" s="119" t="s">
        <v>5293</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row>
    <row r="2253" spans="1:75" ht="20.100000000000001" customHeight="1">
      <c r="C2253" s="100">
        <v>77001606</v>
      </c>
      <c r="D2253" s="99" t="s">
        <v>5294</v>
      </c>
      <c r="E2253" s="99" t="s">
        <v>5295</v>
      </c>
      <c r="F2253" s="101">
        <v>1</v>
      </c>
      <c r="G2253" s="101">
        <v>0</v>
      </c>
      <c r="H2253" s="100">
        <v>0</v>
      </c>
      <c r="I2253" s="105">
        <v>0</v>
      </c>
      <c r="J2253" s="100">
        <v>1</v>
      </c>
      <c r="K2253" s="100">
        <v>0</v>
      </c>
      <c r="L2253" s="100">
        <v>0</v>
      </c>
      <c r="M2253" s="101">
        <v>0</v>
      </c>
      <c r="N2253" s="101">
        <v>0</v>
      </c>
      <c r="O2253" s="101">
        <v>2</v>
      </c>
      <c r="P2253" s="101">
        <v>1</v>
      </c>
      <c r="Q2253" s="101">
        <v>0.2</v>
      </c>
      <c r="R2253" s="101">
        <v>0</v>
      </c>
      <c r="S2253" s="106">
        <v>3</v>
      </c>
      <c r="T2253" s="101">
        <v>0</v>
      </c>
      <c r="U2253" s="101">
        <v>1</v>
      </c>
      <c r="V2253" s="101">
        <v>2</v>
      </c>
      <c r="W2253" s="101">
        <v>0</v>
      </c>
      <c r="X2253" s="101">
        <v>1</v>
      </c>
      <c r="Y2253" s="12">
        <v>0</v>
      </c>
      <c r="Z2253" s="101">
        <v>0</v>
      </c>
      <c r="AA2253" s="101">
        <v>0</v>
      </c>
      <c r="AB2253" s="101">
        <v>0</v>
      </c>
      <c r="AC2253" s="101">
        <v>0</v>
      </c>
      <c r="AD2253" s="101">
        <v>0</v>
      </c>
      <c r="AE2253" s="101">
        <v>0</v>
      </c>
      <c r="AF2253" s="101">
        <v>18</v>
      </c>
      <c r="AG2253" s="101">
        <v>1</v>
      </c>
      <c r="AH2253" s="101">
        <v>3</v>
      </c>
      <c r="AI2253" s="106">
        <v>6</v>
      </c>
      <c r="AJ2253" s="106">
        <v>1</v>
      </c>
      <c r="AK2253" s="106">
        <v>0</v>
      </c>
      <c r="AL2253" s="106">
        <v>1.5</v>
      </c>
      <c r="AM2253" s="101">
        <v>0</v>
      </c>
      <c r="AN2253" s="101">
        <v>0</v>
      </c>
      <c r="AO2253" s="101">
        <v>0</v>
      </c>
      <c r="AP2253" s="101">
        <v>1</v>
      </c>
      <c r="AQ2253" s="101">
        <v>5000</v>
      </c>
      <c r="AR2253" s="101">
        <v>1</v>
      </c>
      <c r="AS2253" s="101">
        <v>0</v>
      </c>
      <c r="AT2253" s="106">
        <v>0</v>
      </c>
      <c r="AU2253" s="339" t="s">
        <v>5296</v>
      </c>
      <c r="AV2253" s="114"/>
      <c r="AW2253" s="102" t="s">
        <v>199</v>
      </c>
      <c r="AX2253" s="101" t="s">
        <v>534</v>
      </c>
      <c r="AY2253" s="100">
        <v>10000007</v>
      </c>
      <c r="AZ2253" s="337" t="s">
        <v>5273</v>
      </c>
      <c r="BA2253" s="99" t="s">
        <v>200</v>
      </c>
      <c r="BB2253" s="101" t="s">
        <v>5297</v>
      </c>
      <c r="BC2253" s="105">
        <v>0</v>
      </c>
      <c r="BD2253" s="105">
        <v>0</v>
      </c>
      <c r="BE2253" s="119" t="s">
        <v>5298</v>
      </c>
      <c r="BF2253" s="119" t="s">
        <v>5299</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47">
        <v>0</v>
      </c>
      <c r="BV2253" s="47"/>
      <c r="BW2253" s="47"/>
    </row>
    <row r="2254" spans="1:75" ht="20.100000000000001" customHeight="1">
      <c r="C2254" s="100">
        <v>77001607</v>
      </c>
      <c r="D2254" s="99" t="s">
        <v>5300</v>
      </c>
      <c r="E2254" s="99" t="s">
        <v>5301</v>
      </c>
      <c r="F2254" s="101">
        <v>1</v>
      </c>
      <c r="G2254" s="101">
        <v>0</v>
      </c>
      <c r="H2254" s="101">
        <v>0</v>
      </c>
      <c r="I2254" s="105">
        <v>0</v>
      </c>
      <c r="J2254" s="100">
        <v>1</v>
      </c>
      <c r="K2254" s="101">
        <v>0</v>
      </c>
      <c r="L2254" s="101">
        <v>0</v>
      </c>
      <c r="M2254" s="101">
        <v>0</v>
      </c>
      <c r="N2254" s="101">
        <v>0</v>
      </c>
      <c r="O2254" s="101">
        <v>2</v>
      </c>
      <c r="P2254" s="101">
        <v>3</v>
      </c>
      <c r="Q2254" s="101">
        <v>0.2</v>
      </c>
      <c r="R2254" s="101">
        <v>0</v>
      </c>
      <c r="S2254" s="106">
        <v>0</v>
      </c>
      <c r="T2254" s="101">
        <v>0</v>
      </c>
      <c r="U2254" s="101">
        <v>1</v>
      </c>
      <c r="V2254" s="101">
        <v>1</v>
      </c>
      <c r="W2254" s="101">
        <v>0</v>
      </c>
      <c r="X2254" s="101">
        <v>2</v>
      </c>
      <c r="Y2254" s="12">
        <v>0</v>
      </c>
      <c r="Z2254" s="101">
        <v>0</v>
      </c>
      <c r="AA2254" s="101">
        <v>1</v>
      </c>
      <c r="AB2254" s="101">
        <v>0</v>
      </c>
      <c r="AC2254" s="101">
        <v>0</v>
      </c>
      <c r="AD2254" s="101">
        <v>0</v>
      </c>
      <c r="AE2254" s="101">
        <v>1</v>
      </c>
      <c r="AF2254" s="101">
        <v>9</v>
      </c>
      <c r="AG2254" s="101">
        <v>1</v>
      </c>
      <c r="AH2254" s="101">
        <v>4</v>
      </c>
      <c r="AI2254" s="106">
        <v>0</v>
      </c>
      <c r="AJ2254" s="106">
        <v>1</v>
      </c>
      <c r="AK2254" s="106">
        <v>0</v>
      </c>
      <c r="AL2254" s="106">
        <v>2</v>
      </c>
      <c r="AM2254" s="101">
        <v>0</v>
      </c>
      <c r="AN2254" s="101">
        <v>0</v>
      </c>
      <c r="AO2254" s="101">
        <v>0</v>
      </c>
      <c r="AP2254" s="101">
        <v>0.5</v>
      </c>
      <c r="AQ2254" s="101">
        <v>600</v>
      </c>
      <c r="AR2254" s="101">
        <v>0.5</v>
      </c>
      <c r="AS2254" s="101">
        <v>0</v>
      </c>
      <c r="AT2254" s="106">
        <v>0</v>
      </c>
      <c r="AU2254" s="101">
        <v>97006001</v>
      </c>
      <c r="AV2254" s="101"/>
      <c r="AW2254" s="99" t="s">
        <v>198</v>
      </c>
      <c r="AX2254" s="101" t="s">
        <v>534</v>
      </c>
      <c r="AY2254" s="100">
        <v>10000001</v>
      </c>
      <c r="AZ2254" s="100">
        <v>77001604</v>
      </c>
      <c r="BA2254" s="99" t="s">
        <v>771</v>
      </c>
      <c r="BB2254" s="101">
        <v>0</v>
      </c>
      <c r="BC2254" s="105">
        <v>0</v>
      </c>
      <c r="BD2254" s="105">
        <v>0</v>
      </c>
      <c r="BE2254" s="137" t="s">
        <v>5302</v>
      </c>
      <c r="BF2254" s="137" t="s">
        <v>5303</v>
      </c>
      <c r="BG2254" s="101">
        <v>0</v>
      </c>
      <c r="BH2254" s="101">
        <v>0</v>
      </c>
      <c r="BI2254" s="101">
        <v>0</v>
      </c>
      <c r="BJ2254" s="101">
        <v>0</v>
      </c>
      <c r="BK2254" s="101">
        <v>0</v>
      </c>
      <c r="BL2254" s="101">
        <v>0</v>
      </c>
      <c r="BM2254" s="97">
        <v>0</v>
      </c>
      <c r="BN2254" s="106">
        <v>0</v>
      </c>
      <c r="BO2254" s="106">
        <v>0</v>
      </c>
      <c r="BP2254" s="106">
        <v>0</v>
      </c>
      <c r="BQ2254" s="106">
        <v>0</v>
      </c>
      <c r="BR2254" s="106">
        <v>0</v>
      </c>
      <c r="BS2254" s="106">
        <v>0</v>
      </c>
      <c r="BT2254" s="106">
        <v>0</v>
      </c>
      <c r="BU2254" s="47">
        <v>0</v>
      </c>
      <c r="BV2254" s="47"/>
      <c r="BW2254" s="47"/>
    </row>
    <row r="2255" spans="1:75" ht="19.5" customHeight="1">
      <c r="C2255" s="100">
        <v>77001608</v>
      </c>
      <c r="D2255" s="99" t="s">
        <v>5304</v>
      </c>
      <c r="E2255" s="99" t="s">
        <v>5305</v>
      </c>
      <c r="F2255" s="100">
        <v>1</v>
      </c>
      <c r="G2255" s="101">
        <v>0</v>
      </c>
      <c r="H2255" s="100">
        <v>0</v>
      </c>
      <c r="I2255" s="105">
        <v>0</v>
      </c>
      <c r="J2255" s="100">
        <v>1</v>
      </c>
      <c r="K2255" s="100">
        <v>0</v>
      </c>
      <c r="L2255" s="100">
        <v>0</v>
      </c>
      <c r="M2255" s="101">
        <v>0</v>
      </c>
      <c r="N2255" s="101">
        <v>0</v>
      </c>
      <c r="O2255" s="101">
        <v>2</v>
      </c>
      <c r="P2255" s="101">
        <v>2</v>
      </c>
      <c r="Q2255" s="101">
        <v>0.5</v>
      </c>
      <c r="R2255" s="101">
        <v>0</v>
      </c>
      <c r="S2255" s="106">
        <v>0</v>
      </c>
      <c r="T2255" s="101">
        <v>0</v>
      </c>
      <c r="U2255" s="101">
        <v>1</v>
      </c>
      <c r="V2255" s="101">
        <v>1</v>
      </c>
      <c r="W2255" s="101">
        <v>0</v>
      </c>
      <c r="X2255" s="101">
        <v>0</v>
      </c>
      <c r="Y2255" s="12">
        <v>0</v>
      </c>
      <c r="Z2255" s="101">
        <v>0</v>
      </c>
      <c r="AA2255" s="101">
        <v>0</v>
      </c>
      <c r="AB2255" s="101">
        <v>0</v>
      </c>
      <c r="AC2255" s="101">
        <v>0</v>
      </c>
      <c r="AD2255" s="101">
        <v>0</v>
      </c>
      <c r="AE2255" s="101">
        <v>1</v>
      </c>
      <c r="AF2255" s="101">
        <v>12</v>
      </c>
      <c r="AG2255" s="101">
        <v>1</v>
      </c>
      <c r="AH2255" s="101">
        <v>2</v>
      </c>
      <c r="AI2255" s="106">
        <v>0</v>
      </c>
      <c r="AJ2255" s="106">
        <v>1</v>
      </c>
      <c r="AK2255" s="106">
        <v>0</v>
      </c>
      <c r="AL2255" s="106">
        <v>3</v>
      </c>
      <c r="AM2255" s="101">
        <v>0</v>
      </c>
      <c r="AN2255" s="101">
        <v>0</v>
      </c>
      <c r="AO2255" s="101">
        <v>0</v>
      </c>
      <c r="AP2255" s="101">
        <v>0.3</v>
      </c>
      <c r="AQ2255" s="101">
        <v>300</v>
      </c>
      <c r="AR2255" s="101">
        <v>0</v>
      </c>
      <c r="AS2255" s="101">
        <v>0</v>
      </c>
      <c r="AT2255" s="106">
        <v>0</v>
      </c>
      <c r="AU2255" s="114">
        <v>0</v>
      </c>
      <c r="AV2255" s="114"/>
      <c r="AW2255" s="99" t="s">
        <v>198</v>
      </c>
      <c r="AX2255" s="101">
        <v>0</v>
      </c>
      <c r="AY2255" s="100">
        <v>0</v>
      </c>
      <c r="AZ2255" s="100">
        <v>0</v>
      </c>
      <c r="BA2255" s="99" t="s">
        <v>528</v>
      </c>
      <c r="BB2255" s="340" t="s">
        <v>5306</v>
      </c>
      <c r="BC2255" s="105">
        <v>0</v>
      </c>
      <c r="BD2255" s="105">
        <v>0</v>
      </c>
      <c r="BE2255" s="119" t="s">
        <v>5307</v>
      </c>
      <c r="BF2255" s="119" t="s">
        <v>5308</v>
      </c>
      <c r="BG2255" s="101">
        <v>0</v>
      </c>
      <c r="BH2255" s="101">
        <v>0</v>
      </c>
      <c r="BI2255" s="101">
        <v>0</v>
      </c>
      <c r="BJ2255" s="101">
        <v>0</v>
      </c>
      <c r="BK2255" s="101">
        <v>0</v>
      </c>
      <c r="BL2255" s="101">
        <v>0</v>
      </c>
      <c r="BM2255" s="97">
        <v>0</v>
      </c>
      <c r="BN2255" s="106">
        <v>0</v>
      </c>
      <c r="BO2255" s="106">
        <v>0</v>
      </c>
      <c r="BP2255" s="106">
        <v>0</v>
      </c>
      <c r="BQ2255" s="106">
        <v>0</v>
      </c>
      <c r="BR2255" s="106">
        <v>0</v>
      </c>
      <c r="BS2255" s="106">
        <v>1</v>
      </c>
      <c r="BT2255" s="106">
        <v>0</v>
      </c>
      <c r="BU2255" s="47">
        <v>0</v>
      </c>
      <c r="BV2255" s="47"/>
      <c r="BW2255" s="47"/>
    </row>
    <row r="2256" spans="1:75" s="2" customFormat="1" ht="19.5" customHeight="1">
      <c r="A2256" s="6"/>
      <c r="B2256" s="6"/>
      <c r="C2256" s="100">
        <v>77001609</v>
      </c>
      <c r="D2256" s="99" t="s">
        <v>5309</v>
      </c>
      <c r="E2256" s="99" t="s">
        <v>5310</v>
      </c>
      <c r="F2256" s="100">
        <v>1</v>
      </c>
      <c r="G2256" s="101">
        <v>0</v>
      </c>
      <c r="H2256" s="100">
        <v>0</v>
      </c>
      <c r="I2256" s="105">
        <v>0</v>
      </c>
      <c r="J2256" s="100">
        <v>1</v>
      </c>
      <c r="K2256" s="100">
        <v>0</v>
      </c>
      <c r="L2256" s="100">
        <v>0</v>
      </c>
      <c r="M2256" s="101">
        <v>0</v>
      </c>
      <c r="N2256" s="101">
        <v>0</v>
      </c>
      <c r="O2256" s="101">
        <v>2</v>
      </c>
      <c r="P2256" s="101">
        <v>2</v>
      </c>
      <c r="Q2256" s="101">
        <v>1</v>
      </c>
      <c r="R2256" s="101">
        <v>1</v>
      </c>
      <c r="S2256" s="106">
        <v>0</v>
      </c>
      <c r="T2256" s="101">
        <v>0</v>
      </c>
      <c r="U2256" s="101">
        <v>1</v>
      </c>
      <c r="V2256" s="101">
        <v>2</v>
      </c>
      <c r="W2256" s="101">
        <v>0</v>
      </c>
      <c r="X2256" s="101">
        <v>1</v>
      </c>
      <c r="Y2256" s="12">
        <v>0</v>
      </c>
      <c r="Z2256" s="101">
        <v>0</v>
      </c>
      <c r="AA2256" s="101">
        <v>0</v>
      </c>
      <c r="AB2256" s="101">
        <v>0</v>
      </c>
      <c r="AC2256" s="101">
        <v>0</v>
      </c>
      <c r="AD2256" s="101">
        <v>0</v>
      </c>
      <c r="AE2256" s="101">
        <v>1</v>
      </c>
      <c r="AF2256" s="101">
        <v>18</v>
      </c>
      <c r="AG2256" s="101">
        <v>1</v>
      </c>
      <c r="AH2256" s="101">
        <v>2</v>
      </c>
      <c r="AI2256" s="106">
        <v>0</v>
      </c>
      <c r="AJ2256" s="106">
        <v>2</v>
      </c>
      <c r="AK2256" s="106">
        <v>0</v>
      </c>
      <c r="AL2256" s="106">
        <v>2</v>
      </c>
      <c r="AM2256" s="101">
        <v>0</v>
      </c>
      <c r="AN2256" s="101">
        <v>0</v>
      </c>
      <c r="AO2256" s="101">
        <v>0</v>
      </c>
      <c r="AP2256" s="101">
        <v>0</v>
      </c>
      <c r="AQ2256" s="101">
        <v>5000</v>
      </c>
      <c r="AR2256" s="101">
        <v>0.5</v>
      </c>
      <c r="AS2256" s="101">
        <v>15</v>
      </c>
      <c r="AT2256" s="113">
        <v>0</v>
      </c>
      <c r="AU2256" s="339" t="s">
        <v>5296</v>
      </c>
      <c r="AV2256" s="114"/>
      <c r="AW2256" s="99" t="s">
        <v>198</v>
      </c>
      <c r="AX2256" s="101" t="s">
        <v>534</v>
      </c>
      <c r="AY2256" s="100">
        <v>10000007</v>
      </c>
      <c r="AZ2256" s="337" t="s">
        <v>5311</v>
      </c>
      <c r="BA2256" s="99" t="s">
        <v>586</v>
      </c>
      <c r="BB2256" s="101" t="s">
        <v>5200</v>
      </c>
      <c r="BC2256" s="105">
        <v>0</v>
      </c>
      <c r="BD2256" s="105">
        <v>0</v>
      </c>
      <c r="BE2256" s="119" t="s">
        <v>5312</v>
      </c>
      <c r="BF2256" s="119" t="s">
        <v>5313</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06">
        <v>0</v>
      </c>
      <c r="BU2256" s="106">
        <v>0</v>
      </c>
      <c r="BV2256" s="47"/>
      <c r="BW2256" s="47"/>
    </row>
    <row r="2257" spans="3:75" ht="20.100000000000001" customHeight="1">
      <c r="C2257" s="64">
        <v>77001701</v>
      </c>
      <c r="D2257" s="59" t="s">
        <v>5314</v>
      </c>
      <c r="E2257" s="147" t="s">
        <v>5315</v>
      </c>
      <c r="F2257" s="93">
        <v>1</v>
      </c>
      <c r="G2257" s="93">
        <v>0</v>
      </c>
      <c r="H2257" s="60">
        <v>0</v>
      </c>
      <c r="I2257" s="66">
        <v>0</v>
      </c>
      <c r="J2257" s="64">
        <v>1</v>
      </c>
      <c r="K2257" s="64">
        <v>0</v>
      </c>
      <c r="L2257" s="64">
        <v>0</v>
      </c>
      <c r="M2257" s="60">
        <v>0</v>
      </c>
      <c r="N2257" s="60">
        <v>0</v>
      </c>
      <c r="O2257" s="60">
        <v>2</v>
      </c>
      <c r="P2257" s="60">
        <v>1</v>
      </c>
      <c r="Q2257" s="60">
        <v>0.2</v>
      </c>
      <c r="R2257" s="60">
        <v>0</v>
      </c>
      <c r="S2257" s="68">
        <v>0</v>
      </c>
      <c r="T2257" s="60">
        <v>0</v>
      </c>
      <c r="U2257" s="60">
        <v>1</v>
      </c>
      <c r="V2257" s="93">
        <v>1</v>
      </c>
      <c r="W2257" s="60">
        <v>0</v>
      </c>
      <c r="X2257" s="60">
        <v>0</v>
      </c>
      <c r="Y2257" s="12">
        <v>0</v>
      </c>
      <c r="Z2257" s="60">
        <v>0</v>
      </c>
      <c r="AA2257" s="60">
        <v>1</v>
      </c>
      <c r="AB2257" s="60">
        <v>0</v>
      </c>
      <c r="AC2257" s="60">
        <v>0</v>
      </c>
      <c r="AD2257" s="60">
        <v>0</v>
      </c>
      <c r="AE2257" s="60">
        <v>1</v>
      </c>
      <c r="AF2257" s="60">
        <v>8</v>
      </c>
      <c r="AG2257" s="60">
        <v>2</v>
      </c>
      <c r="AH2257" s="60" t="s">
        <v>1036</v>
      </c>
      <c r="AI2257" s="68">
        <v>0</v>
      </c>
      <c r="AJ2257" s="68">
        <v>2</v>
      </c>
      <c r="AK2257" s="68">
        <v>0</v>
      </c>
      <c r="AL2257" s="68">
        <v>1.5</v>
      </c>
      <c r="AM2257" s="60">
        <v>0</v>
      </c>
      <c r="AN2257" s="60">
        <v>0</v>
      </c>
      <c r="AO2257" s="60">
        <v>0</v>
      </c>
      <c r="AP2257" s="60">
        <v>1.2</v>
      </c>
      <c r="AQ2257" s="60">
        <v>1200</v>
      </c>
      <c r="AR2257" s="60">
        <v>1</v>
      </c>
      <c r="AS2257" s="60">
        <v>15</v>
      </c>
      <c r="AT2257" s="342" t="s">
        <v>198</v>
      </c>
      <c r="AU2257" s="355" t="s">
        <v>5316</v>
      </c>
      <c r="AV2257" s="60"/>
      <c r="AW2257" s="59" t="s">
        <v>256</v>
      </c>
      <c r="AX2257" s="60" t="s">
        <v>215</v>
      </c>
      <c r="AY2257" s="64">
        <v>10000011</v>
      </c>
      <c r="AZ2257" s="64">
        <v>77001706</v>
      </c>
      <c r="BA2257" s="59" t="s">
        <v>216</v>
      </c>
      <c r="BB2257" s="60">
        <v>0</v>
      </c>
      <c r="BC2257" s="66">
        <v>0</v>
      </c>
      <c r="BD2257" s="66">
        <v>0</v>
      </c>
      <c r="BE2257" s="90" t="s">
        <v>5317</v>
      </c>
      <c r="BF2257" s="90" t="s">
        <v>5318</v>
      </c>
      <c r="BG2257" s="60">
        <v>0</v>
      </c>
      <c r="BH2257" s="60">
        <v>0</v>
      </c>
      <c r="BI2257" s="60">
        <v>0</v>
      </c>
      <c r="BJ2257" s="60">
        <v>0</v>
      </c>
      <c r="BK2257" s="60">
        <v>0</v>
      </c>
      <c r="BL2257" s="60">
        <v>0</v>
      </c>
      <c r="BM2257" s="93">
        <v>0</v>
      </c>
      <c r="BN2257" s="68">
        <v>0</v>
      </c>
      <c r="BO2257" s="68">
        <v>0</v>
      </c>
      <c r="BP2257" s="68">
        <v>0</v>
      </c>
      <c r="BQ2257" s="68">
        <v>0</v>
      </c>
      <c r="BR2257" s="68">
        <v>0</v>
      </c>
      <c r="BS2257" s="68">
        <v>0</v>
      </c>
      <c r="BT2257" s="68">
        <v>77001702</v>
      </c>
      <c r="BU2257" s="47">
        <v>0</v>
      </c>
      <c r="BV2257" s="47"/>
      <c r="BW2257" s="47"/>
    </row>
    <row r="2258" spans="3:75" ht="20.100000000000001" customHeight="1">
      <c r="C2258" s="64">
        <v>77001702</v>
      </c>
      <c r="D2258" s="59" t="s">
        <v>1265</v>
      </c>
      <c r="E2258" s="59" t="s">
        <v>1266</v>
      </c>
      <c r="F2258" s="60">
        <v>1</v>
      </c>
      <c r="G2258" s="60">
        <v>0</v>
      </c>
      <c r="H2258" s="60">
        <v>0</v>
      </c>
      <c r="I2258" s="66">
        <v>0</v>
      </c>
      <c r="J2258" s="64">
        <v>1</v>
      </c>
      <c r="K2258" s="60">
        <v>0</v>
      </c>
      <c r="L2258" s="60">
        <v>0</v>
      </c>
      <c r="M2258" s="60">
        <v>0</v>
      </c>
      <c r="N2258" s="60">
        <v>0</v>
      </c>
      <c r="O2258" s="60">
        <v>2</v>
      </c>
      <c r="P2258" s="60">
        <v>3</v>
      </c>
      <c r="Q2258" s="60">
        <v>0.2</v>
      </c>
      <c r="R2258" s="60">
        <v>0</v>
      </c>
      <c r="S2258" s="68">
        <v>0</v>
      </c>
      <c r="T2258" s="60">
        <v>0</v>
      </c>
      <c r="U2258" s="60">
        <v>1</v>
      </c>
      <c r="V2258" s="60">
        <v>1</v>
      </c>
      <c r="W2258" s="60">
        <v>0</v>
      </c>
      <c r="X2258" s="60">
        <v>1.5</v>
      </c>
      <c r="Y2258" s="12">
        <v>0</v>
      </c>
      <c r="Z2258" s="60">
        <v>0</v>
      </c>
      <c r="AA2258" s="60">
        <v>1</v>
      </c>
      <c r="AB2258" s="60">
        <v>0</v>
      </c>
      <c r="AC2258" s="60">
        <v>0</v>
      </c>
      <c r="AD2258" s="60">
        <v>0</v>
      </c>
      <c r="AE2258" s="60">
        <v>1</v>
      </c>
      <c r="AF2258" s="60">
        <v>6</v>
      </c>
      <c r="AG2258" s="60">
        <v>1</v>
      </c>
      <c r="AH2258" s="60">
        <v>4</v>
      </c>
      <c r="AI2258" s="68">
        <v>0</v>
      </c>
      <c r="AJ2258" s="68">
        <v>1</v>
      </c>
      <c r="AK2258" s="68">
        <v>0</v>
      </c>
      <c r="AL2258" s="68">
        <v>2</v>
      </c>
      <c r="AM2258" s="60">
        <v>0</v>
      </c>
      <c r="AN2258" s="60">
        <v>0</v>
      </c>
      <c r="AO2258" s="60">
        <v>0</v>
      </c>
      <c r="AP2258" s="60">
        <v>0.6</v>
      </c>
      <c r="AQ2258" s="60">
        <v>700</v>
      </c>
      <c r="AR2258" s="60">
        <v>0.6</v>
      </c>
      <c r="AS2258" s="60">
        <v>0</v>
      </c>
      <c r="AT2258" s="68">
        <v>0</v>
      </c>
      <c r="AU2258" s="355" t="s">
        <v>5316</v>
      </c>
      <c r="AV2258" s="60"/>
      <c r="AW2258" s="59" t="s">
        <v>198</v>
      </c>
      <c r="AX2258" s="60" t="s">
        <v>534</v>
      </c>
      <c r="AY2258" s="64">
        <v>10000001</v>
      </c>
      <c r="AZ2258" s="64">
        <v>77001701</v>
      </c>
      <c r="BA2258" s="59" t="s">
        <v>771</v>
      </c>
      <c r="BB2258" s="60">
        <v>0</v>
      </c>
      <c r="BC2258" s="66">
        <v>0</v>
      </c>
      <c r="BD2258" s="66">
        <v>0</v>
      </c>
      <c r="BE2258" s="121" t="s">
        <v>5319</v>
      </c>
      <c r="BF2258" s="121" t="s">
        <v>5320</v>
      </c>
      <c r="BG2258" s="60">
        <v>0</v>
      </c>
      <c r="BH2258" s="60">
        <v>0</v>
      </c>
      <c r="BI2258" s="60">
        <v>0</v>
      </c>
      <c r="BJ2258" s="60">
        <v>0</v>
      </c>
      <c r="BK2258" s="60">
        <v>0</v>
      </c>
      <c r="BL2258" s="60">
        <v>0</v>
      </c>
      <c r="BM2258" s="93">
        <v>0</v>
      </c>
      <c r="BN2258" s="68">
        <v>0</v>
      </c>
      <c r="BO2258" s="68">
        <v>0</v>
      </c>
      <c r="BP2258" s="68">
        <v>0</v>
      </c>
      <c r="BQ2258" s="68">
        <v>0</v>
      </c>
      <c r="BR2258" s="68">
        <v>0</v>
      </c>
      <c r="BS2258" s="68">
        <v>0</v>
      </c>
      <c r="BT2258" s="68">
        <v>77001706</v>
      </c>
      <c r="BU2258" s="47">
        <v>0</v>
      </c>
      <c r="BV2258" s="47"/>
      <c r="BW2258" s="47"/>
    </row>
    <row r="2259" spans="3:75" ht="20.100000000000001" customHeight="1">
      <c r="C2259" s="64">
        <v>77001703</v>
      </c>
      <c r="D2259" s="59" t="s">
        <v>5314</v>
      </c>
      <c r="E2259" s="59" t="s">
        <v>5315</v>
      </c>
      <c r="F2259" s="60">
        <v>1</v>
      </c>
      <c r="G2259" s="60">
        <v>0</v>
      </c>
      <c r="H2259" s="60">
        <v>0</v>
      </c>
      <c r="I2259" s="66">
        <v>0</v>
      </c>
      <c r="J2259" s="64">
        <v>1</v>
      </c>
      <c r="K2259" s="60">
        <v>0</v>
      </c>
      <c r="L2259" s="60">
        <v>0</v>
      </c>
      <c r="M2259" s="60">
        <v>0</v>
      </c>
      <c r="N2259" s="60">
        <v>0</v>
      </c>
      <c r="O2259" s="60">
        <v>2</v>
      </c>
      <c r="P2259" s="60">
        <v>3</v>
      </c>
      <c r="Q2259" s="60">
        <v>0.3</v>
      </c>
      <c r="R2259" s="60">
        <v>0</v>
      </c>
      <c r="S2259" s="68">
        <v>0</v>
      </c>
      <c r="T2259" s="60">
        <v>0</v>
      </c>
      <c r="U2259" s="60">
        <v>1</v>
      </c>
      <c r="V2259" s="60">
        <v>2</v>
      </c>
      <c r="W2259" s="60">
        <v>0</v>
      </c>
      <c r="X2259" s="60">
        <v>0</v>
      </c>
      <c r="Y2259" s="12">
        <v>0</v>
      </c>
      <c r="Z2259" s="60">
        <v>0</v>
      </c>
      <c r="AA2259" s="60">
        <v>1</v>
      </c>
      <c r="AB2259" s="60">
        <v>0</v>
      </c>
      <c r="AC2259" s="60">
        <v>0</v>
      </c>
      <c r="AD2259" s="60">
        <v>0</v>
      </c>
      <c r="AE2259" s="60">
        <v>0</v>
      </c>
      <c r="AF2259" s="60">
        <v>21</v>
      </c>
      <c r="AG2259" s="60">
        <v>1</v>
      </c>
      <c r="AH2259" s="60">
        <v>1</v>
      </c>
      <c r="AI2259" s="68">
        <v>0</v>
      </c>
      <c r="AJ2259" s="68">
        <v>1</v>
      </c>
      <c r="AK2259" s="68">
        <v>0</v>
      </c>
      <c r="AL2259" s="68">
        <v>1.5</v>
      </c>
      <c r="AM2259" s="60">
        <v>0</v>
      </c>
      <c r="AN2259" s="60">
        <v>0</v>
      </c>
      <c r="AO2259" s="60">
        <v>0</v>
      </c>
      <c r="AP2259" s="60">
        <v>0</v>
      </c>
      <c r="AQ2259" s="60">
        <v>300</v>
      </c>
      <c r="AR2259" s="60">
        <v>0</v>
      </c>
      <c r="AS2259" s="60">
        <v>0</v>
      </c>
      <c r="AT2259" s="342" t="s">
        <v>5321</v>
      </c>
      <c r="AU2259" s="60">
        <v>0</v>
      </c>
      <c r="AV2259" s="60"/>
      <c r="AW2259" s="59" t="s">
        <v>199</v>
      </c>
      <c r="AX2259" s="60" t="s">
        <v>534</v>
      </c>
      <c r="AY2259" s="64">
        <v>0</v>
      </c>
      <c r="AZ2259" s="64">
        <v>0</v>
      </c>
      <c r="BA2259" s="59" t="s">
        <v>771</v>
      </c>
      <c r="BB2259" s="60">
        <v>0</v>
      </c>
      <c r="BC2259" s="66">
        <v>0</v>
      </c>
      <c r="BD2259" s="66">
        <v>0</v>
      </c>
      <c r="BE2259" s="121" t="s">
        <v>5322</v>
      </c>
      <c r="BF2259" s="121" t="s">
        <v>5323</v>
      </c>
      <c r="BG2259" s="60">
        <v>0</v>
      </c>
      <c r="BH2259" s="60">
        <v>0</v>
      </c>
      <c r="BI2259" s="60">
        <v>0</v>
      </c>
      <c r="BJ2259" s="60">
        <v>0</v>
      </c>
      <c r="BK2259" s="60">
        <v>0</v>
      </c>
      <c r="BL2259" s="60">
        <v>0</v>
      </c>
      <c r="BM2259" s="93">
        <v>0</v>
      </c>
      <c r="BN2259" s="68">
        <v>0</v>
      </c>
      <c r="BO2259" s="68">
        <v>0</v>
      </c>
      <c r="BP2259" s="68">
        <v>0</v>
      </c>
      <c r="BQ2259" s="68">
        <v>0</v>
      </c>
      <c r="BR2259" s="68">
        <v>0</v>
      </c>
      <c r="BS2259" s="68">
        <v>1</v>
      </c>
      <c r="BT2259" s="68">
        <v>0</v>
      </c>
      <c r="BU2259" s="47">
        <v>0</v>
      </c>
      <c r="BV2259" s="47"/>
      <c r="BW2259" s="47"/>
    </row>
    <row r="2260" spans="3:75" ht="19.5" customHeight="1">
      <c r="C2260" s="64">
        <v>77001704</v>
      </c>
      <c r="D2260" s="59" t="s">
        <v>1265</v>
      </c>
      <c r="E2260" s="59" t="s">
        <v>1266</v>
      </c>
      <c r="F2260" s="60">
        <v>1</v>
      </c>
      <c r="G2260" s="60">
        <v>0</v>
      </c>
      <c r="H2260" s="60">
        <v>0</v>
      </c>
      <c r="I2260" s="66">
        <v>0</v>
      </c>
      <c r="J2260" s="64">
        <v>1</v>
      </c>
      <c r="K2260" s="64">
        <v>0</v>
      </c>
      <c r="L2260" s="64">
        <v>0</v>
      </c>
      <c r="M2260" s="60">
        <v>0</v>
      </c>
      <c r="N2260" s="60">
        <v>0</v>
      </c>
      <c r="O2260" s="60">
        <v>2</v>
      </c>
      <c r="P2260" s="60">
        <v>3</v>
      </c>
      <c r="Q2260" s="60">
        <v>0.2</v>
      </c>
      <c r="R2260" s="60">
        <v>0</v>
      </c>
      <c r="S2260" s="68">
        <v>0</v>
      </c>
      <c r="T2260" s="60">
        <v>0</v>
      </c>
      <c r="U2260" s="60">
        <v>1</v>
      </c>
      <c r="V2260" s="60">
        <v>1</v>
      </c>
      <c r="W2260" s="60">
        <v>0</v>
      </c>
      <c r="X2260" s="60">
        <v>0</v>
      </c>
      <c r="Y2260" s="12">
        <v>0</v>
      </c>
      <c r="Z2260" s="60">
        <v>0</v>
      </c>
      <c r="AA2260" s="60">
        <v>1</v>
      </c>
      <c r="AB2260" s="60">
        <v>0</v>
      </c>
      <c r="AC2260" s="60">
        <v>0</v>
      </c>
      <c r="AD2260" s="60">
        <v>0</v>
      </c>
      <c r="AE2260" s="60">
        <v>1</v>
      </c>
      <c r="AF2260" s="60">
        <v>8</v>
      </c>
      <c r="AG2260" s="60">
        <v>2</v>
      </c>
      <c r="AH2260" s="60" t="s">
        <v>213</v>
      </c>
      <c r="AI2260" s="68">
        <v>0</v>
      </c>
      <c r="AJ2260" s="68">
        <v>2</v>
      </c>
      <c r="AK2260" s="68">
        <v>0</v>
      </c>
      <c r="AL2260" s="68">
        <v>1.5</v>
      </c>
      <c r="AM2260" s="60">
        <v>0</v>
      </c>
      <c r="AN2260" s="60">
        <v>0</v>
      </c>
      <c r="AO2260" s="60">
        <v>0</v>
      </c>
      <c r="AP2260" s="60">
        <v>0.3</v>
      </c>
      <c r="AQ2260" s="60">
        <v>300</v>
      </c>
      <c r="AR2260" s="60">
        <v>0</v>
      </c>
      <c r="AS2260" s="60">
        <v>15</v>
      </c>
      <c r="AT2260" s="68">
        <v>0</v>
      </c>
      <c r="AU2260" s="79">
        <v>0</v>
      </c>
      <c r="AV2260" s="79"/>
      <c r="AW2260" s="59" t="s">
        <v>198</v>
      </c>
      <c r="AX2260" s="60" t="s">
        <v>215</v>
      </c>
      <c r="AY2260" s="64">
        <v>0</v>
      </c>
      <c r="AZ2260" s="64">
        <v>0</v>
      </c>
      <c r="BA2260" s="307" t="s">
        <v>216</v>
      </c>
      <c r="BB2260" s="60">
        <v>1</v>
      </c>
      <c r="BC2260" s="66">
        <v>0</v>
      </c>
      <c r="BD2260" s="66">
        <v>0</v>
      </c>
      <c r="BE2260" s="90" t="s">
        <v>5324</v>
      </c>
      <c r="BF2260" s="90" t="s">
        <v>5325</v>
      </c>
      <c r="BG2260" s="60">
        <v>0</v>
      </c>
      <c r="BH2260" s="60">
        <v>0</v>
      </c>
      <c r="BI2260" s="60">
        <v>0</v>
      </c>
      <c r="BJ2260" s="60">
        <v>0</v>
      </c>
      <c r="BK2260" s="60">
        <v>0</v>
      </c>
      <c r="BL2260" s="60">
        <v>0</v>
      </c>
      <c r="BM2260" s="93">
        <v>0</v>
      </c>
      <c r="BN2260" s="68">
        <v>0</v>
      </c>
      <c r="BO2260" s="68">
        <v>0</v>
      </c>
      <c r="BP2260" s="68">
        <v>0</v>
      </c>
      <c r="BQ2260" s="68">
        <v>0</v>
      </c>
      <c r="BR2260" s="68">
        <v>0</v>
      </c>
      <c r="BS2260" s="68">
        <v>1</v>
      </c>
      <c r="BT2260" s="68">
        <v>77001705</v>
      </c>
      <c r="BU2260" s="47">
        <v>0</v>
      </c>
      <c r="BV2260" s="47"/>
      <c r="BW2260" s="47"/>
    </row>
    <row r="2261" spans="3:75" ht="19.5" customHeight="1">
      <c r="C2261" s="64">
        <v>77001705</v>
      </c>
      <c r="D2261" s="63" t="s">
        <v>1265</v>
      </c>
      <c r="E2261" s="63" t="s">
        <v>1266</v>
      </c>
      <c r="F2261" s="60">
        <v>1</v>
      </c>
      <c r="G2261" s="60">
        <v>0</v>
      </c>
      <c r="H2261" s="64">
        <v>0</v>
      </c>
      <c r="I2261" s="66">
        <v>0</v>
      </c>
      <c r="J2261" s="60">
        <v>1</v>
      </c>
      <c r="K2261" s="60">
        <v>0</v>
      </c>
      <c r="L2261" s="60">
        <v>0</v>
      </c>
      <c r="M2261" s="64">
        <v>0</v>
      </c>
      <c r="N2261" s="64">
        <v>0</v>
      </c>
      <c r="O2261" s="64">
        <v>2</v>
      </c>
      <c r="P2261" s="64">
        <v>1</v>
      </c>
      <c r="Q2261" s="64">
        <v>1</v>
      </c>
      <c r="R2261" s="64">
        <v>0</v>
      </c>
      <c r="S2261" s="68">
        <v>0</v>
      </c>
      <c r="T2261" s="66">
        <v>0</v>
      </c>
      <c r="U2261" s="60">
        <v>1</v>
      </c>
      <c r="V2261" s="64">
        <v>1</v>
      </c>
      <c r="W2261" s="64">
        <v>0</v>
      </c>
      <c r="X2261" s="64">
        <v>1.5</v>
      </c>
      <c r="Y2261" s="12">
        <v>0</v>
      </c>
      <c r="Z2261" s="64">
        <v>0</v>
      </c>
      <c r="AA2261" s="64">
        <v>1</v>
      </c>
      <c r="AB2261" s="64">
        <v>0</v>
      </c>
      <c r="AC2261" s="64">
        <v>0</v>
      </c>
      <c r="AD2261" s="64">
        <v>0</v>
      </c>
      <c r="AE2261" s="64">
        <v>0</v>
      </c>
      <c r="AF2261" s="64">
        <v>0</v>
      </c>
      <c r="AG2261" s="64">
        <v>1</v>
      </c>
      <c r="AH2261" s="77">
        <v>4</v>
      </c>
      <c r="AI2261" s="68">
        <v>0</v>
      </c>
      <c r="AJ2261" s="68">
        <v>1</v>
      </c>
      <c r="AK2261" s="68">
        <v>0</v>
      </c>
      <c r="AL2261" s="68">
        <v>5</v>
      </c>
      <c r="AM2261" s="64">
        <v>0</v>
      </c>
      <c r="AN2261" s="64">
        <v>1</v>
      </c>
      <c r="AO2261" s="64">
        <v>0</v>
      </c>
      <c r="AP2261" s="64">
        <v>0.6</v>
      </c>
      <c r="AQ2261" s="64">
        <v>2000</v>
      </c>
      <c r="AR2261" s="64">
        <v>0.6</v>
      </c>
      <c r="AS2261" s="64">
        <v>0</v>
      </c>
      <c r="AT2261" s="68">
        <v>0</v>
      </c>
      <c r="AU2261" s="332" t="s">
        <v>5316</v>
      </c>
      <c r="AV2261" s="64"/>
      <c r="AW2261" s="63" t="s">
        <v>287</v>
      </c>
      <c r="AX2261" s="64" t="s">
        <v>545</v>
      </c>
      <c r="AY2261" s="64">
        <v>10001005</v>
      </c>
      <c r="AZ2261" s="64">
        <v>77001701</v>
      </c>
      <c r="BA2261" s="63" t="s">
        <v>200</v>
      </c>
      <c r="BB2261" s="63">
        <v>0</v>
      </c>
      <c r="BC2261" s="66">
        <v>0</v>
      </c>
      <c r="BD2261" s="66">
        <v>0</v>
      </c>
      <c r="BE2261" s="207" t="s">
        <v>1269</v>
      </c>
      <c r="BF2261" s="207" t="s">
        <v>1270</v>
      </c>
      <c r="BG2261" s="64">
        <v>0</v>
      </c>
      <c r="BH2261" s="60">
        <v>0</v>
      </c>
      <c r="BI2261" s="64">
        <v>0</v>
      </c>
      <c r="BJ2261" s="64">
        <v>0</v>
      </c>
      <c r="BK2261" s="64">
        <v>0</v>
      </c>
      <c r="BL2261" s="64">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77001706</v>
      </c>
      <c r="D2262" s="63" t="s">
        <v>1265</v>
      </c>
      <c r="E2262" s="63" t="s">
        <v>1266</v>
      </c>
      <c r="F2262" s="60">
        <v>1</v>
      </c>
      <c r="G2262" s="60">
        <v>0</v>
      </c>
      <c r="H2262" s="64">
        <v>0</v>
      </c>
      <c r="I2262" s="66">
        <v>0</v>
      </c>
      <c r="J2262" s="60">
        <v>1</v>
      </c>
      <c r="K2262" s="60">
        <v>0</v>
      </c>
      <c r="L2262" s="60">
        <v>0</v>
      </c>
      <c r="M2262" s="64">
        <v>0</v>
      </c>
      <c r="N2262" s="64">
        <v>0</v>
      </c>
      <c r="O2262" s="64">
        <v>2</v>
      </c>
      <c r="P2262" s="64">
        <v>16</v>
      </c>
      <c r="Q2262" s="64">
        <v>10</v>
      </c>
      <c r="R2262" s="64">
        <v>0</v>
      </c>
      <c r="S2262" s="68">
        <v>0</v>
      </c>
      <c r="T2262" s="66">
        <v>0</v>
      </c>
      <c r="U2262" s="60">
        <v>1</v>
      </c>
      <c r="V2262" s="64">
        <v>2</v>
      </c>
      <c r="W2262" s="64">
        <v>0</v>
      </c>
      <c r="X2262" s="64">
        <v>2.6</v>
      </c>
      <c r="Y2262" s="12">
        <v>0</v>
      </c>
      <c r="Z2262" s="64">
        <v>0</v>
      </c>
      <c r="AA2262" s="64">
        <v>1</v>
      </c>
      <c r="AB2262" s="64">
        <v>0</v>
      </c>
      <c r="AC2262" s="64">
        <v>0</v>
      </c>
      <c r="AD2262" s="64">
        <v>0</v>
      </c>
      <c r="AE2262" s="64">
        <v>0</v>
      </c>
      <c r="AF2262" s="64">
        <v>0</v>
      </c>
      <c r="AG2262" s="64">
        <v>2</v>
      </c>
      <c r="AH2262" s="64" t="s">
        <v>213</v>
      </c>
      <c r="AI2262" s="68">
        <v>0</v>
      </c>
      <c r="AJ2262" s="68">
        <v>2</v>
      </c>
      <c r="AK2262" s="68">
        <v>0</v>
      </c>
      <c r="AL2262" s="68">
        <v>3</v>
      </c>
      <c r="AM2262" s="64">
        <v>0</v>
      </c>
      <c r="AN2262" s="64">
        <v>0</v>
      </c>
      <c r="AO2262" s="64">
        <v>0</v>
      </c>
      <c r="AP2262" s="64">
        <v>1</v>
      </c>
      <c r="AQ2262" s="64">
        <v>2000</v>
      </c>
      <c r="AR2262" s="64">
        <v>1</v>
      </c>
      <c r="AS2262" s="64">
        <v>0</v>
      </c>
      <c r="AT2262" s="68">
        <v>0</v>
      </c>
      <c r="AU2262" s="64">
        <v>97007001</v>
      </c>
      <c r="AV2262" s="64"/>
      <c r="AW2262" s="63" t="s">
        <v>287</v>
      </c>
      <c r="AX2262" s="64" t="s">
        <v>534</v>
      </c>
      <c r="AY2262" s="64">
        <v>10000015</v>
      </c>
      <c r="AZ2262" s="64">
        <v>77001702</v>
      </c>
      <c r="BA2262" s="59" t="s">
        <v>200</v>
      </c>
      <c r="BB2262" s="63">
        <v>0</v>
      </c>
      <c r="BC2262" s="66">
        <v>0</v>
      </c>
      <c r="BD2262" s="66">
        <v>0</v>
      </c>
      <c r="BE2262" s="207" t="s">
        <v>2392</v>
      </c>
      <c r="BF2262" s="207" t="s">
        <v>2393</v>
      </c>
      <c r="BG2262" s="64">
        <v>0</v>
      </c>
      <c r="BH2262" s="60">
        <v>0</v>
      </c>
      <c r="BI2262" s="64">
        <v>0</v>
      </c>
      <c r="BJ2262" s="64">
        <v>0</v>
      </c>
      <c r="BK2262" s="64">
        <v>0</v>
      </c>
      <c r="BL2262" s="64">
        <v>0</v>
      </c>
      <c r="BM2262" s="93">
        <v>0</v>
      </c>
      <c r="BN2262" s="68">
        <v>1</v>
      </c>
      <c r="BO2262" s="68">
        <v>0</v>
      </c>
      <c r="BP2262" s="68">
        <v>0</v>
      </c>
      <c r="BQ2262" s="68">
        <v>0</v>
      </c>
      <c r="BR2262" s="68">
        <v>0</v>
      </c>
      <c r="BS2262" s="68">
        <v>0</v>
      </c>
      <c r="BT2262" s="68">
        <v>0</v>
      </c>
      <c r="BU2262" s="47">
        <v>0</v>
      </c>
      <c r="BV2262" s="47"/>
      <c r="BW2262" s="47"/>
    </row>
    <row r="2263" spans="3:75" ht="20.100000000000001" customHeight="1">
      <c r="C2263" s="64">
        <v>77001707</v>
      </c>
      <c r="D2263" s="59" t="s">
        <v>5326</v>
      </c>
      <c r="E2263" s="147" t="s">
        <v>5327</v>
      </c>
      <c r="F2263" s="93">
        <v>1</v>
      </c>
      <c r="G2263" s="60">
        <v>0</v>
      </c>
      <c r="H2263" s="60">
        <v>0</v>
      </c>
      <c r="I2263" s="66">
        <v>0</v>
      </c>
      <c r="J2263" s="64">
        <v>1</v>
      </c>
      <c r="K2263" s="64">
        <v>0</v>
      </c>
      <c r="L2263" s="64">
        <v>0</v>
      </c>
      <c r="M2263" s="60">
        <v>0</v>
      </c>
      <c r="N2263" s="60">
        <v>0</v>
      </c>
      <c r="O2263" s="60">
        <v>2</v>
      </c>
      <c r="P2263" s="60">
        <v>2</v>
      </c>
      <c r="Q2263" s="60">
        <v>0.5</v>
      </c>
      <c r="R2263" s="60">
        <v>0</v>
      </c>
      <c r="S2263" s="68">
        <v>0</v>
      </c>
      <c r="T2263" s="60">
        <v>0</v>
      </c>
      <c r="U2263" s="60">
        <v>1</v>
      </c>
      <c r="V2263" s="93">
        <v>1</v>
      </c>
      <c r="W2263" s="60">
        <v>0</v>
      </c>
      <c r="X2263" s="60">
        <v>3</v>
      </c>
      <c r="Y2263" s="12">
        <v>0</v>
      </c>
      <c r="Z2263" s="60">
        <v>0</v>
      </c>
      <c r="AA2263" s="60">
        <v>1</v>
      </c>
      <c r="AB2263" s="60">
        <v>0</v>
      </c>
      <c r="AC2263" s="60">
        <v>0</v>
      </c>
      <c r="AD2263" s="60">
        <v>0</v>
      </c>
      <c r="AE2263" s="60">
        <v>1</v>
      </c>
      <c r="AF2263" s="60">
        <v>30</v>
      </c>
      <c r="AG2263" s="60">
        <v>1</v>
      </c>
      <c r="AH2263" s="60">
        <v>6</v>
      </c>
      <c r="AI2263" s="68">
        <v>0</v>
      </c>
      <c r="AJ2263" s="68">
        <v>1</v>
      </c>
      <c r="AK2263" s="68">
        <v>0</v>
      </c>
      <c r="AL2263" s="68">
        <v>3</v>
      </c>
      <c r="AM2263" s="60">
        <v>0</v>
      </c>
      <c r="AN2263" s="60">
        <v>1</v>
      </c>
      <c r="AO2263" s="60">
        <v>0</v>
      </c>
      <c r="AP2263" s="60">
        <v>1</v>
      </c>
      <c r="AQ2263" s="60">
        <v>3000</v>
      </c>
      <c r="AR2263" s="60">
        <v>1</v>
      </c>
      <c r="AS2263" s="60">
        <v>0</v>
      </c>
      <c r="AT2263" s="342" t="s">
        <v>5328</v>
      </c>
      <c r="AU2263" s="334" t="s">
        <v>5316</v>
      </c>
      <c r="AV2263" s="79"/>
      <c r="AW2263" s="59" t="s">
        <v>617</v>
      </c>
      <c r="AX2263" s="60" t="s">
        <v>215</v>
      </c>
      <c r="AY2263" s="64">
        <v>10000011</v>
      </c>
      <c r="AZ2263" s="64">
        <v>77001703</v>
      </c>
      <c r="BA2263" s="63" t="s">
        <v>200</v>
      </c>
      <c r="BB2263" s="60">
        <v>0</v>
      </c>
      <c r="BC2263" s="66">
        <v>0</v>
      </c>
      <c r="BD2263" s="66">
        <v>0</v>
      </c>
      <c r="BE2263" s="90" t="s">
        <v>5329</v>
      </c>
      <c r="BF2263" s="90" t="s">
        <v>5330</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9.5" customHeight="1">
      <c r="C2264" s="64">
        <v>77001708</v>
      </c>
      <c r="D2264" s="59" t="s">
        <v>5331</v>
      </c>
      <c r="E2264" s="59" t="s">
        <v>5332</v>
      </c>
      <c r="F2264" s="64">
        <v>1</v>
      </c>
      <c r="G2264" s="60">
        <v>0</v>
      </c>
      <c r="H2264" s="64">
        <v>0</v>
      </c>
      <c r="I2264" s="66">
        <v>0</v>
      </c>
      <c r="J2264" s="64">
        <v>1</v>
      </c>
      <c r="K2264" s="64">
        <v>0</v>
      </c>
      <c r="L2264" s="64">
        <v>0</v>
      </c>
      <c r="M2264" s="60">
        <v>0</v>
      </c>
      <c r="N2264" s="60">
        <v>0</v>
      </c>
      <c r="O2264" s="60">
        <v>2</v>
      </c>
      <c r="P2264" s="60">
        <v>3</v>
      </c>
      <c r="Q2264" s="60">
        <v>0.4</v>
      </c>
      <c r="R2264" s="60">
        <v>0</v>
      </c>
      <c r="S2264" s="68">
        <v>0</v>
      </c>
      <c r="T2264" s="60">
        <v>0</v>
      </c>
      <c r="U2264" s="60">
        <v>1</v>
      </c>
      <c r="V2264" s="60">
        <v>1</v>
      </c>
      <c r="W2264" s="60">
        <v>0</v>
      </c>
      <c r="X2264" s="60">
        <v>0</v>
      </c>
      <c r="Y2264" s="12">
        <v>0</v>
      </c>
      <c r="Z2264" s="60">
        <v>0</v>
      </c>
      <c r="AA2264" s="60">
        <v>0</v>
      </c>
      <c r="AB2264" s="60">
        <v>0</v>
      </c>
      <c r="AC2264" s="60">
        <v>0</v>
      </c>
      <c r="AD2264" s="60">
        <v>0</v>
      </c>
      <c r="AE2264" s="60">
        <v>1</v>
      </c>
      <c r="AF2264" s="60">
        <v>0</v>
      </c>
      <c r="AG2264" s="60">
        <v>1</v>
      </c>
      <c r="AH2264" s="60">
        <v>2</v>
      </c>
      <c r="AI2264" s="68">
        <v>0</v>
      </c>
      <c r="AJ2264" s="68">
        <v>1</v>
      </c>
      <c r="AK2264" s="68">
        <v>0</v>
      </c>
      <c r="AL2264" s="68">
        <v>3</v>
      </c>
      <c r="AM2264" s="60">
        <v>0</v>
      </c>
      <c r="AN2264" s="60">
        <v>0</v>
      </c>
      <c r="AO2264" s="60">
        <v>0</v>
      </c>
      <c r="AP2264" s="60">
        <v>0.3</v>
      </c>
      <c r="AQ2264" s="60">
        <v>300</v>
      </c>
      <c r="AR2264" s="60">
        <v>0</v>
      </c>
      <c r="AS2264" s="60">
        <v>0</v>
      </c>
      <c r="AT2264" s="68">
        <v>0</v>
      </c>
      <c r="AU2264" s="79">
        <v>0</v>
      </c>
      <c r="AV2264" s="79"/>
      <c r="AW2264" s="59" t="s">
        <v>198</v>
      </c>
      <c r="AX2264" s="60">
        <v>0</v>
      </c>
      <c r="AY2264" s="64">
        <v>0</v>
      </c>
      <c r="AZ2264" s="64">
        <v>0</v>
      </c>
      <c r="BA2264" s="59" t="s">
        <v>528</v>
      </c>
      <c r="BB2264" s="355" t="s">
        <v>5333</v>
      </c>
      <c r="BC2264" s="66">
        <v>0</v>
      </c>
      <c r="BD2264" s="66">
        <v>0</v>
      </c>
      <c r="BE2264" s="90" t="s">
        <v>5334</v>
      </c>
      <c r="BF2264" s="90" t="s">
        <v>5335</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spans="3:75" ht="19.5" customHeight="1">
      <c r="C2265" s="64">
        <v>77001709</v>
      </c>
      <c r="D2265" s="59" t="s">
        <v>5336</v>
      </c>
      <c r="E2265" s="59" t="s">
        <v>5337</v>
      </c>
      <c r="F2265" s="64">
        <v>1</v>
      </c>
      <c r="G2265" s="64">
        <v>0</v>
      </c>
      <c r="H2265" s="64">
        <v>0</v>
      </c>
      <c r="I2265" s="66">
        <v>0</v>
      </c>
      <c r="J2265" s="64">
        <v>1</v>
      </c>
      <c r="K2265" s="64">
        <v>0</v>
      </c>
      <c r="L2265" s="64">
        <v>0</v>
      </c>
      <c r="M2265" s="60">
        <v>0</v>
      </c>
      <c r="N2265" s="60">
        <v>0</v>
      </c>
      <c r="O2265" s="60">
        <v>2</v>
      </c>
      <c r="P2265" s="60">
        <v>2</v>
      </c>
      <c r="Q2265" s="60">
        <v>0.7</v>
      </c>
      <c r="R2265" s="60">
        <v>0</v>
      </c>
      <c r="S2265" s="68">
        <v>0</v>
      </c>
      <c r="T2265" s="60">
        <v>0</v>
      </c>
      <c r="U2265" s="60">
        <v>1</v>
      </c>
      <c r="V2265" s="60">
        <v>2</v>
      </c>
      <c r="W2265" s="60">
        <v>0</v>
      </c>
      <c r="X2265" s="60">
        <v>1.5</v>
      </c>
      <c r="Y2265" s="12">
        <v>0</v>
      </c>
      <c r="Z2265" s="60">
        <v>0</v>
      </c>
      <c r="AA2265" s="60">
        <v>1</v>
      </c>
      <c r="AB2265" s="60">
        <v>0</v>
      </c>
      <c r="AC2265" s="60">
        <v>0</v>
      </c>
      <c r="AD2265" s="60">
        <v>1</v>
      </c>
      <c r="AE2265" s="60">
        <v>0</v>
      </c>
      <c r="AF2265" s="60">
        <v>9</v>
      </c>
      <c r="AG2265" s="60">
        <v>1</v>
      </c>
      <c r="AH2265" s="60">
        <v>3</v>
      </c>
      <c r="AI2265" s="68">
        <v>4</v>
      </c>
      <c r="AJ2265" s="68">
        <v>1</v>
      </c>
      <c r="AK2265" s="68">
        <v>0</v>
      </c>
      <c r="AL2265" s="68">
        <v>1.5</v>
      </c>
      <c r="AM2265" s="60">
        <v>0</v>
      </c>
      <c r="AN2265" s="60">
        <v>0</v>
      </c>
      <c r="AO2265" s="60">
        <v>0</v>
      </c>
      <c r="AP2265" s="60">
        <v>0</v>
      </c>
      <c r="AQ2265" s="60">
        <v>6000</v>
      </c>
      <c r="AR2265" s="60">
        <v>1</v>
      </c>
      <c r="AS2265" s="60">
        <v>0</v>
      </c>
      <c r="AT2265" s="68">
        <v>0</v>
      </c>
      <c r="AU2265" s="334" t="s">
        <v>5338</v>
      </c>
      <c r="AV2265" s="79"/>
      <c r="AW2265" s="63" t="s">
        <v>199</v>
      </c>
      <c r="AX2265" s="60" t="s">
        <v>534</v>
      </c>
      <c r="AY2265" s="64">
        <v>0</v>
      </c>
      <c r="AZ2265" s="332" t="s">
        <v>5339</v>
      </c>
      <c r="BA2265" s="59" t="s">
        <v>200</v>
      </c>
      <c r="BB2265" s="60" t="s">
        <v>5340</v>
      </c>
      <c r="BC2265" s="66">
        <v>0</v>
      </c>
      <c r="BD2265" s="66">
        <v>0</v>
      </c>
      <c r="BE2265" s="90" t="s">
        <v>5341</v>
      </c>
      <c r="BF2265" s="90" t="s">
        <v>5342</v>
      </c>
      <c r="BG2265" s="60">
        <v>0</v>
      </c>
      <c r="BH2265" s="60">
        <v>0</v>
      </c>
      <c r="BI2265" s="60">
        <v>0</v>
      </c>
      <c r="BJ2265" s="60">
        <v>0</v>
      </c>
      <c r="BK2265" s="60">
        <v>0</v>
      </c>
      <c r="BL2265" s="60">
        <v>0</v>
      </c>
      <c r="BM2265" s="93">
        <v>0</v>
      </c>
      <c r="BN2265" s="68">
        <v>0</v>
      </c>
      <c r="BO2265" s="68">
        <v>0</v>
      </c>
      <c r="BP2265" s="68">
        <v>0</v>
      </c>
      <c r="BQ2265" s="68">
        <v>0</v>
      </c>
      <c r="BR2265" s="68">
        <v>0</v>
      </c>
      <c r="BS2265" s="68">
        <v>0</v>
      </c>
      <c r="BT2265" s="68">
        <v>0</v>
      </c>
      <c r="BU2265" s="47">
        <v>0</v>
      </c>
      <c r="BV2265" s="47"/>
      <c r="BW2265" s="47"/>
    </row>
    <row r="2266" spans="3:75" ht="20.100000000000001" customHeight="1">
      <c r="C2266" s="64">
        <v>77001710</v>
      </c>
      <c r="D2266" s="59" t="s">
        <v>1265</v>
      </c>
      <c r="E2266" s="59" t="s">
        <v>1266</v>
      </c>
      <c r="F2266" s="60">
        <v>1</v>
      </c>
      <c r="G2266" s="60">
        <v>0</v>
      </c>
      <c r="H2266" s="60">
        <v>0</v>
      </c>
      <c r="I2266" s="66">
        <v>0</v>
      </c>
      <c r="J2266" s="64">
        <v>1</v>
      </c>
      <c r="K2266" s="60">
        <v>0</v>
      </c>
      <c r="L2266" s="60">
        <v>0</v>
      </c>
      <c r="M2266" s="60">
        <v>0</v>
      </c>
      <c r="N2266" s="60">
        <v>0</v>
      </c>
      <c r="O2266" s="60">
        <v>2</v>
      </c>
      <c r="P2266" s="60">
        <v>3</v>
      </c>
      <c r="Q2266" s="60">
        <v>0.2</v>
      </c>
      <c r="R2266" s="60">
        <v>0</v>
      </c>
      <c r="S2266" s="68">
        <v>0</v>
      </c>
      <c r="T2266" s="60">
        <v>0</v>
      </c>
      <c r="U2266" s="60">
        <v>1</v>
      </c>
      <c r="V2266" s="60">
        <v>1</v>
      </c>
      <c r="W2266" s="60">
        <v>0</v>
      </c>
      <c r="X2266" s="60">
        <v>2</v>
      </c>
      <c r="Y2266" s="12">
        <v>0</v>
      </c>
      <c r="Z2266" s="60">
        <v>0</v>
      </c>
      <c r="AA2266" s="60">
        <v>1</v>
      </c>
      <c r="AB2266" s="60">
        <v>0</v>
      </c>
      <c r="AC2266" s="60">
        <v>0</v>
      </c>
      <c r="AD2266" s="60">
        <v>0</v>
      </c>
      <c r="AE2266" s="60">
        <v>1</v>
      </c>
      <c r="AF2266" s="60">
        <v>6</v>
      </c>
      <c r="AG2266" s="60">
        <v>1</v>
      </c>
      <c r="AH2266" s="60">
        <v>4</v>
      </c>
      <c r="AI2266" s="68">
        <v>0</v>
      </c>
      <c r="AJ2266" s="68">
        <v>1</v>
      </c>
      <c r="AK2266" s="68">
        <v>0</v>
      </c>
      <c r="AL2266" s="68">
        <v>2</v>
      </c>
      <c r="AM2266" s="60">
        <v>0</v>
      </c>
      <c r="AN2266" s="60">
        <v>0</v>
      </c>
      <c r="AO2266" s="60">
        <v>0</v>
      </c>
      <c r="AP2266" s="60">
        <v>0.6</v>
      </c>
      <c r="AQ2266" s="60">
        <v>600</v>
      </c>
      <c r="AR2266" s="60">
        <v>0.6</v>
      </c>
      <c r="AS2266" s="60">
        <v>0</v>
      </c>
      <c r="AT2266" s="68">
        <v>97007009</v>
      </c>
      <c r="AU2266" s="60">
        <v>97007001</v>
      </c>
      <c r="AV2266" s="60"/>
      <c r="AW2266" s="59" t="s">
        <v>198</v>
      </c>
      <c r="AX2266" s="60" t="s">
        <v>534</v>
      </c>
      <c r="AY2266" s="64">
        <v>10000001</v>
      </c>
      <c r="AZ2266" s="64">
        <v>77001701</v>
      </c>
      <c r="BA2266" s="59" t="s">
        <v>771</v>
      </c>
      <c r="BB2266" s="60">
        <v>0</v>
      </c>
      <c r="BC2266" s="66">
        <v>0</v>
      </c>
      <c r="BD2266" s="66">
        <v>0</v>
      </c>
      <c r="BE2266" s="121" t="s">
        <v>5343</v>
      </c>
      <c r="BF2266" s="121" t="s">
        <v>5344</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77001709</v>
      </c>
      <c r="BU2266" s="47">
        <v>0</v>
      </c>
      <c r="BV2266" s="47"/>
      <c r="BW2266" s="47"/>
    </row>
    <row r="2267" spans="3:75" ht="19.5" customHeight="1">
      <c r="C2267" s="64">
        <v>77001711</v>
      </c>
      <c r="D2267" s="59" t="s">
        <v>5336</v>
      </c>
      <c r="E2267" s="59" t="s">
        <v>5337</v>
      </c>
      <c r="F2267" s="64">
        <v>1</v>
      </c>
      <c r="G2267" s="64">
        <v>0</v>
      </c>
      <c r="H2267" s="64">
        <v>0</v>
      </c>
      <c r="I2267" s="66">
        <v>0</v>
      </c>
      <c r="J2267" s="64">
        <v>1</v>
      </c>
      <c r="K2267" s="64">
        <v>0</v>
      </c>
      <c r="L2267" s="64">
        <v>0</v>
      </c>
      <c r="M2267" s="60">
        <v>0</v>
      </c>
      <c r="N2267" s="60">
        <v>0</v>
      </c>
      <c r="O2267" s="60">
        <v>2</v>
      </c>
      <c r="P2267" s="60">
        <v>2</v>
      </c>
      <c r="Q2267" s="60">
        <v>0.7</v>
      </c>
      <c r="R2267" s="60">
        <v>0</v>
      </c>
      <c r="S2267" s="68">
        <v>0</v>
      </c>
      <c r="T2267" s="60">
        <v>0</v>
      </c>
      <c r="U2267" s="60">
        <v>1</v>
      </c>
      <c r="V2267" s="60">
        <v>2</v>
      </c>
      <c r="W2267" s="60">
        <v>0</v>
      </c>
      <c r="X2267" s="60">
        <v>1.5</v>
      </c>
      <c r="Y2267" s="12">
        <v>0</v>
      </c>
      <c r="Z2267" s="60">
        <v>0</v>
      </c>
      <c r="AA2267" s="60">
        <v>1</v>
      </c>
      <c r="AB2267" s="60">
        <v>0</v>
      </c>
      <c r="AC2267" s="60">
        <v>0</v>
      </c>
      <c r="AD2267" s="60">
        <v>1</v>
      </c>
      <c r="AE2267" s="60">
        <v>0</v>
      </c>
      <c r="AF2267" s="60">
        <v>9</v>
      </c>
      <c r="AG2267" s="60">
        <v>1</v>
      </c>
      <c r="AH2267" s="60">
        <v>3</v>
      </c>
      <c r="AI2267" s="68">
        <v>4</v>
      </c>
      <c r="AJ2267" s="68">
        <v>1</v>
      </c>
      <c r="AK2267" s="68">
        <v>0</v>
      </c>
      <c r="AL2267" s="68">
        <v>1.5</v>
      </c>
      <c r="AM2267" s="60">
        <v>0</v>
      </c>
      <c r="AN2267" s="60">
        <v>0</v>
      </c>
      <c r="AO2267" s="60">
        <v>0</v>
      </c>
      <c r="AP2267" s="60">
        <v>0</v>
      </c>
      <c r="AQ2267" s="60">
        <v>6000</v>
      </c>
      <c r="AR2267" s="60">
        <v>1</v>
      </c>
      <c r="AS2267" s="60">
        <v>0</v>
      </c>
      <c r="AT2267" s="68">
        <v>0</v>
      </c>
      <c r="AU2267" s="334" t="s">
        <v>5338</v>
      </c>
      <c r="AV2267" s="79"/>
      <c r="AW2267" s="63" t="s">
        <v>199</v>
      </c>
      <c r="AX2267" s="60" t="s">
        <v>534</v>
      </c>
      <c r="AY2267" s="64">
        <v>0</v>
      </c>
      <c r="AZ2267" s="332" t="s">
        <v>5339</v>
      </c>
      <c r="BA2267" s="59" t="s">
        <v>200</v>
      </c>
      <c r="BB2267" s="60" t="s">
        <v>5345</v>
      </c>
      <c r="BC2267" s="66">
        <v>0</v>
      </c>
      <c r="BD2267" s="66">
        <v>0</v>
      </c>
      <c r="BE2267" s="90" t="s">
        <v>5346</v>
      </c>
      <c r="BF2267" s="90" t="s">
        <v>5347</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row>
    <row r="2268" spans="3:75" ht="18.75" customHeight="1">
      <c r="C2268" s="287">
        <v>77001801</v>
      </c>
      <c r="D2268" s="288" t="s">
        <v>5348</v>
      </c>
      <c r="E2268" s="288" t="s">
        <v>5349</v>
      </c>
      <c r="F2268" s="287">
        <v>1</v>
      </c>
      <c r="G2268" s="289">
        <v>0</v>
      </c>
      <c r="H2268" s="287">
        <v>0</v>
      </c>
      <c r="I2268" s="292">
        <v>0</v>
      </c>
      <c r="J2268" s="287">
        <v>1</v>
      </c>
      <c r="K2268" s="287">
        <v>0</v>
      </c>
      <c r="L2268" s="287">
        <v>0</v>
      </c>
      <c r="M2268" s="289">
        <v>0</v>
      </c>
      <c r="N2268" s="289">
        <v>0</v>
      </c>
      <c r="O2268" s="289">
        <v>2</v>
      </c>
      <c r="P2268" s="289">
        <v>2</v>
      </c>
      <c r="Q2268" s="289">
        <v>0.99</v>
      </c>
      <c r="R2268" s="289">
        <v>0</v>
      </c>
      <c r="S2268" s="295">
        <v>0</v>
      </c>
      <c r="T2268" s="289">
        <v>0</v>
      </c>
      <c r="U2268" s="289">
        <v>1</v>
      </c>
      <c r="V2268" s="289">
        <v>2</v>
      </c>
      <c r="W2268" s="289">
        <v>0</v>
      </c>
      <c r="X2268" s="289">
        <v>1.5</v>
      </c>
      <c r="Y2268" s="12">
        <v>0</v>
      </c>
      <c r="Z2268" s="289">
        <v>0</v>
      </c>
      <c r="AA2268" s="289">
        <v>1</v>
      </c>
      <c r="AB2268" s="289">
        <v>0</v>
      </c>
      <c r="AC2268" s="289">
        <v>0</v>
      </c>
      <c r="AD2268" s="289">
        <v>1</v>
      </c>
      <c r="AE2268" s="289">
        <v>0</v>
      </c>
      <c r="AF2268" s="289">
        <v>8</v>
      </c>
      <c r="AG2268" s="289">
        <v>1</v>
      </c>
      <c r="AH2268" s="289">
        <v>3</v>
      </c>
      <c r="AI2268" s="295">
        <v>3</v>
      </c>
      <c r="AJ2268" s="295">
        <v>1</v>
      </c>
      <c r="AK2268" s="295">
        <v>0</v>
      </c>
      <c r="AL2268" s="295">
        <v>1.5</v>
      </c>
      <c r="AM2268" s="289">
        <v>0</v>
      </c>
      <c r="AN2268" s="289">
        <v>0</v>
      </c>
      <c r="AO2268" s="289">
        <v>0</v>
      </c>
      <c r="AP2268" s="289">
        <v>0.8</v>
      </c>
      <c r="AQ2268" s="289">
        <v>6000</v>
      </c>
      <c r="AR2268" s="289">
        <v>0.8</v>
      </c>
      <c r="AS2268" s="289">
        <v>0</v>
      </c>
      <c r="AT2268" s="295">
        <v>0</v>
      </c>
      <c r="AU2268" s="371" t="s">
        <v>5350</v>
      </c>
      <c r="AV2268" s="296"/>
      <c r="AW2268" s="299" t="s">
        <v>199</v>
      </c>
      <c r="AX2268" s="289" t="s">
        <v>534</v>
      </c>
      <c r="AY2268" s="287">
        <v>0</v>
      </c>
      <c r="AZ2268" s="287">
        <v>77001801</v>
      </c>
      <c r="BA2268" s="288" t="s">
        <v>200</v>
      </c>
      <c r="BB2268" s="289" t="s">
        <v>5351</v>
      </c>
      <c r="BC2268" s="292">
        <v>0</v>
      </c>
      <c r="BD2268" s="292">
        <v>0</v>
      </c>
      <c r="BE2268" s="302" t="s">
        <v>5352</v>
      </c>
      <c r="BF2268" s="302" t="s">
        <v>5353</v>
      </c>
      <c r="BG2268" s="289">
        <v>0</v>
      </c>
      <c r="BH2268" s="289">
        <v>0</v>
      </c>
      <c r="BI2268" s="289">
        <v>0</v>
      </c>
      <c r="BJ2268" s="289">
        <v>0</v>
      </c>
      <c r="BK2268" s="289">
        <v>0</v>
      </c>
      <c r="BL2268" s="289">
        <v>0</v>
      </c>
      <c r="BM2268" s="304">
        <v>0</v>
      </c>
      <c r="BN2268" s="295">
        <v>0</v>
      </c>
      <c r="BO2268" s="295">
        <v>0</v>
      </c>
      <c r="BP2268" s="295">
        <v>0</v>
      </c>
      <c r="BQ2268" s="295">
        <v>0</v>
      </c>
      <c r="BR2268" s="295">
        <v>0</v>
      </c>
      <c r="BS2268" s="295">
        <v>0</v>
      </c>
      <c r="BT2268" s="295">
        <v>0</v>
      </c>
      <c r="BU2268" s="47">
        <v>0</v>
      </c>
      <c r="BV2268" s="47"/>
      <c r="BW2268" s="47"/>
    </row>
    <row r="2269" spans="3:75" ht="19.5" customHeight="1">
      <c r="C2269" s="287">
        <v>77001802</v>
      </c>
      <c r="D2269" s="288" t="s">
        <v>5354</v>
      </c>
      <c r="E2269" s="288" t="s">
        <v>5355</v>
      </c>
      <c r="F2269" s="287">
        <v>1</v>
      </c>
      <c r="G2269" s="289">
        <v>0</v>
      </c>
      <c r="H2269" s="287">
        <v>0</v>
      </c>
      <c r="I2269" s="292">
        <v>0</v>
      </c>
      <c r="J2269" s="287">
        <v>1</v>
      </c>
      <c r="K2269" s="287">
        <v>0</v>
      </c>
      <c r="L2269" s="287">
        <v>0</v>
      </c>
      <c r="M2269" s="289">
        <v>0</v>
      </c>
      <c r="N2269" s="289">
        <v>0</v>
      </c>
      <c r="O2269" s="304">
        <v>2</v>
      </c>
      <c r="P2269" s="289">
        <v>2</v>
      </c>
      <c r="Q2269" s="289">
        <v>0.7</v>
      </c>
      <c r="R2269" s="289">
        <v>0</v>
      </c>
      <c r="S2269" s="295">
        <v>0</v>
      </c>
      <c r="T2269" s="289">
        <v>0</v>
      </c>
      <c r="U2269" s="289">
        <v>1</v>
      </c>
      <c r="V2269" s="289">
        <v>1</v>
      </c>
      <c r="W2269" s="289">
        <v>0</v>
      </c>
      <c r="X2269" s="289">
        <v>0</v>
      </c>
      <c r="Y2269" s="12">
        <v>0</v>
      </c>
      <c r="Z2269" s="289">
        <v>0</v>
      </c>
      <c r="AA2269" s="289">
        <v>0</v>
      </c>
      <c r="AB2269" s="289">
        <v>0</v>
      </c>
      <c r="AC2269" s="289">
        <v>0</v>
      </c>
      <c r="AD2269" s="304">
        <v>0</v>
      </c>
      <c r="AE2269" s="289">
        <v>1</v>
      </c>
      <c r="AF2269" s="289">
        <v>20</v>
      </c>
      <c r="AG2269" s="289">
        <v>1</v>
      </c>
      <c r="AH2269" s="289">
        <v>2</v>
      </c>
      <c r="AI2269" s="295">
        <v>0</v>
      </c>
      <c r="AJ2269" s="295">
        <v>1</v>
      </c>
      <c r="AK2269" s="295">
        <v>0</v>
      </c>
      <c r="AL2269" s="295">
        <v>0</v>
      </c>
      <c r="AM2269" s="289">
        <v>0</v>
      </c>
      <c r="AN2269" s="289">
        <v>0</v>
      </c>
      <c r="AO2269" s="289">
        <v>0</v>
      </c>
      <c r="AP2269" s="289">
        <v>0</v>
      </c>
      <c r="AQ2269" s="289">
        <v>1000</v>
      </c>
      <c r="AR2269" s="289">
        <v>0</v>
      </c>
      <c r="AS2269" s="289">
        <v>0</v>
      </c>
      <c r="AT2269" s="295">
        <v>0</v>
      </c>
      <c r="AU2269" s="289">
        <v>0</v>
      </c>
      <c r="AV2269" s="289"/>
      <c r="AW2269" s="299" t="s">
        <v>287</v>
      </c>
      <c r="AX2269" s="289" t="s">
        <v>545</v>
      </c>
      <c r="AY2269" s="287">
        <v>0</v>
      </c>
      <c r="AZ2269" s="287">
        <v>0</v>
      </c>
      <c r="BA2269" s="288" t="s">
        <v>528</v>
      </c>
      <c r="BB2269" s="289" t="s">
        <v>5356</v>
      </c>
      <c r="BC2269" s="292">
        <v>0</v>
      </c>
      <c r="BD2269" s="292">
        <v>0</v>
      </c>
      <c r="BE2269" s="302" t="s">
        <v>5357</v>
      </c>
      <c r="BF2269" s="302" t="s">
        <v>5358</v>
      </c>
      <c r="BG2269" s="289">
        <v>0</v>
      </c>
      <c r="BH2269" s="289">
        <v>0</v>
      </c>
      <c r="BI2269" s="289">
        <v>0</v>
      </c>
      <c r="BJ2269" s="289">
        <v>0</v>
      </c>
      <c r="BK2269" s="289">
        <v>0</v>
      </c>
      <c r="BL2269" s="289">
        <v>0</v>
      </c>
      <c r="BM2269" s="304">
        <v>0</v>
      </c>
      <c r="BN2269" s="295">
        <v>0</v>
      </c>
      <c r="BO2269" s="295">
        <v>0</v>
      </c>
      <c r="BP2269" s="295">
        <v>0</v>
      </c>
      <c r="BQ2269" s="295">
        <v>0</v>
      </c>
      <c r="BR2269" s="295">
        <v>0</v>
      </c>
      <c r="BS2269" s="295">
        <v>0</v>
      </c>
      <c r="BT2269" s="295">
        <v>0</v>
      </c>
      <c r="BU2269" s="47">
        <v>0</v>
      </c>
      <c r="BV2269" s="47"/>
      <c r="BW2269" s="47"/>
    </row>
    <row r="2270" spans="3:75" ht="19.5" customHeight="1">
      <c r="C2270" s="287">
        <v>77001803</v>
      </c>
      <c r="D2270" s="288" t="s">
        <v>5359</v>
      </c>
      <c r="E2270" s="288" t="s">
        <v>5360</v>
      </c>
      <c r="F2270" s="287">
        <v>1</v>
      </c>
      <c r="G2270" s="289">
        <v>0</v>
      </c>
      <c r="H2270" s="287">
        <v>0</v>
      </c>
      <c r="I2270" s="292">
        <v>0</v>
      </c>
      <c r="J2270" s="287">
        <v>1</v>
      </c>
      <c r="K2270" s="287">
        <v>0</v>
      </c>
      <c r="L2270" s="287">
        <v>0</v>
      </c>
      <c r="M2270" s="289">
        <v>0</v>
      </c>
      <c r="N2270" s="289">
        <v>0</v>
      </c>
      <c r="O2270" s="289">
        <v>2</v>
      </c>
      <c r="P2270" s="289" t="s">
        <v>5196</v>
      </c>
      <c r="Q2270" s="289" t="s">
        <v>5197</v>
      </c>
      <c r="R2270" s="289">
        <v>0</v>
      </c>
      <c r="S2270" s="295">
        <v>0</v>
      </c>
      <c r="T2270" s="289">
        <v>0</v>
      </c>
      <c r="U2270" s="289">
        <v>1</v>
      </c>
      <c r="V2270" s="289">
        <v>2</v>
      </c>
      <c r="W2270" s="289">
        <v>0</v>
      </c>
      <c r="X2270" s="289">
        <v>2</v>
      </c>
      <c r="Y2270" s="12">
        <v>0</v>
      </c>
      <c r="Z2270" s="289">
        <v>0</v>
      </c>
      <c r="AA2270" s="289">
        <v>0</v>
      </c>
      <c r="AB2270" s="289">
        <v>0</v>
      </c>
      <c r="AC2270" s="289">
        <v>0</v>
      </c>
      <c r="AD2270" s="289">
        <v>0</v>
      </c>
      <c r="AE2270" s="289">
        <v>1</v>
      </c>
      <c r="AF2270" s="289">
        <v>24</v>
      </c>
      <c r="AG2270" s="289">
        <v>1</v>
      </c>
      <c r="AH2270" s="289">
        <v>2</v>
      </c>
      <c r="AI2270" s="295">
        <v>0</v>
      </c>
      <c r="AJ2270" s="295">
        <v>2</v>
      </c>
      <c r="AK2270" s="295">
        <v>0</v>
      </c>
      <c r="AL2270" s="295">
        <v>2</v>
      </c>
      <c r="AM2270" s="289">
        <v>0</v>
      </c>
      <c r="AN2270" s="289">
        <v>0</v>
      </c>
      <c r="AO2270" s="289">
        <v>0</v>
      </c>
      <c r="AP2270" s="289">
        <v>3</v>
      </c>
      <c r="AQ2270" s="289">
        <v>12000</v>
      </c>
      <c r="AR2270" s="289">
        <v>1</v>
      </c>
      <c r="AS2270" s="289">
        <v>2</v>
      </c>
      <c r="AT2270" s="373" t="s">
        <v>5361</v>
      </c>
      <c r="AU2270" s="371" t="s">
        <v>5362</v>
      </c>
      <c r="AV2270" s="296"/>
      <c r="AW2270" s="288" t="s">
        <v>199</v>
      </c>
      <c r="AX2270" s="289" t="s">
        <v>534</v>
      </c>
      <c r="AY2270" s="287">
        <v>10000007</v>
      </c>
      <c r="AZ2270" s="372" t="s">
        <v>5363</v>
      </c>
      <c r="BA2270" s="288" t="s">
        <v>586</v>
      </c>
      <c r="BB2270" s="289" t="s">
        <v>5364</v>
      </c>
      <c r="BC2270" s="292">
        <v>0</v>
      </c>
      <c r="BD2270" s="292">
        <v>0</v>
      </c>
      <c r="BE2270" s="302" t="s">
        <v>5365</v>
      </c>
      <c r="BF2270" s="302" t="s">
        <v>5366</v>
      </c>
      <c r="BG2270" s="289">
        <v>0</v>
      </c>
      <c r="BH2270" s="289">
        <v>0</v>
      </c>
      <c r="BI2270" s="289">
        <v>0</v>
      </c>
      <c r="BJ2270" s="289">
        <v>0</v>
      </c>
      <c r="BK2270" s="289">
        <v>0</v>
      </c>
      <c r="BL2270" s="289">
        <v>0</v>
      </c>
      <c r="BM2270" s="304">
        <v>0</v>
      </c>
      <c r="BN2270" s="295">
        <v>0</v>
      </c>
      <c r="BO2270" s="295">
        <v>0</v>
      </c>
      <c r="BP2270" s="295">
        <v>0</v>
      </c>
      <c r="BQ2270" s="295">
        <v>0</v>
      </c>
      <c r="BR2270" s="295">
        <v>0</v>
      </c>
      <c r="BS2270" s="295">
        <v>0</v>
      </c>
      <c r="BT2270" s="295">
        <v>0</v>
      </c>
      <c r="BU2270" s="47">
        <v>0</v>
      </c>
      <c r="BV2270" s="47"/>
      <c r="BW2270" s="47"/>
    </row>
    <row r="2271" spans="3:75" ht="19.5" customHeight="1">
      <c r="C2271" s="287">
        <v>77001804</v>
      </c>
      <c r="D2271" s="288" t="s">
        <v>5367</v>
      </c>
      <c r="E2271" s="288" t="s">
        <v>5368</v>
      </c>
      <c r="F2271" s="287">
        <v>1</v>
      </c>
      <c r="G2271" s="289">
        <v>0</v>
      </c>
      <c r="H2271" s="287">
        <v>0</v>
      </c>
      <c r="I2271" s="292">
        <v>0</v>
      </c>
      <c r="J2271" s="287">
        <v>1</v>
      </c>
      <c r="K2271" s="287">
        <v>0</v>
      </c>
      <c r="L2271" s="287">
        <v>0</v>
      </c>
      <c r="M2271" s="289">
        <v>0</v>
      </c>
      <c r="N2271" s="289">
        <v>0</v>
      </c>
      <c r="O2271" s="289">
        <v>2</v>
      </c>
      <c r="P2271" s="289">
        <v>2</v>
      </c>
      <c r="Q2271" s="289">
        <v>0.5</v>
      </c>
      <c r="R2271" s="289">
        <v>1</v>
      </c>
      <c r="S2271" s="295">
        <v>1</v>
      </c>
      <c r="T2271" s="289">
        <v>0</v>
      </c>
      <c r="U2271" s="289">
        <v>1</v>
      </c>
      <c r="V2271" s="289">
        <v>2</v>
      </c>
      <c r="W2271" s="289">
        <v>0</v>
      </c>
      <c r="X2271" s="289">
        <v>2.5</v>
      </c>
      <c r="Y2271" s="12">
        <v>0</v>
      </c>
      <c r="Z2271" s="289">
        <v>0</v>
      </c>
      <c r="AA2271" s="289">
        <v>1</v>
      </c>
      <c r="AB2271" s="289">
        <v>0</v>
      </c>
      <c r="AC2271" s="289">
        <v>0</v>
      </c>
      <c r="AD2271" s="289">
        <v>0</v>
      </c>
      <c r="AE2271" s="289">
        <v>1</v>
      </c>
      <c r="AF2271" s="289">
        <v>0</v>
      </c>
      <c r="AG2271" s="289">
        <v>1</v>
      </c>
      <c r="AH2271" s="289">
        <v>4</v>
      </c>
      <c r="AI2271" s="295">
        <v>1</v>
      </c>
      <c r="AJ2271" s="295">
        <v>1</v>
      </c>
      <c r="AK2271" s="295">
        <v>0</v>
      </c>
      <c r="AL2271" s="295">
        <v>3</v>
      </c>
      <c r="AM2271" s="289">
        <v>0</v>
      </c>
      <c r="AN2271" s="289">
        <v>0</v>
      </c>
      <c r="AO2271" s="289">
        <v>0</v>
      </c>
      <c r="AP2271" s="289">
        <v>0</v>
      </c>
      <c r="AQ2271" s="289">
        <v>3000</v>
      </c>
      <c r="AR2271" s="289">
        <v>1</v>
      </c>
      <c r="AS2271" s="289">
        <v>0</v>
      </c>
      <c r="AT2271" s="295">
        <v>0</v>
      </c>
      <c r="AU2271" s="371" t="s">
        <v>5369</v>
      </c>
      <c r="AV2271" s="296"/>
      <c r="AW2271" s="299" t="s">
        <v>287</v>
      </c>
      <c r="AX2271" s="289" t="s">
        <v>534</v>
      </c>
      <c r="AY2271" s="287">
        <v>0</v>
      </c>
      <c r="AZ2271" s="287">
        <v>77001803</v>
      </c>
      <c r="BA2271" s="288" t="s">
        <v>200</v>
      </c>
      <c r="BB2271" s="289">
        <v>0</v>
      </c>
      <c r="BC2271" s="292">
        <v>0</v>
      </c>
      <c r="BD2271" s="292">
        <v>0</v>
      </c>
      <c r="BE2271" s="302" t="s">
        <v>5370</v>
      </c>
      <c r="BF2271" s="302" t="s">
        <v>5371</v>
      </c>
      <c r="BG2271" s="289">
        <v>0</v>
      </c>
      <c r="BH2271" s="289">
        <v>0</v>
      </c>
      <c r="BI2271" s="289">
        <v>0</v>
      </c>
      <c r="BJ2271" s="289">
        <v>0</v>
      </c>
      <c r="BK2271" s="289">
        <v>0</v>
      </c>
      <c r="BL2271" s="289">
        <v>0</v>
      </c>
      <c r="BM2271" s="304">
        <v>0</v>
      </c>
      <c r="BN2271" s="295">
        <v>0</v>
      </c>
      <c r="BO2271" s="295">
        <v>0</v>
      </c>
      <c r="BP2271" s="295">
        <v>0</v>
      </c>
      <c r="BQ2271" s="295">
        <v>0</v>
      </c>
      <c r="BR2271" s="295">
        <v>0</v>
      </c>
      <c r="BS2271" s="295">
        <v>0</v>
      </c>
      <c r="BT2271" s="295">
        <v>77001806</v>
      </c>
      <c r="BU2271" s="47">
        <v>0</v>
      </c>
      <c r="BV2271" s="47"/>
      <c r="BW2271" s="47"/>
    </row>
    <row r="2272" spans="3:75" ht="19.5" customHeight="1">
      <c r="C2272" s="287">
        <v>77001805</v>
      </c>
      <c r="D2272" s="288" t="s">
        <v>5359</v>
      </c>
      <c r="E2272" s="288" t="s">
        <v>5360</v>
      </c>
      <c r="F2272" s="287">
        <v>1</v>
      </c>
      <c r="G2272" s="289">
        <v>0</v>
      </c>
      <c r="H2272" s="287">
        <v>0</v>
      </c>
      <c r="I2272" s="292">
        <v>0</v>
      </c>
      <c r="J2272" s="287">
        <v>1</v>
      </c>
      <c r="K2272" s="287">
        <v>0</v>
      </c>
      <c r="L2272" s="287">
        <v>0</v>
      </c>
      <c r="M2272" s="289">
        <v>0</v>
      </c>
      <c r="N2272" s="289">
        <v>0</v>
      </c>
      <c r="O2272" s="289">
        <v>2</v>
      </c>
      <c r="P2272" s="289">
        <v>1</v>
      </c>
      <c r="Q2272" s="289">
        <v>1</v>
      </c>
      <c r="R2272" s="289">
        <v>1</v>
      </c>
      <c r="S2272" s="295">
        <v>0</v>
      </c>
      <c r="T2272" s="289">
        <v>0</v>
      </c>
      <c r="U2272" s="289">
        <v>1</v>
      </c>
      <c r="V2272" s="289">
        <v>2</v>
      </c>
      <c r="W2272" s="289">
        <v>0</v>
      </c>
      <c r="X2272" s="289">
        <v>1.5</v>
      </c>
      <c r="Y2272" s="12">
        <v>0</v>
      </c>
      <c r="Z2272" s="289">
        <v>0</v>
      </c>
      <c r="AA2272" s="289">
        <v>0</v>
      </c>
      <c r="AB2272" s="289">
        <v>0</v>
      </c>
      <c r="AC2272" s="289">
        <v>0</v>
      </c>
      <c r="AD2272" s="289">
        <v>0</v>
      </c>
      <c r="AE2272" s="289">
        <v>1</v>
      </c>
      <c r="AF2272" s="289">
        <v>35</v>
      </c>
      <c r="AG2272" s="289">
        <v>1</v>
      </c>
      <c r="AH2272" s="289">
        <v>2</v>
      </c>
      <c r="AI2272" s="295">
        <v>0</v>
      </c>
      <c r="AJ2272" s="295">
        <v>2</v>
      </c>
      <c r="AK2272" s="295">
        <v>0</v>
      </c>
      <c r="AL2272" s="295">
        <v>2</v>
      </c>
      <c r="AM2272" s="289">
        <v>0</v>
      </c>
      <c r="AN2272" s="289">
        <v>0</v>
      </c>
      <c r="AO2272" s="289">
        <v>0</v>
      </c>
      <c r="AP2272" s="289">
        <v>0</v>
      </c>
      <c r="AQ2272" s="289">
        <v>12000</v>
      </c>
      <c r="AR2272" s="289">
        <v>1</v>
      </c>
      <c r="AS2272" s="289">
        <v>2</v>
      </c>
      <c r="AT2272" s="297">
        <v>0</v>
      </c>
      <c r="AU2272" s="371" t="s">
        <v>5372</v>
      </c>
      <c r="AV2272" s="296"/>
      <c r="AW2272" s="288" t="s">
        <v>199</v>
      </c>
      <c r="AX2272" s="289" t="s">
        <v>534</v>
      </c>
      <c r="AY2272" s="287">
        <v>10000007</v>
      </c>
      <c r="AZ2272" s="372" t="s">
        <v>5363</v>
      </c>
      <c r="BA2272" s="288" t="s">
        <v>586</v>
      </c>
      <c r="BB2272" s="289" t="s">
        <v>5373</v>
      </c>
      <c r="BC2272" s="292">
        <v>0</v>
      </c>
      <c r="BD2272" s="292">
        <v>0</v>
      </c>
      <c r="BE2272" s="302" t="s">
        <v>5374</v>
      </c>
      <c r="BF2272" s="302" t="s">
        <v>5375</v>
      </c>
      <c r="BG2272" s="289">
        <v>0</v>
      </c>
      <c r="BH2272" s="289">
        <v>0</v>
      </c>
      <c r="BI2272" s="289">
        <v>0</v>
      </c>
      <c r="BJ2272" s="289">
        <v>0</v>
      </c>
      <c r="BK2272" s="289">
        <v>0</v>
      </c>
      <c r="BL2272" s="289">
        <v>0</v>
      </c>
      <c r="BM2272" s="304">
        <v>0</v>
      </c>
      <c r="BN2272" s="295">
        <v>0</v>
      </c>
      <c r="BO2272" s="295">
        <v>0</v>
      </c>
      <c r="BP2272" s="295">
        <v>0</v>
      </c>
      <c r="BQ2272" s="295">
        <v>0</v>
      </c>
      <c r="BR2272" s="295">
        <v>0</v>
      </c>
      <c r="BS2272" s="295">
        <v>0</v>
      </c>
      <c r="BT2272" s="295">
        <v>0</v>
      </c>
      <c r="BU2272" s="47">
        <v>0</v>
      </c>
      <c r="BV2272" s="47"/>
      <c r="BW2272" s="47"/>
    </row>
    <row r="2273" spans="3:75" ht="19.5" customHeight="1">
      <c r="C2273" s="287">
        <v>77001806</v>
      </c>
      <c r="D2273" s="288" t="s">
        <v>5376</v>
      </c>
      <c r="E2273" s="288" t="s">
        <v>5377</v>
      </c>
      <c r="F2273" s="287">
        <v>1</v>
      </c>
      <c r="G2273" s="289">
        <v>0</v>
      </c>
      <c r="H2273" s="287">
        <v>0</v>
      </c>
      <c r="I2273" s="292">
        <v>0</v>
      </c>
      <c r="J2273" s="287">
        <v>1</v>
      </c>
      <c r="K2273" s="287">
        <v>0</v>
      </c>
      <c r="L2273" s="287">
        <v>0</v>
      </c>
      <c r="M2273" s="289">
        <v>0</v>
      </c>
      <c r="N2273" s="289">
        <v>0</v>
      </c>
      <c r="O2273" s="304">
        <v>2</v>
      </c>
      <c r="P2273" s="289">
        <v>2</v>
      </c>
      <c r="Q2273" s="289">
        <v>0.7</v>
      </c>
      <c r="R2273" s="289">
        <v>0</v>
      </c>
      <c r="S2273" s="295">
        <v>0</v>
      </c>
      <c r="T2273" s="289">
        <v>0</v>
      </c>
      <c r="U2273" s="289">
        <v>1</v>
      </c>
      <c r="V2273" s="289">
        <v>1</v>
      </c>
      <c r="W2273" s="289">
        <v>0</v>
      </c>
      <c r="X2273" s="289">
        <v>0</v>
      </c>
      <c r="Y2273" s="12">
        <v>0</v>
      </c>
      <c r="Z2273" s="289">
        <v>0</v>
      </c>
      <c r="AA2273" s="289">
        <v>0</v>
      </c>
      <c r="AB2273" s="289">
        <v>0</v>
      </c>
      <c r="AC2273" s="289">
        <v>0</v>
      </c>
      <c r="AD2273" s="304">
        <v>0</v>
      </c>
      <c r="AE2273" s="289">
        <v>1</v>
      </c>
      <c r="AF2273" s="289">
        <v>40</v>
      </c>
      <c r="AG2273" s="289">
        <v>1</v>
      </c>
      <c r="AH2273" s="289">
        <v>2</v>
      </c>
      <c r="AI2273" s="295">
        <v>0</v>
      </c>
      <c r="AJ2273" s="295">
        <v>1</v>
      </c>
      <c r="AK2273" s="295">
        <v>0</v>
      </c>
      <c r="AL2273" s="295">
        <v>0</v>
      </c>
      <c r="AM2273" s="289">
        <v>0</v>
      </c>
      <c r="AN2273" s="289">
        <v>0</v>
      </c>
      <c r="AO2273" s="289">
        <v>0</v>
      </c>
      <c r="AP2273" s="289">
        <v>0</v>
      </c>
      <c r="AQ2273" s="289">
        <v>1000</v>
      </c>
      <c r="AR2273" s="289">
        <v>0</v>
      </c>
      <c r="AS2273" s="289">
        <v>0</v>
      </c>
      <c r="AT2273" s="295">
        <v>0</v>
      </c>
      <c r="AU2273" s="289" t="s">
        <v>198</v>
      </c>
      <c r="AV2273" s="289"/>
      <c r="AW2273" s="299" t="s">
        <v>287</v>
      </c>
      <c r="AX2273" s="289" t="s">
        <v>545</v>
      </c>
      <c r="AY2273" s="287">
        <v>0</v>
      </c>
      <c r="AZ2273" s="287">
        <v>0</v>
      </c>
      <c r="BA2273" s="288" t="s">
        <v>528</v>
      </c>
      <c r="BB2273" s="289" t="s">
        <v>5378</v>
      </c>
      <c r="BC2273" s="292">
        <v>0</v>
      </c>
      <c r="BD2273" s="292">
        <v>0</v>
      </c>
      <c r="BE2273" s="302" t="s">
        <v>5379</v>
      </c>
      <c r="BF2273" s="302" t="s">
        <v>5380</v>
      </c>
      <c r="BG2273" s="289">
        <v>0</v>
      </c>
      <c r="BH2273" s="289">
        <v>0</v>
      </c>
      <c r="BI2273" s="289">
        <v>0</v>
      </c>
      <c r="BJ2273" s="289">
        <v>0</v>
      </c>
      <c r="BK2273" s="289">
        <v>0</v>
      </c>
      <c r="BL2273" s="289">
        <v>0</v>
      </c>
      <c r="BM2273" s="304">
        <v>0</v>
      </c>
      <c r="BN2273" s="295">
        <v>0</v>
      </c>
      <c r="BO2273" s="295">
        <v>0</v>
      </c>
      <c r="BP2273" s="295">
        <v>0</v>
      </c>
      <c r="BQ2273" s="295">
        <v>0</v>
      </c>
      <c r="BR2273" s="295">
        <v>0</v>
      </c>
      <c r="BS2273" s="295">
        <v>0</v>
      </c>
      <c r="BT2273" s="295">
        <v>0</v>
      </c>
      <c r="BU2273" s="47">
        <v>0</v>
      </c>
      <c r="BV2273" s="47"/>
      <c r="BW2273" s="47"/>
    </row>
    <row r="2274" spans="3:75" ht="19.5" customHeight="1">
      <c r="C2274" s="287">
        <v>77001807</v>
      </c>
      <c r="D2274" s="288" t="s">
        <v>5381</v>
      </c>
      <c r="E2274" s="288" t="s">
        <v>5382</v>
      </c>
      <c r="F2274" s="289">
        <v>1</v>
      </c>
      <c r="G2274" s="289">
        <v>0</v>
      </c>
      <c r="H2274" s="289">
        <v>0</v>
      </c>
      <c r="I2274" s="292">
        <v>0</v>
      </c>
      <c r="J2274" s="287">
        <v>1</v>
      </c>
      <c r="K2274" s="287">
        <v>0</v>
      </c>
      <c r="L2274" s="287">
        <v>0</v>
      </c>
      <c r="M2274" s="289">
        <v>0</v>
      </c>
      <c r="N2274" s="289">
        <v>0</v>
      </c>
      <c r="O2274" s="289">
        <v>2</v>
      </c>
      <c r="P2274" s="289" t="s">
        <v>5383</v>
      </c>
      <c r="Q2274" s="289" t="s">
        <v>5384</v>
      </c>
      <c r="R2274" s="289">
        <v>0</v>
      </c>
      <c r="S2274" s="295">
        <v>0</v>
      </c>
      <c r="T2274" s="289">
        <v>0</v>
      </c>
      <c r="U2274" s="289">
        <v>1</v>
      </c>
      <c r="V2274" s="289">
        <v>1</v>
      </c>
      <c r="W2274" s="289">
        <v>0</v>
      </c>
      <c r="X2274" s="289">
        <v>0</v>
      </c>
      <c r="Y2274" s="12">
        <v>0</v>
      </c>
      <c r="Z2274" s="289">
        <v>0</v>
      </c>
      <c r="AA2274" s="289">
        <v>0</v>
      </c>
      <c r="AB2274" s="289">
        <v>0</v>
      </c>
      <c r="AC2274" s="289">
        <v>0</v>
      </c>
      <c r="AD2274" s="289">
        <v>0</v>
      </c>
      <c r="AE2274" s="289">
        <v>1</v>
      </c>
      <c r="AF2274" s="289">
        <v>0</v>
      </c>
      <c r="AG2274" s="289">
        <v>2</v>
      </c>
      <c r="AH2274" s="289" t="s">
        <v>213</v>
      </c>
      <c r="AI2274" s="295">
        <v>0</v>
      </c>
      <c r="AJ2274" s="295">
        <v>2</v>
      </c>
      <c r="AK2274" s="295">
        <v>0</v>
      </c>
      <c r="AL2274" s="295">
        <v>1.5</v>
      </c>
      <c r="AM2274" s="289">
        <v>0</v>
      </c>
      <c r="AN2274" s="289">
        <v>0</v>
      </c>
      <c r="AO2274" s="289">
        <v>0</v>
      </c>
      <c r="AP2274" s="289">
        <v>0.3</v>
      </c>
      <c r="AQ2274" s="289">
        <v>300</v>
      </c>
      <c r="AR2274" s="289">
        <v>0</v>
      </c>
      <c r="AS2274" s="289">
        <v>15</v>
      </c>
      <c r="AT2274" s="295">
        <v>0</v>
      </c>
      <c r="AU2274" s="296">
        <v>0</v>
      </c>
      <c r="AV2274" s="296"/>
      <c r="AW2274" s="288" t="s">
        <v>199</v>
      </c>
      <c r="AX2274" s="289" t="s">
        <v>215</v>
      </c>
      <c r="AY2274" s="287">
        <v>0</v>
      </c>
      <c r="AZ2274" s="287">
        <v>0</v>
      </c>
      <c r="BA2274" s="308" t="s">
        <v>216</v>
      </c>
      <c r="BB2274" s="289">
        <v>1</v>
      </c>
      <c r="BC2274" s="292">
        <v>0</v>
      </c>
      <c r="BD2274" s="292">
        <v>0</v>
      </c>
      <c r="BE2274" s="302" t="s">
        <v>5385</v>
      </c>
      <c r="BF2274" s="302" t="s">
        <v>5386</v>
      </c>
      <c r="BG2274" s="289">
        <v>0</v>
      </c>
      <c r="BH2274" s="289">
        <v>0</v>
      </c>
      <c r="BI2274" s="289">
        <v>0</v>
      </c>
      <c r="BJ2274" s="289">
        <v>0</v>
      </c>
      <c r="BK2274" s="289">
        <v>0</v>
      </c>
      <c r="BL2274" s="289">
        <v>0</v>
      </c>
      <c r="BM2274" s="304">
        <v>0</v>
      </c>
      <c r="BN2274" s="295">
        <v>0</v>
      </c>
      <c r="BO2274" s="295">
        <v>0</v>
      </c>
      <c r="BP2274" s="295">
        <v>0</v>
      </c>
      <c r="BQ2274" s="295">
        <v>0</v>
      </c>
      <c r="BR2274" s="295">
        <v>0</v>
      </c>
      <c r="BS2274" s="295">
        <v>1</v>
      </c>
      <c r="BT2274" s="295">
        <v>77001808</v>
      </c>
      <c r="BU2274" s="47">
        <v>0</v>
      </c>
      <c r="BV2274" s="47"/>
      <c r="BW2274" s="47"/>
    </row>
    <row r="2275" spans="3:75" ht="20.100000000000001" customHeight="1">
      <c r="C2275" s="287">
        <v>77001808</v>
      </c>
      <c r="D2275" s="288" t="s">
        <v>5381</v>
      </c>
      <c r="E2275" s="288" t="s">
        <v>5382</v>
      </c>
      <c r="F2275" s="289">
        <v>1</v>
      </c>
      <c r="G2275" s="289">
        <v>0</v>
      </c>
      <c r="H2275" s="289">
        <v>0</v>
      </c>
      <c r="I2275" s="292">
        <v>0</v>
      </c>
      <c r="J2275" s="287">
        <v>1</v>
      </c>
      <c r="K2275" s="287">
        <v>0</v>
      </c>
      <c r="L2275" s="287">
        <v>0</v>
      </c>
      <c r="M2275" s="289">
        <v>0</v>
      </c>
      <c r="N2275" s="289">
        <v>0</v>
      </c>
      <c r="O2275" s="289">
        <v>2</v>
      </c>
      <c r="P2275" s="289">
        <v>3</v>
      </c>
      <c r="Q2275" s="289">
        <v>0.2</v>
      </c>
      <c r="R2275" s="289">
        <v>0</v>
      </c>
      <c r="S2275" s="295">
        <v>0</v>
      </c>
      <c r="T2275" s="289">
        <v>0</v>
      </c>
      <c r="U2275" s="289">
        <v>1</v>
      </c>
      <c r="V2275" s="289">
        <v>2</v>
      </c>
      <c r="W2275" s="289">
        <v>0</v>
      </c>
      <c r="X2275" s="289">
        <v>1.5</v>
      </c>
      <c r="Y2275" s="12">
        <v>0</v>
      </c>
      <c r="Z2275" s="289">
        <v>0</v>
      </c>
      <c r="AA2275" s="289">
        <v>1</v>
      </c>
      <c r="AB2275" s="289">
        <v>0</v>
      </c>
      <c r="AC2275" s="289">
        <v>0</v>
      </c>
      <c r="AD2275" s="289">
        <v>0</v>
      </c>
      <c r="AE2275" s="289">
        <v>1</v>
      </c>
      <c r="AF2275" s="289">
        <v>0</v>
      </c>
      <c r="AG2275" s="289">
        <v>1</v>
      </c>
      <c r="AH2275" s="289">
        <v>3</v>
      </c>
      <c r="AI2275" s="295">
        <v>0</v>
      </c>
      <c r="AJ2275" s="295">
        <v>1</v>
      </c>
      <c r="AK2275" s="295">
        <v>0</v>
      </c>
      <c r="AL2275" s="295">
        <v>3</v>
      </c>
      <c r="AM2275" s="289">
        <v>0</v>
      </c>
      <c r="AN2275" s="289">
        <v>0</v>
      </c>
      <c r="AO2275" s="289">
        <v>0</v>
      </c>
      <c r="AP2275" s="289">
        <v>0.8</v>
      </c>
      <c r="AQ2275" s="289">
        <v>2000</v>
      </c>
      <c r="AR2275" s="289">
        <v>0.8</v>
      </c>
      <c r="AS2275" s="289">
        <v>0</v>
      </c>
      <c r="AT2275" s="295">
        <v>0</v>
      </c>
      <c r="AU2275" s="371" t="s">
        <v>5387</v>
      </c>
      <c r="AV2275" s="296"/>
      <c r="AW2275" s="288" t="s">
        <v>198</v>
      </c>
      <c r="AX2275" s="289" t="s">
        <v>215</v>
      </c>
      <c r="AY2275" s="287">
        <v>10000011</v>
      </c>
      <c r="AZ2275" s="287">
        <v>77001801</v>
      </c>
      <c r="BA2275" s="299" t="s">
        <v>200</v>
      </c>
      <c r="BB2275" s="289">
        <v>0</v>
      </c>
      <c r="BC2275" s="292">
        <v>0</v>
      </c>
      <c r="BD2275" s="292">
        <v>0</v>
      </c>
      <c r="BE2275" s="302" t="s">
        <v>5388</v>
      </c>
      <c r="BF2275" s="302" t="s">
        <v>5389</v>
      </c>
      <c r="BG2275" s="289">
        <v>0</v>
      </c>
      <c r="BH2275" s="289">
        <v>0</v>
      </c>
      <c r="BI2275" s="289">
        <v>0</v>
      </c>
      <c r="BJ2275" s="289">
        <v>0</v>
      </c>
      <c r="BK2275" s="289">
        <v>0</v>
      </c>
      <c r="BL2275" s="289">
        <v>0</v>
      </c>
      <c r="BM2275" s="304">
        <v>0</v>
      </c>
      <c r="BN2275" s="295">
        <v>0</v>
      </c>
      <c r="BO2275" s="295">
        <v>0</v>
      </c>
      <c r="BP2275" s="295">
        <v>0</v>
      </c>
      <c r="BQ2275" s="295">
        <v>0</v>
      </c>
      <c r="BR2275" s="295">
        <v>0</v>
      </c>
      <c r="BS2275" s="295">
        <v>0</v>
      </c>
      <c r="BT2275" s="295">
        <v>0</v>
      </c>
      <c r="BU2275" s="47">
        <v>0</v>
      </c>
      <c r="BV2275" s="47"/>
      <c r="BW2275" s="47"/>
    </row>
    <row r="2276" spans="3:75" ht="19.5" customHeight="1">
      <c r="C2276" s="287">
        <v>77001809</v>
      </c>
      <c r="D2276" s="288" t="s">
        <v>5390</v>
      </c>
      <c r="E2276" s="288" t="s">
        <v>5391</v>
      </c>
      <c r="F2276" s="287">
        <v>1</v>
      </c>
      <c r="G2276" s="287">
        <v>80004009</v>
      </c>
      <c r="H2276" s="287">
        <v>0</v>
      </c>
      <c r="I2276" s="292">
        <v>0</v>
      </c>
      <c r="J2276" s="287">
        <v>1</v>
      </c>
      <c r="K2276" s="287">
        <v>0</v>
      </c>
      <c r="L2276" s="287">
        <v>0</v>
      </c>
      <c r="M2276" s="289">
        <v>0</v>
      </c>
      <c r="N2276" s="289">
        <v>0</v>
      </c>
      <c r="O2276" s="289">
        <v>2</v>
      </c>
      <c r="P2276" s="289">
        <v>16</v>
      </c>
      <c r="Q2276" s="289">
        <v>5</v>
      </c>
      <c r="R2276" s="289">
        <v>0</v>
      </c>
      <c r="S2276" s="295">
        <v>0</v>
      </c>
      <c r="T2276" s="289">
        <v>0</v>
      </c>
      <c r="U2276" s="289">
        <v>1</v>
      </c>
      <c r="V2276" s="289">
        <v>2</v>
      </c>
      <c r="W2276" s="289">
        <v>0</v>
      </c>
      <c r="X2276" s="289">
        <v>1</v>
      </c>
      <c r="Y2276" s="12">
        <v>0</v>
      </c>
      <c r="Z2276" s="289">
        <v>0</v>
      </c>
      <c r="AA2276" s="289">
        <v>0</v>
      </c>
      <c r="AB2276" s="289">
        <v>0</v>
      </c>
      <c r="AC2276" s="289">
        <v>0</v>
      </c>
      <c r="AD2276" s="289">
        <v>0</v>
      </c>
      <c r="AE2276" s="289">
        <v>1</v>
      </c>
      <c r="AF2276" s="289">
        <v>0</v>
      </c>
      <c r="AG2276" s="289">
        <v>1</v>
      </c>
      <c r="AH2276" s="289">
        <v>2</v>
      </c>
      <c r="AI2276" s="295">
        <v>0</v>
      </c>
      <c r="AJ2276" s="295">
        <v>2</v>
      </c>
      <c r="AK2276" s="295">
        <v>0</v>
      </c>
      <c r="AL2276" s="295">
        <v>2</v>
      </c>
      <c r="AM2276" s="289">
        <v>0</v>
      </c>
      <c r="AN2276" s="289">
        <v>0</v>
      </c>
      <c r="AO2276" s="289">
        <v>0</v>
      </c>
      <c r="AP2276" s="289">
        <v>3</v>
      </c>
      <c r="AQ2276" s="289">
        <v>5000</v>
      </c>
      <c r="AR2276" s="289">
        <v>1</v>
      </c>
      <c r="AS2276" s="289">
        <v>10</v>
      </c>
      <c r="AT2276" s="297">
        <v>0</v>
      </c>
      <c r="AU2276" s="371" t="s">
        <v>5392</v>
      </c>
      <c r="AV2276" s="296"/>
      <c r="AW2276" s="288" t="s">
        <v>199</v>
      </c>
      <c r="AX2276" s="289" t="s">
        <v>534</v>
      </c>
      <c r="AY2276" s="287">
        <v>10000007</v>
      </c>
      <c r="AZ2276" s="372" t="s">
        <v>5363</v>
      </c>
      <c r="BA2276" s="288" t="s">
        <v>586</v>
      </c>
      <c r="BB2276" s="289" t="s">
        <v>5393</v>
      </c>
      <c r="BC2276" s="292">
        <v>0</v>
      </c>
      <c r="BD2276" s="292">
        <v>1</v>
      </c>
      <c r="BE2276" s="302" t="s">
        <v>5394</v>
      </c>
      <c r="BF2276" s="302" t="s">
        <v>5395</v>
      </c>
      <c r="BG2276" s="289">
        <v>0</v>
      </c>
      <c r="BH2276" s="289">
        <v>0</v>
      </c>
      <c r="BI2276" s="289">
        <v>0</v>
      </c>
      <c r="BJ2276" s="289">
        <v>0</v>
      </c>
      <c r="BK2276" s="289">
        <v>0</v>
      </c>
      <c r="BL2276" s="289">
        <v>0</v>
      </c>
      <c r="BM2276" s="304">
        <v>0</v>
      </c>
      <c r="BN2276" s="295">
        <v>0</v>
      </c>
      <c r="BO2276" s="295">
        <v>0</v>
      </c>
      <c r="BP2276" s="295">
        <v>0</v>
      </c>
      <c r="BQ2276" s="295">
        <v>0</v>
      </c>
      <c r="BR2276" s="295">
        <v>0</v>
      </c>
      <c r="BS2276" s="295">
        <v>0</v>
      </c>
      <c r="BT2276" s="295">
        <v>0</v>
      </c>
      <c r="BU2276" s="47">
        <v>0</v>
      </c>
      <c r="BV2276" s="47"/>
      <c r="BW2276" s="47"/>
    </row>
    <row r="2277" spans="3:75" ht="19.5" customHeight="1">
      <c r="C2277" s="64">
        <v>77001901</v>
      </c>
      <c r="D2277" s="59" t="s">
        <v>5396</v>
      </c>
      <c r="E2277" s="59" t="s">
        <v>5397</v>
      </c>
      <c r="F2277" s="60">
        <v>1</v>
      </c>
      <c r="G2277" s="60">
        <v>0</v>
      </c>
      <c r="H2277" s="60">
        <v>0</v>
      </c>
      <c r="I2277" s="66">
        <v>0</v>
      </c>
      <c r="J2277" s="64">
        <v>1</v>
      </c>
      <c r="K2277" s="60">
        <v>0</v>
      </c>
      <c r="L2277" s="60">
        <v>0</v>
      </c>
      <c r="M2277" s="60">
        <v>0</v>
      </c>
      <c r="N2277" s="60">
        <v>0</v>
      </c>
      <c r="O2277" s="60">
        <v>2</v>
      </c>
      <c r="P2277" s="60">
        <v>3</v>
      </c>
      <c r="Q2277" s="60">
        <v>0.4</v>
      </c>
      <c r="R2277" s="60">
        <v>0</v>
      </c>
      <c r="S2277" s="68">
        <v>0</v>
      </c>
      <c r="T2277" s="60">
        <v>0</v>
      </c>
      <c r="U2277" s="60">
        <v>1</v>
      </c>
      <c r="V2277" s="60">
        <v>1</v>
      </c>
      <c r="W2277" s="60">
        <v>0</v>
      </c>
      <c r="X2277" s="60">
        <v>0</v>
      </c>
      <c r="Y2277" s="12">
        <v>0</v>
      </c>
      <c r="Z2277" s="60">
        <v>0</v>
      </c>
      <c r="AA2277" s="60">
        <v>1</v>
      </c>
      <c r="AB2277" s="60">
        <v>0</v>
      </c>
      <c r="AC2277" s="60">
        <v>0</v>
      </c>
      <c r="AD2277" s="60">
        <v>0</v>
      </c>
      <c r="AE2277" s="60">
        <v>0</v>
      </c>
      <c r="AF2277" s="60">
        <v>14</v>
      </c>
      <c r="AG2277" s="60">
        <v>1</v>
      </c>
      <c r="AH2277" s="60">
        <v>3</v>
      </c>
      <c r="AI2277" s="68">
        <v>0</v>
      </c>
      <c r="AJ2277" s="68">
        <v>1</v>
      </c>
      <c r="AK2277" s="68">
        <v>0</v>
      </c>
      <c r="AL2277" s="68">
        <v>1.5</v>
      </c>
      <c r="AM2277" s="60">
        <v>0</v>
      </c>
      <c r="AN2277" s="60">
        <v>0</v>
      </c>
      <c r="AO2277" s="60">
        <v>0</v>
      </c>
      <c r="AP2277" s="60">
        <v>0.2</v>
      </c>
      <c r="AQ2277" s="60">
        <v>300</v>
      </c>
      <c r="AR2277" s="60">
        <v>0</v>
      </c>
      <c r="AS2277" s="60">
        <v>0</v>
      </c>
      <c r="AT2277" s="342" t="s">
        <v>5398</v>
      </c>
      <c r="AU2277" s="60">
        <v>0</v>
      </c>
      <c r="AV2277" s="60"/>
      <c r="AW2277" s="59" t="s">
        <v>198</v>
      </c>
      <c r="AX2277" s="60" t="s">
        <v>534</v>
      </c>
      <c r="AY2277" s="64">
        <v>0</v>
      </c>
      <c r="AZ2277" s="64">
        <v>77001901</v>
      </c>
      <c r="BA2277" s="59" t="s">
        <v>771</v>
      </c>
      <c r="BB2277" s="60">
        <v>0</v>
      </c>
      <c r="BC2277" s="66">
        <v>0</v>
      </c>
      <c r="BD2277" s="66">
        <v>0</v>
      </c>
      <c r="BE2277" s="121" t="s">
        <v>5399</v>
      </c>
      <c r="BF2277" s="121" t="s">
        <v>5400</v>
      </c>
      <c r="BG2277" s="60">
        <v>0</v>
      </c>
      <c r="BH2277" s="60">
        <v>0</v>
      </c>
      <c r="BI2277" s="60">
        <v>0</v>
      </c>
      <c r="BJ2277" s="60">
        <v>0</v>
      </c>
      <c r="BK2277" s="60">
        <v>0</v>
      </c>
      <c r="BL2277" s="60">
        <v>0</v>
      </c>
      <c r="BM2277" s="93">
        <v>0</v>
      </c>
      <c r="BN2277" s="68">
        <v>0</v>
      </c>
      <c r="BO2277" s="68">
        <v>0</v>
      </c>
      <c r="BP2277" s="68">
        <v>0</v>
      </c>
      <c r="BQ2277" s="68">
        <v>0</v>
      </c>
      <c r="BR2277" s="68">
        <v>0</v>
      </c>
      <c r="BS2277" s="68">
        <v>1</v>
      </c>
      <c r="BT2277" s="68">
        <v>77001902</v>
      </c>
      <c r="BU2277" s="47">
        <v>0</v>
      </c>
      <c r="BV2277" s="47"/>
      <c r="BW2277" s="47"/>
    </row>
    <row r="2278" spans="3:75" ht="19.5" customHeight="1">
      <c r="C2278" s="64">
        <v>77001902</v>
      </c>
      <c r="D2278" s="59" t="s">
        <v>600</v>
      </c>
      <c r="E2278" s="59" t="s">
        <v>601</v>
      </c>
      <c r="F2278" s="64">
        <v>1</v>
      </c>
      <c r="G2278" s="60">
        <v>0</v>
      </c>
      <c r="H2278" s="64">
        <v>0</v>
      </c>
      <c r="I2278" s="66">
        <v>0</v>
      </c>
      <c r="J2278" s="64">
        <v>1</v>
      </c>
      <c r="K2278" s="64">
        <v>0</v>
      </c>
      <c r="L2278" s="64">
        <v>0</v>
      </c>
      <c r="M2278" s="60">
        <v>0</v>
      </c>
      <c r="N2278" s="60">
        <v>0</v>
      </c>
      <c r="O2278" s="60">
        <v>2</v>
      </c>
      <c r="P2278" s="60">
        <v>3</v>
      </c>
      <c r="Q2278" s="60">
        <v>0.2</v>
      </c>
      <c r="R2278" s="60">
        <v>0</v>
      </c>
      <c r="S2278" s="68">
        <v>0</v>
      </c>
      <c r="T2278" s="60">
        <v>0</v>
      </c>
      <c r="U2278" s="60">
        <v>1</v>
      </c>
      <c r="V2278" s="60">
        <v>1</v>
      </c>
      <c r="W2278" s="60">
        <v>0</v>
      </c>
      <c r="X2278" s="60">
        <v>0</v>
      </c>
      <c r="Y2278" s="12">
        <v>0</v>
      </c>
      <c r="Z2278" s="60">
        <v>0</v>
      </c>
      <c r="AA2278" s="60">
        <v>0</v>
      </c>
      <c r="AB2278" s="60">
        <v>0</v>
      </c>
      <c r="AC2278" s="60">
        <v>0</v>
      </c>
      <c r="AD2278" s="60">
        <v>0</v>
      </c>
      <c r="AE2278" s="60">
        <v>1</v>
      </c>
      <c r="AF2278" s="60">
        <v>0</v>
      </c>
      <c r="AG2278" s="60">
        <v>1</v>
      </c>
      <c r="AH2278" s="60">
        <v>2</v>
      </c>
      <c r="AI2278" s="68">
        <v>0</v>
      </c>
      <c r="AJ2278" s="68">
        <v>1</v>
      </c>
      <c r="AK2278" s="68">
        <v>0</v>
      </c>
      <c r="AL2278" s="68">
        <v>3</v>
      </c>
      <c r="AM2278" s="60">
        <v>0</v>
      </c>
      <c r="AN2278" s="60">
        <v>0</v>
      </c>
      <c r="AO2278" s="60">
        <v>0</v>
      </c>
      <c r="AP2278" s="60">
        <v>0.3</v>
      </c>
      <c r="AQ2278" s="60">
        <v>300</v>
      </c>
      <c r="AR2278" s="60">
        <v>0</v>
      </c>
      <c r="AS2278" s="60">
        <v>0</v>
      </c>
      <c r="AT2278" s="68">
        <v>0</v>
      </c>
      <c r="AU2278" s="79">
        <v>0</v>
      </c>
      <c r="AV2278" s="79"/>
      <c r="AW2278" s="59" t="s">
        <v>198</v>
      </c>
      <c r="AX2278" s="60">
        <v>0</v>
      </c>
      <c r="AY2278" s="64">
        <v>0</v>
      </c>
      <c r="AZ2278" s="64">
        <v>0</v>
      </c>
      <c r="BA2278" s="59" t="s">
        <v>528</v>
      </c>
      <c r="BB2278" s="355" t="s">
        <v>5401</v>
      </c>
      <c r="BC2278" s="66">
        <v>0</v>
      </c>
      <c r="BD2278" s="66">
        <v>0</v>
      </c>
      <c r="BE2278" s="90" t="s">
        <v>5402</v>
      </c>
      <c r="BF2278" s="90" t="s">
        <v>5403</v>
      </c>
      <c r="BG2278" s="60">
        <v>0</v>
      </c>
      <c r="BH2278" s="60">
        <v>0</v>
      </c>
      <c r="BI2278" s="60">
        <v>0</v>
      </c>
      <c r="BJ2278" s="60">
        <v>0</v>
      </c>
      <c r="BK2278" s="60">
        <v>0</v>
      </c>
      <c r="BL2278" s="60">
        <v>0</v>
      </c>
      <c r="BM2278" s="93">
        <v>0</v>
      </c>
      <c r="BN2278" s="68">
        <v>0</v>
      </c>
      <c r="BO2278" s="68">
        <v>0</v>
      </c>
      <c r="BP2278" s="68">
        <v>0</v>
      </c>
      <c r="BQ2278" s="68">
        <v>0</v>
      </c>
      <c r="BR2278" s="68">
        <v>0</v>
      </c>
      <c r="BS2278" s="68">
        <v>1</v>
      </c>
      <c r="BT2278" s="68">
        <v>77001904</v>
      </c>
      <c r="BU2278" s="47">
        <v>0</v>
      </c>
      <c r="BV2278" s="47"/>
      <c r="BW2278" s="47"/>
    </row>
    <row r="2279" spans="3:75" ht="19.5" customHeight="1">
      <c r="C2279" s="64">
        <v>77001903</v>
      </c>
      <c r="D2279" s="59" t="s">
        <v>760</v>
      </c>
      <c r="E2279" s="59" t="s">
        <v>761</v>
      </c>
      <c r="F2279" s="60">
        <v>1</v>
      </c>
      <c r="G2279" s="60">
        <v>0</v>
      </c>
      <c r="H2279" s="60">
        <v>0</v>
      </c>
      <c r="I2279" s="66">
        <v>0</v>
      </c>
      <c r="J2279" s="64">
        <v>1</v>
      </c>
      <c r="K2279" s="64">
        <v>0</v>
      </c>
      <c r="L2279" s="64">
        <v>0</v>
      </c>
      <c r="M2279" s="60">
        <v>0</v>
      </c>
      <c r="N2279" s="60">
        <v>0</v>
      </c>
      <c r="O2279" s="60">
        <v>2</v>
      </c>
      <c r="P2279" s="60">
        <v>1</v>
      </c>
      <c r="Q2279" s="60">
        <v>1</v>
      </c>
      <c r="R2279" s="60">
        <v>1</v>
      </c>
      <c r="S2279" s="68">
        <v>1</v>
      </c>
      <c r="T2279" s="60">
        <v>0</v>
      </c>
      <c r="U2279" s="60">
        <v>1</v>
      </c>
      <c r="V2279" s="60">
        <v>1</v>
      </c>
      <c r="W2279" s="60">
        <v>0</v>
      </c>
      <c r="X2279" s="60">
        <v>0.8</v>
      </c>
      <c r="Y2279" s="12">
        <v>0</v>
      </c>
      <c r="Z2279" s="60">
        <v>0</v>
      </c>
      <c r="AA2279" s="60">
        <v>0</v>
      </c>
      <c r="AB2279" s="60">
        <v>0</v>
      </c>
      <c r="AC2279" s="60">
        <v>0</v>
      </c>
      <c r="AD2279" s="60">
        <v>0</v>
      </c>
      <c r="AE2279" s="60">
        <v>1</v>
      </c>
      <c r="AF2279" s="60">
        <v>10</v>
      </c>
      <c r="AG2279" s="60">
        <v>2</v>
      </c>
      <c r="AH2279" s="60" t="s">
        <v>1036</v>
      </c>
      <c r="AI2279" s="68">
        <v>0</v>
      </c>
      <c r="AJ2279" s="68">
        <v>2</v>
      </c>
      <c r="AK2279" s="68">
        <v>0</v>
      </c>
      <c r="AL2279" s="68">
        <v>1.5</v>
      </c>
      <c r="AM2279" s="60">
        <v>0</v>
      </c>
      <c r="AN2279" s="60">
        <v>0.5</v>
      </c>
      <c r="AO2279" s="60">
        <v>0</v>
      </c>
      <c r="AP2279" s="60">
        <v>0.5</v>
      </c>
      <c r="AQ2279" s="60">
        <v>500</v>
      </c>
      <c r="AR2279" s="60">
        <v>0</v>
      </c>
      <c r="AS2279" s="60">
        <v>15</v>
      </c>
      <c r="AT2279" s="68">
        <v>0</v>
      </c>
      <c r="AU2279" s="334" t="s">
        <v>5404</v>
      </c>
      <c r="AV2279" s="79"/>
      <c r="AW2279" s="59" t="s">
        <v>199</v>
      </c>
      <c r="AX2279" s="60" t="s">
        <v>215</v>
      </c>
      <c r="AY2279" s="64">
        <v>0</v>
      </c>
      <c r="AZ2279" s="64">
        <v>0</v>
      </c>
      <c r="BA2279" s="307" t="s">
        <v>216</v>
      </c>
      <c r="BB2279" s="60">
        <v>0</v>
      </c>
      <c r="BC2279" s="66">
        <v>0</v>
      </c>
      <c r="BD2279" s="66">
        <v>0</v>
      </c>
      <c r="BE2279" s="90" t="s">
        <v>2292</v>
      </c>
      <c r="BF2279" s="90" t="s">
        <v>2293</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row>
    <row r="2280" spans="3:75" ht="20.100000000000001" customHeight="1">
      <c r="C2280" s="64">
        <v>77001904</v>
      </c>
      <c r="D2280" s="59" t="s">
        <v>2846</v>
      </c>
      <c r="E2280" s="59" t="s">
        <v>5226</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2</v>
      </c>
      <c r="Y2280" s="12">
        <v>0</v>
      </c>
      <c r="Z2280" s="60">
        <v>0</v>
      </c>
      <c r="AA2280" s="60">
        <v>1</v>
      </c>
      <c r="AB2280" s="60">
        <v>0</v>
      </c>
      <c r="AC2280" s="60">
        <v>0</v>
      </c>
      <c r="AD2280" s="60">
        <v>0</v>
      </c>
      <c r="AE2280" s="60">
        <v>1</v>
      </c>
      <c r="AF2280" s="60">
        <v>0</v>
      </c>
      <c r="AG2280" s="60">
        <v>1</v>
      </c>
      <c r="AH2280" s="60">
        <v>5</v>
      </c>
      <c r="AI2280" s="68">
        <v>0</v>
      </c>
      <c r="AJ2280" s="68">
        <v>1</v>
      </c>
      <c r="AK2280" s="68">
        <v>0</v>
      </c>
      <c r="AL2280" s="68">
        <v>3</v>
      </c>
      <c r="AM2280" s="60">
        <v>0</v>
      </c>
      <c r="AN2280" s="60">
        <v>2.1</v>
      </c>
      <c r="AO2280" s="60">
        <v>0</v>
      </c>
      <c r="AP2280" s="60">
        <v>0.9</v>
      </c>
      <c r="AQ2280" s="60">
        <v>3000</v>
      </c>
      <c r="AR2280" s="60">
        <v>1</v>
      </c>
      <c r="AS2280" s="60">
        <v>0</v>
      </c>
      <c r="AT2280" s="68">
        <v>0</v>
      </c>
      <c r="AU2280" s="334" t="s">
        <v>5405</v>
      </c>
      <c r="AV2280" s="79"/>
      <c r="AW2280" s="59" t="s">
        <v>287</v>
      </c>
      <c r="AX2280" s="60" t="s">
        <v>215</v>
      </c>
      <c r="AY2280" s="64">
        <v>0</v>
      </c>
      <c r="AZ2280" s="64">
        <v>77001902</v>
      </c>
      <c r="BA2280" s="63" t="s">
        <v>200</v>
      </c>
      <c r="BB2280" s="60">
        <v>0</v>
      </c>
      <c r="BC2280" s="66">
        <v>0</v>
      </c>
      <c r="BD2280" s="66">
        <v>0</v>
      </c>
      <c r="BE2280" s="90" t="s">
        <v>5406</v>
      </c>
      <c r="BF2280" s="90" t="s">
        <v>5407</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19.5" customHeight="1">
      <c r="C2281" s="64">
        <v>77001905</v>
      </c>
      <c r="D2281" s="59" t="s">
        <v>5408</v>
      </c>
      <c r="E2281" s="59" t="s">
        <v>5409</v>
      </c>
      <c r="F2281" s="64">
        <v>1</v>
      </c>
      <c r="G2281" s="60">
        <v>0</v>
      </c>
      <c r="H2281" s="64">
        <v>0</v>
      </c>
      <c r="I2281" s="66">
        <v>0</v>
      </c>
      <c r="J2281" s="64">
        <v>1</v>
      </c>
      <c r="K2281" s="64">
        <v>0</v>
      </c>
      <c r="L2281" s="64">
        <v>0</v>
      </c>
      <c r="M2281" s="60">
        <v>0</v>
      </c>
      <c r="N2281" s="60">
        <v>0</v>
      </c>
      <c r="O2281" s="93">
        <v>2</v>
      </c>
      <c r="P2281" s="60">
        <v>2</v>
      </c>
      <c r="Q2281" s="60">
        <v>0.6</v>
      </c>
      <c r="R2281" s="60">
        <v>0</v>
      </c>
      <c r="S2281" s="68">
        <v>0</v>
      </c>
      <c r="T2281" s="60">
        <v>0</v>
      </c>
      <c r="U2281" s="60">
        <v>1</v>
      </c>
      <c r="V2281" s="60">
        <v>1</v>
      </c>
      <c r="W2281" s="60">
        <v>0</v>
      </c>
      <c r="X2281" s="60">
        <v>0</v>
      </c>
      <c r="Y2281" s="12">
        <v>0</v>
      </c>
      <c r="Z2281" s="60">
        <v>0</v>
      </c>
      <c r="AA2281" s="60">
        <v>0</v>
      </c>
      <c r="AB2281" s="60">
        <v>0</v>
      </c>
      <c r="AC2281" s="60">
        <v>0</v>
      </c>
      <c r="AD2281" s="93">
        <v>0</v>
      </c>
      <c r="AE2281" s="60">
        <v>1</v>
      </c>
      <c r="AF2281" s="60">
        <v>60</v>
      </c>
      <c r="AG2281" s="60">
        <v>1</v>
      </c>
      <c r="AH2281" s="60">
        <v>2</v>
      </c>
      <c r="AI2281" s="68">
        <v>1</v>
      </c>
      <c r="AJ2281" s="68">
        <v>1</v>
      </c>
      <c r="AK2281" s="68">
        <v>0</v>
      </c>
      <c r="AL2281" s="68">
        <v>0</v>
      </c>
      <c r="AM2281" s="60">
        <v>0</v>
      </c>
      <c r="AN2281" s="60">
        <v>0</v>
      </c>
      <c r="AO2281" s="60">
        <v>0</v>
      </c>
      <c r="AP2281" s="60">
        <v>0</v>
      </c>
      <c r="AQ2281" s="60">
        <v>1000</v>
      </c>
      <c r="AR2281" s="60">
        <v>0</v>
      </c>
      <c r="AS2281" s="60">
        <v>0</v>
      </c>
      <c r="AT2281" s="68">
        <v>0</v>
      </c>
      <c r="AU2281" s="334" t="s">
        <v>5410</v>
      </c>
      <c r="AV2281" s="79"/>
      <c r="AW2281" s="63" t="s">
        <v>287</v>
      </c>
      <c r="AX2281" s="60" t="s">
        <v>545</v>
      </c>
      <c r="AY2281" s="64">
        <v>0</v>
      </c>
      <c r="AZ2281" s="64">
        <v>0</v>
      </c>
      <c r="BA2281" s="59" t="s">
        <v>528</v>
      </c>
      <c r="BB2281" s="60" t="s">
        <v>5411</v>
      </c>
      <c r="BC2281" s="66">
        <v>0</v>
      </c>
      <c r="BD2281" s="66">
        <v>0</v>
      </c>
      <c r="BE2281" s="90" t="s">
        <v>5412</v>
      </c>
      <c r="BF2281" s="90" t="s">
        <v>5413</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20.100000000000001" customHeight="1">
      <c r="C2282" s="64">
        <v>77001906</v>
      </c>
      <c r="D2282" s="59" t="s">
        <v>5414</v>
      </c>
      <c r="E2282" s="59" t="s">
        <v>5415</v>
      </c>
      <c r="F2282" s="60">
        <v>1</v>
      </c>
      <c r="G2282" s="60">
        <v>0</v>
      </c>
      <c r="H2282" s="60">
        <v>0</v>
      </c>
      <c r="I2282" s="66">
        <v>0</v>
      </c>
      <c r="J2282" s="64">
        <v>1</v>
      </c>
      <c r="K2282" s="64">
        <v>0</v>
      </c>
      <c r="L2282" s="64">
        <v>0</v>
      </c>
      <c r="M2282" s="60">
        <v>0</v>
      </c>
      <c r="N2282" s="60">
        <v>0</v>
      </c>
      <c r="O2282" s="60">
        <v>2</v>
      </c>
      <c r="P2282" s="60">
        <v>1</v>
      </c>
      <c r="Q2282" s="60">
        <v>0.2</v>
      </c>
      <c r="R2282" s="60">
        <v>0</v>
      </c>
      <c r="S2282" s="68">
        <v>0</v>
      </c>
      <c r="T2282" s="60">
        <v>0</v>
      </c>
      <c r="U2282" s="60">
        <v>1</v>
      </c>
      <c r="V2282" s="60">
        <v>1</v>
      </c>
      <c r="W2282" s="60">
        <v>0</v>
      </c>
      <c r="X2282" s="60">
        <v>0</v>
      </c>
      <c r="Y2282" s="12">
        <v>0</v>
      </c>
      <c r="Z2282" s="60">
        <v>0</v>
      </c>
      <c r="AA2282" s="60">
        <v>1</v>
      </c>
      <c r="AB2282" s="60">
        <v>0</v>
      </c>
      <c r="AC2282" s="60">
        <v>0</v>
      </c>
      <c r="AD2282" s="60">
        <v>0</v>
      </c>
      <c r="AE2282" s="60">
        <v>1</v>
      </c>
      <c r="AF2282" s="60">
        <v>24</v>
      </c>
      <c r="AG2282" s="60">
        <v>1</v>
      </c>
      <c r="AH2282" s="60">
        <v>3</v>
      </c>
      <c r="AI2282" s="68">
        <v>0</v>
      </c>
      <c r="AJ2282" s="68">
        <v>1</v>
      </c>
      <c r="AK2282" s="68">
        <v>0</v>
      </c>
      <c r="AL2282" s="68">
        <v>3</v>
      </c>
      <c r="AM2282" s="60">
        <v>0</v>
      </c>
      <c r="AN2282" s="60">
        <v>0</v>
      </c>
      <c r="AO2282" s="60">
        <v>0</v>
      </c>
      <c r="AP2282" s="60">
        <v>0</v>
      </c>
      <c r="AQ2282" s="60">
        <v>0</v>
      </c>
      <c r="AR2282" s="60">
        <v>0</v>
      </c>
      <c r="AS2282" s="60">
        <v>0</v>
      </c>
      <c r="AT2282" s="333" t="s">
        <v>5416</v>
      </c>
      <c r="AU2282" s="79">
        <v>0</v>
      </c>
      <c r="AV2282" s="79"/>
      <c r="AW2282" s="59" t="s">
        <v>198</v>
      </c>
      <c r="AX2282" s="60" t="s">
        <v>215</v>
      </c>
      <c r="AY2282" s="64">
        <v>0</v>
      </c>
      <c r="AZ2282" s="64">
        <v>77001901</v>
      </c>
      <c r="BA2282" s="63" t="s">
        <v>200</v>
      </c>
      <c r="BB2282" s="60">
        <v>0</v>
      </c>
      <c r="BC2282" s="66">
        <v>0</v>
      </c>
      <c r="BD2282" s="66">
        <v>0</v>
      </c>
      <c r="BE2282" s="90" t="s">
        <v>5417</v>
      </c>
      <c r="BF2282" s="90" t="s">
        <v>5418</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77001907</v>
      </c>
      <c r="D2283" s="59" t="s">
        <v>5419</v>
      </c>
      <c r="E2283" s="59" t="s">
        <v>5420</v>
      </c>
      <c r="F2283" s="60">
        <v>1</v>
      </c>
      <c r="G2283" s="60">
        <v>0</v>
      </c>
      <c r="H2283" s="60">
        <v>0</v>
      </c>
      <c r="I2283" s="66">
        <v>0</v>
      </c>
      <c r="J2283" s="64">
        <v>1</v>
      </c>
      <c r="K2283" s="64">
        <v>0</v>
      </c>
      <c r="L2283" s="64">
        <v>0</v>
      </c>
      <c r="M2283" s="60">
        <v>0</v>
      </c>
      <c r="N2283" s="60">
        <v>0</v>
      </c>
      <c r="O2283" s="60">
        <v>2</v>
      </c>
      <c r="P2283" s="60">
        <v>16</v>
      </c>
      <c r="Q2283" s="60">
        <v>6</v>
      </c>
      <c r="R2283" s="60">
        <v>0</v>
      </c>
      <c r="S2283" s="68">
        <v>0</v>
      </c>
      <c r="T2283" s="60">
        <v>0</v>
      </c>
      <c r="U2283" s="60">
        <v>1</v>
      </c>
      <c r="V2283" s="60">
        <v>1</v>
      </c>
      <c r="W2283" s="60">
        <v>0</v>
      </c>
      <c r="X2283" s="60">
        <v>0</v>
      </c>
      <c r="Y2283" s="12">
        <v>0</v>
      </c>
      <c r="Z2283" s="60">
        <v>0</v>
      </c>
      <c r="AA2283" s="60">
        <v>0</v>
      </c>
      <c r="AB2283" s="60">
        <v>0</v>
      </c>
      <c r="AC2283" s="60">
        <v>0</v>
      </c>
      <c r="AD2283" s="60">
        <v>0</v>
      </c>
      <c r="AE2283" s="60">
        <v>1</v>
      </c>
      <c r="AF2283" s="60">
        <v>0</v>
      </c>
      <c r="AG2283" s="60">
        <v>2</v>
      </c>
      <c r="AH2283" s="60" t="s">
        <v>1036</v>
      </c>
      <c r="AI2283" s="68">
        <v>0</v>
      </c>
      <c r="AJ2283" s="68">
        <v>2</v>
      </c>
      <c r="AK2283" s="68">
        <v>0</v>
      </c>
      <c r="AL2283" s="68">
        <v>1.5</v>
      </c>
      <c r="AM2283" s="60">
        <v>0</v>
      </c>
      <c r="AN2283" s="60">
        <v>0</v>
      </c>
      <c r="AO2283" s="60">
        <v>0</v>
      </c>
      <c r="AP2283" s="60">
        <v>0.3</v>
      </c>
      <c r="AQ2283" s="60">
        <v>300</v>
      </c>
      <c r="AR2283" s="60">
        <v>0</v>
      </c>
      <c r="AS2283" s="60">
        <v>15</v>
      </c>
      <c r="AT2283" s="68">
        <v>97009010</v>
      </c>
      <c r="AU2283" s="79">
        <v>0</v>
      </c>
      <c r="AV2283" s="79"/>
      <c r="AW2283" s="59" t="s">
        <v>199</v>
      </c>
      <c r="AX2283" s="60" t="s">
        <v>215</v>
      </c>
      <c r="AY2283" s="64">
        <v>0</v>
      </c>
      <c r="AZ2283" s="64">
        <v>0</v>
      </c>
      <c r="BA2283" s="307" t="s">
        <v>216</v>
      </c>
      <c r="BB2283" s="60">
        <v>1</v>
      </c>
      <c r="BC2283" s="66">
        <v>0</v>
      </c>
      <c r="BD2283" s="66">
        <v>0</v>
      </c>
      <c r="BE2283" s="90" t="s">
        <v>5421</v>
      </c>
      <c r="BF2283" s="90" t="s">
        <v>5422</v>
      </c>
      <c r="BG2283" s="60">
        <v>0</v>
      </c>
      <c r="BH2283" s="60">
        <v>0</v>
      </c>
      <c r="BI2283" s="60">
        <v>0</v>
      </c>
      <c r="BJ2283" s="60">
        <v>0</v>
      </c>
      <c r="BK2283" s="60">
        <v>0</v>
      </c>
      <c r="BL2283" s="60">
        <v>0</v>
      </c>
      <c r="BM2283" s="93">
        <v>0</v>
      </c>
      <c r="BN2283" s="68">
        <v>0</v>
      </c>
      <c r="BO2283" s="68">
        <v>0</v>
      </c>
      <c r="BP2283" s="68">
        <v>0</v>
      </c>
      <c r="BQ2283" s="68">
        <v>0</v>
      </c>
      <c r="BR2283" s="68">
        <v>0</v>
      </c>
      <c r="BS2283" s="68">
        <v>1</v>
      </c>
      <c r="BT2283" s="68">
        <v>77001908</v>
      </c>
      <c r="BU2283" s="47">
        <v>0</v>
      </c>
      <c r="BV2283" s="47"/>
      <c r="BW2283" s="47"/>
    </row>
    <row r="2284" spans="3:75" ht="20.100000000000001" customHeight="1">
      <c r="C2284" s="64">
        <v>77001908</v>
      </c>
      <c r="D2284" s="59" t="s">
        <v>5423</v>
      </c>
      <c r="E2284" s="59" t="s">
        <v>5424</v>
      </c>
      <c r="F2284" s="60">
        <v>1</v>
      </c>
      <c r="G2284" s="60">
        <v>0</v>
      </c>
      <c r="H2284" s="60">
        <v>0</v>
      </c>
      <c r="I2284" s="66">
        <v>0</v>
      </c>
      <c r="J2284" s="64">
        <v>1</v>
      </c>
      <c r="K2284" s="64">
        <v>0</v>
      </c>
      <c r="L2284" s="64">
        <v>0</v>
      </c>
      <c r="M2284" s="60">
        <v>0</v>
      </c>
      <c r="N2284" s="60">
        <v>0</v>
      </c>
      <c r="O2284" s="60">
        <v>2</v>
      </c>
      <c r="P2284" s="60">
        <v>1</v>
      </c>
      <c r="Q2284" s="60">
        <v>0.2</v>
      </c>
      <c r="R2284" s="60">
        <v>0</v>
      </c>
      <c r="S2284" s="68">
        <v>0</v>
      </c>
      <c r="T2284" s="60">
        <v>0</v>
      </c>
      <c r="U2284" s="60">
        <v>1</v>
      </c>
      <c r="V2284" s="60">
        <v>1</v>
      </c>
      <c r="W2284" s="60">
        <v>0</v>
      </c>
      <c r="X2284" s="60">
        <v>0.5</v>
      </c>
      <c r="Y2284" s="12">
        <v>0</v>
      </c>
      <c r="Z2284" s="60">
        <v>0</v>
      </c>
      <c r="AA2284" s="60">
        <v>1</v>
      </c>
      <c r="AB2284" s="60">
        <v>0</v>
      </c>
      <c r="AC2284" s="60">
        <v>0</v>
      </c>
      <c r="AD2284" s="60">
        <v>0</v>
      </c>
      <c r="AE2284" s="60">
        <v>1</v>
      </c>
      <c r="AF2284" s="60">
        <v>0</v>
      </c>
      <c r="AG2284" s="60">
        <v>1</v>
      </c>
      <c r="AH2284" s="60">
        <v>3</v>
      </c>
      <c r="AI2284" s="68">
        <v>0</v>
      </c>
      <c r="AJ2284" s="68">
        <v>1</v>
      </c>
      <c r="AK2284" s="68">
        <v>0</v>
      </c>
      <c r="AL2284" s="68">
        <v>3</v>
      </c>
      <c r="AM2284" s="60">
        <v>0</v>
      </c>
      <c r="AN2284" s="60">
        <v>0</v>
      </c>
      <c r="AO2284" s="60">
        <v>0</v>
      </c>
      <c r="AP2284" s="60">
        <v>0.5</v>
      </c>
      <c r="AQ2284" s="60">
        <v>3000</v>
      </c>
      <c r="AR2284" s="60">
        <v>0.5</v>
      </c>
      <c r="AS2284" s="60">
        <v>0</v>
      </c>
      <c r="AT2284" s="68">
        <v>0</v>
      </c>
      <c r="AU2284" s="334" t="s">
        <v>5404</v>
      </c>
      <c r="AV2284" s="79"/>
      <c r="AW2284" s="59" t="s">
        <v>198</v>
      </c>
      <c r="AX2284" s="60" t="s">
        <v>215</v>
      </c>
      <c r="AY2284" s="64">
        <v>0</v>
      </c>
      <c r="AZ2284" s="64">
        <v>77001907</v>
      </c>
      <c r="BA2284" s="63" t="s">
        <v>200</v>
      </c>
      <c r="BB2284" s="60">
        <v>0</v>
      </c>
      <c r="BC2284" s="66">
        <v>0</v>
      </c>
      <c r="BD2284" s="66">
        <v>0</v>
      </c>
      <c r="BE2284" s="90" t="s">
        <v>2846</v>
      </c>
      <c r="BF2284" s="90" t="s">
        <v>5226</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row>
    <row r="2285" spans="3:75" ht="19.5" customHeight="1">
      <c r="C2285" s="64">
        <v>77001909</v>
      </c>
      <c r="D2285" s="59" t="s">
        <v>5425</v>
      </c>
      <c r="E2285" s="59" t="s">
        <v>5426</v>
      </c>
      <c r="F2285" s="64">
        <v>1</v>
      </c>
      <c r="G2285" s="64">
        <v>0</v>
      </c>
      <c r="H2285" s="64">
        <v>0</v>
      </c>
      <c r="I2285" s="66">
        <v>0</v>
      </c>
      <c r="J2285" s="64">
        <v>1</v>
      </c>
      <c r="K2285" s="64">
        <v>0</v>
      </c>
      <c r="L2285" s="64">
        <v>0</v>
      </c>
      <c r="M2285" s="60">
        <v>0</v>
      </c>
      <c r="N2285" s="60">
        <v>0</v>
      </c>
      <c r="O2285" s="60">
        <v>2</v>
      </c>
      <c r="P2285" s="60">
        <v>16</v>
      </c>
      <c r="Q2285" s="60">
        <v>5</v>
      </c>
      <c r="R2285" s="60">
        <v>0</v>
      </c>
      <c r="S2285" s="68">
        <v>0</v>
      </c>
      <c r="T2285" s="60">
        <v>0</v>
      </c>
      <c r="U2285" s="60">
        <v>1</v>
      </c>
      <c r="V2285" s="60">
        <v>2</v>
      </c>
      <c r="W2285" s="60">
        <v>0</v>
      </c>
      <c r="X2285" s="60">
        <v>1</v>
      </c>
      <c r="Y2285" s="12">
        <v>0</v>
      </c>
      <c r="Z2285" s="60">
        <v>0</v>
      </c>
      <c r="AA2285" s="60">
        <v>1</v>
      </c>
      <c r="AB2285" s="60">
        <v>0</v>
      </c>
      <c r="AC2285" s="60">
        <v>0</v>
      </c>
      <c r="AD2285" s="60">
        <v>0</v>
      </c>
      <c r="AE2285" s="60">
        <v>1</v>
      </c>
      <c r="AF2285" s="60">
        <v>0</v>
      </c>
      <c r="AG2285" s="60">
        <v>2</v>
      </c>
      <c r="AH2285" s="60" t="s">
        <v>5427</v>
      </c>
      <c r="AI2285" s="68">
        <v>0</v>
      </c>
      <c r="AJ2285" s="68">
        <v>2</v>
      </c>
      <c r="AK2285" s="68">
        <v>0</v>
      </c>
      <c r="AL2285" s="68">
        <v>4</v>
      </c>
      <c r="AM2285" s="60">
        <v>0</v>
      </c>
      <c r="AN2285" s="60">
        <v>1</v>
      </c>
      <c r="AO2285" s="60">
        <v>0</v>
      </c>
      <c r="AP2285" s="60">
        <v>1</v>
      </c>
      <c r="AQ2285" s="60">
        <v>9000</v>
      </c>
      <c r="AR2285" s="60">
        <v>0</v>
      </c>
      <c r="AS2285" s="60">
        <v>10</v>
      </c>
      <c r="AT2285" s="78">
        <v>0</v>
      </c>
      <c r="AU2285" s="334" t="s">
        <v>5404</v>
      </c>
      <c r="AV2285" s="79"/>
      <c r="AW2285" s="59" t="s">
        <v>256</v>
      </c>
      <c r="AX2285" s="60" t="s">
        <v>534</v>
      </c>
      <c r="AY2285" s="64">
        <v>10000007</v>
      </c>
      <c r="AZ2285" s="64">
        <v>77001908</v>
      </c>
      <c r="BA2285" s="59" t="s">
        <v>586</v>
      </c>
      <c r="BB2285" s="60" t="s">
        <v>5428</v>
      </c>
      <c r="BC2285" s="66">
        <v>0</v>
      </c>
      <c r="BD2285" s="66">
        <v>1</v>
      </c>
      <c r="BE2285" s="90" t="s">
        <v>5429</v>
      </c>
      <c r="BF2285" s="90" t="s">
        <v>5430</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spans="3:75" ht="19.5" customHeight="1">
      <c r="C2286" s="64">
        <v>77001910</v>
      </c>
      <c r="D2286" s="59" t="s">
        <v>5431</v>
      </c>
      <c r="E2286" s="59" t="s">
        <v>5432</v>
      </c>
      <c r="F2286" s="60">
        <v>1</v>
      </c>
      <c r="G2286" s="60">
        <v>0</v>
      </c>
      <c r="H2286" s="60">
        <v>0</v>
      </c>
      <c r="I2286" s="66">
        <v>0</v>
      </c>
      <c r="J2286" s="64">
        <v>1</v>
      </c>
      <c r="K2286" s="64">
        <v>0</v>
      </c>
      <c r="L2286" s="64">
        <v>0</v>
      </c>
      <c r="M2286" s="60">
        <v>0</v>
      </c>
      <c r="N2286" s="60">
        <v>0</v>
      </c>
      <c r="O2286" s="60">
        <v>2</v>
      </c>
      <c r="P2286" s="60">
        <v>2</v>
      </c>
      <c r="Q2286" s="60">
        <v>0.8</v>
      </c>
      <c r="R2286" s="60">
        <v>0</v>
      </c>
      <c r="S2286" s="68">
        <v>3</v>
      </c>
      <c r="T2286" s="60">
        <v>0</v>
      </c>
      <c r="U2286" s="60">
        <v>1</v>
      </c>
      <c r="V2286" s="60">
        <v>1</v>
      </c>
      <c r="W2286" s="60">
        <v>0</v>
      </c>
      <c r="X2286" s="60">
        <v>0</v>
      </c>
      <c r="Y2286" s="12">
        <v>0</v>
      </c>
      <c r="Z2286" s="60">
        <v>0</v>
      </c>
      <c r="AA2286" s="60">
        <v>0</v>
      </c>
      <c r="AB2286" s="60">
        <v>0</v>
      </c>
      <c r="AC2286" s="60">
        <v>0</v>
      </c>
      <c r="AD2286" s="60">
        <v>0</v>
      </c>
      <c r="AE2286" s="60">
        <v>1</v>
      </c>
      <c r="AF2286" s="60">
        <v>12</v>
      </c>
      <c r="AG2286" s="60">
        <v>2</v>
      </c>
      <c r="AH2286" s="60" t="s">
        <v>213</v>
      </c>
      <c r="AI2286" s="68">
        <v>0</v>
      </c>
      <c r="AJ2286" s="68">
        <v>2</v>
      </c>
      <c r="AK2286" s="68">
        <v>0</v>
      </c>
      <c r="AL2286" s="68">
        <v>1.5</v>
      </c>
      <c r="AM2286" s="60">
        <v>0</v>
      </c>
      <c r="AN2286" s="60">
        <v>0</v>
      </c>
      <c r="AO2286" s="60">
        <v>0</v>
      </c>
      <c r="AP2286" s="60">
        <v>0.3</v>
      </c>
      <c r="AQ2286" s="60">
        <v>300</v>
      </c>
      <c r="AR2286" s="60">
        <v>0</v>
      </c>
      <c r="AS2286" s="60">
        <v>20</v>
      </c>
      <c r="AT2286" s="68">
        <v>0</v>
      </c>
      <c r="AU2286" s="334" t="s">
        <v>5404</v>
      </c>
      <c r="AV2286" s="79"/>
      <c r="AW2286" s="59" t="s">
        <v>199</v>
      </c>
      <c r="AX2286" s="60" t="s">
        <v>215</v>
      </c>
      <c r="AY2286" s="64">
        <v>0</v>
      </c>
      <c r="AZ2286" s="64">
        <v>0</v>
      </c>
      <c r="BA2286" s="307" t="s">
        <v>216</v>
      </c>
      <c r="BB2286" s="60">
        <v>0</v>
      </c>
      <c r="BC2286" s="66">
        <v>0</v>
      </c>
      <c r="BD2286" s="66">
        <v>0</v>
      </c>
      <c r="BE2286" s="90" t="s">
        <v>5433</v>
      </c>
      <c r="BF2286" s="90" t="s">
        <v>5434</v>
      </c>
      <c r="BG2286" s="60">
        <v>0</v>
      </c>
      <c r="BH2286" s="60">
        <v>0</v>
      </c>
      <c r="BI2286" s="60">
        <v>0</v>
      </c>
      <c r="BJ2286" s="60">
        <v>0</v>
      </c>
      <c r="BK2286" s="60">
        <v>0</v>
      </c>
      <c r="BL2286" s="60">
        <v>0</v>
      </c>
      <c r="BM2286" s="93">
        <v>0</v>
      </c>
      <c r="BN2286" s="68">
        <v>0</v>
      </c>
      <c r="BO2286" s="68">
        <v>0</v>
      </c>
      <c r="BP2286" s="68">
        <v>0</v>
      </c>
      <c r="BQ2286" s="68">
        <v>0</v>
      </c>
      <c r="BR2286" s="68">
        <v>0</v>
      </c>
      <c r="BS2286" s="68">
        <v>0</v>
      </c>
      <c r="BT2286" s="68">
        <v>77001911</v>
      </c>
      <c r="BU2286" s="47">
        <v>0</v>
      </c>
      <c r="BV2286" s="47"/>
      <c r="BW2286" s="47"/>
    </row>
    <row r="2287" spans="3:75" ht="20.100000000000001" customHeight="1">
      <c r="C2287" s="64">
        <v>77001911</v>
      </c>
      <c r="D2287" s="59" t="s">
        <v>2846</v>
      </c>
      <c r="E2287" s="59" t="s">
        <v>5226</v>
      </c>
      <c r="F2287" s="60">
        <v>1</v>
      </c>
      <c r="G2287" s="60">
        <v>0</v>
      </c>
      <c r="H2287" s="60">
        <v>0</v>
      </c>
      <c r="I2287" s="66">
        <v>0</v>
      </c>
      <c r="J2287" s="64">
        <v>1</v>
      </c>
      <c r="K2287" s="64">
        <v>0</v>
      </c>
      <c r="L2287" s="64">
        <v>0</v>
      </c>
      <c r="M2287" s="60">
        <v>0</v>
      </c>
      <c r="N2287" s="60">
        <v>0</v>
      </c>
      <c r="O2287" s="60">
        <v>2</v>
      </c>
      <c r="P2287" s="60">
        <v>3</v>
      </c>
      <c r="Q2287" s="60">
        <v>0.2</v>
      </c>
      <c r="R2287" s="60">
        <v>0</v>
      </c>
      <c r="S2287" s="68">
        <v>0</v>
      </c>
      <c r="T2287" s="60">
        <v>0</v>
      </c>
      <c r="U2287" s="60">
        <v>1</v>
      </c>
      <c r="V2287" s="60">
        <v>1</v>
      </c>
      <c r="W2287" s="60">
        <v>0</v>
      </c>
      <c r="X2287" s="60">
        <v>1.5</v>
      </c>
      <c r="Y2287" s="12">
        <v>0</v>
      </c>
      <c r="Z2287" s="60">
        <v>0</v>
      </c>
      <c r="AA2287" s="60">
        <v>1</v>
      </c>
      <c r="AB2287" s="60">
        <v>0</v>
      </c>
      <c r="AC2287" s="60">
        <v>0</v>
      </c>
      <c r="AD2287" s="60">
        <v>0</v>
      </c>
      <c r="AE2287" s="60">
        <v>1</v>
      </c>
      <c r="AF2287" s="60">
        <v>0</v>
      </c>
      <c r="AG2287" s="60">
        <v>1</v>
      </c>
      <c r="AH2287" s="60">
        <v>6</v>
      </c>
      <c r="AI2287" s="68">
        <v>0</v>
      </c>
      <c r="AJ2287" s="68">
        <v>1</v>
      </c>
      <c r="AK2287" s="68">
        <v>0</v>
      </c>
      <c r="AL2287" s="68">
        <v>3</v>
      </c>
      <c r="AM2287" s="60">
        <v>0</v>
      </c>
      <c r="AN2287" s="60">
        <v>0</v>
      </c>
      <c r="AO2287" s="60">
        <v>0</v>
      </c>
      <c r="AP2287" s="60">
        <v>1</v>
      </c>
      <c r="AQ2287" s="60">
        <v>3000</v>
      </c>
      <c r="AR2287" s="60">
        <v>1</v>
      </c>
      <c r="AS2287" s="60">
        <v>0</v>
      </c>
      <c r="AT2287" s="68">
        <v>0</v>
      </c>
      <c r="AU2287" s="334" t="s">
        <v>5435</v>
      </c>
      <c r="AV2287" s="79"/>
      <c r="AW2287" s="59" t="s">
        <v>198</v>
      </c>
      <c r="AX2287" s="60" t="s">
        <v>215</v>
      </c>
      <c r="AY2287" s="64">
        <v>0</v>
      </c>
      <c r="AZ2287" s="64">
        <v>77001903</v>
      </c>
      <c r="BA2287" s="63" t="s">
        <v>200</v>
      </c>
      <c r="BB2287" s="60">
        <v>0</v>
      </c>
      <c r="BC2287" s="66">
        <v>0</v>
      </c>
      <c r="BD2287" s="66">
        <v>0</v>
      </c>
      <c r="BE2287" s="90" t="s">
        <v>2846</v>
      </c>
      <c r="BF2287" s="90" t="s">
        <v>5226</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spans="3:75" ht="20.100000000000001" customHeight="1">
      <c r="C2288" s="64">
        <v>77001912</v>
      </c>
      <c r="D2288" s="59" t="s">
        <v>5436</v>
      </c>
      <c r="E2288" s="59" t="s">
        <v>5437</v>
      </c>
      <c r="F2288" s="60">
        <v>1</v>
      </c>
      <c r="G2288" s="60">
        <v>0</v>
      </c>
      <c r="H2288" s="60">
        <v>0</v>
      </c>
      <c r="I2288" s="66">
        <v>0</v>
      </c>
      <c r="J2288" s="64">
        <v>1</v>
      </c>
      <c r="K2288" s="60">
        <v>0</v>
      </c>
      <c r="L2288" s="60">
        <v>0</v>
      </c>
      <c r="M2288" s="60">
        <v>0</v>
      </c>
      <c r="N2288" s="60">
        <v>0</v>
      </c>
      <c r="O2288" s="60">
        <v>2</v>
      </c>
      <c r="P2288" s="60">
        <v>1</v>
      </c>
      <c r="Q2288" s="60">
        <v>0.1</v>
      </c>
      <c r="R2288" s="60">
        <v>0</v>
      </c>
      <c r="S2288" s="68">
        <v>0</v>
      </c>
      <c r="T2288" s="60">
        <v>0</v>
      </c>
      <c r="U2288" s="60">
        <v>1</v>
      </c>
      <c r="V2288" s="60">
        <v>1</v>
      </c>
      <c r="W2288" s="60">
        <v>0</v>
      </c>
      <c r="X2288" s="60">
        <v>1</v>
      </c>
      <c r="Y2288" s="12">
        <v>0</v>
      </c>
      <c r="Z2288" s="60">
        <v>0</v>
      </c>
      <c r="AA2288" s="60">
        <v>1</v>
      </c>
      <c r="AB2288" s="60">
        <v>0</v>
      </c>
      <c r="AC2288" s="60">
        <v>0</v>
      </c>
      <c r="AD2288" s="60">
        <v>0</v>
      </c>
      <c r="AE2288" s="60">
        <v>1</v>
      </c>
      <c r="AF2288" s="60">
        <v>0</v>
      </c>
      <c r="AG2288" s="60">
        <v>1</v>
      </c>
      <c r="AH2288" s="60">
        <v>3</v>
      </c>
      <c r="AI2288" s="68">
        <v>0</v>
      </c>
      <c r="AJ2288" s="68">
        <v>1</v>
      </c>
      <c r="AK2288" s="68">
        <v>0</v>
      </c>
      <c r="AL2288" s="68">
        <v>2</v>
      </c>
      <c r="AM2288" s="60">
        <v>0</v>
      </c>
      <c r="AN2288" s="60">
        <v>0</v>
      </c>
      <c r="AO2288" s="60">
        <v>0</v>
      </c>
      <c r="AP2288" s="60">
        <v>0.5</v>
      </c>
      <c r="AQ2288" s="60">
        <v>600</v>
      </c>
      <c r="AR2288" s="60">
        <v>0.5</v>
      </c>
      <c r="AS2288" s="60">
        <v>0</v>
      </c>
      <c r="AT2288" s="68">
        <v>0</v>
      </c>
      <c r="AU2288" s="60">
        <v>0</v>
      </c>
      <c r="AV2288" s="60"/>
      <c r="AW2288" s="59" t="s">
        <v>198</v>
      </c>
      <c r="AX2288" s="60" t="s">
        <v>534</v>
      </c>
      <c r="AY2288" s="64">
        <v>10000001</v>
      </c>
      <c r="AZ2288" s="64">
        <v>77001904</v>
      </c>
      <c r="BA2288" s="59" t="s">
        <v>771</v>
      </c>
      <c r="BB2288" s="60">
        <v>0</v>
      </c>
      <c r="BC2288" s="66">
        <v>0</v>
      </c>
      <c r="BD2288" s="66">
        <v>0</v>
      </c>
      <c r="BE2288" s="121" t="s">
        <v>5438</v>
      </c>
      <c r="BF2288" s="121" t="s">
        <v>5439</v>
      </c>
      <c r="BG2288" s="60">
        <v>0</v>
      </c>
      <c r="BH2288" s="60">
        <v>0</v>
      </c>
      <c r="BI2288" s="60">
        <v>0</v>
      </c>
      <c r="BJ2288" s="60">
        <v>0</v>
      </c>
      <c r="BK2288" s="60">
        <v>0</v>
      </c>
      <c r="BL2288" s="60">
        <v>0</v>
      </c>
      <c r="BM2288" s="93">
        <v>0</v>
      </c>
      <c r="BN2288" s="68">
        <v>0</v>
      </c>
      <c r="BO2288" s="68">
        <v>0</v>
      </c>
      <c r="BP2288" s="68">
        <v>0</v>
      </c>
      <c r="BQ2288" s="68">
        <v>0</v>
      </c>
      <c r="BR2288" s="68">
        <v>0</v>
      </c>
      <c r="BS2288" s="68">
        <v>0</v>
      </c>
      <c r="BT2288" s="68">
        <v>77001913</v>
      </c>
      <c r="BU2288" s="47">
        <v>0</v>
      </c>
      <c r="BV2288" s="47"/>
      <c r="BW2288" s="47"/>
    </row>
    <row r="2289" spans="3:75" ht="20.100000000000001" customHeight="1">
      <c r="C2289" s="64">
        <v>77001913</v>
      </c>
      <c r="D2289" s="59" t="s">
        <v>598</v>
      </c>
      <c r="E2289" s="59" t="s">
        <v>1162</v>
      </c>
      <c r="F2289" s="64">
        <v>1</v>
      </c>
      <c r="G2289" s="60">
        <v>0</v>
      </c>
      <c r="H2289" s="64">
        <v>0</v>
      </c>
      <c r="I2289" s="66">
        <v>0</v>
      </c>
      <c r="J2289" s="64">
        <v>1</v>
      </c>
      <c r="K2289" s="64">
        <v>0</v>
      </c>
      <c r="L2289" s="64">
        <v>0</v>
      </c>
      <c r="M2289" s="60">
        <v>0</v>
      </c>
      <c r="N2289" s="60">
        <v>0</v>
      </c>
      <c r="O2289" s="60">
        <v>2</v>
      </c>
      <c r="P2289" s="60">
        <v>1</v>
      </c>
      <c r="Q2289" s="60">
        <v>0.5</v>
      </c>
      <c r="R2289" s="60">
        <v>0</v>
      </c>
      <c r="S2289" s="68">
        <v>0</v>
      </c>
      <c r="T2289" s="60">
        <v>0</v>
      </c>
      <c r="U2289" s="60">
        <v>1</v>
      </c>
      <c r="V2289" s="60">
        <v>2</v>
      </c>
      <c r="W2289" s="60">
        <v>0</v>
      </c>
      <c r="X2289" s="60">
        <v>0.5</v>
      </c>
      <c r="Y2289" s="12">
        <v>0</v>
      </c>
      <c r="Z2289" s="60">
        <v>0</v>
      </c>
      <c r="AA2289" s="60">
        <v>0</v>
      </c>
      <c r="AB2289" s="60">
        <v>0</v>
      </c>
      <c r="AC2289" s="60">
        <v>0</v>
      </c>
      <c r="AD2289" s="60">
        <v>0</v>
      </c>
      <c r="AE2289" s="60">
        <v>0</v>
      </c>
      <c r="AF2289" s="60">
        <v>8</v>
      </c>
      <c r="AG2289" s="60">
        <v>2</v>
      </c>
      <c r="AH2289" s="60" t="s">
        <v>1036</v>
      </c>
      <c r="AI2289" s="68">
        <v>0</v>
      </c>
      <c r="AJ2289" s="68">
        <v>2</v>
      </c>
      <c r="AK2289" s="68">
        <v>0</v>
      </c>
      <c r="AL2289" s="68">
        <v>1.5</v>
      </c>
      <c r="AM2289" s="60">
        <v>0</v>
      </c>
      <c r="AN2289" s="60">
        <v>0</v>
      </c>
      <c r="AO2289" s="60">
        <v>0</v>
      </c>
      <c r="AP2289" s="60">
        <v>0.3</v>
      </c>
      <c r="AQ2289" s="60">
        <v>400</v>
      </c>
      <c r="AR2289" s="60">
        <v>0.3</v>
      </c>
      <c r="AS2289" s="60">
        <v>0</v>
      </c>
      <c r="AT2289" s="68">
        <v>0</v>
      </c>
      <c r="AU2289" s="60">
        <v>97009003</v>
      </c>
      <c r="AV2289" s="60"/>
      <c r="AW2289" s="63" t="s">
        <v>198</v>
      </c>
      <c r="AX2289" s="60" t="s">
        <v>545</v>
      </c>
      <c r="AY2289" s="64">
        <v>10001007</v>
      </c>
      <c r="AZ2289" s="64">
        <v>77001905</v>
      </c>
      <c r="BA2289" s="59" t="s">
        <v>200</v>
      </c>
      <c r="BB2289" s="60">
        <v>0</v>
      </c>
      <c r="BC2289" s="66">
        <v>0</v>
      </c>
      <c r="BD2289" s="66">
        <v>0</v>
      </c>
      <c r="BE2289" s="90" t="s">
        <v>5440</v>
      </c>
      <c r="BF2289" s="90" t="s">
        <v>5441</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spans="3:75" ht="19.5" customHeight="1">
      <c r="C2290" s="64">
        <v>77001914</v>
      </c>
      <c r="D2290" s="59" t="s">
        <v>2342</v>
      </c>
      <c r="E2290" s="59" t="s">
        <v>2343</v>
      </c>
      <c r="F2290" s="64">
        <v>1</v>
      </c>
      <c r="G2290" s="60">
        <v>0</v>
      </c>
      <c r="H2290" s="64">
        <v>0</v>
      </c>
      <c r="I2290" s="66">
        <v>0</v>
      </c>
      <c r="J2290" s="64">
        <v>1</v>
      </c>
      <c r="K2290" s="64">
        <v>0</v>
      </c>
      <c r="L2290" s="64">
        <v>0</v>
      </c>
      <c r="M2290" s="60">
        <v>0</v>
      </c>
      <c r="N2290" s="60">
        <v>0</v>
      </c>
      <c r="O2290" s="60">
        <v>2</v>
      </c>
      <c r="P2290" s="60">
        <v>16</v>
      </c>
      <c r="Q2290" s="60">
        <v>5</v>
      </c>
      <c r="R2290" s="60">
        <v>0</v>
      </c>
      <c r="S2290" s="68">
        <v>0</v>
      </c>
      <c r="T2290" s="60">
        <v>0</v>
      </c>
      <c r="U2290" s="60">
        <v>1</v>
      </c>
      <c r="V2290" s="60">
        <v>2</v>
      </c>
      <c r="W2290" s="60">
        <v>0</v>
      </c>
      <c r="X2290" s="60">
        <v>1.5</v>
      </c>
      <c r="Y2290" s="12">
        <v>0</v>
      </c>
      <c r="Z2290" s="60">
        <v>0</v>
      </c>
      <c r="AA2290" s="60">
        <v>0</v>
      </c>
      <c r="AB2290" s="60">
        <v>0</v>
      </c>
      <c r="AC2290" s="60">
        <v>0</v>
      </c>
      <c r="AD2290" s="60">
        <v>0</v>
      </c>
      <c r="AE2290" s="60">
        <v>1</v>
      </c>
      <c r="AF2290" s="60">
        <v>0</v>
      </c>
      <c r="AG2290" s="60">
        <v>1</v>
      </c>
      <c r="AH2290" s="60">
        <v>2</v>
      </c>
      <c r="AI2290" s="68">
        <v>0</v>
      </c>
      <c r="AJ2290" s="68">
        <v>2</v>
      </c>
      <c r="AK2290" s="68">
        <v>0</v>
      </c>
      <c r="AL2290" s="68">
        <v>2</v>
      </c>
      <c r="AM2290" s="60">
        <v>0</v>
      </c>
      <c r="AN2290" s="60">
        <v>0</v>
      </c>
      <c r="AO2290" s="60">
        <v>0</v>
      </c>
      <c r="AP2290" s="60">
        <v>2</v>
      </c>
      <c r="AQ2290" s="60">
        <v>5000</v>
      </c>
      <c r="AR2290" s="60">
        <v>0</v>
      </c>
      <c r="AS2290" s="60">
        <v>15</v>
      </c>
      <c r="AT2290" s="78">
        <v>0</v>
      </c>
      <c r="AU2290" s="334" t="s">
        <v>198</v>
      </c>
      <c r="AV2290" s="79"/>
      <c r="AW2290" s="59" t="s">
        <v>256</v>
      </c>
      <c r="AX2290" s="60" t="s">
        <v>534</v>
      </c>
      <c r="AY2290" s="64">
        <v>10000007</v>
      </c>
      <c r="AZ2290" s="332" t="s">
        <v>5442</v>
      </c>
      <c r="BA2290" s="59" t="s">
        <v>586</v>
      </c>
      <c r="BB2290" s="60" t="s">
        <v>1305</v>
      </c>
      <c r="BC2290" s="66">
        <v>0</v>
      </c>
      <c r="BD2290" s="66">
        <v>1</v>
      </c>
      <c r="BE2290" s="90" t="s">
        <v>1306</v>
      </c>
      <c r="BF2290" s="90" t="s">
        <v>1307</v>
      </c>
      <c r="BG2290" s="60">
        <v>0</v>
      </c>
      <c r="BH2290" s="60">
        <v>0</v>
      </c>
      <c r="BI2290" s="60">
        <v>0</v>
      </c>
      <c r="BJ2290" s="60">
        <v>0</v>
      </c>
      <c r="BK2290" s="60">
        <v>0</v>
      </c>
      <c r="BL2290" s="60">
        <v>0</v>
      </c>
      <c r="BM2290" s="93">
        <v>0</v>
      </c>
      <c r="BN2290" s="68">
        <v>0</v>
      </c>
      <c r="BO2290" s="68">
        <v>0</v>
      </c>
      <c r="BP2290" s="68">
        <v>0</v>
      </c>
      <c r="BQ2290" s="68">
        <v>0</v>
      </c>
      <c r="BR2290" s="68">
        <v>0</v>
      </c>
      <c r="BS2290" s="68">
        <v>1</v>
      </c>
      <c r="BT2290" s="68">
        <v>0</v>
      </c>
      <c r="BU2290" s="47">
        <v>0</v>
      </c>
      <c r="BV2290" s="47"/>
      <c r="BW2290" s="47"/>
    </row>
    <row r="2291" spans="3:75" ht="20.100000000000001" customHeight="1">
      <c r="C2291" s="100">
        <v>77002001</v>
      </c>
      <c r="D2291" s="306" t="s">
        <v>5443</v>
      </c>
      <c r="E2291" s="306" t="s">
        <v>5444</v>
      </c>
      <c r="F2291" s="100">
        <v>1</v>
      </c>
      <c r="G2291" s="101">
        <v>0</v>
      </c>
      <c r="H2291" s="100">
        <v>0</v>
      </c>
      <c r="I2291" s="106">
        <v>0</v>
      </c>
      <c r="J2291" s="100">
        <v>1</v>
      </c>
      <c r="K2291" s="100">
        <v>0</v>
      </c>
      <c r="L2291" s="106">
        <v>0</v>
      </c>
      <c r="M2291" s="106">
        <v>0</v>
      </c>
      <c r="N2291" s="106">
        <v>0</v>
      </c>
      <c r="O2291" s="106">
        <v>2</v>
      </c>
      <c r="P2291" s="106">
        <v>1</v>
      </c>
      <c r="Q2291" s="106">
        <v>0.15</v>
      </c>
      <c r="R2291" s="106">
        <v>0</v>
      </c>
      <c r="S2291" s="106">
        <v>0</v>
      </c>
      <c r="T2291" s="106">
        <v>0</v>
      </c>
      <c r="U2291" s="106">
        <v>1</v>
      </c>
      <c r="V2291" s="106">
        <v>2</v>
      </c>
      <c r="W2291" s="106">
        <v>0</v>
      </c>
      <c r="X2291" s="106">
        <v>0.8</v>
      </c>
      <c r="Y2291" s="12">
        <v>0</v>
      </c>
      <c r="Z2291" s="106">
        <v>1000</v>
      </c>
      <c r="AA2291" s="106">
        <v>1</v>
      </c>
      <c r="AB2291" s="106">
        <v>0</v>
      </c>
      <c r="AC2291" s="106">
        <v>0</v>
      </c>
      <c r="AD2291" s="106">
        <v>0</v>
      </c>
      <c r="AE2291" s="106">
        <v>0</v>
      </c>
      <c r="AF2291" s="106">
        <v>16</v>
      </c>
      <c r="AG2291" s="106">
        <v>1</v>
      </c>
      <c r="AH2291" s="106">
        <v>6</v>
      </c>
      <c r="AI2291" s="106">
        <v>0</v>
      </c>
      <c r="AJ2291" s="106">
        <v>1</v>
      </c>
      <c r="AK2291" s="106">
        <v>0</v>
      </c>
      <c r="AL2291" s="106">
        <v>7</v>
      </c>
      <c r="AM2291" s="106">
        <v>0</v>
      </c>
      <c r="AN2291" s="106">
        <v>0</v>
      </c>
      <c r="AO2291" s="106">
        <v>0</v>
      </c>
      <c r="AP2291" s="106">
        <v>1</v>
      </c>
      <c r="AQ2291" s="106">
        <v>2000</v>
      </c>
      <c r="AR2291" s="106">
        <v>1</v>
      </c>
      <c r="AS2291" s="106">
        <v>0</v>
      </c>
      <c r="AT2291" s="106">
        <v>0</v>
      </c>
      <c r="AU2291" s="106">
        <v>0</v>
      </c>
      <c r="AV2291" s="106"/>
      <c r="AW2291" s="306" t="s">
        <v>199</v>
      </c>
      <c r="AX2291" s="106" t="s">
        <v>1041</v>
      </c>
      <c r="AY2291" s="106">
        <v>10000007</v>
      </c>
      <c r="AZ2291" s="106">
        <v>77002001</v>
      </c>
      <c r="BA2291" s="306" t="s">
        <v>1574</v>
      </c>
      <c r="BB2291" s="106">
        <v>1</v>
      </c>
      <c r="BC2291" s="106">
        <v>0</v>
      </c>
      <c r="BD2291" s="106">
        <v>0</v>
      </c>
      <c r="BE2291" s="310" t="s">
        <v>5445</v>
      </c>
      <c r="BF2291" s="310" t="s">
        <v>5446</v>
      </c>
      <c r="BG2291" s="106">
        <v>0</v>
      </c>
      <c r="BH2291" s="106">
        <v>0</v>
      </c>
      <c r="BI2291" s="106">
        <v>0</v>
      </c>
      <c r="BJ2291" s="106">
        <v>0</v>
      </c>
      <c r="BK2291" s="106">
        <v>0</v>
      </c>
      <c r="BL2291" s="106">
        <v>0</v>
      </c>
      <c r="BM2291" s="311">
        <v>0</v>
      </c>
      <c r="BN2291" s="106">
        <v>0</v>
      </c>
      <c r="BO2291" s="106">
        <v>0</v>
      </c>
      <c r="BP2291" s="106">
        <v>1000</v>
      </c>
      <c r="BQ2291" s="106">
        <v>1</v>
      </c>
      <c r="BR2291" s="106">
        <v>200</v>
      </c>
      <c r="BS2291" s="106">
        <v>0</v>
      </c>
      <c r="BT2291" s="106">
        <v>0</v>
      </c>
      <c r="BU2291" s="47">
        <v>0</v>
      </c>
      <c r="BV2291" s="47"/>
      <c r="BW2291" s="47"/>
    </row>
    <row r="2292" spans="3:75" ht="19.5" customHeight="1">
      <c r="C2292" s="100">
        <v>77002002</v>
      </c>
      <c r="D2292" s="99" t="s">
        <v>5447</v>
      </c>
      <c r="E2292" s="99" t="s">
        <v>5448</v>
      </c>
      <c r="F2292" s="100">
        <v>1</v>
      </c>
      <c r="G2292" s="101">
        <v>0</v>
      </c>
      <c r="H2292" s="100">
        <v>0</v>
      </c>
      <c r="I2292" s="105">
        <v>0</v>
      </c>
      <c r="J2292" s="100">
        <v>1</v>
      </c>
      <c r="K2292" s="100">
        <v>0</v>
      </c>
      <c r="L2292" s="100">
        <v>0</v>
      </c>
      <c r="M2292" s="101">
        <v>0</v>
      </c>
      <c r="N2292" s="101">
        <v>0</v>
      </c>
      <c r="O2292" s="101">
        <v>2</v>
      </c>
      <c r="P2292" s="101">
        <v>2</v>
      </c>
      <c r="Q2292" s="101">
        <v>0.5</v>
      </c>
      <c r="R2292" s="101">
        <v>1</v>
      </c>
      <c r="S2292" s="106">
        <v>0</v>
      </c>
      <c r="T2292" s="101">
        <v>0</v>
      </c>
      <c r="U2292" s="101">
        <v>1</v>
      </c>
      <c r="V2292" s="101">
        <v>1</v>
      </c>
      <c r="W2292" s="101">
        <v>0</v>
      </c>
      <c r="X2292" s="101">
        <v>0</v>
      </c>
      <c r="Y2292" s="12">
        <v>0</v>
      </c>
      <c r="Z2292" s="101">
        <v>0</v>
      </c>
      <c r="AA2292" s="101">
        <v>0</v>
      </c>
      <c r="AB2292" s="101">
        <v>0</v>
      </c>
      <c r="AC2292" s="101">
        <v>0</v>
      </c>
      <c r="AD2292" s="101">
        <v>0</v>
      </c>
      <c r="AE2292" s="101">
        <v>1</v>
      </c>
      <c r="AF2292" s="101">
        <v>0</v>
      </c>
      <c r="AG2292" s="101">
        <v>1</v>
      </c>
      <c r="AH2292" s="101">
        <v>2</v>
      </c>
      <c r="AI2292" s="106">
        <v>0</v>
      </c>
      <c r="AJ2292" s="106">
        <v>1</v>
      </c>
      <c r="AK2292" s="106">
        <v>0</v>
      </c>
      <c r="AL2292" s="106">
        <v>3</v>
      </c>
      <c r="AM2292" s="101">
        <v>0</v>
      </c>
      <c r="AN2292" s="101">
        <v>0</v>
      </c>
      <c r="AO2292" s="101">
        <v>0</v>
      </c>
      <c r="AP2292" s="101">
        <v>0.3</v>
      </c>
      <c r="AQ2292" s="101">
        <v>300</v>
      </c>
      <c r="AR2292" s="101">
        <v>0</v>
      </c>
      <c r="AS2292" s="101">
        <v>0</v>
      </c>
      <c r="AT2292" s="106">
        <v>0</v>
      </c>
      <c r="AU2292" s="114">
        <v>0</v>
      </c>
      <c r="AV2292" s="114"/>
      <c r="AW2292" s="99" t="s">
        <v>198</v>
      </c>
      <c r="AX2292" s="101">
        <v>0</v>
      </c>
      <c r="AY2292" s="100">
        <v>0</v>
      </c>
      <c r="AZ2292" s="100">
        <v>0</v>
      </c>
      <c r="BA2292" s="99" t="s">
        <v>528</v>
      </c>
      <c r="BB2292" s="340" t="s">
        <v>5449</v>
      </c>
      <c r="BC2292" s="105">
        <v>0</v>
      </c>
      <c r="BD2292" s="105">
        <v>0</v>
      </c>
      <c r="BE2292" s="119" t="s">
        <v>5450</v>
      </c>
      <c r="BF2292" s="119" t="s">
        <v>5451</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3:75" ht="19.5" customHeight="1">
      <c r="C2293" s="100">
        <v>77002003</v>
      </c>
      <c r="D2293" s="99" t="s">
        <v>5452</v>
      </c>
      <c r="E2293" s="99" t="s">
        <v>5453</v>
      </c>
      <c r="F2293" s="100">
        <v>1</v>
      </c>
      <c r="G2293" s="101">
        <v>0</v>
      </c>
      <c r="H2293" s="100">
        <v>0</v>
      </c>
      <c r="I2293" s="105">
        <v>0</v>
      </c>
      <c r="J2293" s="100">
        <v>1</v>
      </c>
      <c r="K2293" s="100">
        <v>0</v>
      </c>
      <c r="L2293" s="100">
        <v>0</v>
      </c>
      <c r="M2293" s="101">
        <v>0</v>
      </c>
      <c r="N2293" s="101">
        <v>0</v>
      </c>
      <c r="O2293" s="101">
        <v>2</v>
      </c>
      <c r="P2293" s="101">
        <v>3</v>
      </c>
      <c r="Q2293" s="101">
        <v>0.2</v>
      </c>
      <c r="R2293" s="101">
        <v>0</v>
      </c>
      <c r="S2293" s="106">
        <v>0</v>
      </c>
      <c r="T2293" s="101">
        <v>0</v>
      </c>
      <c r="U2293" s="101">
        <v>1</v>
      </c>
      <c r="V2293" s="101">
        <v>1</v>
      </c>
      <c r="W2293" s="101">
        <v>0</v>
      </c>
      <c r="X2293" s="101">
        <v>0</v>
      </c>
      <c r="Y2293" s="12">
        <v>0</v>
      </c>
      <c r="Z2293" s="101">
        <v>0</v>
      </c>
      <c r="AA2293" s="101">
        <v>1</v>
      </c>
      <c r="AB2293" s="101">
        <v>0</v>
      </c>
      <c r="AC2293" s="101">
        <v>0</v>
      </c>
      <c r="AD2293" s="101">
        <v>0</v>
      </c>
      <c r="AE2293" s="101">
        <v>1</v>
      </c>
      <c r="AF2293" s="101">
        <v>0</v>
      </c>
      <c r="AG2293" s="101">
        <v>1</v>
      </c>
      <c r="AH2293" s="101">
        <v>20</v>
      </c>
      <c r="AI2293" s="106">
        <v>0</v>
      </c>
      <c r="AJ2293" s="106">
        <v>1</v>
      </c>
      <c r="AK2293" s="106">
        <v>0</v>
      </c>
      <c r="AL2293" s="106">
        <v>3</v>
      </c>
      <c r="AM2293" s="101">
        <v>0</v>
      </c>
      <c r="AN2293" s="101">
        <v>0</v>
      </c>
      <c r="AO2293" s="101">
        <v>0</v>
      </c>
      <c r="AP2293" s="101">
        <v>0.3</v>
      </c>
      <c r="AQ2293" s="101">
        <v>300</v>
      </c>
      <c r="AR2293" s="101">
        <v>0</v>
      </c>
      <c r="AS2293" s="101">
        <v>0</v>
      </c>
      <c r="AT2293" s="106">
        <v>0</v>
      </c>
      <c r="AU2293" s="339" t="s">
        <v>5454</v>
      </c>
      <c r="AV2293" s="114"/>
      <c r="AW2293" s="99" t="s">
        <v>198</v>
      </c>
      <c r="AX2293" s="101">
        <v>0</v>
      </c>
      <c r="AY2293" s="100">
        <v>0</v>
      </c>
      <c r="AZ2293" s="100">
        <v>0</v>
      </c>
      <c r="BA2293" s="99" t="s">
        <v>528</v>
      </c>
      <c r="BB2293" s="340" t="s">
        <v>5455</v>
      </c>
      <c r="BC2293" s="105">
        <v>0</v>
      </c>
      <c r="BD2293" s="105">
        <v>0</v>
      </c>
      <c r="BE2293" s="119" t="s">
        <v>5456</v>
      </c>
      <c r="BF2293" s="119" t="s">
        <v>5457</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row>
    <row r="2294" spans="3:75" ht="20.100000000000001" customHeight="1">
      <c r="C2294" s="100">
        <v>77002004</v>
      </c>
      <c r="D2294" s="99" t="s">
        <v>5458</v>
      </c>
      <c r="E2294" s="290" t="s">
        <v>5459</v>
      </c>
      <c r="F2294" s="97">
        <v>1</v>
      </c>
      <c r="G2294" s="97">
        <v>0</v>
      </c>
      <c r="H2294" s="101">
        <v>0</v>
      </c>
      <c r="I2294" s="105">
        <v>0</v>
      </c>
      <c r="J2294" s="100">
        <v>1</v>
      </c>
      <c r="K2294" s="100">
        <v>0</v>
      </c>
      <c r="L2294" s="100">
        <v>0</v>
      </c>
      <c r="M2294" s="101">
        <v>0</v>
      </c>
      <c r="N2294" s="101">
        <v>0</v>
      </c>
      <c r="O2294" s="101">
        <v>2</v>
      </c>
      <c r="P2294" s="101">
        <v>1</v>
      </c>
      <c r="Q2294" s="101">
        <v>0.15</v>
      </c>
      <c r="R2294" s="101">
        <v>0</v>
      </c>
      <c r="S2294" s="106">
        <v>0</v>
      </c>
      <c r="T2294" s="101">
        <v>0</v>
      </c>
      <c r="U2294" s="101">
        <v>1</v>
      </c>
      <c r="V2294" s="97">
        <v>1</v>
      </c>
      <c r="W2294" s="101">
        <v>0</v>
      </c>
      <c r="X2294" s="101">
        <v>0</v>
      </c>
      <c r="Y2294" s="12">
        <v>0</v>
      </c>
      <c r="Z2294" s="101">
        <v>0</v>
      </c>
      <c r="AA2294" s="101">
        <v>1</v>
      </c>
      <c r="AB2294" s="101">
        <v>0</v>
      </c>
      <c r="AC2294" s="101">
        <v>0</v>
      </c>
      <c r="AD2294" s="101">
        <v>0</v>
      </c>
      <c r="AE2294" s="101">
        <v>1</v>
      </c>
      <c r="AF2294" s="101">
        <v>0</v>
      </c>
      <c r="AG2294" s="101">
        <v>2</v>
      </c>
      <c r="AH2294" s="101" t="s">
        <v>213</v>
      </c>
      <c r="AI2294" s="106">
        <v>0</v>
      </c>
      <c r="AJ2294" s="106">
        <v>2</v>
      </c>
      <c r="AK2294" s="106">
        <v>0</v>
      </c>
      <c r="AL2294" s="106">
        <v>1.5</v>
      </c>
      <c r="AM2294" s="101">
        <v>0</v>
      </c>
      <c r="AN2294" s="101">
        <v>0</v>
      </c>
      <c r="AO2294" s="101">
        <v>0</v>
      </c>
      <c r="AP2294" s="101">
        <v>1.5</v>
      </c>
      <c r="AQ2294" s="101">
        <v>1600</v>
      </c>
      <c r="AR2294" s="101">
        <v>1</v>
      </c>
      <c r="AS2294" s="101">
        <v>15</v>
      </c>
      <c r="AT2294" s="106">
        <v>0</v>
      </c>
      <c r="AU2294" s="339" t="s">
        <v>198</v>
      </c>
      <c r="AV2294" s="114"/>
      <c r="AW2294" s="99" t="s">
        <v>198</v>
      </c>
      <c r="AX2294" s="101" t="s">
        <v>215</v>
      </c>
      <c r="AY2294" s="100">
        <v>0</v>
      </c>
      <c r="AZ2294" s="100">
        <v>0</v>
      </c>
      <c r="BA2294" s="99" t="s">
        <v>216</v>
      </c>
      <c r="BB2294" s="101">
        <v>0</v>
      </c>
      <c r="BC2294" s="105">
        <v>0</v>
      </c>
      <c r="BD2294" s="105">
        <v>0</v>
      </c>
      <c r="BE2294" s="119" t="s">
        <v>5460</v>
      </c>
      <c r="BF2294" s="119" t="s">
        <v>5461</v>
      </c>
      <c r="BG2294" s="101">
        <v>0</v>
      </c>
      <c r="BH2294" s="101">
        <v>0</v>
      </c>
      <c r="BI2294" s="101">
        <v>0</v>
      </c>
      <c r="BJ2294" s="101">
        <v>0</v>
      </c>
      <c r="BK2294" s="101">
        <v>0</v>
      </c>
      <c r="BL2294" s="101">
        <v>0</v>
      </c>
      <c r="BM2294" s="97">
        <v>0</v>
      </c>
      <c r="BN2294" s="106">
        <v>0</v>
      </c>
      <c r="BO2294" s="106">
        <v>0</v>
      </c>
      <c r="BP2294" s="106">
        <v>0</v>
      </c>
      <c r="BQ2294" s="106">
        <v>0</v>
      </c>
      <c r="BR2294" s="106">
        <v>0</v>
      </c>
      <c r="BS2294" s="106">
        <v>1</v>
      </c>
      <c r="BT2294" s="106">
        <v>0</v>
      </c>
      <c r="BU2294" s="47">
        <v>0</v>
      </c>
      <c r="BV2294" s="47"/>
      <c r="BW2294" s="47"/>
    </row>
    <row r="2295" spans="3:75" ht="20.100000000000001" customHeight="1">
      <c r="C2295" s="100">
        <v>77002005</v>
      </c>
      <c r="D2295" s="99" t="s">
        <v>5458</v>
      </c>
      <c r="E2295" s="290" t="s">
        <v>5459</v>
      </c>
      <c r="F2295" s="97">
        <v>1</v>
      </c>
      <c r="G2295" s="97">
        <v>0</v>
      </c>
      <c r="H2295" s="101">
        <v>0</v>
      </c>
      <c r="I2295" s="105">
        <v>0</v>
      </c>
      <c r="J2295" s="100">
        <v>1</v>
      </c>
      <c r="K2295" s="100">
        <v>0</v>
      </c>
      <c r="L2295" s="100">
        <v>0</v>
      </c>
      <c r="M2295" s="101">
        <v>0</v>
      </c>
      <c r="N2295" s="101">
        <v>0</v>
      </c>
      <c r="O2295" s="101">
        <v>2</v>
      </c>
      <c r="P2295" s="101">
        <v>2</v>
      </c>
      <c r="Q2295" s="101">
        <v>1</v>
      </c>
      <c r="R2295" s="101">
        <v>0</v>
      </c>
      <c r="S2295" s="106">
        <v>0</v>
      </c>
      <c r="T2295" s="101">
        <v>0</v>
      </c>
      <c r="U2295" s="101">
        <v>1</v>
      </c>
      <c r="V2295" s="97">
        <v>1</v>
      </c>
      <c r="W2295" s="101">
        <v>0</v>
      </c>
      <c r="X2295" s="101">
        <v>0</v>
      </c>
      <c r="Y2295" s="12">
        <v>0</v>
      </c>
      <c r="Z2295" s="101">
        <v>0</v>
      </c>
      <c r="AA2295" s="101">
        <v>1</v>
      </c>
      <c r="AB2295" s="101">
        <v>0</v>
      </c>
      <c r="AC2295" s="101">
        <v>0</v>
      </c>
      <c r="AD2295" s="101">
        <v>0</v>
      </c>
      <c r="AE2295" s="101">
        <v>1</v>
      </c>
      <c r="AF2295" s="101">
        <v>20</v>
      </c>
      <c r="AG2295" s="101">
        <v>2</v>
      </c>
      <c r="AH2295" s="101" t="s">
        <v>213</v>
      </c>
      <c r="AI2295" s="106">
        <v>0</v>
      </c>
      <c r="AJ2295" s="106">
        <v>2</v>
      </c>
      <c r="AK2295" s="106">
        <v>0</v>
      </c>
      <c r="AL2295" s="106">
        <v>1.5</v>
      </c>
      <c r="AM2295" s="101">
        <v>0</v>
      </c>
      <c r="AN2295" s="101">
        <v>0</v>
      </c>
      <c r="AO2295" s="101">
        <v>0</v>
      </c>
      <c r="AP2295" s="101">
        <v>1.5</v>
      </c>
      <c r="AQ2295" s="101">
        <v>1600</v>
      </c>
      <c r="AR2295" s="101">
        <v>1</v>
      </c>
      <c r="AS2295" s="101">
        <v>15</v>
      </c>
      <c r="AT2295" s="106">
        <v>0</v>
      </c>
      <c r="AU2295" s="339" t="s">
        <v>198</v>
      </c>
      <c r="AV2295" s="114"/>
      <c r="AW2295" s="99" t="s">
        <v>198</v>
      </c>
      <c r="AX2295" s="101" t="s">
        <v>215</v>
      </c>
      <c r="AY2295" s="100">
        <v>0</v>
      </c>
      <c r="AZ2295" s="100">
        <v>0</v>
      </c>
      <c r="BA2295" s="99" t="s">
        <v>216</v>
      </c>
      <c r="BB2295" s="101">
        <v>0</v>
      </c>
      <c r="BC2295" s="105">
        <v>0</v>
      </c>
      <c r="BD2295" s="105">
        <v>0</v>
      </c>
      <c r="BE2295" s="119" t="s">
        <v>5460</v>
      </c>
      <c r="BF2295" s="119" t="s">
        <v>5461</v>
      </c>
      <c r="BG2295" s="101">
        <v>0</v>
      </c>
      <c r="BH2295" s="101">
        <v>0</v>
      </c>
      <c r="BI2295" s="101">
        <v>0</v>
      </c>
      <c r="BJ2295" s="101">
        <v>0</v>
      </c>
      <c r="BK2295" s="101">
        <v>0</v>
      </c>
      <c r="BL2295" s="101">
        <v>0</v>
      </c>
      <c r="BM2295" s="97">
        <v>0</v>
      </c>
      <c r="BN2295" s="106">
        <v>0</v>
      </c>
      <c r="BO2295" s="106">
        <v>0</v>
      </c>
      <c r="BP2295" s="106">
        <v>0</v>
      </c>
      <c r="BQ2295" s="106">
        <v>0</v>
      </c>
      <c r="BR2295" s="106">
        <v>0</v>
      </c>
      <c r="BS2295" s="106">
        <v>1</v>
      </c>
      <c r="BT2295" s="106">
        <v>0</v>
      </c>
      <c r="BU2295" s="47">
        <v>0</v>
      </c>
      <c r="BV2295" s="47"/>
      <c r="BW2295" s="47"/>
    </row>
    <row r="2296" spans="3:75" ht="19.5" customHeight="1">
      <c r="C2296" s="100">
        <v>77002006</v>
      </c>
      <c r="D2296" s="99" t="s">
        <v>1324</v>
      </c>
      <c r="E2296" s="99" t="s">
        <v>1325</v>
      </c>
      <c r="F2296" s="100">
        <v>1</v>
      </c>
      <c r="G2296" s="100">
        <v>80004009</v>
      </c>
      <c r="H2296" s="100">
        <v>0</v>
      </c>
      <c r="I2296" s="105">
        <v>0</v>
      </c>
      <c r="J2296" s="100">
        <v>1</v>
      </c>
      <c r="K2296" s="100">
        <v>0</v>
      </c>
      <c r="L2296" s="100">
        <v>0</v>
      </c>
      <c r="M2296" s="101">
        <v>0</v>
      </c>
      <c r="N2296" s="101">
        <v>0</v>
      </c>
      <c r="O2296" s="101">
        <v>2</v>
      </c>
      <c r="P2296" s="101">
        <v>1</v>
      </c>
      <c r="Q2296" s="101">
        <v>0.2</v>
      </c>
      <c r="R2296" s="101">
        <v>0</v>
      </c>
      <c r="S2296" s="106">
        <v>0</v>
      </c>
      <c r="T2296" s="101">
        <v>0</v>
      </c>
      <c r="U2296" s="101">
        <v>1</v>
      </c>
      <c r="V2296" s="101">
        <v>2</v>
      </c>
      <c r="W2296" s="101">
        <v>0</v>
      </c>
      <c r="X2296" s="101">
        <v>0.8</v>
      </c>
      <c r="Y2296" s="12">
        <v>0</v>
      </c>
      <c r="Z2296" s="101">
        <v>0</v>
      </c>
      <c r="AA2296" s="101">
        <v>1</v>
      </c>
      <c r="AB2296" s="101">
        <v>0</v>
      </c>
      <c r="AC2296" s="101">
        <v>0</v>
      </c>
      <c r="AD2296" s="101">
        <v>0</v>
      </c>
      <c r="AE2296" s="101">
        <v>1</v>
      </c>
      <c r="AF2296" s="101">
        <v>0</v>
      </c>
      <c r="AG2296" s="101">
        <v>1</v>
      </c>
      <c r="AH2296" s="101">
        <v>2</v>
      </c>
      <c r="AI2296" s="106">
        <v>0</v>
      </c>
      <c r="AJ2296" s="106">
        <v>2</v>
      </c>
      <c r="AK2296" s="106">
        <v>0</v>
      </c>
      <c r="AL2296" s="106">
        <v>2</v>
      </c>
      <c r="AM2296" s="101">
        <v>0</v>
      </c>
      <c r="AN2296" s="101">
        <v>0</v>
      </c>
      <c r="AO2296" s="101">
        <v>0</v>
      </c>
      <c r="AP2296" s="101">
        <v>2</v>
      </c>
      <c r="AQ2296" s="101">
        <v>5000</v>
      </c>
      <c r="AR2296" s="101">
        <v>0</v>
      </c>
      <c r="AS2296" s="101">
        <v>10</v>
      </c>
      <c r="AT2296" s="113">
        <v>0</v>
      </c>
      <c r="AU2296" s="339" t="s">
        <v>5462</v>
      </c>
      <c r="AV2296" s="114"/>
      <c r="AW2296" s="99" t="s">
        <v>198</v>
      </c>
      <c r="AX2296" s="101" t="s">
        <v>534</v>
      </c>
      <c r="AY2296" s="100">
        <v>10000007</v>
      </c>
      <c r="AZ2296" s="337" t="s">
        <v>5463</v>
      </c>
      <c r="BA2296" s="99" t="s">
        <v>586</v>
      </c>
      <c r="BB2296" s="101" t="s">
        <v>1318</v>
      </c>
      <c r="BC2296" s="105">
        <v>0</v>
      </c>
      <c r="BD2296" s="105">
        <v>1</v>
      </c>
      <c r="BE2296" s="119" t="s">
        <v>5464</v>
      </c>
      <c r="BF2296" s="119" t="s">
        <v>5465</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3:75" ht="19.5" customHeight="1">
      <c r="C2297" s="100">
        <v>77002007</v>
      </c>
      <c r="D2297" s="99" t="s">
        <v>5466</v>
      </c>
      <c r="E2297" s="99" t="s">
        <v>5467</v>
      </c>
      <c r="F2297" s="100">
        <v>1</v>
      </c>
      <c r="G2297" s="101">
        <v>60010100</v>
      </c>
      <c r="H2297" s="100">
        <v>0</v>
      </c>
      <c r="I2297" s="105">
        <v>0</v>
      </c>
      <c r="J2297" s="100">
        <v>1</v>
      </c>
      <c r="K2297" s="100">
        <v>0</v>
      </c>
      <c r="L2297" s="100">
        <v>0</v>
      </c>
      <c r="M2297" s="101">
        <v>0</v>
      </c>
      <c r="N2297" s="101">
        <v>0</v>
      </c>
      <c r="O2297" s="101">
        <v>2</v>
      </c>
      <c r="P2297" s="101">
        <v>16</v>
      </c>
      <c r="Q2297" s="101">
        <v>4</v>
      </c>
      <c r="R2297" s="101">
        <v>0</v>
      </c>
      <c r="S2297" s="106">
        <v>0</v>
      </c>
      <c r="T2297" s="101">
        <v>0</v>
      </c>
      <c r="U2297" s="101">
        <v>1</v>
      </c>
      <c r="V2297" s="101">
        <v>2</v>
      </c>
      <c r="W2297" s="101">
        <v>0</v>
      </c>
      <c r="X2297" s="101">
        <v>1.5</v>
      </c>
      <c r="Y2297" s="12">
        <v>0</v>
      </c>
      <c r="Z2297" s="101">
        <v>0</v>
      </c>
      <c r="AA2297" s="101">
        <v>1</v>
      </c>
      <c r="AB2297" s="101">
        <v>0</v>
      </c>
      <c r="AC2297" s="101">
        <v>0</v>
      </c>
      <c r="AD2297" s="101">
        <v>0</v>
      </c>
      <c r="AE2297" s="101">
        <v>1</v>
      </c>
      <c r="AF2297" s="101">
        <v>0</v>
      </c>
      <c r="AG2297" s="101">
        <v>1</v>
      </c>
      <c r="AH2297" s="101">
        <v>4</v>
      </c>
      <c r="AI2297" s="106">
        <v>0</v>
      </c>
      <c r="AJ2297" s="106">
        <v>1</v>
      </c>
      <c r="AK2297" s="106">
        <v>0</v>
      </c>
      <c r="AL2297" s="106">
        <v>3</v>
      </c>
      <c r="AM2297" s="101">
        <v>0</v>
      </c>
      <c r="AN2297" s="101">
        <v>1</v>
      </c>
      <c r="AO2297" s="101">
        <v>0</v>
      </c>
      <c r="AP2297" s="101">
        <v>1</v>
      </c>
      <c r="AQ2297" s="101">
        <v>3000</v>
      </c>
      <c r="AR2297" s="101">
        <v>1</v>
      </c>
      <c r="AS2297" s="101">
        <v>0</v>
      </c>
      <c r="AT2297" s="106">
        <v>0</v>
      </c>
      <c r="AU2297" s="339" t="s">
        <v>5468</v>
      </c>
      <c r="AV2297" s="114"/>
      <c r="AW2297" s="102" t="s">
        <v>198</v>
      </c>
      <c r="AX2297" s="101" t="s">
        <v>534</v>
      </c>
      <c r="AY2297" s="100">
        <v>0</v>
      </c>
      <c r="AZ2297" s="337" t="s">
        <v>5469</v>
      </c>
      <c r="BA2297" s="99" t="s">
        <v>200</v>
      </c>
      <c r="BB2297" s="101">
        <v>0</v>
      </c>
      <c r="BC2297" s="105">
        <v>0</v>
      </c>
      <c r="BD2297" s="105">
        <v>0</v>
      </c>
      <c r="BE2297" s="119" t="s">
        <v>5470</v>
      </c>
      <c r="BF2297" s="119" t="s">
        <v>5471</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3:75" ht="20.100000000000001" customHeight="1">
      <c r="C2298" s="100">
        <v>77002008</v>
      </c>
      <c r="D2298" s="99" t="s">
        <v>5472</v>
      </c>
      <c r="E2298" s="290" t="s">
        <v>5473</v>
      </c>
      <c r="F2298" s="97">
        <v>1</v>
      </c>
      <c r="G2298" s="97">
        <v>0</v>
      </c>
      <c r="H2298" s="101">
        <v>0</v>
      </c>
      <c r="I2298" s="105">
        <v>0</v>
      </c>
      <c r="J2298" s="100">
        <v>1</v>
      </c>
      <c r="K2298" s="100">
        <v>0</v>
      </c>
      <c r="L2298" s="100">
        <v>0</v>
      </c>
      <c r="M2298" s="101">
        <v>0</v>
      </c>
      <c r="N2298" s="101">
        <v>0</v>
      </c>
      <c r="O2298" s="101">
        <v>2</v>
      </c>
      <c r="P2298" s="101">
        <v>3</v>
      </c>
      <c r="Q2298" s="101">
        <v>0.2</v>
      </c>
      <c r="R2298" s="101">
        <v>0</v>
      </c>
      <c r="S2298" s="106">
        <v>0</v>
      </c>
      <c r="T2298" s="101">
        <v>0</v>
      </c>
      <c r="U2298" s="101">
        <v>1</v>
      </c>
      <c r="V2298" s="97">
        <v>1</v>
      </c>
      <c r="W2298" s="101">
        <v>0</v>
      </c>
      <c r="X2298" s="101">
        <v>2</v>
      </c>
      <c r="Y2298" s="12">
        <v>0</v>
      </c>
      <c r="Z2298" s="101">
        <v>0</v>
      </c>
      <c r="AA2298" s="101">
        <v>1</v>
      </c>
      <c r="AB2298" s="101">
        <v>0</v>
      </c>
      <c r="AC2298" s="101">
        <v>0</v>
      </c>
      <c r="AD2298" s="101">
        <v>0</v>
      </c>
      <c r="AE2298" s="101">
        <v>1</v>
      </c>
      <c r="AF2298" s="101">
        <v>24</v>
      </c>
      <c r="AG2298" s="101">
        <v>1</v>
      </c>
      <c r="AH2298" s="101">
        <v>6</v>
      </c>
      <c r="AI2298" s="106">
        <v>0</v>
      </c>
      <c r="AJ2298" s="106">
        <v>1</v>
      </c>
      <c r="AK2298" s="106">
        <v>0</v>
      </c>
      <c r="AL2298" s="106">
        <v>3</v>
      </c>
      <c r="AM2298" s="101">
        <v>0</v>
      </c>
      <c r="AN2298" s="101">
        <v>1</v>
      </c>
      <c r="AO2298" s="101">
        <v>0</v>
      </c>
      <c r="AP2298" s="101">
        <v>2</v>
      </c>
      <c r="AQ2298" s="101">
        <v>3000</v>
      </c>
      <c r="AR2298" s="101">
        <v>1</v>
      </c>
      <c r="AS2298" s="101">
        <v>0</v>
      </c>
      <c r="AT2298" s="335" t="s">
        <v>5474</v>
      </c>
      <c r="AU2298" s="339" t="s">
        <v>5454</v>
      </c>
      <c r="AV2298" s="114"/>
      <c r="AW2298" s="99" t="s">
        <v>256</v>
      </c>
      <c r="AX2298" s="101" t="s">
        <v>215</v>
      </c>
      <c r="AY2298" s="100">
        <v>10000011</v>
      </c>
      <c r="AZ2298" s="337" t="s">
        <v>5475</v>
      </c>
      <c r="BA2298" s="102" t="s">
        <v>200</v>
      </c>
      <c r="BB2298" s="101">
        <v>0</v>
      </c>
      <c r="BC2298" s="105">
        <v>0</v>
      </c>
      <c r="BD2298" s="105">
        <v>0</v>
      </c>
      <c r="BE2298" s="119" t="s">
        <v>5476</v>
      </c>
      <c r="BF2298" s="119" t="s">
        <v>5477</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row>
    <row r="2299" spans="3:75" ht="19.5" customHeight="1">
      <c r="C2299" s="100">
        <v>77002009</v>
      </c>
      <c r="D2299" s="99" t="s">
        <v>5478</v>
      </c>
      <c r="E2299" s="99" t="s">
        <v>5479</v>
      </c>
      <c r="F2299" s="100">
        <v>1</v>
      </c>
      <c r="G2299" s="100">
        <v>0</v>
      </c>
      <c r="H2299" s="100">
        <v>0</v>
      </c>
      <c r="I2299" s="105">
        <v>0</v>
      </c>
      <c r="J2299" s="100">
        <v>1</v>
      </c>
      <c r="K2299" s="100">
        <v>0</v>
      </c>
      <c r="L2299" s="100">
        <v>0</v>
      </c>
      <c r="M2299" s="101">
        <v>0</v>
      </c>
      <c r="N2299" s="101">
        <v>0</v>
      </c>
      <c r="O2299" s="101">
        <v>2</v>
      </c>
      <c r="P2299" s="101">
        <v>3</v>
      </c>
      <c r="Q2299" s="101">
        <v>0.1</v>
      </c>
      <c r="R2299" s="101">
        <v>0</v>
      </c>
      <c r="S2299" s="106">
        <v>0</v>
      </c>
      <c r="T2299" s="101">
        <v>0</v>
      </c>
      <c r="U2299" s="101">
        <v>1</v>
      </c>
      <c r="V2299" s="101">
        <v>2</v>
      </c>
      <c r="W2299" s="101">
        <v>0</v>
      </c>
      <c r="X2299" s="101">
        <v>1</v>
      </c>
      <c r="Y2299" s="12">
        <v>0</v>
      </c>
      <c r="Z2299" s="101">
        <v>0</v>
      </c>
      <c r="AA2299" s="101">
        <v>1</v>
      </c>
      <c r="AB2299" s="101">
        <v>0</v>
      </c>
      <c r="AC2299" s="101">
        <v>0</v>
      </c>
      <c r="AD2299" s="101">
        <v>1</v>
      </c>
      <c r="AE2299" s="101">
        <v>0</v>
      </c>
      <c r="AF2299" s="101">
        <v>0</v>
      </c>
      <c r="AG2299" s="101">
        <v>1</v>
      </c>
      <c r="AH2299" s="101">
        <v>3</v>
      </c>
      <c r="AI2299" s="106">
        <v>4</v>
      </c>
      <c r="AJ2299" s="106">
        <v>1</v>
      </c>
      <c r="AK2299" s="106">
        <v>0</v>
      </c>
      <c r="AL2299" s="106">
        <v>1.5</v>
      </c>
      <c r="AM2299" s="101">
        <v>0</v>
      </c>
      <c r="AN2299" s="101">
        <v>0</v>
      </c>
      <c r="AO2299" s="101">
        <v>0</v>
      </c>
      <c r="AP2299" s="101">
        <v>0</v>
      </c>
      <c r="AQ2299" s="101">
        <v>6000</v>
      </c>
      <c r="AR2299" s="101">
        <v>0.8</v>
      </c>
      <c r="AS2299" s="101">
        <v>0</v>
      </c>
      <c r="AT2299" s="106">
        <v>0</v>
      </c>
      <c r="AU2299" s="339" t="s">
        <v>5468</v>
      </c>
      <c r="AV2299" s="114"/>
      <c r="AW2299" s="102" t="s">
        <v>199</v>
      </c>
      <c r="AX2299" s="101" t="s">
        <v>534</v>
      </c>
      <c r="AY2299" s="100">
        <v>0</v>
      </c>
      <c r="AZ2299" s="337" t="s">
        <v>5480</v>
      </c>
      <c r="BA2299" s="99" t="s">
        <v>200</v>
      </c>
      <c r="BB2299" s="101" t="s">
        <v>5481</v>
      </c>
      <c r="BC2299" s="105">
        <v>0</v>
      </c>
      <c r="BD2299" s="105">
        <v>0</v>
      </c>
      <c r="BE2299" s="119" t="s">
        <v>5236</v>
      </c>
      <c r="BF2299" s="119" t="s">
        <v>5237</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3:75" ht="20.100000000000001" customHeight="1">
      <c r="C2300" s="100">
        <v>77002010</v>
      </c>
      <c r="D2300" s="99" t="s">
        <v>5482</v>
      </c>
      <c r="E2300" s="99" t="s">
        <v>5483</v>
      </c>
      <c r="F2300" s="101">
        <v>1</v>
      </c>
      <c r="G2300" s="101">
        <v>0</v>
      </c>
      <c r="H2300" s="100">
        <v>0</v>
      </c>
      <c r="I2300" s="105">
        <v>0</v>
      </c>
      <c r="J2300" s="100">
        <v>1</v>
      </c>
      <c r="K2300" s="100">
        <v>0</v>
      </c>
      <c r="L2300" s="100">
        <v>0</v>
      </c>
      <c r="M2300" s="101">
        <v>0</v>
      </c>
      <c r="N2300" s="101">
        <v>0</v>
      </c>
      <c r="O2300" s="101">
        <v>2</v>
      </c>
      <c r="P2300" s="101">
        <v>2</v>
      </c>
      <c r="Q2300" s="101">
        <v>0.8</v>
      </c>
      <c r="R2300" s="101">
        <v>0</v>
      </c>
      <c r="S2300" s="106">
        <v>3</v>
      </c>
      <c r="T2300" s="101">
        <v>0</v>
      </c>
      <c r="U2300" s="101">
        <v>1</v>
      </c>
      <c r="V2300" s="101">
        <v>2</v>
      </c>
      <c r="W2300" s="101">
        <v>0</v>
      </c>
      <c r="X2300" s="101">
        <v>0.8</v>
      </c>
      <c r="Y2300" s="12">
        <v>0</v>
      </c>
      <c r="Z2300" s="101">
        <v>0</v>
      </c>
      <c r="AA2300" s="101">
        <v>0</v>
      </c>
      <c r="AB2300" s="101">
        <v>0</v>
      </c>
      <c r="AC2300" s="101">
        <v>0</v>
      </c>
      <c r="AD2300" s="101">
        <v>0</v>
      </c>
      <c r="AE2300" s="101">
        <v>0</v>
      </c>
      <c r="AF2300" s="101">
        <v>28</v>
      </c>
      <c r="AG2300" s="101">
        <v>1</v>
      </c>
      <c r="AH2300" s="101">
        <v>3</v>
      </c>
      <c r="AI2300" s="106">
        <v>6</v>
      </c>
      <c r="AJ2300" s="106">
        <v>1</v>
      </c>
      <c r="AK2300" s="106">
        <v>0</v>
      </c>
      <c r="AL2300" s="106">
        <v>1.5</v>
      </c>
      <c r="AM2300" s="101">
        <v>0</v>
      </c>
      <c r="AN2300" s="101">
        <v>0</v>
      </c>
      <c r="AO2300" s="101">
        <v>0</v>
      </c>
      <c r="AP2300" s="101">
        <v>1</v>
      </c>
      <c r="AQ2300" s="101">
        <v>5000</v>
      </c>
      <c r="AR2300" s="101">
        <v>1</v>
      </c>
      <c r="AS2300" s="101">
        <v>0</v>
      </c>
      <c r="AT2300" s="106">
        <v>0</v>
      </c>
      <c r="AU2300" s="339" t="s">
        <v>5484</v>
      </c>
      <c r="AV2300" s="114"/>
      <c r="AW2300" s="102" t="s">
        <v>256</v>
      </c>
      <c r="AX2300" s="101" t="s">
        <v>534</v>
      </c>
      <c r="AY2300" s="100">
        <v>10000007</v>
      </c>
      <c r="AZ2300" s="337" t="s">
        <v>5485</v>
      </c>
      <c r="BA2300" s="99" t="s">
        <v>200</v>
      </c>
      <c r="BB2300" s="101" t="s">
        <v>5486</v>
      </c>
      <c r="BC2300" s="105">
        <v>0</v>
      </c>
      <c r="BD2300" s="105">
        <v>0</v>
      </c>
      <c r="BE2300" s="119" t="s">
        <v>5487</v>
      </c>
      <c r="BF2300" s="119" t="s">
        <v>5488</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spans="3:75" ht="19.5" customHeight="1">
      <c r="C2301" s="100">
        <v>77002011</v>
      </c>
      <c r="D2301" s="99" t="s">
        <v>5489</v>
      </c>
      <c r="E2301" s="99" t="s">
        <v>5490</v>
      </c>
      <c r="F2301" s="101">
        <v>1</v>
      </c>
      <c r="G2301" s="101">
        <v>61012301</v>
      </c>
      <c r="H2301" s="101">
        <v>0</v>
      </c>
      <c r="I2301" s="105">
        <v>0</v>
      </c>
      <c r="J2301" s="100">
        <v>1</v>
      </c>
      <c r="K2301" s="100">
        <v>0</v>
      </c>
      <c r="L2301" s="100">
        <v>0</v>
      </c>
      <c r="M2301" s="101">
        <v>0</v>
      </c>
      <c r="N2301" s="101">
        <v>0</v>
      </c>
      <c r="O2301" s="101">
        <v>2</v>
      </c>
      <c r="P2301" s="101">
        <v>1</v>
      </c>
      <c r="Q2301" s="101">
        <v>0.15</v>
      </c>
      <c r="R2301" s="101">
        <v>0</v>
      </c>
      <c r="S2301" s="106">
        <v>1</v>
      </c>
      <c r="T2301" s="101">
        <v>0</v>
      </c>
      <c r="U2301" s="101">
        <v>0</v>
      </c>
      <c r="V2301" s="101">
        <v>1</v>
      </c>
      <c r="W2301" s="101">
        <v>0</v>
      </c>
      <c r="X2301" s="101">
        <v>0</v>
      </c>
      <c r="Y2301" s="12">
        <v>0</v>
      </c>
      <c r="Z2301" s="101">
        <v>0</v>
      </c>
      <c r="AA2301" s="101">
        <v>1</v>
      </c>
      <c r="AB2301" s="101">
        <v>0</v>
      </c>
      <c r="AC2301" s="101">
        <v>0</v>
      </c>
      <c r="AD2301" s="101">
        <v>0</v>
      </c>
      <c r="AE2301" s="101">
        <v>1</v>
      </c>
      <c r="AF2301" s="101">
        <v>6</v>
      </c>
      <c r="AG2301" s="101">
        <v>2</v>
      </c>
      <c r="AH2301" s="101" t="s">
        <v>213</v>
      </c>
      <c r="AI2301" s="106">
        <v>0</v>
      </c>
      <c r="AJ2301" s="106">
        <v>2</v>
      </c>
      <c r="AK2301" s="106">
        <v>0</v>
      </c>
      <c r="AL2301" s="106">
        <v>1.5</v>
      </c>
      <c r="AM2301" s="101">
        <v>0</v>
      </c>
      <c r="AN2301" s="101">
        <v>0</v>
      </c>
      <c r="AO2301" s="101">
        <v>0</v>
      </c>
      <c r="AP2301" s="101">
        <v>0.5</v>
      </c>
      <c r="AQ2301" s="101">
        <v>500</v>
      </c>
      <c r="AR2301" s="101">
        <v>0</v>
      </c>
      <c r="AS2301" s="101">
        <v>15</v>
      </c>
      <c r="AT2301" s="106">
        <v>97010008</v>
      </c>
      <c r="AU2301" s="114">
        <v>0</v>
      </c>
      <c r="AV2301" s="114"/>
      <c r="AW2301" s="99" t="s">
        <v>287</v>
      </c>
      <c r="AX2301" s="101" t="s">
        <v>215</v>
      </c>
      <c r="AY2301" s="100">
        <v>0</v>
      </c>
      <c r="AZ2301" s="100">
        <v>0</v>
      </c>
      <c r="BA2301" s="136" t="s">
        <v>216</v>
      </c>
      <c r="BB2301" s="101">
        <v>0</v>
      </c>
      <c r="BC2301" s="105">
        <v>0</v>
      </c>
      <c r="BD2301" s="105">
        <v>0</v>
      </c>
      <c r="BE2301" s="119" t="s">
        <v>5491</v>
      </c>
      <c r="BF2301" s="119" t="s">
        <v>5492</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77002012</v>
      </c>
      <c r="BU2301" s="47">
        <v>0</v>
      </c>
      <c r="BV2301" s="47"/>
      <c r="BW2301" s="47"/>
    </row>
    <row r="2302" spans="3:75" ht="19.5" customHeight="1">
      <c r="C2302" s="100">
        <v>77002012</v>
      </c>
      <c r="D2302" s="102" t="s">
        <v>5493</v>
      </c>
      <c r="E2302" s="102" t="s">
        <v>5494</v>
      </c>
      <c r="F2302" s="101">
        <v>1</v>
      </c>
      <c r="G2302" s="100">
        <v>61022101</v>
      </c>
      <c r="H2302" s="100">
        <v>0</v>
      </c>
      <c r="I2302" s="105">
        <v>0</v>
      </c>
      <c r="J2302" s="101">
        <v>1</v>
      </c>
      <c r="K2302" s="101">
        <v>0</v>
      </c>
      <c r="L2302" s="101">
        <v>0</v>
      </c>
      <c r="M2302" s="100">
        <v>0</v>
      </c>
      <c r="N2302" s="100">
        <v>0</v>
      </c>
      <c r="O2302" s="100">
        <v>2</v>
      </c>
      <c r="P2302" s="100">
        <v>2</v>
      </c>
      <c r="Q2302" s="100">
        <v>1</v>
      </c>
      <c r="R2302" s="100">
        <v>0</v>
      </c>
      <c r="S2302" s="106">
        <v>0</v>
      </c>
      <c r="T2302" s="105">
        <v>0</v>
      </c>
      <c r="U2302" s="101">
        <v>1</v>
      </c>
      <c r="V2302" s="100">
        <v>1</v>
      </c>
      <c r="W2302" s="100">
        <v>0</v>
      </c>
      <c r="X2302" s="100">
        <v>1.5</v>
      </c>
      <c r="Y2302" s="12">
        <v>0</v>
      </c>
      <c r="Z2302" s="100">
        <v>0</v>
      </c>
      <c r="AA2302" s="100">
        <v>0</v>
      </c>
      <c r="AB2302" s="100">
        <v>0</v>
      </c>
      <c r="AC2302" s="100">
        <v>0</v>
      </c>
      <c r="AD2302" s="100">
        <v>0</v>
      </c>
      <c r="AE2302" s="100">
        <v>0</v>
      </c>
      <c r="AF2302" s="100">
        <v>8</v>
      </c>
      <c r="AG2302" s="100">
        <v>1</v>
      </c>
      <c r="AH2302" s="157">
        <v>5</v>
      </c>
      <c r="AI2302" s="106">
        <v>0</v>
      </c>
      <c r="AJ2302" s="106">
        <v>1</v>
      </c>
      <c r="AK2302" s="106">
        <v>0</v>
      </c>
      <c r="AL2302" s="106">
        <v>3</v>
      </c>
      <c r="AM2302" s="100">
        <v>0</v>
      </c>
      <c r="AN2302" s="100">
        <v>0</v>
      </c>
      <c r="AO2302" s="100">
        <v>0</v>
      </c>
      <c r="AP2302" s="100">
        <v>0</v>
      </c>
      <c r="AQ2302" s="100">
        <v>2000</v>
      </c>
      <c r="AR2302" s="100">
        <v>0.5</v>
      </c>
      <c r="AS2302" s="100">
        <v>0</v>
      </c>
      <c r="AT2302" s="106">
        <v>0</v>
      </c>
      <c r="AU2302" s="337" t="s">
        <v>5495</v>
      </c>
      <c r="AV2302" s="100"/>
      <c r="AW2302" s="99" t="s">
        <v>287</v>
      </c>
      <c r="AX2302" s="100" t="s">
        <v>545</v>
      </c>
      <c r="AY2302" s="100">
        <v>10001005</v>
      </c>
      <c r="AZ2302" s="337" t="s">
        <v>5496</v>
      </c>
      <c r="BA2302" s="102" t="s">
        <v>200</v>
      </c>
      <c r="BB2302" s="102">
        <v>0</v>
      </c>
      <c r="BC2302" s="105">
        <v>0</v>
      </c>
      <c r="BD2302" s="105">
        <v>0</v>
      </c>
      <c r="BE2302" s="164" t="s">
        <v>1186</v>
      </c>
      <c r="BF2302" s="164" t="s">
        <v>1187</v>
      </c>
      <c r="BG2302" s="100">
        <v>0</v>
      </c>
      <c r="BH2302" s="101">
        <v>0</v>
      </c>
      <c r="BI2302" s="100">
        <v>0</v>
      </c>
      <c r="BJ2302" s="100">
        <v>0</v>
      </c>
      <c r="BK2302" s="100">
        <v>0</v>
      </c>
      <c r="BL2302" s="100">
        <v>0</v>
      </c>
      <c r="BM2302" s="97">
        <v>0</v>
      </c>
      <c r="BN2302" s="106">
        <v>0</v>
      </c>
      <c r="BO2302" s="106">
        <v>0</v>
      </c>
      <c r="BP2302" s="106">
        <v>0</v>
      </c>
      <c r="BQ2302" s="106">
        <v>0</v>
      </c>
      <c r="BR2302" s="106">
        <v>0</v>
      </c>
      <c r="BS2302" s="106">
        <v>0</v>
      </c>
      <c r="BT2302" s="106">
        <v>0</v>
      </c>
      <c r="BU2302" s="47">
        <v>0</v>
      </c>
      <c r="BV2302" s="47"/>
      <c r="BW2302" s="47"/>
    </row>
    <row r="2303" spans="3:75" ht="19.5" customHeight="1">
      <c r="C2303" s="100">
        <v>77002013</v>
      </c>
      <c r="D2303" s="99" t="s">
        <v>5497</v>
      </c>
      <c r="E2303" s="99" t="s">
        <v>5498</v>
      </c>
      <c r="F2303" s="100">
        <v>1</v>
      </c>
      <c r="G2303" s="101">
        <v>60010100</v>
      </c>
      <c r="H2303" s="100">
        <v>0</v>
      </c>
      <c r="I2303" s="105">
        <v>0</v>
      </c>
      <c r="J2303" s="100">
        <v>1</v>
      </c>
      <c r="K2303" s="100">
        <v>0</v>
      </c>
      <c r="L2303" s="100">
        <v>0</v>
      </c>
      <c r="M2303" s="101">
        <v>0</v>
      </c>
      <c r="N2303" s="101">
        <v>0</v>
      </c>
      <c r="O2303" s="101">
        <v>2</v>
      </c>
      <c r="P2303" s="101">
        <v>1</v>
      </c>
      <c r="Q2303" s="101">
        <v>0.15</v>
      </c>
      <c r="R2303" s="101">
        <v>0</v>
      </c>
      <c r="S2303" s="106">
        <v>0</v>
      </c>
      <c r="T2303" s="101">
        <v>0</v>
      </c>
      <c r="U2303" s="101">
        <v>1</v>
      </c>
      <c r="V2303" s="101">
        <v>2</v>
      </c>
      <c r="W2303" s="101">
        <v>0</v>
      </c>
      <c r="X2303" s="101">
        <v>0</v>
      </c>
      <c r="Y2303" s="12">
        <v>0</v>
      </c>
      <c r="Z2303" s="101">
        <v>0</v>
      </c>
      <c r="AA2303" s="101">
        <v>1</v>
      </c>
      <c r="AB2303" s="101">
        <v>0</v>
      </c>
      <c r="AC2303" s="101">
        <v>0</v>
      </c>
      <c r="AD2303" s="101">
        <v>0</v>
      </c>
      <c r="AE2303" s="101">
        <v>1</v>
      </c>
      <c r="AF2303" s="101">
        <v>3</v>
      </c>
      <c r="AG2303" s="101">
        <v>1</v>
      </c>
      <c r="AH2303" s="101">
        <v>4</v>
      </c>
      <c r="AI2303" s="106">
        <v>0</v>
      </c>
      <c r="AJ2303" s="106">
        <v>1</v>
      </c>
      <c r="AK2303" s="106">
        <v>0</v>
      </c>
      <c r="AL2303" s="106">
        <v>3</v>
      </c>
      <c r="AM2303" s="101">
        <v>0</v>
      </c>
      <c r="AN2303" s="101">
        <v>1</v>
      </c>
      <c r="AO2303" s="101">
        <v>0</v>
      </c>
      <c r="AP2303" s="101">
        <v>0</v>
      </c>
      <c r="AQ2303" s="101">
        <v>3000</v>
      </c>
      <c r="AR2303" s="101">
        <v>0</v>
      </c>
      <c r="AS2303" s="101">
        <v>0</v>
      </c>
      <c r="AT2303" s="335" t="s">
        <v>5499</v>
      </c>
      <c r="AU2303" s="114">
        <v>0</v>
      </c>
      <c r="AV2303" s="114"/>
      <c r="AW2303" s="102" t="s">
        <v>256</v>
      </c>
      <c r="AX2303" s="101" t="s">
        <v>534</v>
      </c>
      <c r="AY2303" s="100">
        <v>0</v>
      </c>
      <c r="AZ2303" s="100">
        <v>0</v>
      </c>
      <c r="BA2303" s="99" t="s">
        <v>200</v>
      </c>
      <c r="BB2303" s="101">
        <v>0</v>
      </c>
      <c r="BC2303" s="105">
        <v>0</v>
      </c>
      <c r="BD2303" s="105">
        <v>0</v>
      </c>
      <c r="BE2303" s="119" t="s">
        <v>5500</v>
      </c>
      <c r="BF2303" s="119" t="s">
        <v>5501</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spans="3:75" ht="19.5" customHeight="1">
      <c r="C2304" s="100">
        <v>77002014</v>
      </c>
      <c r="D2304" s="99" t="s">
        <v>5502</v>
      </c>
      <c r="E2304" s="99" t="s">
        <v>5503</v>
      </c>
      <c r="F2304" s="100">
        <v>1</v>
      </c>
      <c r="G2304" s="101">
        <v>0</v>
      </c>
      <c r="H2304" s="100">
        <v>0</v>
      </c>
      <c r="I2304" s="105">
        <v>0</v>
      </c>
      <c r="J2304" s="100">
        <v>1</v>
      </c>
      <c r="K2304" s="100">
        <v>0</v>
      </c>
      <c r="L2304" s="100">
        <v>0</v>
      </c>
      <c r="M2304" s="101">
        <v>0</v>
      </c>
      <c r="N2304" s="101">
        <v>0</v>
      </c>
      <c r="O2304" s="101">
        <v>2</v>
      </c>
      <c r="P2304" s="101">
        <v>1</v>
      </c>
      <c r="Q2304" s="101">
        <v>1</v>
      </c>
      <c r="R2304" s="101">
        <v>0</v>
      </c>
      <c r="S2304" s="106">
        <v>0</v>
      </c>
      <c r="T2304" s="101">
        <v>0</v>
      </c>
      <c r="U2304" s="101">
        <v>1</v>
      </c>
      <c r="V2304" s="101">
        <v>2</v>
      </c>
      <c r="W2304" s="101">
        <v>0</v>
      </c>
      <c r="X2304" s="101">
        <v>1.6</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0</v>
      </c>
      <c r="AQ2304" s="101">
        <v>5000</v>
      </c>
      <c r="AR2304" s="101">
        <v>0</v>
      </c>
      <c r="AS2304" s="101">
        <v>15</v>
      </c>
      <c r="AT2304" s="113">
        <v>0</v>
      </c>
      <c r="AU2304" s="339" t="s">
        <v>5504</v>
      </c>
      <c r="AV2304" s="114"/>
      <c r="AW2304" s="99" t="s">
        <v>287</v>
      </c>
      <c r="AX2304" s="101" t="s">
        <v>534</v>
      </c>
      <c r="AY2304" s="100">
        <v>10000007</v>
      </c>
      <c r="AZ2304" s="100">
        <v>77002008</v>
      </c>
      <c r="BA2304" s="99" t="s">
        <v>586</v>
      </c>
      <c r="BB2304" s="101" t="s">
        <v>2344</v>
      </c>
      <c r="BC2304" s="105">
        <v>0</v>
      </c>
      <c r="BD2304" s="105">
        <v>1</v>
      </c>
      <c r="BE2304" s="119" t="s">
        <v>5505</v>
      </c>
      <c r="BF2304" s="119" t="s">
        <v>5506</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C2305" s="100">
        <v>77002015</v>
      </c>
      <c r="D2305" s="99" t="s">
        <v>5436</v>
      </c>
      <c r="E2305" s="99" t="s">
        <v>5437</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101">
        <v>97010001</v>
      </c>
      <c r="AV2305" s="101"/>
      <c r="AW2305" s="99" t="s">
        <v>198</v>
      </c>
      <c r="AX2305" s="101" t="s">
        <v>534</v>
      </c>
      <c r="AY2305" s="100">
        <v>10000001</v>
      </c>
      <c r="AZ2305" s="100">
        <v>77002009</v>
      </c>
      <c r="BA2305" s="99" t="s">
        <v>771</v>
      </c>
      <c r="BB2305" s="101">
        <v>0</v>
      </c>
      <c r="BC2305" s="105">
        <v>0</v>
      </c>
      <c r="BD2305" s="105">
        <v>0</v>
      </c>
      <c r="BE2305" s="137" t="s">
        <v>5507</v>
      </c>
      <c r="BF2305" s="137" t="s">
        <v>5508</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0</v>
      </c>
      <c r="BU2305" s="47">
        <v>0</v>
      </c>
      <c r="BV2305" s="47"/>
      <c r="BW2305" s="47"/>
    </row>
    <row r="2306" spans="1:75" ht="19.5" customHeight="1">
      <c r="C2306" s="100">
        <v>77002016</v>
      </c>
      <c r="D2306" s="99" t="s">
        <v>5509</v>
      </c>
      <c r="E2306" s="99" t="s">
        <v>5510</v>
      </c>
      <c r="F2306" s="100">
        <v>1</v>
      </c>
      <c r="G2306" s="101">
        <v>0</v>
      </c>
      <c r="H2306" s="100">
        <v>0</v>
      </c>
      <c r="I2306" s="105">
        <v>0</v>
      </c>
      <c r="J2306" s="100">
        <v>1</v>
      </c>
      <c r="K2306" s="100">
        <v>0</v>
      </c>
      <c r="L2306" s="100">
        <v>0</v>
      </c>
      <c r="M2306" s="101">
        <v>0</v>
      </c>
      <c r="N2306" s="101">
        <v>0</v>
      </c>
      <c r="O2306" s="101">
        <v>2</v>
      </c>
      <c r="P2306" s="101">
        <v>16</v>
      </c>
      <c r="Q2306" s="101">
        <v>8</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0.5</v>
      </c>
      <c r="AQ2306" s="101">
        <v>5000</v>
      </c>
      <c r="AR2306" s="101">
        <v>0.5</v>
      </c>
      <c r="AS2306" s="101">
        <v>15</v>
      </c>
      <c r="AT2306" s="113">
        <v>0</v>
      </c>
      <c r="AU2306" s="339" t="s">
        <v>5511</v>
      </c>
      <c r="AV2306" s="114"/>
      <c r="AW2306" s="99" t="s">
        <v>287</v>
      </c>
      <c r="AX2306" s="101" t="s">
        <v>534</v>
      </c>
      <c r="AY2306" s="100">
        <v>10000007</v>
      </c>
      <c r="AZ2306" s="100">
        <v>77002008</v>
      </c>
      <c r="BA2306" s="99" t="s">
        <v>586</v>
      </c>
      <c r="BB2306" s="101" t="s">
        <v>2344</v>
      </c>
      <c r="BC2306" s="105">
        <v>0</v>
      </c>
      <c r="BD2306" s="105">
        <v>1</v>
      </c>
      <c r="BE2306" s="119" t="s">
        <v>5512</v>
      </c>
      <c r="BF2306" s="119" t="s">
        <v>5513</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row>
    <row r="2307" spans="1:75" ht="19.5" customHeight="1">
      <c r="C2307" s="100">
        <v>77002017</v>
      </c>
      <c r="D2307" s="99" t="s">
        <v>5436</v>
      </c>
      <c r="E2307" s="99" t="s">
        <v>5437</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1.2</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101">
        <v>97010002</v>
      </c>
      <c r="AV2307" s="101"/>
      <c r="AW2307" s="99" t="s">
        <v>198</v>
      </c>
      <c r="AX2307" s="101" t="s">
        <v>534</v>
      </c>
      <c r="AY2307" s="100">
        <v>10000001</v>
      </c>
      <c r="AZ2307" s="100">
        <v>77002009</v>
      </c>
      <c r="BA2307" s="99" t="s">
        <v>771</v>
      </c>
      <c r="BB2307" s="101">
        <v>0</v>
      </c>
      <c r="BC2307" s="105">
        <v>0</v>
      </c>
      <c r="BD2307" s="105">
        <v>0</v>
      </c>
      <c r="BE2307" s="137" t="s">
        <v>5507</v>
      </c>
      <c r="BF2307" s="137" t="s">
        <v>5508</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0</v>
      </c>
      <c r="BU2307" s="47">
        <v>0</v>
      </c>
      <c r="BV2307" s="47"/>
      <c r="BW2307" s="47"/>
    </row>
    <row r="2308" spans="1:75" ht="20.100000000000001" customHeight="1">
      <c r="A2308" s="138"/>
      <c r="B2308" s="138"/>
      <c r="C2308" s="100">
        <v>77002018</v>
      </c>
      <c r="D2308" s="99" t="s">
        <v>5514</v>
      </c>
      <c r="E2308" s="290" t="s">
        <v>5515</v>
      </c>
      <c r="F2308" s="97">
        <v>1</v>
      </c>
      <c r="G2308" s="97">
        <v>0</v>
      </c>
      <c r="H2308" s="101">
        <v>0</v>
      </c>
      <c r="I2308" s="105">
        <v>0</v>
      </c>
      <c r="J2308" s="100">
        <v>1</v>
      </c>
      <c r="K2308" s="100">
        <v>0</v>
      </c>
      <c r="L2308" s="100">
        <v>0</v>
      </c>
      <c r="M2308" s="101">
        <v>0</v>
      </c>
      <c r="N2308" s="101">
        <v>0</v>
      </c>
      <c r="O2308" s="101">
        <v>2</v>
      </c>
      <c r="P2308" s="101">
        <v>2</v>
      </c>
      <c r="Q2308" s="101">
        <v>0.4</v>
      </c>
      <c r="R2308" s="101">
        <v>0</v>
      </c>
      <c r="S2308" s="106">
        <v>0</v>
      </c>
      <c r="T2308" s="101">
        <v>0</v>
      </c>
      <c r="U2308" s="101">
        <v>1</v>
      </c>
      <c r="V2308" s="97">
        <v>1</v>
      </c>
      <c r="W2308" s="101">
        <v>0</v>
      </c>
      <c r="X2308" s="101">
        <v>2</v>
      </c>
      <c r="Y2308" s="12">
        <v>0</v>
      </c>
      <c r="Z2308" s="101">
        <v>0</v>
      </c>
      <c r="AA2308" s="101">
        <v>1</v>
      </c>
      <c r="AB2308" s="101">
        <v>0</v>
      </c>
      <c r="AC2308" s="101">
        <v>0</v>
      </c>
      <c r="AD2308" s="101">
        <v>0</v>
      </c>
      <c r="AE2308" s="101">
        <v>1</v>
      </c>
      <c r="AF2308" s="101">
        <v>20</v>
      </c>
      <c r="AG2308" s="101">
        <v>1</v>
      </c>
      <c r="AH2308" s="101">
        <v>6</v>
      </c>
      <c r="AI2308" s="106">
        <v>0</v>
      </c>
      <c r="AJ2308" s="106">
        <v>1</v>
      </c>
      <c r="AK2308" s="106">
        <v>0</v>
      </c>
      <c r="AL2308" s="106">
        <v>3</v>
      </c>
      <c r="AM2308" s="101">
        <v>0</v>
      </c>
      <c r="AN2308" s="101">
        <v>1</v>
      </c>
      <c r="AO2308" s="101">
        <v>0</v>
      </c>
      <c r="AP2308" s="101">
        <v>1</v>
      </c>
      <c r="AQ2308" s="101">
        <v>1100</v>
      </c>
      <c r="AR2308" s="101">
        <v>1</v>
      </c>
      <c r="AS2308" s="101">
        <v>0</v>
      </c>
      <c r="AT2308" s="106">
        <v>0</v>
      </c>
      <c r="AU2308" s="339" t="s">
        <v>5454</v>
      </c>
      <c r="AV2308" s="114"/>
      <c r="AW2308" s="99" t="s">
        <v>256</v>
      </c>
      <c r="AX2308" s="101" t="s">
        <v>215</v>
      </c>
      <c r="AY2308" s="100">
        <v>10000011</v>
      </c>
      <c r="AZ2308" s="337" t="s">
        <v>5469</v>
      </c>
      <c r="BA2308" s="102" t="s">
        <v>200</v>
      </c>
      <c r="BB2308" s="101">
        <v>0</v>
      </c>
      <c r="BC2308" s="105">
        <v>0</v>
      </c>
      <c r="BD2308" s="105">
        <v>0</v>
      </c>
      <c r="BE2308" s="119" t="s">
        <v>5516</v>
      </c>
      <c r="BF2308" s="119" t="s">
        <v>5517</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77002019</v>
      </c>
      <c r="BU2308" s="47">
        <v>0</v>
      </c>
      <c r="BV2308" s="47"/>
      <c r="BW2308" s="47"/>
    </row>
    <row r="2309" spans="1:75" ht="19.5" customHeight="1">
      <c r="A2309" s="138"/>
      <c r="B2309" s="138"/>
      <c r="C2309" s="100">
        <v>77002019</v>
      </c>
      <c r="D2309" s="99" t="s">
        <v>2342</v>
      </c>
      <c r="E2309" s="99" t="s">
        <v>2343</v>
      </c>
      <c r="F2309" s="100">
        <v>1</v>
      </c>
      <c r="G2309" s="101">
        <v>0</v>
      </c>
      <c r="H2309" s="100">
        <v>0</v>
      </c>
      <c r="I2309" s="105">
        <v>0</v>
      </c>
      <c r="J2309" s="100">
        <v>1</v>
      </c>
      <c r="K2309" s="100">
        <v>0</v>
      </c>
      <c r="L2309" s="100">
        <v>0</v>
      </c>
      <c r="M2309" s="101">
        <v>0</v>
      </c>
      <c r="N2309" s="101">
        <v>0</v>
      </c>
      <c r="O2309" s="101">
        <v>2</v>
      </c>
      <c r="P2309" s="101">
        <v>16</v>
      </c>
      <c r="Q2309" s="101">
        <v>5</v>
      </c>
      <c r="R2309" s="101">
        <v>0</v>
      </c>
      <c r="S2309" s="106">
        <v>0</v>
      </c>
      <c r="T2309" s="101">
        <v>0</v>
      </c>
      <c r="U2309" s="101">
        <v>1</v>
      </c>
      <c r="V2309" s="101">
        <v>2</v>
      </c>
      <c r="W2309" s="101">
        <v>0</v>
      </c>
      <c r="X2309" s="101">
        <v>1</v>
      </c>
      <c r="Y2309" s="12">
        <v>0</v>
      </c>
      <c r="Z2309" s="101">
        <v>0</v>
      </c>
      <c r="AA2309" s="101">
        <v>0</v>
      </c>
      <c r="AB2309" s="101">
        <v>0</v>
      </c>
      <c r="AC2309" s="101">
        <v>0</v>
      </c>
      <c r="AD2309" s="101">
        <v>0</v>
      </c>
      <c r="AE2309" s="101">
        <v>1</v>
      </c>
      <c r="AF2309" s="101">
        <v>0</v>
      </c>
      <c r="AG2309" s="101">
        <v>1</v>
      </c>
      <c r="AH2309" s="101">
        <v>2</v>
      </c>
      <c r="AI2309" s="106">
        <v>0</v>
      </c>
      <c r="AJ2309" s="106">
        <v>2</v>
      </c>
      <c r="AK2309" s="106">
        <v>0</v>
      </c>
      <c r="AL2309" s="106">
        <v>2</v>
      </c>
      <c r="AM2309" s="101">
        <v>0</v>
      </c>
      <c r="AN2309" s="101">
        <v>0</v>
      </c>
      <c r="AO2309" s="101">
        <v>0</v>
      </c>
      <c r="AP2309" s="101">
        <v>0.3</v>
      </c>
      <c r="AQ2309" s="101">
        <v>5000</v>
      </c>
      <c r="AR2309" s="101">
        <v>0.3</v>
      </c>
      <c r="AS2309" s="101">
        <v>15</v>
      </c>
      <c r="AT2309" s="338" t="s">
        <v>5518</v>
      </c>
      <c r="AU2309" s="339" t="s">
        <v>5495</v>
      </c>
      <c r="AV2309" s="114"/>
      <c r="AW2309" s="99" t="s">
        <v>256</v>
      </c>
      <c r="AX2309" s="101" t="s">
        <v>534</v>
      </c>
      <c r="AY2309" s="100">
        <v>10000007</v>
      </c>
      <c r="AZ2309" s="100">
        <v>77002008</v>
      </c>
      <c r="BA2309" s="99" t="s">
        <v>586</v>
      </c>
      <c r="BB2309" s="101" t="s">
        <v>2344</v>
      </c>
      <c r="BC2309" s="105">
        <v>0</v>
      </c>
      <c r="BD2309" s="105">
        <v>1</v>
      </c>
      <c r="BE2309" s="119" t="s">
        <v>1306</v>
      </c>
      <c r="BF2309" s="119" t="s">
        <v>1307</v>
      </c>
      <c r="BG2309" s="101">
        <v>0</v>
      </c>
      <c r="BH2309" s="101">
        <v>0</v>
      </c>
      <c r="BI2309" s="101">
        <v>0</v>
      </c>
      <c r="BJ2309" s="101">
        <v>0</v>
      </c>
      <c r="BK2309" s="101">
        <v>0</v>
      </c>
      <c r="BL2309" s="101">
        <v>0</v>
      </c>
      <c r="BM2309" s="97">
        <v>0</v>
      </c>
      <c r="BN2309" s="106">
        <v>0</v>
      </c>
      <c r="BO2309" s="106">
        <v>0</v>
      </c>
      <c r="BP2309" s="106">
        <v>0</v>
      </c>
      <c r="BQ2309" s="106">
        <v>0</v>
      </c>
      <c r="BR2309" s="106">
        <v>0</v>
      </c>
      <c r="BS2309" s="106">
        <v>0</v>
      </c>
      <c r="BT2309" s="106">
        <v>0</v>
      </c>
      <c r="BU2309" s="47">
        <v>0</v>
      </c>
      <c r="BV2309" s="47"/>
      <c r="BW2309" s="47"/>
    </row>
    <row r="2310" spans="1:75" ht="19.5" customHeight="1">
      <c r="A2310" s="138"/>
      <c r="B2310" s="138"/>
      <c r="C2310" s="100">
        <v>77002020</v>
      </c>
      <c r="D2310" s="99" t="s">
        <v>5436</v>
      </c>
      <c r="E2310" s="99" t="s">
        <v>5437</v>
      </c>
      <c r="F2310" s="101">
        <v>1</v>
      </c>
      <c r="G2310" s="101">
        <v>0</v>
      </c>
      <c r="H2310" s="101">
        <v>0</v>
      </c>
      <c r="I2310" s="105">
        <v>0</v>
      </c>
      <c r="J2310" s="100">
        <v>1</v>
      </c>
      <c r="K2310" s="101">
        <v>0</v>
      </c>
      <c r="L2310" s="101">
        <v>0</v>
      </c>
      <c r="M2310" s="101">
        <v>0</v>
      </c>
      <c r="N2310" s="101">
        <v>0</v>
      </c>
      <c r="O2310" s="101">
        <v>2</v>
      </c>
      <c r="P2310" s="101">
        <v>1</v>
      </c>
      <c r="Q2310" s="101">
        <v>0.1</v>
      </c>
      <c r="R2310" s="101">
        <v>0</v>
      </c>
      <c r="S2310" s="106">
        <v>0</v>
      </c>
      <c r="T2310" s="101">
        <v>0</v>
      </c>
      <c r="U2310" s="101">
        <v>1</v>
      </c>
      <c r="V2310" s="101">
        <v>1</v>
      </c>
      <c r="W2310" s="101">
        <v>0</v>
      </c>
      <c r="X2310" s="101">
        <v>0.8</v>
      </c>
      <c r="Y2310" s="12">
        <v>0</v>
      </c>
      <c r="Z2310" s="101">
        <v>0</v>
      </c>
      <c r="AA2310" s="101">
        <v>1</v>
      </c>
      <c r="AB2310" s="101">
        <v>0</v>
      </c>
      <c r="AC2310" s="101">
        <v>0</v>
      </c>
      <c r="AD2310" s="101">
        <v>0</v>
      </c>
      <c r="AE2310" s="101">
        <v>1</v>
      </c>
      <c r="AF2310" s="101">
        <v>0</v>
      </c>
      <c r="AG2310" s="101">
        <v>1</v>
      </c>
      <c r="AH2310" s="101">
        <v>3</v>
      </c>
      <c r="AI2310" s="106">
        <v>0</v>
      </c>
      <c r="AJ2310" s="106">
        <v>1</v>
      </c>
      <c r="AK2310" s="106">
        <v>0</v>
      </c>
      <c r="AL2310" s="106">
        <v>2</v>
      </c>
      <c r="AM2310" s="101">
        <v>0</v>
      </c>
      <c r="AN2310" s="101">
        <v>0</v>
      </c>
      <c r="AO2310" s="101">
        <v>0</v>
      </c>
      <c r="AP2310" s="101">
        <v>0.5</v>
      </c>
      <c r="AQ2310" s="101">
        <v>600</v>
      </c>
      <c r="AR2310" s="101">
        <v>0.5</v>
      </c>
      <c r="AS2310" s="101">
        <v>0</v>
      </c>
      <c r="AT2310" s="106">
        <v>0</v>
      </c>
      <c r="AU2310" s="339" t="s">
        <v>5454</v>
      </c>
      <c r="AV2310" s="114"/>
      <c r="AW2310" s="99" t="s">
        <v>198</v>
      </c>
      <c r="AX2310" s="101" t="s">
        <v>534</v>
      </c>
      <c r="AY2310" s="100">
        <v>10000001</v>
      </c>
      <c r="AZ2310" s="100">
        <v>77002009</v>
      </c>
      <c r="BA2310" s="99" t="s">
        <v>771</v>
      </c>
      <c r="BB2310" s="101">
        <v>0</v>
      </c>
      <c r="BC2310" s="105">
        <v>0</v>
      </c>
      <c r="BD2310" s="105">
        <v>0</v>
      </c>
      <c r="BE2310" s="137" t="s">
        <v>5438</v>
      </c>
      <c r="BF2310" s="137" t="s">
        <v>5439</v>
      </c>
      <c r="BG2310" s="101">
        <v>0</v>
      </c>
      <c r="BH2310" s="101">
        <v>0</v>
      </c>
      <c r="BI2310" s="101">
        <v>0</v>
      </c>
      <c r="BJ2310" s="101">
        <v>0</v>
      </c>
      <c r="BK2310" s="101">
        <v>0</v>
      </c>
      <c r="BL2310" s="101">
        <v>0</v>
      </c>
      <c r="BM2310" s="97">
        <v>0</v>
      </c>
      <c r="BN2310" s="106">
        <v>0</v>
      </c>
      <c r="BO2310" s="106">
        <v>0</v>
      </c>
      <c r="BP2310" s="106">
        <v>0</v>
      </c>
      <c r="BQ2310" s="106">
        <v>0</v>
      </c>
      <c r="BR2310" s="106">
        <v>0</v>
      </c>
      <c r="BS2310" s="106">
        <v>1</v>
      </c>
      <c r="BT2310" s="106">
        <v>77002021</v>
      </c>
      <c r="BU2310" s="47">
        <v>0</v>
      </c>
      <c r="BV2310" s="47"/>
      <c r="BW2310" s="47"/>
    </row>
    <row r="2311" spans="1:75" ht="19.5" customHeight="1">
      <c r="A2311" s="138"/>
      <c r="B2311" s="138"/>
      <c r="C2311" s="100">
        <v>77002021</v>
      </c>
      <c r="D2311" s="99" t="s">
        <v>5519</v>
      </c>
      <c r="E2311" s="99" t="s">
        <v>5520</v>
      </c>
      <c r="F2311" s="100">
        <v>1</v>
      </c>
      <c r="G2311" s="101">
        <v>0</v>
      </c>
      <c r="H2311" s="100">
        <v>0</v>
      </c>
      <c r="I2311" s="105">
        <v>0</v>
      </c>
      <c r="J2311" s="100">
        <v>1</v>
      </c>
      <c r="K2311" s="100">
        <v>0</v>
      </c>
      <c r="L2311" s="100">
        <v>0</v>
      </c>
      <c r="M2311" s="101">
        <v>0</v>
      </c>
      <c r="N2311" s="101">
        <v>0</v>
      </c>
      <c r="O2311" s="101">
        <v>2</v>
      </c>
      <c r="P2311" s="101">
        <v>16</v>
      </c>
      <c r="Q2311" s="101">
        <v>5</v>
      </c>
      <c r="R2311" s="101">
        <v>0</v>
      </c>
      <c r="S2311" s="106">
        <v>0</v>
      </c>
      <c r="T2311" s="101">
        <v>0</v>
      </c>
      <c r="U2311" s="101">
        <v>1</v>
      </c>
      <c r="V2311" s="101">
        <v>2</v>
      </c>
      <c r="W2311" s="101">
        <v>0</v>
      </c>
      <c r="X2311" s="101">
        <v>1</v>
      </c>
      <c r="Y2311" s="12">
        <v>0</v>
      </c>
      <c r="Z2311" s="101">
        <v>0</v>
      </c>
      <c r="AA2311" s="101">
        <v>0</v>
      </c>
      <c r="AB2311" s="101">
        <v>0</v>
      </c>
      <c r="AC2311" s="101">
        <v>0</v>
      </c>
      <c r="AD2311" s="101">
        <v>0</v>
      </c>
      <c r="AE2311" s="101">
        <v>1</v>
      </c>
      <c r="AF2311" s="101">
        <v>0</v>
      </c>
      <c r="AG2311" s="101">
        <v>1</v>
      </c>
      <c r="AH2311" s="101">
        <v>2</v>
      </c>
      <c r="AI2311" s="106">
        <v>0</v>
      </c>
      <c r="AJ2311" s="106">
        <v>2</v>
      </c>
      <c r="AK2311" s="106">
        <v>0</v>
      </c>
      <c r="AL2311" s="106">
        <v>2</v>
      </c>
      <c r="AM2311" s="101">
        <v>0</v>
      </c>
      <c r="AN2311" s="101">
        <v>0</v>
      </c>
      <c r="AO2311" s="101">
        <v>0</v>
      </c>
      <c r="AP2311" s="101">
        <v>2</v>
      </c>
      <c r="AQ2311" s="101">
        <v>5000</v>
      </c>
      <c r="AR2311" s="101">
        <v>0</v>
      </c>
      <c r="AS2311" s="101">
        <v>10</v>
      </c>
      <c r="AT2311" s="113">
        <v>0</v>
      </c>
      <c r="AU2311" s="339" t="s">
        <v>5521</v>
      </c>
      <c r="AV2311" s="114"/>
      <c r="AW2311" s="99" t="s">
        <v>256</v>
      </c>
      <c r="AX2311" s="101" t="s">
        <v>534</v>
      </c>
      <c r="AY2311" s="100">
        <v>10000007</v>
      </c>
      <c r="AZ2311" s="100">
        <v>77002008</v>
      </c>
      <c r="BA2311" s="99" t="s">
        <v>586</v>
      </c>
      <c r="BB2311" s="101" t="s">
        <v>5522</v>
      </c>
      <c r="BC2311" s="105">
        <v>0</v>
      </c>
      <c r="BD2311" s="105">
        <v>1</v>
      </c>
      <c r="BE2311" s="119" t="s">
        <v>1306</v>
      </c>
      <c r="BF2311" s="119" t="s">
        <v>1307</v>
      </c>
      <c r="BG2311" s="101">
        <v>0</v>
      </c>
      <c r="BH2311" s="101">
        <v>0</v>
      </c>
      <c r="BI2311" s="101">
        <v>0</v>
      </c>
      <c r="BJ2311" s="101">
        <v>0</v>
      </c>
      <c r="BK2311" s="101">
        <v>0</v>
      </c>
      <c r="BL2311" s="101">
        <v>0</v>
      </c>
      <c r="BM2311" s="97">
        <v>0</v>
      </c>
      <c r="BN2311" s="106">
        <v>0</v>
      </c>
      <c r="BO2311" s="106">
        <v>0</v>
      </c>
      <c r="BP2311" s="106">
        <v>0</v>
      </c>
      <c r="BQ2311" s="106">
        <v>0</v>
      </c>
      <c r="BR2311" s="106">
        <v>0</v>
      </c>
      <c r="BS2311" s="106">
        <v>0</v>
      </c>
      <c r="BT2311" s="106">
        <v>0</v>
      </c>
      <c r="BU2311" s="47">
        <v>0</v>
      </c>
      <c r="BV2311" s="47"/>
      <c r="BW2311" s="47"/>
    </row>
    <row r="2312" spans="1:75" ht="19.5" customHeight="1">
      <c r="A2312" s="138"/>
      <c r="B2312" s="138"/>
      <c r="C2312" s="100">
        <v>77002022</v>
      </c>
      <c r="D2312" s="99" t="s">
        <v>5436</v>
      </c>
      <c r="E2312" s="99" t="s">
        <v>5437</v>
      </c>
      <c r="F2312" s="101">
        <v>1</v>
      </c>
      <c r="G2312" s="101">
        <v>0</v>
      </c>
      <c r="H2312" s="101">
        <v>0</v>
      </c>
      <c r="I2312" s="105">
        <v>0</v>
      </c>
      <c r="J2312" s="100">
        <v>1</v>
      </c>
      <c r="K2312" s="101">
        <v>0</v>
      </c>
      <c r="L2312" s="101">
        <v>0</v>
      </c>
      <c r="M2312" s="101">
        <v>0</v>
      </c>
      <c r="N2312" s="101">
        <v>0</v>
      </c>
      <c r="O2312" s="101">
        <v>2</v>
      </c>
      <c r="P2312" s="101">
        <v>1</v>
      </c>
      <c r="Q2312" s="101">
        <v>0.1</v>
      </c>
      <c r="R2312" s="101">
        <v>0</v>
      </c>
      <c r="S2312" s="106">
        <v>0</v>
      </c>
      <c r="T2312" s="101">
        <v>0</v>
      </c>
      <c r="U2312" s="101">
        <v>1</v>
      </c>
      <c r="V2312" s="101">
        <v>1</v>
      </c>
      <c r="W2312" s="101">
        <v>0</v>
      </c>
      <c r="X2312" s="101">
        <v>1.2</v>
      </c>
      <c r="Y2312" s="12">
        <v>0</v>
      </c>
      <c r="Z2312" s="101">
        <v>0</v>
      </c>
      <c r="AA2312" s="101">
        <v>1</v>
      </c>
      <c r="AB2312" s="101">
        <v>0</v>
      </c>
      <c r="AC2312" s="101">
        <v>0</v>
      </c>
      <c r="AD2312" s="101">
        <v>0</v>
      </c>
      <c r="AE2312" s="101">
        <v>1</v>
      </c>
      <c r="AF2312" s="101">
        <v>0</v>
      </c>
      <c r="AG2312" s="101">
        <v>1</v>
      </c>
      <c r="AH2312" s="101">
        <v>3</v>
      </c>
      <c r="AI2312" s="106">
        <v>0</v>
      </c>
      <c r="AJ2312" s="106">
        <v>1</v>
      </c>
      <c r="AK2312" s="106">
        <v>0</v>
      </c>
      <c r="AL2312" s="106">
        <v>2</v>
      </c>
      <c r="AM2312" s="101">
        <v>0</v>
      </c>
      <c r="AN2312" s="101">
        <v>0</v>
      </c>
      <c r="AO2312" s="101">
        <v>0</v>
      </c>
      <c r="AP2312" s="101">
        <v>0.5</v>
      </c>
      <c r="AQ2312" s="101">
        <v>600</v>
      </c>
      <c r="AR2312" s="101">
        <v>0.5</v>
      </c>
      <c r="AS2312" s="101">
        <v>0</v>
      </c>
      <c r="AT2312" s="106">
        <v>0</v>
      </c>
      <c r="AU2312" s="339" t="s">
        <v>5495</v>
      </c>
      <c r="AV2312" s="114"/>
      <c r="AW2312" s="99" t="s">
        <v>198</v>
      </c>
      <c r="AX2312" s="101" t="s">
        <v>534</v>
      </c>
      <c r="AY2312" s="100">
        <v>10000001</v>
      </c>
      <c r="AZ2312" s="100">
        <v>77002009</v>
      </c>
      <c r="BA2312" s="99" t="s">
        <v>771</v>
      </c>
      <c r="BB2312" s="101">
        <v>0</v>
      </c>
      <c r="BC2312" s="105">
        <v>0</v>
      </c>
      <c r="BD2312" s="105">
        <v>0</v>
      </c>
      <c r="BE2312" s="137" t="s">
        <v>5438</v>
      </c>
      <c r="BF2312" s="137" t="s">
        <v>5439</v>
      </c>
      <c r="BG2312" s="101">
        <v>0</v>
      </c>
      <c r="BH2312" s="101">
        <v>0</v>
      </c>
      <c r="BI2312" s="101">
        <v>0</v>
      </c>
      <c r="BJ2312" s="101">
        <v>0</v>
      </c>
      <c r="BK2312" s="101">
        <v>0</v>
      </c>
      <c r="BL2312" s="101">
        <v>0</v>
      </c>
      <c r="BM2312" s="97">
        <v>0</v>
      </c>
      <c r="BN2312" s="106">
        <v>0</v>
      </c>
      <c r="BO2312" s="106">
        <v>0</v>
      </c>
      <c r="BP2312" s="106">
        <v>0</v>
      </c>
      <c r="BQ2312" s="106">
        <v>0</v>
      </c>
      <c r="BR2312" s="106">
        <v>0</v>
      </c>
      <c r="BS2312" s="106">
        <v>1</v>
      </c>
      <c r="BT2312" s="106">
        <v>77002019</v>
      </c>
      <c r="BU2312" s="47">
        <v>0</v>
      </c>
      <c r="BV2312" s="47"/>
      <c r="BW2312" s="47"/>
    </row>
    <row r="2313" spans="1:75" ht="19.5" customHeight="1">
      <c r="A2313" s="138"/>
      <c r="B2313" s="138"/>
      <c r="C2313" s="64">
        <v>77005001</v>
      </c>
      <c r="D2313" s="59" t="s">
        <v>5523</v>
      </c>
      <c r="E2313" s="59" t="s">
        <v>5524</v>
      </c>
      <c r="F2313" s="60">
        <v>1</v>
      </c>
      <c r="G2313" s="60">
        <v>63021101</v>
      </c>
      <c r="H2313" s="60">
        <v>0</v>
      </c>
      <c r="I2313" s="66">
        <v>0</v>
      </c>
      <c r="J2313" s="64">
        <v>1</v>
      </c>
      <c r="K2313" s="60">
        <v>0</v>
      </c>
      <c r="L2313" s="60">
        <v>0</v>
      </c>
      <c r="M2313" s="60">
        <v>0</v>
      </c>
      <c r="N2313" s="60">
        <v>0</v>
      </c>
      <c r="O2313" s="60">
        <v>1</v>
      </c>
      <c r="P2313" s="60">
        <v>0</v>
      </c>
      <c r="Q2313" s="60">
        <v>0</v>
      </c>
      <c r="R2313" s="60">
        <v>0</v>
      </c>
      <c r="S2313" s="68">
        <v>0</v>
      </c>
      <c r="T2313" s="60">
        <v>0</v>
      </c>
      <c r="U2313" s="60">
        <v>1</v>
      </c>
      <c r="V2313" s="60">
        <v>1</v>
      </c>
      <c r="W2313" s="60">
        <v>0</v>
      </c>
      <c r="X2313" s="60">
        <v>1.5</v>
      </c>
      <c r="Y2313" s="12">
        <v>0</v>
      </c>
      <c r="Z2313" s="60">
        <v>0</v>
      </c>
      <c r="AA2313" s="60">
        <v>0</v>
      </c>
      <c r="AB2313" s="60">
        <v>0</v>
      </c>
      <c r="AC2313" s="60">
        <v>0</v>
      </c>
      <c r="AD2313" s="60">
        <v>0</v>
      </c>
      <c r="AE2313" s="60">
        <v>0</v>
      </c>
      <c r="AF2313" s="60">
        <v>6</v>
      </c>
      <c r="AG2313" s="60">
        <v>3</v>
      </c>
      <c r="AH2313" s="79">
        <v>4120</v>
      </c>
      <c r="AI2313" s="68">
        <v>2</v>
      </c>
      <c r="AJ2313" s="68">
        <v>3</v>
      </c>
      <c r="AK2313" s="68">
        <v>0</v>
      </c>
      <c r="AL2313" s="68">
        <v>1.5</v>
      </c>
      <c r="AM2313" s="60">
        <v>0</v>
      </c>
      <c r="AN2313" s="60">
        <v>0</v>
      </c>
      <c r="AO2313" s="60">
        <v>0</v>
      </c>
      <c r="AP2313" s="60">
        <v>0.2</v>
      </c>
      <c r="AQ2313" s="60">
        <v>1000</v>
      </c>
      <c r="AR2313" s="60">
        <v>0.2</v>
      </c>
      <c r="AS2313" s="60">
        <v>0</v>
      </c>
      <c r="AT2313" s="68">
        <v>0</v>
      </c>
      <c r="AU2313" s="355" t="s">
        <v>5525</v>
      </c>
      <c r="AV2313" s="60"/>
      <c r="AW2313" s="59" t="s">
        <v>198</v>
      </c>
      <c r="AX2313" s="60" t="s">
        <v>534</v>
      </c>
      <c r="AY2313" s="64">
        <v>10000001</v>
      </c>
      <c r="AZ2313" s="64">
        <v>77005001</v>
      </c>
      <c r="BA2313" s="59" t="s">
        <v>200</v>
      </c>
      <c r="BB2313" s="60">
        <v>0</v>
      </c>
      <c r="BC2313" s="68">
        <v>0</v>
      </c>
      <c r="BD2313" s="68">
        <v>0</v>
      </c>
      <c r="BE2313" s="121" t="s">
        <v>5526</v>
      </c>
      <c r="BF2313" s="121" t="s">
        <v>5527</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row>
    <row r="2314" spans="1:75" ht="19.5" customHeight="1">
      <c r="A2314" s="138"/>
      <c r="B2314" s="138"/>
      <c r="C2314" s="64">
        <v>77005002</v>
      </c>
      <c r="D2314" s="59" t="s">
        <v>2207</v>
      </c>
      <c r="E2314" s="147" t="s">
        <v>2208</v>
      </c>
      <c r="F2314" s="93">
        <v>1</v>
      </c>
      <c r="G2314" s="60">
        <v>63021101</v>
      </c>
      <c r="H2314" s="64">
        <v>0</v>
      </c>
      <c r="I2314" s="66">
        <v>0</v>
      </c>
      <c r="J2314" s="64">
        <v>1</v>
      </c>
      <c r="K2314" s="60">
        <v>0</v>
      </c>
      <c r="L2314" s="64">
        <v>0</v>
      </c>
      <c r="M2314" s="60">
        <v>0</v>
      </c>
      <c r="N2314" s="60">
        <v>0</v>
      </c>
      <c r="O2314" s="60">
        <v>1</v>
      </c>
      <c r="P2314" s="60">
        <v>0</v>
      </c>
      <c r="Q2314" s="60">
        <v>0</v>
      </c>
      <c r="R2314" s="60">
        <v>0</v>
      </c>
      <c r="S2314" s="68">
        <v>0</v>
      </c>
      <c r="T2314" s="60">
        <v>0</v>
      </c>
      <c r="U2314" s="60">
        <v>1</v>
      </c>
      <c r="V2314" s="60">
        <v>1</v>
      </c>
      <c r="W2314" s="60">
        <v>0</v>
      </c>
      <c r="X2314" s="60">
        <v>1.7</v>
      </c>
      <c r="Y2314" s="12">
        <v>0</v>
      </c>
      <c r="Z2314" s="60">
        <v>0</v>
      </c>
      <c r="AA2314" s="60">
        <v>0</v>
      </c>
      <c r="AB2314" s="60">
        <v>0</v>
      </c>
      <c r="AC2314" s="60">
        <v>0</v>
      </c>
      <c r="AD2314" s="60">
        <v>0</v>
      </c>
      <c r="AE2314" s="60">
        <v>0</v>
      </c>
      <c r="AF2314" s="60">
        <v>9</v>
      </c>
      <c r="AG2314" s="60">
        <v>1</v>
      </c>
      <c r="AH2314" s="60">
        <v>5</v>
      </c>
      <c r="AI2314" s="68">
        <v>0</v>
      </c>
      <c r="AJ2314" s="68">
        <v>3</v>
      </c>
      <c r="AK2314" s="68">
        <v>0</v>
      </c>
      <c r="AL2314" s="68">
        <v>1.7</v>
      </c>
      <c r="AM2314" s="60">
        <v>0</v>
      </c>
      <c r="AN2314" s="60">
        <v>0</v>
      </c>
      <c r="AO2314" s="60">
        <v>0</v>
      </c>
      <c r="AP2314" s="60">
        <v>0</v>
      </c>
      <c r="AQ2314" s="60">
        <v>1000</v>
      </c>
      <c r="AR2314" s="60">
        <v>0.2</v>
      </c>
      <c r="AS2314" s="60">
        <v>0</v>
      </c>
      <c r="AT2314" s="68">
        <v>0</v>
      </c>
      <c r="AU2314" s="334" t="s">
        <v>5528</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374" t="s">
        <v>5529</v>
      </c>
      <c r="BV2314" s="47"/>
      <c r="BW2314" s="47"/>
    </row>
    <row r="2315" spans="1:75" ht="19.5" customHeight="1">
      <c r="A2315" s="138"/>
      <c r="B2315" s="138"/>
      <c r="C2315" s="64">
        <v>77005003</v>
      </c>
      <c r="D2315" s="59" t="s">
        <v>5530</v>
      </c>
      <c r="E2315" s="147" t="s">
        <v>5531</v>
      </c>
      <c r="F2315" s="93">
        <v>1</v>
      </c>
      <c r="G2315" s="60">
        <v>63021101</v>
      </c>
      <c r="H2315" s="64">
        <v>0</v>
      </c>
      <c r="I2315" s="66">
        <v>0</v>
      </c>
      <c r="J2315" s="64">
        <v>1</v>
      </c>
      <c r="K2315" s="60">
        <v>0</v>
      </c>
      <c r="L2315" s="64">
        <v>0</v>
      </c>
      <c r="M2315" s="60">
        <v>0</v>
      </c>
      <c r="N2315" s="60">
        <v>0</v>
      </c>
      <c r="O2315" s="60">
        <v>1</v>
      </c>
      <c r="P2315" s="60">
        <v>0</v>
      </c>
      <c r="Q2315" s="60">
        <v>0</v>
      </c>
      <c r="R2315" s="60">
        <v>0</v>
      </c>
      <c r="S2315" s="68">
        <v>0</v>
      </c>
      <c r="T2315" s="60">
        <v>0</v>
      </c>
      <c r="U2315" s="60">
        <v>1</v>
      </c>
      <c r="V2315" s="60">
        <v>1</v>
      </c>
      <c r="W2315" s="60">
        <v>0</v>
      </c>
      <c r="X2315" s="60">
        <v>0</v>
      </c>
      <c r="Y2315" s="12">
        <v>0</v>
      </c>
      <c r="Z2315" s="60">
        <v>0</v>
      </c>
      <c r="AA2315" s="60">
        <v>0</v>
      </c>
      <c r="AB2315" s="60">
        <v>0</v>
      </c>
      <c r="AC2315" s="60">
        <v>0</v>
      </c>
      <c r="AD2315" s="60">
        <v>0</v>
      </c>
      <c r="AE2315" s="60">
        <v>0</v>
      </c>
      <c r="AF2315" s="60">
        <v>24</v>
      </c>
      <c r="AG2315" s="60">
        <v>0</v>
      </c>
      <c r="AH2315" s="60">
        <v>0</v>
      </c>
      <c r="AI2315" s="68">
        <v>0</v>
      </c>
      <c r="AJ2315" s="68">
        <v>0</v>
      </c>
      <c r="AK2315" s="68">
        <v>0</v>
      </c>
      <c r="AL2315" s="68">
        <v>1.5</v>
      </c>
      <c r="AM2315" s="60">
        <v>0</v>
      </c>
      <c r="AN2315" s="60">
        <v>0</v>
      </c>
      <c r="AO2315" s="60">
        <v>0</v>
      </c>
      <c r="AP2315" s="64">
        <v>0.2</v>
      </c>
      <c r="AQ2315" s="60">
        <v>3000</v>
      </c>
      <c r="AR2315" s="60">
        <v>0.2</v>
      </c>
      <c r="AS2315" s="60">
        <v>0</v>
      </c>
      <c r="AT2315" s="68">
        <v>0</v>
      </c>
      <c r="AU2315" s="60" t="s">
        <v>198</v>
      </c>
      <c r="AV2315" s="60"/>
      <c r="AW2315" s="59" t="s">
        <v>198</v>
      </c>
      <c r="AX2315" s="60" t="s">
        <v>545</v>
      </c>
      <c r="AY2315" s="64">
        <v>0</v>
      </c>
      <c r="AZ2315" s="64">
        <v>0</v>
      </c>
      <c r="BA2315" s="59" t="s">
        <v>1174</v>
      </c>
      <c r="BB2315" s="355" t="s">
        <v>5532</v>
      </c>
      <c r="BC2315" s="66">
        <v>0</v>
      </c>
      <c r="BD2315" s="66">
        <v>0</v>
      </c>
      <c r="BE2315" s="90" t="s">
        <v>5533</v>
      </c>
      <c r="BF2315" s="90" t="s">
        <v>5534</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20.100000000000001" customHeight="1">
      <c r="A2316" s="138"/>
      <c r="B2316" s="138"/>
      <c r="C2316" s="64">
        <v>77005004</v>
      </c>
      <c r="D2316" s="59" t="s">
        <v>2207</v>
      </c>
      <c r="E2316" s="147" t="s">
        <v>2208</v>
      </c>
      <c r="F2316" s="93">
        <v>1</v>
      </c>
      <c r="G2316" s="60">
        <v>63021101</v>
      </c>
      <c r="H2316" s="64">
        <v>0</v>
      </c>
      <c r="I2316" s="66">
        <v>0</v>
      </c>
      <c r="J2316" s="64">
        <v>1</v>
      </c>
      <c r="K2316" s="60">
        <v>0</v>
      </c>
      <c r="L2316" s="64">
        <v>0</v>
      </c>
      <c r="M2316" s="60">
        <v>0</v>
      </c>
      <c r="N2316" s="60">
        <v>0</v>
      </c>
      <c r="O2316" s="60">
        <v>2</v>
      </c>
      <c r="P2316" s="60">
        <v>1</v>
      </c>
      <c r="Q2316" s="60">
        <v>0.2</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1000</v>
      </c>
      <c r="AR2316" s="60">
        <v>0.2</v>
      </c>
      <c r="AS2316" s="60">
        <v>0</v>
      </c>
      <c r="AT2316" s="68">
        <v>0</v>
      </c>
      <c r="AU2316" s="334" t="s">
        <v>5528</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0</v>
      </c>
      <c r="BU2316" s="47">
        <v>0</v>
      </c>
      <c r="BV2316" s="47"/>
      <c r="BW2316" s="47"/>
    </row>
    <row r="2317" spans="1:75" s="1" customFormat="1" ht="20.100000000000001" customHeight="1">
      <c r="C2317" s="64">
        <v>77005005</v>
      </c>
      <c r="D2317" s="59" t="s">
        <v>760</v>
      </c>
      <c r="E2317" s="147" t="s">
        <v>761</v>
      </c>
      <c r="F2317" s="93">
        <v>1</v>
      </c>
      <c r="G2317" s="93">
        <v>0</v>
      </c>
      <c r="H2317" s="60">
        <v>0</v>
      </c>
      <c r="I2317" s="66">
        <v>0</v>
      </c>
      <c r="J2317" s="64">
        <v>1</v>
      </c>
      <c r="K2317" s="64">
        <v>0</v>
      </c>
      <c r="L2317" s="64">
        <v>0</v>
      </c>
      <c r="M2317" s="60">
        <v>0</v>
      </c>
      <c r="N2317" s="60">
        <v>0</v>
      </c>
      <c r="O2317" s="60">
        <v>2</v>
      </c>
      <c r="P2317" s="60">
        <v>16</v>
      </c>
      <c r="Q2317" s="60">
        <v>8</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77005006</v>
      </c>
      <c r="BU2317" s="68">
        <v>0</v>
      </c>
      <c r="BV2317" s="47"/>
      <c r="BW2317" s="47"/>
    </row>
    <row r="2318" spans="1:75" ht="20.100000000000001" customHeight="1">
      <c r="A2318" s="138"/>
      <c r="B2318" s="138"/>
      <c r="C2318" s="64">
        <v>77005006</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1</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4" t="s">
        <v>5528</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77005007</v>
      </c>
      <c r="BU2318" s="47">
        <v>0</v>
      </c>
      <c r="BV2318" s="47"/>
      <c r="BW2318" s="47"/>
    </row>
    <row r="2319" spans="1:75" s="1" customFormat="1" ht="20.100000000000001" customHeight="1">
      <c r="C2319" s="64">
        <v>77005007</v>
      </c>
      <c r="D2319" s="59" t="s">
        <v>760</v>
      </c>
      <c r="E2319" s="147" t="s">
        <v>761</v>
      </c>
      <c r="F2319" s="93">
        <v>1</v>
      </c>
      <c r="G2319" s="93">
        <v>0</v>
      </c>
      <c r="H2319" s="60">
        <v>0</v>
      </c>
      <c r="I2319" s="66">
        <v>0</v>
      </c>
      <c r="J2319" s="64">
        <v>1</v>
      </c>
      <c r="K2319" s="64">
        <v>0</v>
      </c>
      <c r="L2319" s="64">
        <v>0</v>
      </c>
      <c r="M2319" s="60">
        <v>0</v>
      </c>
      <c r="N2319" s="60">
        <v>0</v>
      </c>
      <c r="O2319" s="60">
        <v>2</v>
      </c>
      <c r="P2319" s="60">
        <v>16</v>
      </c>
      <c r="Q2319" s="60">
        <v>1</v>
      </c>
      <c r="R2319" s="60">
        <v>0</v>
      </c>
      <c r="S2319" s="68">
        <v>0</v>
      </c>
      <c r="T2319" s="60">
        <v>0</v>
      </c>
      <c r="U2319" s="60">
        <v>1</v>
      </c>
      <c r="V2319" s="93">
        <v>1</v>
      </c>
      <c r="W2319" s="60">
        <v>0</v>
      </c>
      <c r="X2319" s="60">
        <v>0</v>
      </c>
      <c r="Y2319" s="12">
        <v>0</v>
      </c>
      <c r="Z2319" s="60">
        <v>0</v>
      </c>
      <c r="AA2319" s="60">
        <v>1</v>
      </c>
      <c r="AB2319" s="60">
        <v>0</v>
      </c>
      <c r="AC2319" s="60">
        <v>0</v>
      </c>
      <c r="AD2319" s="60">
        <v>0</v>
      </c>
      <c r="AE2319" s="60">
        <v>1</v>
      </c>
      <c r="AF2319" s="60">
        <v>12</v>
      </c>
      <c r="AG2319" s="60">
        <v>2</v>
      </c>
      <c r="AH2319" s="60" t="s">
        <v>213</v>
      </c>
      <c r="AI2319" s="68">
        <v>0</v>
      </c>
      <c r="AJ2319" s="68">
        <v>2</v>
      </c>
      <c r="AK2319" s="68">
        <v>0</v>
      </c>
      <c r="AL2319" s="68">
        <v>1.5</v>
      </c>
      <c r="AM2319" s="60">
        <v>0</v>
      </c>
      <c r="AN2319" s="60">
        <v>0</v>
      </c>
      <c r="AO2319" s="60">
        <v>0</v>
      </c>
      <c r="AP2319" s="60">
        <v>0.5</v>
      </c>
      <c r="AQ2319" s="60">
        <v>600</v>
      </c>
      <c r="AR2319" s="60">
        <v>0</v>
      </c>
      <c r="AS2319" s="60">
        <v>12</v>
      </c>
      <c r="AT2319" s="68">
        <v>0</v>
      </c>
      <c r="AU2319" s="79">
        <v>0</v>
      </c>
      <c r="AV2319" s="79"/>
      <c r="AW2319" s="59" t="s">
        <v>199</v>
      </c>
      <c r="AX2319" s="60" t="s">
        <v>215</v>
      </c>
      <c r="AY2319" s="64">
        <v>10000011</v>
      </c>
      <c r="AZ2319" s="64">
        <v>0</v>
      </c>
      <c r="BA2319" s="59" t="s">
        <v>216</v>
      </c>
      <c r="BB2319" s="60">
        <v>0</v>
      </c>
      <c r="BC2319" s="66">
        <v>0</v>
      </c>
      <c r="BD2319" s="66">
        <v>0</v>
      </c>
      <c r="BE2319" s="90" t="s">
        <v>2213</v>
      </c>
      <c r="BF2319" s="90" t="s">
        <v>2214</v>
      </c>
      <c r="BG2319" s="60">
        <v>0</v>
      </c>
      <c r="BH2319" s="60">
        <v>0</v>
      </c>
      <c r="BI2319" s="60">
        <v>0</v>
      </c>
      <c r="BJ2319" s="60">
        <v>0</v>
      </c>
      <c r="BK2319" s="60">
        <v>0</v>
      </c>
      <c r="BL2319" s="60">
        <v>0</v>
      </c>
      <c r="BM2319" s="93">
        <v>0</v>
      </c>
      <c r="BN2319" s="68">
        <v>0</v>
      </c>
      <c r="BO2319" s="68">
        <v>0</v>
      </c>
      <c r="BP2319" s="68">
        <v>0</v>
      </c>
      <c r="BQ2319" s="68">
        <v>0</v>
      </c>
      <c r="BR2319" s="68">
        <v>0</v>
      </c>
      <c r="BS2319" s="68">
        <v>1</v>
      </c>
      <c r="BT2319" s="68">
        <v>77005008</v>
      </c>
      <c r="BU2319" s="68">
        <v>0</v>
      </c>
      <c r="BV2319" s="47"/>
      <c r="BW2319" s="47"/>
    </row>
    <row r="2320" spans="1:75" ht="20.100000000000001" customHeight="1">
      <c r="A2320" s="138"/>
      <c r="B2320" s="138"/>
      <c r="C2320" s="64">
        <v>77005008</v>
      </c>
      <c r="D2320" s="59" t="s">
        <v>2207</v>
      </c>
      <c r="E2320" s="147" t="s">
        <v>2208</v>
      </c>
      <c r="F2320" s="93">
        <v>1</v>
      </c>
      <c r="G2320" s="60">
        <v>63021101</v>
      </c>
      <c r="H2320" s="64">
        <v>0</v>
      </c>
      <c r="I2320" s="66">
        <v>0</v>
      </c>
      <c r="J2320" s="64">
        <v>1</v>
      </c>
      <c r="K2320" s="60">
        <v>0</v>
      </c>
      <c r="L2320" s="64">
        <v>0</v>
      </c>
      <c r="M2320" s="60">
        <v>0</v>
      </c>
      <c r="N2320" s="60">
        <v>0</v>
      </c>
      <c r="O2320" s="60">
        <v>2</v>
      </c>
      <c r="P2320" s="60">
        <v>16</v>
      </c>
      <c r="Q2320" s="60">
        <v>4</v>
      </c>
      <c r="R2320" s="60">
        <v>0</v>
      </c>
      <c r="S2320" s="68">
        <v>0</v>
      </c>
      <c r="T2320" s="60">
        <v>0</v>
      </c>
      <c r="U2320" s="60">
        <v>1</v>
      </c>
      <c r="V2320" s="60">
        <v>1</v>
      </c>
      <c r="W2320" s="60">
        <v>0</v>
      </c>
      <c r="X2320" s="60">
        <v>2</v>
      </c>
      <c r="Y2320" s="12">
        <v>0</v>
      </c>
      <c r="Z2320" s="60">
        <v>0</v>
      </c>
      <c r="AA2320" s="60">
        <v>0</v>
      </c>
      <c r="AB2320" s="60">
        <v>0</v>
      </c>
      <c r="AC2320" s="60">
        <v>0</v>
      </c>
      <c r="AD2320" s="60">
        <v>0</v>
      </c>
      <c r="AE2320" s="60">
        <v>0</v>
      </c>
      <c r="AF2320" s="60">
        <v>0</v>
      </c>
      <c r="AG2320" s="60">
        <v>1</v>
      </c>
      <c r="AH2320" s="60">
        <v>5</v>
      </c>
      <c r="AI2320" s="68">
        <v>0</v>
      </c>
      <c r="AJ2320" s="68">
        <v>1</v>
      </c>
      <c r="AK2320" s="68">
        <v>0</v>
      </c>
      <c r="AL2320" s="68">
        <v>2</v>
      </c>
      <c r="AM2320" s="60">
        <v>0</v>
      </c>
      <c r="AN2320" s="60">
        <v>0</v>
      </c>
      <c r="AO2320" s="60">
        <v>0</v>
      </c>
      <c r="AP2320" s="60">
        <v>0</v>
      </c>
      <c r="AQ2320" s="60">
        <v>400</v>
      </c>
      <c r="AR2320" s="60">
        <v>0.2</v>
      </c>
      <c r="AS2320" s="60">
        <v>0</v>
      </c>
      <c r="AT2320" s="68">
        <v>0</v>
      </c>
      <c r="AU2320" s="334" t="s">
        <v>5528</v>
      </c>
      <c r="AV2320" s="79"/>
      <c r="AW2320" s="63" t="s">
        <v>198</v>
      </c>
      <c r="AX2320" s="60" t="s">
        <v>545</v>
      </c>
      <c r="AY2320" s="64">
        <v>10000001</v>
      </c>
      <c r="AZ2320" s="64">
        <v>77005002</v>
      </c>
      <c r="BA2320" s="59" t="s">
        <v>200</v>
      </c>
      <c r="BB2320" s="60">
        <v>0</v>
      </c>
      <c r="BC2320" s="66">
        <v>0</v>
      </c>
      <c r="BD2320" s="66">
        <v>0</v>
      </c>
      <c r="BE2320" s="90" t="s">
        <v>2209</v>
      </c>
      <c r="BF2320" s="90" t="s">
        <v>2210</v>
      </c>
      <c r="BG2320" s="60">
        <v>0</v>
      </c>
      <c r="BH2320" s="60">
        <v>0</v>
      </c>
      <c r="BI2320" s="60">
        <v>0</v>
      </c>
      <c r="BJ2320" s="60">
        <v>0</v>
      </c>
      <c r="BK2320" s="60">
        <v>0</v>
      </c>
      <c r="BL2320" s="60">
        <v>0</v>
      </c>
      <c r="BM2320" s="93">
        <v>0</v>
      </c>
      <c r="BN2320" s="68">
        <v>0</v>
      </c>
      <c r="BO2320" s="68">
        <v>0</v>
      </c>
      <c r="BP2320" s="68">
        <v>0</v>
      </c>
      <c r="BQ2320" s="68">
        <v>0</v>
      </c>
      <c r="BR2320" s="68">
        <v>0</v>
      </c>
      <c r="BS2320" s="68">
        <v>0</v>
      </c>
      <c r="BT2320" s="68">
        <v>77005009</v>
      </c>
      <c r="BU2320" s="47">
        <v>0</v>
      </c>
      <c r="BV2320" s="47"/>
      <c r="BW2320" s="47"/>
    </row>
    <row r="2321" spans="1:75" s="1" customFormat="1" ht="20.100000000000001" customHeight="1">
      <c r="C2321" s="64">
        <v>77005009</v>
      </c>
      <c r="D2321" s="59" t="s">
        <v>760</v>
      </c>
      <c r="E2321" s="147" t="s">
        <v>761</v>
      </c>
      <c r="F2321" s="93">
        <v>1</v>
      </c>
      <c r="G2321" s="93">
        <v>0</v>
      </c>
      <c r="H2321" s="60">
        <v>0</v>
      </c>
      <c r="I2321" s="66">
        <v>0</v>
      </c>
      <c r="J2321" s="64">
        <v>1</v>
      </c>
      <c r="K2321" s="64">
        <v>0</v>
      </c>
      <c r="L2321" s="64">
        <v>0</v>
      </c>
      <c r="M2321" s="60">
        <v>0</v>
      </c>
      <c r="N2321" s="60">
        <v>0</v>
      </c>
      <c r="O2321" s="60">
        <v>2</v>
      </c>
      <c r="P2321" s="60">
        <v>16</v>
      </c>
      <c r="Q2321" s="60">
        <v>1</v>
      </c>
      <c r="R2321" s="60">
        <v>0</v>
      </c>
      <c r="S2321" s="68">
        <v>0</v>
      </c>
      <c r="T2321" s="60">
        <v>0</v>
      </c>
      <c r="U2321" s="60">
        <v>1</v>
      </c>
      <c r="V2321" s="93">
        <v>1</v>
      </c>
      <c r="W2321" s="60">
        <v>0</v>
      </c>
      <c r="X2321" s="60">
        <v>0</v>
      </c>
      <c r="Y2321" s="12">
        <v>0</v>
      </c>
      <c r="Z2321" s="60">
        <v>0</v>
      </c>
      <c r="AA2321" s="60">
        <v>1</v>
      </c>
      <c r="AB2321" s="60">
        <v>0</v>
      </c>
      <c r="AC2321" s="60">
        <v>0</v>
      </c>
      <c r="AD2321" s="60">
        <v>0</v>
      </c>
      <c r="AE2321" s="60">
        <v>1</v>
      </c>
      <c r="AF2321" s="60">
        <v>12</v>
      </c>
      <c r="AG2321" s="60">
        <v>2</v>
      </c>
      <c r="AH2321" s="60" t="s">
        <v>213</v>
      </c>
      <c r="AI2321" s="68">
        <v>0</v>
      </c>
      <c r="AJ2321" s="68">
        <v>2</v>
      </c>
      <c r="AK2321" s="68">
        <v>0</v>
      </c>
      <c r="AL2321" s="68">
        <v>1.5</v>
      </c>
      <c r="AM2321" s="60">
        <v>0</v>
      </c>
      <c r="AN2321" s="60">
        <v>0</v>
      </c>
      <c r="AO2321" s="60">
        <v>0</v>
      </c>
      <c r="AP2321" s="60">
        <v>0.5</v>
      </c>
      <c r="AQ2321" s="60">
        <v>600</v>
      </c>
      <c r="AR2321" s="60">
        <v>0</v>
      </c>
      <c r="AS2321" s="60">
        <v>12</v>
      </c>
      <c r="AT2321" s="68">
        <v>0</v>
      </c>
      <c r="AU2321" s="79">
        <v>0</v>
      </c>
      <c r="AV2321" s="79"/>
      <c r="AW2321" s="59" t="s">
        <v>199</v>
      </c>
      <c r="AX2321" s="60" t="s">
        <v>215</v>
      </c>
      <c r="AY2321" s="64">
        <v>10000011</v>
      </c>
      <c r="AZ2321" s="64">
        <v>0</v>
      </c>
      <c r="BA2321" s="59" t="s">
        <v>216</v>
      </c>
      <c r="BB2321" s="60">
        <v>0</v>
      </c>
      <c r="BC2321" s="66">
        <v>0</v>
      </c>
      <c r="BD2321" s="66">
        <v>0</v>
      </c>
      <c r="BE2321" s="90" t="s">
        <v>2213</v>
      </c>
      <c r="BF2321" s="90" t="s">
        <v>2214</v>
      </c>
      <c r="BG2321" s="60">
        <v>0</v>
      </c>
      <c r="BH2321" s="60">
        <v>0</v>
      </c>
      <c r="BI2321" s="60">
        <v>0</v>
      </c>
      <c r="BJ2321" s="60">
        <v>0</v>
      </c>
      <c r="BK2321" s="60">
        <v>0</v>
      </c>
      <c r="BL2321" s="60">
        <v>0</v>
      </c>
      <c r="BM2321" s="93">
        <v>0</v>
      </c>
      <c r="BN2321" s="68">
        <v>0</v>
      </c>
      <c r="BO2321" s="68">
        <v>0</v>
      </c>
      <c r="BP2321" s="68">
        <v>0</v>
      </c>
      <c r="BQ2321" s="68">
        <v>0</v>
      </c>
      <c r="BR2321" s="68">
        <v>0</v>
      </c>
      <c r="BS2321" s="68">
        <v>1</v>
      </c>
      <c r="BT2321" s="68">
        <v>77005010</v>
      </c>
      <c r="BU2321" s="68">
        <v>0</v>
      </c>
      <c r="BV2321" s="47"/>
      <c r="BW2321" s="47"/>
    </row>
    <row r="2322" spans="1:75" ht="20.100000000000001" customHeight="1">
      <c r="A2322" s="138"/>
      <c r="B2322" s="138"/>
      <c r="C2322" s="64">
        <v>77005010</v>
      </c>
      <c r="D2322" s="59" t="s">
        <v>2207</v>
      </c>
      <c r="E2322" s="147" t="s">
        <v>2208</v>
      </c>
      <c r="F2322" s="93">
        <v>1</v>
      </c>
      <c r="G2322" s="60">
        <v>63021101</v>
      </c>
      <c r="H2322" s="64">
        <v>0</v>
      </c>
      <c r="I2322" s="66">
        <v>0</v>
      </c>
      <c r="J2322" s="64">
        <v>1</v>
      </c>
      <c r="K2322" s="60">
        <v>0</v>
      </c>
      <c r="L2322" s="64">
        <v>0</v>
      </c>
      <c r="M2322" s="60">
        <v>0</v>
      </c>
      <c r="N2322" s="60">
        <v>0</v>
      </c>
      <c r="O2322" s="60">
        <v>2</v>
      </c>
      <c r="P2322" s="60">
        <v>16</v>
      </c>
      <c r="Q2322" s="60">
        <v>4</v>
      </c>
      <c r="R2322" s="60">
        <v>0</v>
      </c>
      <c r="S2322" s="68">
        <v>0</v>
      </c>
      <c r="T2322" s="60">
        <v>0</v>
      </c>
      <c r="U2322" s="60">
        <v>1</v>
      </c>
      <c r="V2322" s="60">
        <v>1</v>
      </c>
      <c r="W2322" s="60">
        <v>0</v>
      </c>
      <c r="X2322" s="60">
        <v>2</v>
      </c>
      <c r="Y2322" s="12">
        <v>0</v>
      </c>
      <c r="Z2322" s="60">
        <v>0</v>
      </c>
      <c r="AA2322" s="60">
        <v>0</v>
      </c>
      <c r="AB2322" s="60">
        <v>0</v>
      </c>
      <c r="AC2322" s="60">
        <v>0</v>
      </c>
      <c r="AD2322" s="60">
        <v>0</v>
      </c>
      <c r="AE2322" s="60">
        <v>0</v>
      </c>
      <c r="AF2322" s="60">
        <v>0</v>
      </c>
      <c r="AG2322" s="60">
        <v>1</v>
      </c>
      <c r="AH2322" s="60">
        <v>5</v>
      </c>
      <c r="AI2322" s="68">
        <v>0</v>
      </c>
      <c r="AJ2322" s="68">
        <v>1</v>
      </c>
      <c r="AK2322" s="68">
        <v>0</v>
      </c>
      <c r="AL2322" s="68">
        <v>2</v>
      </c>
      <c r="AM2322" s="60">
        <v>0</v>
      </c>
      <c r="AN2322" s="60">
        <v>0</v>
      </c>
      <c r="AO2322" s="60">
        <v>0</v>
      </c>
      <c r="AP2322" s="60">
        <v>0</v>
      </c>
      <c r="AQ2322" s="60">
        <v>400</v>
      </c>
      <c r="AR2322" s="60">
        <v>0.2</v>
      </c>
      <c r="AS2322" s="60">
        <v>0</v>
      </c>
      <c r="AT2322" s="68">
        <v>0</v>
      </c>
      <c r="AU2322" s="334" t="s">
        <v>5528</v>
      </c>
      <c r="AV2322" s="79"/>
      <c r="AW2322" s="63" t="s">
        <v>198</v>
      </c>
      <c r="AX2322" s="60" t="s">
        <v>545</v>
      </c>
      <c r="AY2322" s="64">
        <v>10000001</v>
      </c>
      <c r="AZ2322" s="64">
        <v>77005002</v>
      </c>
      <c r="BA2322" s="59" t="s">
        <v>200</v>
      </c>
      <c r="BB2322" s="60">
        <v>0</v>
      </c>
      <c r="BC2322" s="66">
        <v>0</v>
      </c>
      <c r="BD2322" s="66">
        <v>0</v>
      </c>
      <c r="BE2322" s="90" t="s">
        <v>2209</v>
      </c>
      <c r="BF2322" s="90" t="s">
        <v>2210</v>
      </c>
      <c r="BG2322" s="60">
        <v>0</v>
      </c>
      <c r="BH2322" s="60">
        <v>0</v>
      </c>
      <c r="BI2322" s="60">
        <v>0</v>
      </c>
      <c r="BJ2322" s="60">
        <v>0</v>
      </c>
      <c r="BK2322" s="60">
        <v>0</v>
      </c>
      <c r="BL2322" s="60">
        <v>0</v>
      </c>
      <c r="BM2322" s="93">
        <v>0</v>
      </c>
      <c r="BN2322" s="68">
        <v>0</v>
      </c>
      <c r="BO2322" s="68">
        <v>0</v>
      </c>
      <c r="BP2322" s="68">
        <v>0</v>
      </c>
      <c r="BQ2322" s="68">
        <v>0</v>
      </c>
      <c r="BR2322" s="68">
        <v>0</v>
      </c>
      <c r="BS2322" s="68">
        <v>0</v>
      </c>
      <c r="BT2322" s="68">
        <v>0</v>
      </c>
      <c r="BU2322" s="47">
        <v>0</v>
      </c>
      <c r="BV2322" s="47"/>
      <c r="BW2322" s="47"/>
    </row>
    <row r="2323" spans="1:75" ht="19.5" customHeight="1">
      <c r="A2323" s="138"/>
      <c r="B2323" s="138"/>
      <c r="C2323" s="100">
        <v>77006001</v>
      </c>
      <c r="D2323" s="99" t="s">
        <v>5535</v>
      </c>
      <c r="E2323" s="99" t="s">
        <v>5536</v>
      </c>
      <c r="F2323" s="101">
        <v>1</v>
      </c>
      <c r="G2323" s="101">
        <v>63021101</v>
      </c>
      <c r="H2323" s="101">
        <v>0</v>
      </c>
      <c r="I2323" s="105">
        <v>0</v>
      </c>
      <c r="J2323" s="100">
        <v>1</v>
      </c>
      <c r="K2323" s="101">
        <v>0</v>
      </c>
      <c r="L2323" s="101">
        <v>0</v>
      </c>
      <c r="M2323" s="101">
        <v>0</v>
      </c>
      <c r="N2323" s="101">
        <v>0</v>
      </c>
      <c r="O2323" s="101">
        <v>1</v>
      </c>
      <c r="P2323" s="101">
        <v>0</v>
      </c>
      <c r="Q2323" s="101">
        <v>0</v>
      </c>
      <c r="R2323" s="101">
        <v>0</v>
      </c>
      <c r="S2323" s="106">
        <v>0</v>
      </c>
      <c r="T2323" s="101">
        <v>0</v>
      </c>
      <c r="U2323" s="101">
        <v>1</v>
      </c>
      <c r="V2323" s="101">
        <v>1</v>
      </c>
      <c r="W2323" s="101">
        <v>0</v>
      </c>
      <c r="X2323" s="101">
        <v>1</v>
      </c>
      <c r="Y2323" s="12">
        <v>0</v>
      </c>
      <c r="Z2323" s="101">
        <v>0</v>
      </c>
      <c r="AA2323" s="101">
        <v>0</v>
      </c>
      <c r="AB2323" s="101">
        <v>0</v>
      </c>
      <c r="AC2323" s="101">
        <v>0</v>
      </c>
      <c r="AD2323" s="101">
        <v>0</v>
      </c>
      <c r="AE2323" s="101">
        <v>0</v>
      </c>
      <c r="AF2323" s="101">
        <v>16</v>
      </c>
      <c r="AG2323" s="101">
        <v>1</v>
      </c>
      <c r="AH2323" s="114">
        <v>2</v>
      </c>
      <c r="AI2323" s="106">
        <v>2</v>
      </c>
      <c r="AJ2323" s="106">
        <v>2</v>
      </c>
      <c r="AK2323" s="106">
        <v>0</v>
      </c>
      <c r="AL2323" s="106">
        <v>3</v>
      </c>
      <c r="AM2323" s="101">
        <v>0</v>
      </c>
      <c r="AN2323" s="101">
        <v>0</v>
      </c>
      <c r="AO2323" s="101">
        <v>0</v>
      </c>
      <c r="AP2323" s="101">
        <v>0.2</v>
      </c>
      <c r="AQ2323" s="101">
        <v>2000</v>
      </c>
      <c r="AR2323" s="101">
        <v>0.2</v>
      </c>
      <c r="AS2323" s="101">
        <v>5</v>
      </c>
      <c r="AT2323" s="106">
        <v>0</v>
      </c>
      <c r="AU2323" s="340" t="s">
        <v>5525</v>
      </c>
      <c r="AV2323" s="101"/>
      <c r="AW2323" s="99" t="s">
        <v>198</v>
      </c>
      <c r="AX2323" s="101" t="s">
        <v>534</v>
      </c>
      <c r="AY2323" s="100">
        <v>10000001</v>
      </c>
      <c r="AZ2323" s="100">
        <v>77005003</v>
      </c>
      <c r="BA2323" s="99" t="s">
        <v>2222</v>
      </c>
      <c r="BB2323" s="101" t="s">
        <v>5537</v>
      </c>
      <c r="BC2323" s="106">
        <v>0</v>
      </c>
      <c r="BD2323" s="106">
        <v>0</v>
      </c>
      <c r="BE2323" s="137" t="s">
        <v>5538</v>
      </c>
      <c r="BF2323" s="137" t="s">
        <v>5539</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47">
        <v>0</v>
      </c>
      <c r="BV2323" s="47"/>
      <c r="BW2323" s="47"/>
    </row>
    <row r="2324" spans="1:75" ht="20.100000000000001" customHeight="1">
      <c r="A2324" s="138"/>
      <c r="B2324" s="138"/>
      <c r="C2324" s="100">
        <v>77006002</v>
      </c>
      <c r="D2324" s="99" t="s">
        <v>5540</v>
      </c>
      <c r="E2324" s="290" t="s">
        <v>5541</v>
      </c>
      <c r="F2324" s="97">
        <v>1</v>
      </c>
      <c r="G2324" s="101">
        <v>63021101</v>
      </c>
      <c r="H2324" s="100">
        <v>0</v>
      </c>
      <c r="I2324" s="105">
        <v>0</v>
      </c>
      <c r="J2324" s="100">
        <v>1</v>
      </c>
      <c r="K2324" s="101">
        <v>0</v>
      </c>
      <c r="L2324" s="100">
        <v>0</v>
      </c>
      <c r="M2324" s="101">
        <v>0</v>
      </c>
      <c r="N2324" s="101">
        <v>0</v>
      </c>
      <c r="O2324" s="101">
        <v>1</v>
      </c>
      <c r="P2324" s="101">
        <v>0</v>
      </c>
      <c r="Q2324" s="101">
        <v>0</v>
      </c>
      <c r="R2324" s="101">
        <v>0</v>
      </c>
      <c r="S2324" s="106">
        <v>0</v>
      </c>
      <c r="T2324" s="101">
        <v>0</v>
      </c>
      <c r="U2324" s="101">
        <v>1</v>
      </c>
      <c r="V2324" s="101">
        <v>1</v>
      </c>
      <c r="W2324" s="101">
        <v>0</v>
      </c>
      <c r="X2324" s="101">
        <v>1.5</v>
      </c>
      <c r="Y2324" s="12">
        <v>0</v>
      </c>
      <c r="Z2324" s="101">
        <v>0</v>
      </c>
      <c r="AA2324" s="101">
        <v>0</v>
      </c>
      <c r="AB2324" s="101">
        <v>0</v>
      </c>
      <c r="AC2324" s="101">
        <v>0</v>
      </c>
      <c r="AD2324" s="101">
        <v>0</v>
      </c>
      <c r="AE2324" s="101">
        <v>0</v>
      </c>
      <c r="AF2324" s="101">
        <v>12</v>
      </c>
      <c r="AG2324" s="101">
        <v>1</v>
      </c>
      <c r="AH2324" s="101">
        <v>4</v>
      </c>
      <c r="AI2324" s="106">
        <v>2</v>
      </c>
      <c r="AJ2324" s="106">
        <v>1</v>
      </c>
      <c r="AK2324" s="106">
        <v>0</v>
      </c>
      <c r="AL2324" s="106">
        <v>7</v>
      </c>
      <c r="AM2324" s="101">
        <v>0</v>
      </c>
      <c r="AN2324" s="101">
        <v>0</v>
      </c>
      <c r="AO2324" s="101">
        <v>0</v>
      </c>
      <c r="AP2324" s="101">
        <v>0.2</v>
      </c>
      <c r="AQ2324" s="101">
        <v>2000</v>
      </c>
      <c r="AR2324" s="101">
        <v>0.4</v>
      </c>
      <c r="AS2324" s="101">
        <v>0</v>
      </c>
      <c r="AT2324" s="106">
        <v>0</v>
      </c>
      <c r="AU2324" s="114">
        <v>0</v>
      </c>
      <c r="AV2324" s="114"/>
      <c r="AW2324" s="102" t="s">
        <v>198</v>
      </c>
      <c r="AX2324" s="101" t="s">
        <v>545</v>
      </c>
      <c r="AY2324" s="100">
        <v>10000001</v>
      </c>
      <c r="AZ2324" s="100">
        <v>77005004</v>
      </c>
      <c r="BA2324" s="99" t="s">
        <v>200</v>
      </c>
      <c r="BB2324" s="101">
        <v>0</v>
      </c>
      <c r="BC2324" s="105">
        <v>0</v>
      </c>
      <c r="BD2324" s="105">
        <v>0</v>
      </c>
      <c r="BE2324" s="119" t="s">
        <v>5542</v>
      </c>
      <c r="BF2324" s="119" t="s">
        <v>5543</v>
      </c>
      <c r="BG2324" s="101">
        <v>0</v>
      </c>
      <c r="BH2324" s="101">
        <v>0</v>
      </c>
      <c r="BI2324" s="101">
        <v>0</v>
      </c>
      <c r="BJ2324" s="101">
        <v>0</v>
      </c>
      <c r="BK2324" s="101">
        <v>0</v>
      </c>
      <c r="BL2324" s="101">
        <v>0</v>
      </c>
      <c r="BM2324" s="97">
        <v>0</v>
      </c>
      <c r="BN2324" s="106">
        <v>0</v>
      </c>
      <c r="BO2324" s="106">
        <v>0</v>
      </c>
      <c r="BP2324" s="106">
        <v>0</v>
      </c>
      <c r="BQ2324" s="106">
        <v>0</v>
      </c>
      <c r="BR2324" s="106">
        <v>0</v>
      </c>
      <c r="BS2324" s="106">
        <v>0</v>
      </c>
      <c r="BT2324" s="106">
        <v>0</v>
      </c>
      <c r="BU2324" s="374" t="s">
        <v>5544</v>
      </c>
      <c r="BV2324" s="47"/>
      <c r="BW2324" s="47"/>
    </row>
    <row r="2325" spans="1:75" ht="20.100000000000001" customHeight="1">
      <c r="A2325" s="138"/>
      <c r="B2325" s="138"/>
      <c r="C2325" s="100">
        <v>77006003</v>
      </c>
      <c r="D2325" s="99" t="s">
        <v>5545</v>
      </c>
      <c r="E2325" s="290" t="s">
        <v>5546</v>
      </c>
      <c r="F2325" s="97">
        <v>1</v>
      </c>
      <c r="G2325" s="101">
        <v>63021101</v>
      </c>
      <c r="H2325" s="100">
        <v>0</v>
      </c>
      <c r="I2325" s="105">
        <v>0</v>
      </c>
      <c r="J2325" s="100">
        <v>1</v>
      </c>
      <c r="K2325" s="101">
        <v>0</v>
      </c>
      <c r="L2325" s="100">
        <v>0</v>
      </c>
      <c r="M2325" s="101">
        <v>0</v>
      </c>
      <c r="N2325" s="101">
        <v>0</v>
      </c>
      <c r="O2325" s="101">
        <v>1</v>
      </c>
      <c r="P2325" s="101">
        <v>0</v>
      </c>
      <c r="Q2325" s="101">
        <v>0</v>
      </c>
      <c r="R2325" s="101">
        <v>0</v>
      </c>
      <c r="S2325" s="106">
        <v>0</v>
      </c>
      <c r="T2325" s="101">
        <v>0</v>
      </c>
      <c r="U2325" s="101">
        <v>1</v>
      </c>
      <c r="V2325" s="101">
        <v>1</v>
      </c>
      <c r="W2325" s="101">
        <v>0</v>
      </c>
      <c r="X2325" s="101">
        <v>1.2</v>
      </c>
      <c r="Y2325" s="12">
        <v>0</v>
      </c>
      <c r="Z2325" s="101">
        <v>0</v>
      </c>
      <c r="AA2325" s="101">
        <v>0</v>
      </c>
      <c r="AB2325" s="101">
        <v>0</v>
      </c>
      <c r="AC2325" s="101">
        <v>0</v>
      </c>
      <c r="AD2325" s="101">
        <v>0</v>
      </c>
      <c r="AE2325" s="101">
        <v>0</v>
      </c>
      <c r="AF2325" s="101">
        <v>10</v>
      </c>
      <c r="AG2325" s="101">
        <v>1</v>
      </c>
      <c r="AH2325" s="101">
        <v>2</v>
      </c>
      <c r="AI2325" s="106">
        <v>2</v>
      </c>
      <c r="AJ2325" s="106">
        <v>2</v>
      </c>
      <c r="AK2325" s="106">
        <v>0</v>
      </c>
      <c r="AL2325" s="106">
        <v>3</v>
      </c>
      <c r="AM2325" s="101">
        <v>0</v>
      </c>
      <c r="AN2325" s="101">
        <v>0</v>
      </c>
      <c r="AO2325" s="101">
        <v>0</v>
      </c>
      <c r="AP2325" s="100">
        <v>0.2</v>
      </c>
      <c r="AQ2325" s="101">
        <v>6000</v>
      </c>
      <c r="AR2325" s="101">
        <v>0.2</v>
      </c>
      <c r="AS2325" s="101">
        <v>8</v>
      </c>
      <c r="AT2325" s="106">
        <v>0</v>
      </c>
      <c r="AU2325" s="340" t="s">
        <v>5525</v>
      </c>
      <c r="AV2325" s="101"/>
      <c r="AW2325" s="99" t="s">
        <v>198</v>
      </c>
      <c r="AX2325" s="101" t="s">
        <v>545</v>
      </c>
      <c r="AY2325" s="100">
        <v>0</v>
      </c>
      <c r="AZ2325" s="100">
        <v>77005005</v>
      </c>
      <c r="BA2325" s="99" t="s">
        <v>2238</v>
      </c>
      <c r="BB2325" s="101" t="s">
        <v>5547</v>
      </c>
      <c r="BC2325" s="105">
        <v>0</v>
      </c>
      <c r="BD2325" s="105">
        <v>0</v>
      </c>
      <c r="BE2325" s="119" t="s">
        <v>5548</v>
      </c>
      <c r="BF2325" s="119" t="s">
        <v>5549</v>
      </c>
      <c r="BG2325" s="101">
        <v>0</v>
      </c>
      <c r="BH2325" s="101">
        <v>0</v>
      </c>
      <c r="BI2325" s="101">
        <v>0</v>
      </c>
      <c r="BJ2325" s="101">
        <v>0</v>
      </c>
      <c r="BK2325" s="101">
        <v>0</v>
      </c>
      <c r="BL2325" s="101">
        <v>0</v>
      </c>
      <c r="BM2325" s="97">
        <v>0</v>
      </c>
      <c r="BN2325" s="106">
        <v>0</v>
      </c>
      <c r="BO2325" s="106">
        <v>0</v>
      </c>
      <c r="BP2325" s="106">
        <v>1</v>
      </c>
      <c r="BQ2325" s="106">
        <v>1</v>
      </c>
      <c r="BR2325" s="106">
        <v>0</v>
      </c>
      <c r="BS2325" s="106">
        <v>0</v>
      </c>
      <c r="BT2325" s="106">
        <v>0</v>
      </c>
      <c r="BU2325" s="47">
        <v>0</v>
      </c>
      <c r="BV2325" s="47"/>
      <c r="BW2325" s="47"/>
    </row>
    <row r="2326" spans="1:75" ht="19.5" customHeight="1">
      <c r="A2326" s="138"/>
      <c r="B2326" s="138"/>
      <c r="C2326" s="100">
        <v>77006004</v>
      </c>
      <c r="D2326" s="99" t="s">
        <v>2245</v>
      </c>
      <c r="E2326" s="99" t="s">
        <v>2246</v>
      </c>
      <c r="F2326" s="100">
        <v>1</v>
      </c>
      <c r="G2326" s="100">
        <v>0</v>
      </c>
      <c r="H2326" s="100">
        <v>0</v>
      </c>
      <c r="I2326" s="105">
        <v>0</v>
      </c>
      <c r="J2326" s="100">
        <v>1</v>
      </c>
      <c r="K2326" s="100">
        <v>0</v>
      </c>
      <c r="L2326" s="100">
        <v>0</v>
      </c>
      <c r="M2326" s="101">
        <v>0</v>
      </c>
      <c r="N2326" s="101">
        <v>0</v>
      </c>
      <c r="O2326" s="101">
        <v>2</v>
      </c>
      <c r="P2326" s="101">
        <v>3</v>
      </c>
      <c r="Q2326" s="101">
        <v>0.2</v>
      </c>
      <c r="R2326" s="101">
        <v>0</v>
      </c>
      <c r="S2326" s="106">
        <v>0</v>
      </c>
      <c r="T2326" s="101">
        <v>0</v>
      </c>
      <c r="U2326" s="101">
        <v>1</v>
      </c>
      <c r="V2326" s="101">
        <v>2</v>
      </c>
      <c r="W2326" s="101">
        <v>0</v>
      </c>
      <c r="X2326" s="101">
        <v>1.5</v>
      </c>
      <c r="Y2326" s="12">
        <v>0</v>
      </c>
      <c r="Z2326" s="101">
        <v>0</v>
      </c>
      <c r="AA2326" s="101">
        <v>1</v>
      </c>
      <c r="AB2326" s="101">
        <v>0</v>
      </c>
      <c r="AC2326" s="101">
        <v>0</v>
      </c>
      <c r="AD2326" s="101">
        <v>1</v>
      </c>
      <c r="AE2326" s="101">
        <v>1</v>
      </c>
      <c r="AF2326" s="101">
        <v>0</v>
      </c>
      <c r="AG2326" s="101">
        <v>1</v>
      </c>
      <c r="AH2326" s="101">
        <v>3</v>
      </c>
      <c r="AI2326" s="106">
        <v>1</v>
      </c>
      <c r="AJ2326" s="106">
        <v>1</v>
      </c>
      <c r="AK2326" s="106">
        <v>0</v>
      </c>
      <c r="AL2326" s="106">
        <v>3</v>
      </c>
      <c r="AM2326" s="101">
        <v>0</v>
      </c>
      <c r="AN2326" s="101">
        <v>0</v>
      </c>
      <c r="AO2326" s="101">
        <v>0</v>
      </c>
      <c r="AP2326" s="101">
        <v>0</v>
      </c>
      <c r="AQ2326" s="101">
        <v>2000</v>
      </c>
      <c r="AR2326" s="101">
        <v>0.3</v>
      </c>
      <c r="AS2326" s="101">
        <v>0</v>
      </c>
      <c r="AT2326" s="106">
        <v>0</v>
      </c>
      <c r="AU2326" s="114">
        <v>0</v>
      </c>
      <c r="AV2326" s="114"/>
      <c r="AW2326" s="102" t="s">
        <v>198</v>
      </c>
      <c r="AX2326" s="101" t="s">
        <v>534</v>
      </c>
      <c r="AY2326" s="100">
        <v>0</v>
      </c>
      <c r="AZ2326" s="100">
        <v>77005004</v>
      </c>
      <c r="BA2326" s="99" t="s">
        <v>200</v>
      </c>
      <c r="BB2326" s="101">
        <v>0</v>
      </c>
      <c r="BC2326" s="105">
        <v>0</v>
      </c>
      <c r="BD2326" s="105">
        <v>0</v>
      </c>
      <c r="BE2326" s="119" t="s">
        <v>2247</v>
      </c>
      <c r="BF2326" s="119" t="s">
        <v>2248</v>
      </c>
      <c r="BG2326" s="101">
        <v>0</v>
      </c>
      <c r="BH2326" s="101">
        <v>0</v>
      </c>
      <c r="BI2326" s="101">
        <v>0</v>
      </c>
      <c r="BJ2326" s="101">
        <v>0</v>
      </c>
      <c r="BK2326" s="101">
        <v>0</v>
      </c>
      <c r="BL2326" s="101">
        <v>0</v>
      </c>
      <c r="BM2326" s="97">
        <v>0</v>
      </c>
      <c r="BN2326" s="106">
        <v>0</v>
      </c>
      <c r="BO2326" s="106">
        <v>0</v>
      </c>
      <c r="BP2326" s="106">
        <v>0</v>
      </c>
      <c r="BQ2326" s="106">
        <v>0</v>
      </c>
      <c r="BR2326" s="106">
        <v>0</v>
      </c>
      <c r="BS2326" s="106">
        <v>0</v>
      </c>
      <c r="BT2326" s="106">
        <v>0</v>
      </c>
      <c r="BU2326" s="106">
        <v>0</v>
      </c>
      <c r="BV2326" s="47"/>
      <c r="BW2326" s="47"/>
    </row>
    <row r="2327" spans="1:75" ht="19.5" customHeight="1">
      <c r="A2327" s="138"/>
      <c r="B2327" s="138"/>
      <c r="C2327" s="312">
        <v>77007001</v>
      </c>
      <c r="D2327" s="313" t="s">
        <v>5550</v>
      </c>
      <c r="E2327" s="313" t="s">
        <v>5551</v>
      </c>
      <c r="F2327" s="314">
        <v>1</v>
      </c>
      <c r="G2327" s="314">
        <v>63021101</v>
      </c>
      <c r="H2327" s="314">
        <v>0</v>
      </c>
      <c r="I2327" s="321">
        <v>0</v>
      </c>
      <c r="J2327" s="312">
        <v>1</v>
      </c>
      <c r="K2327" s="314">
        <v>0</v>
      </c>
      <c r="L2327" s="314">
        <v>0</v>
      </c>
      <c r="M2327" s="314">
        <v>0</v>
      </c>
      <c r="N2327" s="314">
        <v>0</v>
      </c>
      <c r="O2327" s="314">
        <v>1</v>
      </c>
      <c r="P2327" s="314">
        <v>0</v>
      </c>
      <c r="Q2327" s="314">
        <v>0</v>
      </c>
      <c r="R2327" s="314">
        <v>0</v>
      </c>
      <c r="S2327" s="47">
        <v>0</v>
      </c>
      <c r="T2327" s="314">
        <v>0</v>
      </c>
      <c r="U2327" s="314">
        <v>1</v>
      </c>
      <c r="V2327" s="314">
        <v>1</v>
      </c>
      <c r="W2327" s="314">
        <v>0</v>
      </c>
      <c r="X2327" s="314">
        <v>3</v>
      </c>
      <c r="Y2327" s="12">
        <v>0</v>
      </c>
      <c r="Z2327" s="314">
        <v>0</v>
      </c>
      <c r="AA2327" s="314">
        <v>0</v>
      </c>
      <c r="AB2327" s="314">
        <v>0</v>
      </c>
      <c r="AC2327" s="314">
        <v>0</v>
      </c>
      <c r="AD2327" s="314">
        <v>0</v>
      </c>
      <c r="AE2327" s="314">
        <v>0</v>
      </c>
      <c r="AF2327" s="314">
        <v>9</v>
      </c>
      <c r="AG2327" s="314">
        <v>1</v>
      </c>
      <c r="AH2327" s="324">
        <v>5</v>
      </c>
      <c r="AI2327" s="47">
        <v>2</v>
      </c>
      <c r="AJ2327" s="47">
        <v>1</v>
      </c>
      <c r="AK2327" s="47">
        <v>0</v>
      </c>
      <c r="AL2327" s="47">
        <v>8</v>
      </c>
      <c r="AM2327" s="314">
        <v>0</v>
      </c>
      <c r="AN2327" s="314">
        <v>0</v>
      </c>
      <c r="AO2327" s="314">
        <v>0</v>
      </c>
      <c r="AP2327" s="314">
        <v>0.2</v>
      </c>
      <c r="AQ2327" s="314">
        <v>1000</v>
      </c>
      <c r="AR2327" s="314">
        <v>0.2</v>
      </c>
      <c r="AS2327" s="314">
        <v>0</v>
      </c>
      <c r="AT2327" s="47">
        <v>0</v>
      </c>
      <c r="AU2327" s="375" t="s">
        <v>5552</v>
      </c>
      <c r="AV2327" s="314"/>
      <c r="AW2327" s="313" t="s">
        <v>198</v>
      </c>
      <c r="AX2327" s="314" t="s">
        <v>534</v>
      </c>
      <c r="AY2327" s="312">
        <v>10000001</v>
      </c>
      <c r="AZ2327" s="312">
        <v>77005101</v>
      </c>
      <c r="BA2327" s="313" t="s">
        <v>1371</v>
      </c>
      <c r="BB2327" s="314">
        <v>0</v>
      </c>
      <c r="BC2327" s="47">
        <v>0</v>
      </c>
      <c r="BD2327" s="47">
        <v>0</v>
      </c>
      <c r="BE2327" s="328" t="s">
        <v>5553</v>
      </c>
      <c r="BF2327" s="328" t="s">
        <v>5554</v>
      </c>
      <c r="BG2327" s="314">
        <v>0</v>
      </c>
      <c r="BH2327" s="314">
        <v>0</v>
      </c>
      <c r="BI2327" s="314">
        <v>0</v>
      </c>
      <c r="BJ2327" s="314">
        <v>0</v>
      </c>
      <c r="BK2327" s="314">
        <v>0</v>
      </c>
      <c r="BL2327" s="314">
        <v>0</v>
      </c>
      <c r="BM2327" s="316">
        <v>0</v>
      </c>
      <c r="BN2327" s="47">
        <v>0</v>
      </c>
      <c r="BO2327" s="47">
        <v>0</v>
      </c>
      <c r="BP2327" s="47">
        <v>0</v>
      </c>
      <c r="BQ2327" s="47">
        <v>0</v>
      </c>
      <c r="BR2327" s="47">
        <v>0</v>
      </c>
      <c r="BS2327" s="47">
        <v>0</v>
      </c>
      <c r="BT2327" s="47">
        <v>0</v>
      </c>
      <c r="BU2327" s="47">
        <v>0</v>
      </c>
      <c r="BV2327" s="47"/>
      <c r="BW2327" s="47"/>
    </row>
    <row r="2328" spans="1:75" ht="19.5" customHeight="1">
      <c r="A2328" s="138"/>
      <c r="B2328" s="138"/>
      <c r="C2328" s="312">
        <v>77007002</v>
      </c>
      <c r="D2328" s="313" t="s">
        <v>5555</v>
      </c>
      <c r="E2328" s="313" t="s">
        <v>5556</v>
      </c>
      <c r="F2328" s="314">
        <v>1</v>
      </c>
      <c r="G2328" s="314">
        <v>63021101</v>
      </c>
      <c r="H2328" s="314">
        <v>0</v>
      </c>
      <c r="I2328" s="321">
        <v>0</v>
      </c>
      <c r="J2328" s="312">
        <v>1</v>
      </c>
      <c r="K2328" s="314">
        <v>0</v>
      </c>
      <c r="L2328" s="314">
        <v>0</v>
      </c>
      <c r="M2328" s="314">
        <v>0</v>
      </c>
      <c r="N2328" s="314">
        <v>0</v>
      </c>
      <c r="O2328" s="314">
        <v>1</v>
      </c>
      <c r="P2328" s="314">
        <v>0</v>
      </c>
      <c r="Q2328" s="314">
        <v>0</v>
      </c>
      <c r="R2328" s="314">
        <v>0</v>
      </c>
      <c r="S2328" s="47">
        <v>0</v>
      </c>
      <c r="T2328" s="314">
        <v>0</v>
      </c>
      <c r="U2328" s="314">
        <v>1</v>
      </c>
      <c r="V2328" s="314">
        <v>1</v>
      </c>
      <c r="W2328" s="314">
        <v>0</v>
      </c>
      <c r="X2328" s="314">
        <v>3</v>
      </c>
      <c r="Y2328" s="12">
        <v>0</v>
      </c>
      <c r="Z2328" s="314">
        <v>0</v>
      </c>
      <c r="AA2328" s="314">
        <v>0</v>
      </c>
      <c r="AB2328" s="314">
        <v>0</v>
      </c>
      <c r="AC2328" s="314">
        <v>0</v>
      </c>
      <c r="AD2328" s="314">
        <v>0</v>
      </c>
      <c r="AE2328" s="314">
        <v>0</v>
      </c>
      <c r="AF2328" s="314">
        <v>6</v>
      </c>
      <c r="AG2328" s="314">
        <v>3</v>
      </c>
      <c r="AH2328" s="324">
        <v>4120</v>
      </c>
      <c r="AI2328" s="47">
        <v>2</v>
      </c>
      <c r="AJ2328" s="47">
        <v>3</v>
      </c>
      <c r="AK2328" s="47">
        <v>0</v>
      </c>
      <c r="AL2328" s="47">
        <v>1.5</v>
      </c>
      <c r="AM2328" s="314">
        <v>0</v>
      </c>
      <c r="AN2328" s="314">
        <v>0</v>
      </c>
      <c r="AO2328" s="314">
        <v>0</v>
      </c>
      <c r="AP2328" s="314">
        <v>0.2</v>
      </c>
      <c r="AQ2328" s="314">
        <v>1000</v>
      </c>
      <c r="AR2328" s="314">
        <v>0.2</v>
      </c>
      <c r="AS2328" s="314">
        <v>0</v>
      </c>
      <c r="AT2328" s="47">
        <v>97050102</v>
      </c>
      <c r="AU2328" s="376" t="s">
        <v>5557</v>
      </c>
      <c r="AV2328" s="324"/>
      <c r="AW2328" s="313" t="s">
        <v>198</v>
      </c>
      <c r="AX2328" s="314" t="s">
        <v>534</v>
      </c>
      <c r="AY2328" s="312">
        <v>10000001</v>
      </c>
      <c r="AZ2328" s="312">
        <v>77005102</v>
      </c>
      <c r="BA2328" s="313" t="s">
        <v>200</v>
      </c>
      <c r="BB2328" s="314">
        <v>0</v>
      </c>
      <c r="BC2328" s="47">
        <v>0</v>
      </c>
      <c r="BD2328" s="47">
        <v>0</v>
      </c>
      <c r="BE2328" s="328" t="s">
        <v>5558</v>
      </c>
      <c r="BF2328" s="328" t="s">
        <v>5559</v>
      </c>
      <c r="BG2328" s="314">
        <v>0</v>
      </c>
      <c r="BH2328" s="314">
        <v>0</v>
      </c>
      <c r="BI2328" s="314">
        <v>0</v>
      </c>
      <c r="BJ2328" s="314">
        <v>0</v>
      </c>
      <c r="BK2328" s="314">
        <v>0</v>
      </c>
      <c r="BL2328" s="314">
        <v>0</v>
      </c>
      <c r="BM2328" s="316">
        <v>0</v>
      </c>
      <c r="BN2328" s="47">
        <v>0</v>
      </c>
      <c r="BO2328" s="47">
        <v>0</v>
      </c>
      <c r="BP2328" s="47">
        <v>0</v>
      </c>
      <c r="BQ2328" s="47">
        <v>0</v>
      </c>
      <c r="BR2328" s="47">
        <v>0</v>
      </c>
      <c r="BS2328" s="47">
        <v>0</v>
      </c>
      <c r="BT2328" s="47">
        <v>0</v>
      </c>
      <c r="BU2328" s="47">
        <v>0</v>
      </c>
      <c r="BV2328" s="47"/>
      <c r="BW2328" s="47"/>
    </row>
    <row r="2329" spans="1:75" ht="20.100000000000001" customHeight="1">
      <c r="A2329" s="138"/>
      <c r="B2329" s="138"/>
      <c r="C2329" s="312">
        <v>77007003</v>
      </c>
      <c r="D2329" s="313" t="s">
        <v>5560</v>
      </c>
      <c r="E2329" s="315" t="s">
        <v>5561</v>
      </c>
      <c r="F2329" s="316">
        <v>1</v>
      </c>
      <c r="G2329" s="314">
        <v>63021101</v>
      </c>
      <c r="H2329" s="312">
        <v>0</v>
      </c>
      <c r="I2329" s="321">
        <v>0</v>
      </c>
      <c r="J2329" s="312">
        <v>1</v>
      </c>
      <c r="K2329" s="314">
        <v>0</v>
      </c>
      <c r="L2329" s="312">
        <v>0</v>
      </c>
      <c r="M2329" s="314">
        <v>0</v>
      </c>
      <c r="N2329" s="314">
        <v>0</v>
      </c>
      <c r="O2329" s="314">
        <v>1</v>
      </c>
      <c r="P2329" s="314">
        <v>0</v>
      </c>
      <c r="Q2329" s="314">
        <v>0</v>
      </c>
      <c r="R2329" s="314">
        <v>0</v>
      </c>
      <c r="S2329" s="47">
        <v>0</v>
      </c>
      <c r="T2329" s="314">
        <v>0</v>
      </c>
      <c r="U2329" s="314">
        <v>1</v>
      </c>
      <c r="V2329" s="314">
        <v>1</v>
      </c>
      <c r="W2329" s="314">
        <v>0</v>
      </c>
      <c r="X2329" s="314">
        <v>0</v>
      </c>
      <c r="Y2329" s="12">
        <v>0</v>
      </c>
      <c r="Z2329" s="314">
        <v>0</v>
      </c>
      <c r="AA2329" s="314">
        <v>0</v>
      </c>
      <c r="AB2329" s="314">
        <v>0</v>
      </c>
      <c r="AC2329" s="314">
        <v>0</v>
      </c>
      <c r="AD2329" s="314">
        <v>0</v>
      </c>
      <c r="AE2329" s="314">
        <v>0</v>
      </c>
      <c r="AF2329" s="314">
        <v>18</v>
      </c>
      <c r="AG2329" s="314">
        <v>1</v>
      </c>
      <c r="AH2329" s="314">
        <v>3</v>
      </c>
      <c r="AI2329" s="47">
        <v>0</v>
      </c>
      <c r="AJ2329" s="47">
        <v>0</v>
      </c>
      <c r="AK2329" s="47">
        <v>0</v>
      </c>
      <c r="AL2329" s="47">
        <v>1.5</v>
      </c>
      <c r="AM2329" s="314">
        <v>0</v>
      </c>
      <c r="AN2329" s="314">
        <v>0</v>
      </c>
      <c r="AO2329" s="314">
        <v>0</v>
      </c>
      <c r="AP2329" s="312">
        <v>3</v>
      </c>
      <c r="AQ2329" s="314">
        <v>3000</v>
      </c>
      <c r="AR2329" s="314">
        <v>0.1</v>
      </c>
      <c r="AS2329" s="314">
        <v>0</v>
      </c>
      <c r="AT2329" s="374" t="s">
        <v>5562</v>
      </c>
      <c r="AU2329" s="314">
        <v>0</v>
      </c>
      <c r="AV2329" s="314"/>
      <c r="AW2329" s="313" t="s">
        <v>198</v>
      </c>
      <c r="AX2329" s="314" t="s">
        <v>545</v>
      </c>
      <c r="AY2329" s="312">
        <v>0</v>
      </c>
      <c r="AZ2329" s="312">
        <v>77005103</v>
      </c>
      <c r="BA2329" s="313" t="s">
        <v>1174</v>
      </c>
      <c r="BB2329" s="375" t="s">
        <v>5563</v>
      </c>
      <c r="BC2329" s="321">
        <v>0</v>
      </c>
      <c r="BD2329" s="321">
        <v>0</v>
      </c>
      <c r="BE2329" s="329" t="s">
        <v>2281</v>
      </c>
      <c r="BF2329" s="329" t="s">
        <v>2282</v>
      </c>
      <c r="BG2329" s="314">
        <v>0</v>
      </c>
      <c r="BH2329" s="314">
        <v>0</v>
      </c>
      <c r="BI2329" s="314">
        <v>0</v>
      </c>
      <c r="BJ2329" s="314">
        <v>0</v>
      </c>
      <c r="BK2329" s="314">
        <v>0</v>
      </c>
      <c r="BL2329" s="314">
        <v>0</v>
      </c>
      <c r="BM2329" s="316">
        <v>0</v>
      </c>
      <c r="BN2329" s="47">
        <v>0</v>
      </c>
      <c r="BO2329" s="47">
        <v>0</v>
      </c>
      <c r="BP2329" s="47">
        <v>0</v>
      </c>
      <c r="BQ2329" s="47">
        <v>0</v>
      </c>
      <c r="BR2329" s="47">
        <v>0</v>
      </c>
      <c r="BS2329" s="47">
        <v>0</v>
      </c>
      <c r="BT2329" s="47">
        <v>0</v>
      </c>
      <c r="BU2329" s="47">
        <v>0</v>
      </c>
      <c r="BV2329" s="47"/>
      <c r="BW2329" s="47"/>
    </row>
    <row r="2330" spans="1:75" ht="20.100000000000001" customHeight="1">
      <c r="A2330" s="138"/>
      <c r="B2330" s="138"/>
      <c r="C2330" s="312">
        <v>77007004</v>
      </c>
      <c r="D2330" s="313" t="s">
        <v>2283</v>
      </c>
      <c r="E2330" s="315" t="s">
        <v>2284</v>
      </c>
      <c r="F2330" s="316">
        <v>1</v>
      </c>
      <c r="G2330" s="314">
        <v>63021101</v>
      </c>
      <c r="H2330" s="312">
        <v>0</v>
      </c>
      <c r="I2330" s="321">
        <v>0</v>
      </c>
      <c r="J2330" s="312">
        <v>1</v>
      </c>
      <c r="K2330" s="314">
        <v>0</v>
      </c>
      <c r="L2330" s="312">
        <v>0</v>
      </c>
      <c r="M2330" s="314">
        <v>0</v>
      </c>
      <c r="N2330" s="314">
        <v>0</v>
      </c>
      <c r="O2330" s="314">
        <v>1</v>
      </c>
      <c r="P2330" s="314">
        <v>0</v>
      </c>
      <c r="Q2330" s="314">
        <v>0</v>
      </c>
      <c r="R2330" s="314">
        <v>0</v>
      </c>
      <c r="S2330" s="47">
        <v>0</v>
      </c>
      <c r="T2330" s="314">
        <v>0</v>
      </c>
      <c r="U2330" s="314">
        <v>1</v>
      </c>
      <c r="V2330" s="314">
        <v>1</v>
      </c>
      <c r="W2330" s="314">
        <v>0</v>
      </c>
      <c r="X2330" s="314">
        <v>1.2</v>
      </c>
      <c r="Y2330" s="12">
        <v>0</v>
      </c>
      <c r="Z2330" s="314">
        <v>300</v>
      </c>
      <c r="AA2330" s="314">
        <v>0</v>
      </c>
      <c r="AB2330" s="314">
        <v>0</v>
      </c>
      <c r="AC2330" s="314">
        <v>0</v>
      </c>
      <c r="AD2330" s="314">
        <v>0</v>
      </c>
      <c r="AE2330" s="314">
        <v>0</v>
      </c>
      <c r="AF2330" s="314">
        <v>24</v>
      </c>
      <c r="AG2330" s="314">
        <v>1</v>
      </c>
      <c r="AH2330" s="314">
        <v>2</v>
      </c>
      <c r="AI2330" s="47">
        <v>2</v>
      </c>
      <c r="AJ2330" s="47">
        <v>0</v>
      </c>
      <c r="AK2330" s="47">
        <v>0</v>
      </c>
      <c r="AL2330" s="47">
        <v>0</v>
      </c>
      <c r="AM2330" s="314">
        <v>0</v>
      </c>
      <c r="AN2330" s="314">
        <v>0</v>
      </c>
      <c r="AO2330" s="314">
        <v>0</v>
      </c>
      <c r="AP2330" s="312">
        <v>0</v>
      </c>
      <c r="AQ2330" s="314">
        <v>5000</v>
      </c>
      <c r="AR2330" s="314">
        <v>0</v>
      </c>
      <c r="AS2330" s="314">
        <v>0</v>
      </c>
      <c r="AT2330" s="374" t="s">
        <v>5564</v>
      </c>
      <c r="AU2330" s="314" t="s">
        <v>198</v>
      </c>
      <c r="AV2330" s="314"/>
      <c r="AW2330" s="313" t="s">
        <v>198</v>
      </c>
      <c r="AX2330" s="314" t="s">
        <v>545</v>
      </c>
      <c r="AY2330" s="312">
        <v>0</v>
      </c>
      <c r="AZ2330" s="312">
        <v>77005104</v>
      </c>
      <c r="BA2330" s="313" t="s">
        <v>1165</v>
      </c>
      <c r="BB2330" s="314">
        <v>0</v>
      </c>
      <c r="BC2330" s="321">
        <v>0</v>
      </c>
      <c r="BD2330" s="321">
        <v>0</v>
      </c>
      <c r="BE2330" s="329" t="s">
        <v>5565</v>
      </c>
      <c r="BF2330" s="329" t="s">
        <v>5566</v>
      </c>
      <c r="BG2330" s="314">
        <v>0</v>
      </c>
      <c r="BH2330" s="314">
        <v>0</v>
      </c>
      <c r="BI2330" s="314">
        <v>0</v>
      </c>
      <c r="BJ2330" s="314">
        <v>0</v>
      </c>
      <c r="BK2330" s="314">
        <v>0</v>
      </c>
      <c r="BL2330" s="314">
        <v>0</v>
      </c>
      <c r="BM2330" s="316">
        <v>0</v>
      </c>
      <c r="BN2330" s="47">
        <v>0</v>
      </c>
      <c r="BO2330" s="47">
        <v>0</v>
      </c>
      <c r="BP2330" s="47">
        <v>0</v>
      </c>
      <c r="BQ2330" s="47">
        <v>0</v>
      </c>
      <c r="BR2330" s="47">
        <v>0</v>
      </c>
      <c r="BS2330" s="47">
        <v>0</v>
      </c>
      <c r="BT2330" s="47">
        <v>0</v>
      </c>
      <c r="BU2330" s="47">
        <v>0</v>
      </c>
      <c r="BV2330" s="47"/>
      <c r="BW2330" s="47"/>
    </row>
    <row r="2331" spans="1:75" ht="19.5" customHeight="1">
      <c r="A2331" s="138"/>
      <c r="B2331" s="138"/>
      <c r="C2331" s="312">
        <v>77007005</v>
      </c>
      <c r="D2331" s="313" t="s">
        <v>760</v>
      </c>
      <c r="E2331" s="313" t="s">
        <v>761</v>
      </c>
      <c r="F2331" s="314">
        <v>1</v>
      </c>
      <c r="G2331" s="314">
        <v>0</v>
      </c>
      <c r="H2331" s="314">
        <v>0</v>
      </c>
      <c r="I2331" s="321">
        <v>0</v>
      </c>
      <c r="J2331" s="312">
        <v>1</v>
      </c>
      <c r="K2331" s="312">
        <v>0</v>
      </c>
      <c r="L2331" s="312">
        <v>0</v>
      </c>
      <c r="M2331" s="314">
        <v>0</v>
      </c>
      <c r="N2331" s="314">
        <v>0</v>
      </c>
      <c r="O2331" s="314">
        <v>2</v>
      </c>
      <c r="P2331" s="314">
        <v>1</v>
      </c>
      <c r="Q2331" s="314">
        <v>1</v>
      </c>
      <c r="R2331" s="314">
        <v>1</v>
      </c>
      <c r="S2331" s="47">
        <v>0</v>
      </c>
      <c r="T2331" s="314">
        <v>0</v>
      </c>
      <c r="U2331" s="314">
        <v>1</v>
      </c>
      <c r="V2331" s="314">
        <v>1</v>
      </c>
      <c r="W2331" s="314">
        <v>0</v>
      </c>
      <c r="X2331" s="314">
        <v>1.5</v>
      </c>
      <c r="Y2331" s="12">
        <v>0</v>
      </c>
      <c r="Z2331" s="314">
        <v>0</v>
      </c>
      <c r="AA2331" s="314">
        <v>0</v>
      </c>
      <c r="AB2331" s="314">
        <v>0</v>
      </c>
      <c r="AC2331" s="314">
        <v>0</v>
      </c>
      <c r="AD2331" s="314">
        <v>0</v>
      </c>
      <c r="AE2331" s="314">
        <v>1</v>
      </c>
      <c r="AF2331" s="314">
        <v>10</v>
      </c>
      <c r="AG2331" s="314">
        <v>2</v>
      </c>
      <c r="AH2331" s="314" t="s">
        <v>1036</v>
      </c>
      <c r="AI2331" s="47">
        <v>0</v>
      </c>
      <c r="AJ2331" s="47">
        <v>2</v>
      </c>
      <c r="AK2331" s="47">
        <v>0</v>
      </c>
      <c r="AL2331" s="47">
        <v>1.5</v>
      </c>
      <c r="AM2331" s="314">
        <v>0</v>
      </c>
      <c r="AN2331" s="314">
        <v>0.5</v>
      </c>
      <c r="AO2331" s="314">
        <v>0</v>
      </c>
      <c r="AP2331" s="314">
        <v>1</v>
      </c>
      <c r="AQ2331" s="314">
        <v>1000</v>
      </c>
      <c r="AR2331" s="314">
        <v>0.2</v>
      </c>
      <c r="AS2331" s="314">
        <v>15</v>
      </c>
      <c r="AT2331" s="47">
        <v>0</v>
      </c>
      <c r="AU2331" s="376" t="s">
        <v>5525</v>
      </c>
      <c r="AV2331" s="324"/>
      <c r="AW2331" s="313" t="s">
        <v>199</v>
      </c>
      <c r="AX2331" s="314" t="s">
        <v>215</v>
      </c>
      <c r="AY2331" s="312">
        <v>0</v>
      </c>
      <c r="AZ2331" s="312">
        <v>0</v>
      </c>
      <c r="BA2331" s="326" t="s">
        <v>216</v>
      </c>
      <c r="BB2331" s="314">
        <v>0</v>
      </c>
      <c r="BC2331" s="321">
        <v>0</v>
      </c>
      <c r="BD2331" s="321">
        <v>0</v>
      </c>
      <c r="BE2331" s="329" t="s">
        <v>2292</v>
      </c>
      <c r="BF2331" s="329" t="s">
        <v>2293</v>
      </c>
      <c r="BG2331" s="314">
        <v>0</v>
      </c>
      <c r="BH2331" s="314">
        <v>0</v>
      </c>
      <c r="BI2331" s="314">
        <v>0</v>
      </c>
      <c r="BJ2331" s="314">
        <v>0</v>
      </c>
      <c r="BK2331" s="314">
        <v>0</v>
      </c>
      <c r="BL2331" s="314">
        <v>0</v>
      </c>
      <c r="BM2331" s="316">
        <v>0</v>
      </c>
      <c r="BN2331" s="47">
        <v>0</v>
      </c>
      <c r="BO2331" s="47">
        <v>0</v>
      </c>
      <c r="BP2331" s="47">
        <v>0</v>
      </c>
      <c r="BQ2331" s="47">
        <v>0</v>
      </c>
      <c r="BR2331" s="47">
        <v>0</v>
      </c>
      <c r="BS2331" s="47">
        <v>0</v>
      </c>
      <c r="BT2331" s="47">
        <v>0</v>
      </c>
      <c r="BU2331" s="47">
        <v>0</v>
      </c>
      <c r="BV2331" s="47"/>
      <c r="BW2331" s="47"/>
    </row>
    <row r="2332" spans="1:75" ht="19.5" customHeight="1">
      <c r="A2332" s="138"/>
      <c r="B2332" s="138"/>
      <c r="C2332" s="312">
        <v>77007006</v>
      </c>
      <c r="D2332" s="313" t="s">
        <v>2294</v>
      </c>
      <c r="E2332" s="313" t="s">
        <v>2295</v>
      </c>
      <c r="F2332" s="312">
        <v>1</v>
      </c>
      <c r="G2332" s="312">
        <v>0</v>
      </c>
      <c r="H2332" s="312">
        <v>0</v>
      </c>
      <c r="I2332" s="321">
        <v>0</v>
      </c>
      <c r="J2332" s="312">
        <v>1</v>
      </c>
      <c r="K2332" s="312">
        <v>0</v>
      </c>
      <c r="L2332" s="312">
        <v>0</v>
      </c>
      <c r="M2332" s="314">
        <v>0</v>
      </c>
      <c r="N2332" s="314">
        <v>0</v>
      </c>
      <c r="O2332" s="314">
        <v>2</v>
      </c>
      <c r="P2332" s="314">
        <v>3</v>
      </c>
      <c r="Q2332" s="314">
        <v>0.2</v>
      </c>
      <c r="R2332" s="314">
        <v>0</v>
      </c>
      <c r="S2332" s="47">
        <v>0</v>
      </c>
      <c r="T2332" s="314">
        <v>0</v>
      </c>
      <c r="U2332" s="314">
        <v>1</v>
      </c>
      <c r="V2332" s="314">
        <v>2</v>
      </c>
      <c r="W2332" s="314">
        <v>0</v>
      </c>
      <c r="X2332" s="314">
        <v>0</v>
      </c>
      <c r="Y2332" s="12">
        <v>0</v>
      </c>
      <c r="Z2332" s="314">
        <v>0</v>
      </c>
      <c r="AA2332" s="314">
        <v>1</v>
      </c>
      <c r="AB2332" s="314">
        <v>0</v>
      </c>
      <c r="AC2332" s="314">
        <v>0</v>
      </c>
      <c r="AD2332" s="314">
        <v>1</v>
      </c>
      <c r="AE2332" s="314">
        <v>1</v>
      </c>
      <c r="AF2332" s="314">
        <v>0</v>
      </c>
      <c r="AG2332" s="314">
        <v>1</v>
      </c>
      <c r="AH2332" s="314">
        <v>3</v>
      </c>
      <c r="AI2332" s="47">
        <v>0</v>
      </c>
      <c r="AJ2332" s="47">
        <v>1</v>
      </c>
      <c r="AK2332" s="47">
        <v>0</v>
      </c>
      <c r="AL2332" s="47">
        <v>3</v>
      </c>
      <c r="AM2332" s="314">
        <v>0</v>
      </c>
      <c r="AN2332" s="314">
        <v>0</v>
      </c>
      <c r="AO2332" s="314">
        <v>0</v>
      </c>
      <c r="AP2332" s="314">
        <v>0</v>
      </c>
      <c r="AQ2332" s="314">
        <v>500</v>
      </c>
      <c r="AR2332" s="314">
        <v>0</v>
      </c>
      <c r="AS2332" s="314">
        <v>0</v>
      </c>
      <c r="AT2332" s="47">
        <v>97050104</v>
      </c>
      <c r="AU2332" s="324">
        <v>0</v>
      </c>
      <c r="AV2332" s="324"/>
      <c r="AW2332" s="327" t="s">
        <v>198</v>
      </c>
      <c r="AX2332" s="314" t="s">
        <v>534</v>
      </c>
      <c r="AY2332" s="312">
        <v>0</v>
      </c>
      <c r="AZ2332" s="312">
        <v>0</v>
      </c>
      <c r="BA2332" s="313" t="s">
        <v>200</v>
      </c>
      <c r="BB2332" s="314">
        <v>0</v>
      </c>
      <c r="BC2332" s="321">
        <v>0</v>
      </c>
      <c r="BD2332" s="321">
        <v>0</v>
      </c>
      <c r="BE2332" s="329" t="s">
        <v>2247</v>
      </c>
      <c r="BF2332" s="329" t="s">
        <v>2248</v>
      </c>
      <c r="BG2332" s="314">
        <v>0</v>
      </c>
      <c r="BH2332" s="314">
        <v>0</v>
      </c>
      <c r="BI2332" s="314">
        <v>0</v>
      </c>
      <c r="BJ2332" s="314">
        <v>0</v>
      </c>
      <c r="BK2332" s="314">
        <v>0</v>
      </c>
      <c r="BL2332" s="314">
        <v>0</v>
      </c>
      <c r="BM2332" s="316">
        <v>0</v>
      </c>
      <c r="BN2332" s="47">
        <v>0</v>
      </c>
      <c r="BO2332" s="47">
        <v>0</v>
      </c>
      <c r="BP2332" s="47">
        <v>0</v>
      </c>
      <c r="BQ2332" s="47">
        <v>0</v>
      </c>
      <c r="BR2332" s="47">
        <v>0</v>
      </c>
      <c r="BS2332" s="47">
        <v>0</v>
      </c>
      <c r="BT2332" s="47">
        <v>0</v>
      </c>
      <c r="BU2332" s="47">
        <v>0</v>
      </c>
      <c r="BV2332" s="47"/>
      <c r="BW2332" s="47"/>
    </row>
    <row r="2333" spans="1:75" s="5" customFormat="1" ht="20.100000000000001" customHeight="1">
      <c r="C2333" s="312">
        <v>77007007</v>
      </c>
      <c r="D2333" s="317" t="s">
        <v>760</v>
      </c>
      <c r="E2333" s="318" t="s">
        <v>761</v>
      </c>
      <c r="F2333" s="319">
        <v>1</v>
      </c>
      <c r="G2333" s="319">
        <v>0</v>
      </c>
      <c r="H2333" s="320">
        <v>0</v>
      </c>
      <c r="I2333" s="322">
        <v>0</v>
      </c>
      <c r="J2333" s="323">
        <v>1</v>
      </c>
      <c r="K2333" s="323">
        <v>0</v>
      </c>
      <c r="L2333" s="323">
        <v>0</v>
      </c>
      <c r="M2333" s="320">
        <v>0</v>
      </c>
      <c r="N2333" s="320">
        <v>0</v>
      </c>
      <c r="O2333" s="320">
        <v>2</v>
      </c>
      <c r="P2333" s="320">
        <v>1</v>
      </c>
      <c r="Q2333" s="320">
        <v>0.2</v>
      </c>
      <c r="R2333" s="320">
        <v>0</v>
      </c>
      <c r="S2333" s="250">
        <v>0</v>
      </c>
      <c r="T2333" s="320">
        <v>0</v>
      </c>
      <c r="U2333" s="320">
        <v>1</v>
      </c>
      <c r="V2333" s="319">
        <v>1</v>
      </c>
      <c r="W2333" s="320">
        <v>0</v>
      </c>
      <c r="X2333" s="320">
        <v>1</v>
      </c>
      <c r="Y2333" s="12">
        <v>0</v>
      </c>
      <c r="Z2333" s="320">
        <v>150</v>
      </c>
      <c r="AA2333" s="320">
        <v>1</v>
      </c>
      <c r="AB2333" s="320">
        <v>0</v>
      </c>
      <c r="AC2333" s="320">
        <v>0</v>
      </c>
      <c r="AD2333" s="320">
        <v>0</v>
      </c>
      <c r="AE2333" s="320">
        <v>1</v>
      </c>
      <c r="AF2333" s="320">
        <v>12</v>
      </c>
      <c r="AG2333" s="320">
        <v>2</v>
      </c>
      <c r="AH2333" s="320" t="s">
        <v>213</v>
      </c>
      <c r="AI2333" s="250">
        <v>0</v>
      </c>
      <c r="AJ2333" s="250">
        <v>2</v>
      </c>
      <c r="AK2333" s="250">
        <v>0</v>
      </c>
      <c r="AL2333" s="250">
        <v>1.5</v>
      </c>
      <c r="AM2333" s="320">
        <v>0</v>
      </c>
      <c r="AN2333" s="320">
        <v>0</v>
      </c>
      <c r="AO2333" s="320">
        <v>0</v>
      </c>
      <c r="AP2333" s="320">
        <v>1.5</v>
      </c>
      <c r="AQ2333" s="320">
        <v>1600</v>
      </c>
      <c r="AR2333" s="320">
        <v>1</v>
      </c>
      <c r="AS2333" s="320">
        <v>15</v>
      </c>
      <c r="AT2333" s="250">
        <v>0</v>
      </c>
      <c r="AU2333" s="377" t="s">
        <v>5567</v>
      </c>
      <c r="AV2333" s="325"/>
      <c r="AW2333" s="317" t="s">
        <v>199</v>
      </c>
      <c r="AX2333" s="320" t="s">
        <v>215</v>
      </c>
      <c r="AY2333" s="323">
        <v>10000011</v>
      </c>
      <c r="AZ2333" s="323">
        <v>77005105</v>
      </c>
      <c r="BA2333" s="317" t="s">
        <v>216</v>
      </c>
      <c r="BB2333" s="320">
        <v>0</v>
      </c>
      <c r="BC2333" s="322">
        <v>0</v>
      </c>
      <c r="BD2333" s="322">
        <v>0</v>
      </c>
      <c r="BE2333" s="330" t="s">
        <v>2213</v>
      </c>
      <c r="BF2333" s="330" t="s">
        <v>2214</v>
      </c>
      <c r="BG2333" s="320">
        <v>0</v>
      </c>
      <c r="BH2333" s="320">
        <v>0</v>
      </c>
      <c r="BI2333" s="320">
        <v>0</v>
      </c>
      <c r="BJ2333" s="320">
        <v>0</v>
      </c>
      <c r="BK2333" s="320">
        <v>0</v>
      </c>
      <c r="BL2333" s="320">
        <v>0</v>
      </c>
      <c r="BM2333" s="319">
        <v>0</v>
      </c>
      <c r="BN2333" s="250">
        <v>0</v>
      </c>
      <c r="BO2333" s="250">
        <v>0</v>
      </c>
      <c r="BP2333" s="250">
        <v>0</v>
      </c>
      <c r="BQ2333" s="250">
        <v>0</v>
      </c>
      <c r="BR2333" s="250">
        <v>0</v>
      </c>
      <c r="BS2333" s="250">
        <v>0</v>
      </c>
      <c r="BT2333" s="250">
        <v>0</v>
      </c>
      <c r="BU2333" s="250">
        <v>0</v>
      </c>
      <c r="BV2333" s="47"/>
      <c r="BW2333" s="47"/>
    </row>
    <row r="2334" spans="1:75" ht="19.5" customHeight="1">
      <c r="A2334" s="138"/>
      <c r="B2334" s="138"/>
      <c r="C2334" s="64">
        <v>77008001</v>
      </c>
      <c r="D2334" s="59" t="s">
        <v>5568</v>
      </c>
      <c r="E2334" s="59" t="s">
        <v>5569</v>
      </c>
      <c r="F2334" s="60">
        <v>1</v>
      </c>
      <c r="G2334" s="60">
        <v>63021101</v>
      </c>
      <c r="H2334" s="60">
        <v>0</v>
      </c>
      <c r="I2334" s="66">
        <v>0</v>
      </c>
      <c r="J2334" s="64">
        <v>1</v>
      </c>
      <c r="K2334" s="60">
        <v>0</v>
      </c>
      <c r="L2334" s="60">
        <v>0</v>
      </c>
      <c r="M2334" s="60">
        <v>0</v>
      </c>
      <c r="N2334" s="60">
        <v>0</v>
      </c>
      <c r="O2334" s="60">
        <v>1</v>
      </c>
      <c r="P2334" s="60">
        <v>0</v>
      </c>
      <c r="Q2334" s="60">
        <v>0</v>
      </c>
      <c r="R2334" s="60">
        <v>0</v>
      </c>
      <c r="S2334" s="68">
        <v>0</v>
      </c>
      <c r="T2334" s="60">
        <v>0</v>
      </c>
      <c r="U2334" s="60">
        <v>1</v>
      </c>
      <c r="V2334" s="60">
        <v>1</v>
      </c>
      <c r="W2334" s="60">
        <v>0</v>
      </c>
      <c r="X2334" s="60">
        <v>3</v>
      </c>
      <c r="Y2334" s="12">
        <v>0</v>
      </c>
      <c r="Z2334" s="60">
        <v>0</v>
      </c>
      <c r="AA2334" s="60">
        <v>0</v>
      </c>
      <c r="AB2334" s="60">
        <v>0</v>
      </c>
      <c r="AC2334" s="60">
        <v>0</v>
      </c>
      <c r="AD2334" s="60">
        <v>0</v>
      </c>
      <c r="AE2334" s="60">
        <v>0</v>
      </c>
      <c r="AF2334" s="60">
        <v>16</v>
      </c>
      <c r="AG2334" s="60">
        <v>1</v>
      </c>
      <c r="AH2334" s="79">
        <v>2</v>
      </c>
      <c r="AI2334" s="68">
        <v>2</v>
      </c>
      <c r="AJ2334" s="68">
        <v>2</v>
      </c>
      <c r="AK2334" s="68">
        <v>0</v>
      </c>
      <c r="AL2334" s="68">
        <v>3</v>
      </c>
      <c r="AM2334" s="60">
        <v>0</v>
      </c>
      <c r="AN2334" s="60">
        <v>0</v>
      </c>
      <c r="AO2334" s="60">
        <v>0</v>
      </c>
      <c r="AP2334" s="60">
        <v>0.2</v>
      </c>
      <c r="AQ2334" s="60">
        <v>3000</v>
      </c>
      <c r="AR2334" s="60">
        <v>0.2</v>
      </c>
      <c r="AS2334" s="60">
        <v>8</v>
      </c>
      <c r="AT2334" s="68">
        <v>0</v>
      </c>
      <c r="AU2334" s="355" t="s">
        <v>5570</v>
      </c>
      <c r="AV2334" s="60"/>
      <c r="AW2334" s="59" t="s">
        <v>198</v>
      </c>
      <c r="AX2334" s="60" t="s">
        <v>534</v>
      </c>
      <c r="AY2334" s="64">
        <v>10000001</v>
      </c>
      <c r="AZ2334" s="64">
        <v>77005201</v>
      </c>
      <c r="BA2334" s="59" t="s">
        <v>586</v>
      </c>
      <c r="BB2334" s="60">
        <v>0</v>
      </c>
      <c r="BC2334" s="68">
        <v>0</v>
      </c>
      <c r="BD2334" s="68">
        <v>0</v>
      </c>
      <c r="BE2334" s="121" t="s">
        <v>5571</v>
      </c>
      <c r="BF2334" s="121" t="s">
        <v>5572</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20.100000000000001" customHeight="1">
      <c r="A2335" s="138"/>
      <c r="B2335" s="138"/>
      <c r="C2335" s="64">
        <v>77008002</v>
      </c>
      <c r="D2335" s="59" t="s">
        <v>5573</v>
      </c>
      <c r="E2335" s="147" t="s">
        <v>1196</v>
      </c>
      <c r="F2335" s="93">
        <v>1</v>
      </c>
      <c r="G2335" s="60">
        <v>63021101</v>
      </c>
      <c r="H2335" s="64">
        <v>0</v>
      </c>
      <c r="I2335" s="66">
        <v>0</v>
      </c>
      <c r="J2335" s="64">
        <v>1</v>
      </c>
      <c r="K2335" s="60">
        <v>0</v>
      </c>
      <c r="L2335" s="64">
        <v>0</v>
      </c>
      <c r="M2335" s="60">
        <v>0</v>
      </c>
      <c r="N2335" s="60">
        <v>0</v>
      </c>
      <c r="O2335" s="60">
        <v>1</v>
      </c>
      <c r="P2335" s="60">
        <v>0</v>
      </c>
      <c r="Q2335" s="60">
        <v>0</v>
      </c>
      <c r="R2335" s="60">
        <v>0</v>
      </c>
      <c r="S2335" s="68">
        <v>0</v>
      </c>
      <c r="T2335" s="60">
        <v>0</v>
      </c>
      <c r="U2335" s="60">
        <v>1</v>
      </c>
      <c r="V2335" s="60">
        <v>1</v>
      </c>
      <c r="W2335" s="60">
        <v>0</v>
      </c>
      <c r="X2335" s="60">
        <v>1</v>
      </c>
      <c r="Y2335" s="12">
        <v>0</v>
      </c>
      <c r="Z2335" s="60">
        <v>0</v>
      </c>
      <c r="AA2335" s="60">
        <v>0</v>
      </c>
      <c r="AB2335" s="60">
        <v>0</v>
      </c>
      <c r="AC2335" s="60">
        <v>0</v>
      </c>
      <c r="AD2335" s="60">
        <v>0</v>
      </c>
      <c r="AE2335" s="60">
        <v>0</v>
      </c>
      <c r="AF2335" s="60">
        <v>9</v>
      </c>
      <c r="AG2335" s="60">
        <v>1</v>
      </c>
      <c r="AH2335" s="60">
        <v>4</v>
      </c>
      <c r="AI2335" s="68">
        <v>2</v>
      </c>
      <c r="AJ2335" s="68">
        <v>1</v>
      </c>
      <c r="AK2335" s="68">
        <v>0</v>
      </c>
      <c r="AL2335" s="68">
        <v>8</v>
      </c>
      <c r="AM2335" s="60">
        <v>0</v>
      </c>
      <c r="AN2335" s="60">
        <v>0</v>
      </c>
      <c r="AO2335" s="60">
        <v>0</v>
      </c>
      <c r="AP2335" s="60">
        <v>0</v>
      </c>
      <c r="AQ2335" s="60">
        <v>6000</v>
      </c>
      <c r="AR2335" s="60">
        <v>0.2</v>
      </c>
      <c r="AS2335" s="60">
        <v>0</v>
      </c>
      <c r="AT2335" s="68">
        <v>0</v>
      </c>
      <c r="AU2335" s="334" t="s">
        <v>5525</v>
      </c>
      <c r="AV2335" s="79"/>
      <c r="AW2335" s="63" t="s">
        <v>198</v>
      </c>
      <c r="AX2335" s="60" t="s">
        <v>545</v>
      </c>
      <c r="AY2335" s="64">
        <v>10000001</v>
      </c>
      <c r="AZ2335" s="64">
        <v>77005203</v>
      </c>
      <c r="BA2335" s="59" t="s">
        <v>315</v>
      </c>
      <c r="BB2335" s="60">
        <v>1</v>
      </c>
      <c r="BC2335" s="66">
        <v>0</v>
      </c>
      <c r="BD2335" s="66">
        <v>0</v>
      </c>
      <c r="BE2335" s="90" t="s">
        <v>5574</v>
      </c>
      <c r="BF2335" s="90" t="s">
        <v>5575</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ht="20.100000000000001" customHeight="1">
      <c r="A2336" s="138"/>
      <c r="B2336" s="138"/>
      <c r="C2336" s="64">
        <v>77008003</v>
      </c>
      <c r="D2336" s="59" t="s">
        <v>5576</v>
      </c>
      <c r="E2336" s="147" t="s">
        <v>5577</v>
      </c>
      <c r="F2336" s="93">
        <v>1</v>
      </c>
      <c r="G2336" s="60">
        <v>63021101</v>
      </c>
      <c r="H2336" s="64">
        <v>0</v>
      </c>
      <c r="I2336" s="66">
        <v>0</v>
      </c>
      <c r="J2336" s="64">
        <v>1</v>
      </c>
      <c r="K2336" s="60">
        <v>0</v>
      </c>
      <c r="L2336" s="64">
        <v>0</v>
      </c>
      <c r="M2336" s="60">
        <v>0</v>
      </c>
      <c r="N2336" s="60">
        <v>0</v>
      </c>
      <c r="O2336" s="60">
        <v>1</v>
      </c>
      <c r="P2336" s="60">
        <v>0</v>
      </c>
      <c r="Q2336" s="60">
        <v>0</v>
      </c>
      <c r="R2336" s="60">
        <v>0</v>
      </c>
      <c r="S2336" s="68">
        <v>0</v>
      </c>
      <c r="T2336" s="60">
        <v>0</v>
      </c>
      <c r="U2336" s="60">
        <v>1</v>
      </c>
      <c r="V2336" s="60">
        <v>1</v>
      </c>
      <c r="W2336" s="60">
        <v>0</v>
      </c>
      <c r="X2336" s="60">
        <v>2</v>
      </c>
      <c r="Y2336" s="12">
        <v>0</v>
      </c>
      <c r="Z2336" s="60">
        <v>0</v>
      </c>
      <c r="AA2336" s="60">
        <v>0</v>
      </c>
      <c r="AB2336" s="60">
        <v>0</v>
      </c>
      <c r="AC2336" s="60">
        <v>0</v>
      </c>
      <c r="AD2336" s="60">
        <v>0</v>
      </c>
      <c r="AE2336" s="60">
        <v>0</v>
      </c>
      <c r="AF2336" s="60">
        <v>12</v>
      </c>
      <c r="AG2336" s="60">
        <v>1</v>
      </c>
      <c r="AH2336" s="60">
        <v>4</v>
      </c>
      <c r="AI2336" s="68">
        <v>2</v>
      </c>
      <c r="AJ2336" s="68">
        <v>1</v>
      </c>
      <c r="AK2336" s="68">
        <v>0</v>
      </c>
      <c r="AL2336" s="68">
        <v>7</v>
      </c>
      <c r="AM2336" s="60">
        <v>0</v>
      </c>
      <c r="AN2336" s="60">
        <v>0</v>
      </c>
      <c r="AO2336" s="60">
        <v>0</v>
      </c>
      <c r="AP2336" s="64">
        <v>0.2</v>
      </c>
      <c r="AQ2336" s="60">
        <v>1000</v>
      </c>
      <c r="AR2336" s="60">
        <v>0.4</v>
      </c>
      <c r="AS2336" s="60">
        <v>0</v>
      </c>
      <c r="AT2336" s="68">
        <v>0</v>
      </c>
      <c r="AU2336" s="60">
        <v>97050203</v>
      </c>
      <c r="AV2336" s="60"/>
      <c r="AW2336" s="59" t="s">
        <v>198</v>
      </c>
      <c r="AX2336" s="60" t="s">
        <v>545</v>
      </c>
      <c r="AY2336" s="64">
        <v>0</v>
      </c>
      <c r="AZ2336" s="64">
        <v>77005207</v>
      </c>
      <c r="BA2336" s="59" t="s">
        <v>200</v>
      </c>
      <c r="BB2336" s="60">
        <v>0</v>
      </c>
      <c r="BC2336" s="66">
        <v>0</v>
      </c>
      <c r="BD2336" s="66">
        <v>0</v>
      </c>
      <c r="BE2336" s="90" t="s">
        <v>5578</v>
      </c>
      <c r="BF2336" s="90" t="s">
        <v>5579</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342" t="s">
        <v>5580</v>
      </c>
      <c r="BV2336" s="47"/>
      <c r="BW2336" s="47"/>
    </row>
    <row r="2337" spans="1:75" ht="20.100000000000001" customHeight="1">
      <c r="A2337" s="138"/>
      <c r="B2337" s="138"/>
      <c r="C2337" s="64">
        <v>77008004</v>
      </c>
      <c r="D2337" s="59" t="s">
        <v>5581</v>
      </c>
      <c r="E2337" s="147" t="s">
        <v>5582</v>
      </c>
      <c r="F2337" s="93">
        <v>1</v>
      </c>
      <c r="G2337" s="60">
        <v>63021101</v>
      </c>
      <c r="H2337" s="64">
        <v>0</v>
      </c>
      <c r="I2337" s="66">
        <v>0</v>
      </c>
      <c r="J2337" s="64">
        <v>1</v>
      </c>
      <c r="K2337" s="60">
        <v>0</v>
      </c>
      <c r="L2337" s="64">
        <v>0</v>
      </c>
      <c r="M2337" s="60">
        <v>0</v>
      </c>
      <c r="N2337" s="60">
        <v>0</v>
      </c>
      <c r="O2337" s="60">
        <v>1</v>
      </c>
      <c r="P2337" s="60">
        <v>0</v>
      </c>
      <c r="Q2337" s="60">
        <v>0</v>
      </c>
      <c r="R2337" s="60">
        <v>0</v>
      </c>
      <c r="S2337" s="68">
        <v>0</v>
      </c>
      <c r="T2337" s="60">
        <v>0</v>
      </c>
      <c r="U2337" s="60">
        <v>1</v>
      </c>
      <c r="V2337" s="60">
        <v>1</v>
      </c>
      <c r="W2337" s="60">
        <v>0</v>
      </c>
      <c r="X2337" s="60">
        <v>0</v>
      </c>
      <c r="Y2337" s="12">
        <v>0</v>
      </c>
      <c r="Z2337" s="60">
        <v>0</v>
      </c>
      <c r="AA2337" s="60">
        <v>0</v>
      </c>
      <c r="AB2337" s="60">
        <v>0</v>
      </c>
      <c r="AC2337" s="60">
        <v>0</v>
      </c>
      <c r="AD2337" s="60">
        <v>0</v>
      </c>
      <c r="AE2337" s="60">
        <v>0</v>
      </c>
      <c r="AF2337" s="60">
        <v>24</v>
      </c>
      <c r="AG2337" s="60">
        <v>1</v>
      </c>
      <c r="AH2337" s="60">
        <v>3</v>
      </c>
      <c r="AI2337" s="68">
        <v>0</v>
      </c>
      <c r="AJ2337" s="68">
        <v>0</v>
      </c>
      <c r="AK2337" s="68">
        <v>0</v>
      </c>
      <c r="AL2337" s="68">
        <v>1.5</v>
      </c>
      <c r="AM2337" s="60">
        <v>0</v>
      </c>
      <c r="AN2337" s="60">
        <v>0</v>
      </c>
      <c r="AO2337" s="60">
        <v>0</v>
      </c>
      <c r="AP2337" s="64">
        <v>0.1</v>
      </c>
      <c r="AQ2337" s="60">
        <v>3000</v>
      </c>
      <c r="AR2337" s="60">
        <v>0.1</v>
      </c>
      <c r="AS2337" s="60">
        <v>0</v>
      </c>
      <c r="AT2337" s="68">
        <v>97050202</v>
      </c>
      <c r="AU2337" s="355" t="s">
        <v>198</v>
      </c>
      <c r="AV2337" s="60"/>
      <c r="AW2337" s="59" t="s">
        <v>198</v>
      </c>
      <c r="AX2337" s="60" t="s">
        <v>545</v>
      </c>
      <c r="AY2337" s="64">
        <v>0</v>
      </c>
      <c r="AZ2337" s="64">
        <v>77005204</v>
      </c>
      <c r="BA2337" s="59" t="s">
        <v>200</v>
      </c>
      <c r="BB2337" s="60">
        <v>0</v>
      </c>
      <c r="BC2337" s="66">
        <v>0</v>
      </c>
      <c r="BD2337" s="66">
        <v>0</v>
      </c>
      <c r="BE2337" s="90" t="s">
        <v>5583</v>
      </c>
      <c r="BF2337" s="90" t="s">
        <v>5584</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row>
    <row r="2338" spans="1:75" ht="19.5" customHeight="1">
      <c r="A2338" s="138"/>
      <c r="B2338" s="138"/>
      <c r="C2338" s="64">
        <v>77008005</v>
      </c>
      <c r="D2338" s="59" t="s">
        <v>2245</v>
      </c>
      <c r="E2338" s="59" t="s">
        <v>2246</v>
      </c>
      <c r="F2338" s="64">
        <v>1</v>
      </c>
      <c r="G2338" s="64">
        <v>0</v>
      </c>
      <c r="H2338" s="64">
        <v>0</v>
      </c>
      <c r="I2338" s="66">
        <v>0</v>
      </c>
      <c r="J2338" s="64">
        <v>1</v>
      </c>
      <c r="K2338" s="64">
        <v>0</v>
      </c>
      <c r="L2338" s="64">
        <v>0</v>
      </c>
      <c r="M2338" s="60">
        <v>0</v>
      </c>
      <c r="N2338" s="60">
        <v>0</v>
      </c>
      <c r="O2338" s="60">
        <v>2</v>
      </c>
      <c r="P2338" s="60">
        <v>3</v>
      </c>
      <c r="Q2338" s="60">
        <v>0.2</v>
      </c>
      <c r="R2338" s="60">
        <v>0</v>
      </c>
      <c r="S2338" s="68">
        <v>0</v>
      </c>
      <c r="T2338" s="60">
        <v>0</v>
      </c>
      <c r="U2338" s="60">
        <v>1</v>
      </c>
      <c r="V2338" s="60">
        <v>2</v>
      </c>
      <c r="W2338" s="60">
        <v>0</v>
      </c>
      <c r="X2338" s="60">
        <v>2</v>
      </c>
      <c r="Y2338" s="12">
        <v>0</v>
      </c>
      <c r="Z2338" s="60">
        <v>0</v>
      </c>
      <c r="AA2338" s="60">
        <v>1</v>
      </c>
      <c r="AB2338" s="60">
        <v>0</v>
      </c>
      <c r="AC2338" s="60">
        <v>0</v>
      </c>
      <c r="AD2338" s="60">
        <v>1</v>
      </c>
      <c r="AE2338" s="60">
        <v>1</v>
      </c>
      <c r="AF2338" s="60">
        <v>0</v>
      </c>
      <c r="AG2338" s="60">
        <v>1</v>
      </c>
      <c r="AH2338" s="60">
        <v>3</v>
      </c>
      <c r="AI2338" s="68">
        <v>1</v>
      </c>
      <c r="AJ2338" s="68">
        <v>1</v>
      </c>
      <c r="AK2338" s="68">
        <v>0</v>
      </c>
      <c r="AL2338" s="68">
        <v>3</v>
      </c>
      <c r="AM2338" s="60">
        <v>0</v>
      </c>
      <c r="AN2338" s="60">
        <v>0</v>
      </c>
      <c r="AO2338" s="60">
        <v>0</v>
      </c>
      <c r="AP2338" s="60">
        <v>0</v>
      </c>
      <c r="AQ2338" s="60">
        <v>2000</v>
      </c>
      <c r="AR2338" s="60">
        <v>0.4</v>
      </c>
      <c r="AS2338" s="60">
        <v>0</v>
      </c>
      <c r="AT2338" s="68">
        <v>0</v>
      </c>
      <c r="AU2338" s="334" t="s">
        <v>5525</v>
      </c>
      <c r="AV2338" s="79"/>
      <c r="AW2338" s="63" t="s">
        <v>198</v>
      </c>
      <c r="AX2338" s="60" t="s">
        <v>534</v>
      </c>
      <c r="AY2338" s="64">
        <v>0</v>
      </c>
      <c r="AZ2338" s="64">
        <v>77005207</v>
      </c>
      <c r="BA2338" s="59" t="s">
        <v>200</v>
      </c>
      <c r="BB2338" s="60">
        <v>0</v>
      </c>
      <c r="BC2338" s="66">
        <v>0</v>
      </c>
      <c r="BD2338" s="66">
        <v>0</v>
      </c>
      <c r="BE2338" s="90" t="s">
        <v>2340</v>
      </c>
      <c r="BF2338" s="90" t="s">
        <v>2341</v>
      </c>
      <c r="BG2338" s="60">
        <v>0</v>
      </c>
      <c r="BH2338" s="60">
        <v>0</v>
      </c>
      <c r="BI2338" s="60">
        <v>0</v>
      </c>
      <c r="BJ2338" s="60">
        <v>0</v>
      </c>
      <c r="BK2338" s="60">
        <v>0</v>
      </c>
      <c r="BL2338" s="60">
        <v>0</v>
      </c>
      <c r="BM2338" s="93">
        <v>0</v>
      </c>
      <c r="BN2338" s="68">
        <v>0</v>
      </c>
      <c r="BO2338" s="68">
        <v>0</v>
      </c>
      <c r="BP2338" s="68">
        <v>0</v>
      </c>
      <c r="BQ2338" s="68">
        <v>0</v>
      </c>
      <c r="BR2338" s="68">
        <v>0</v>
      </c>
      <c r="BS2338" s="68">
        <v>0</v>
      </c>
      <c r="BT2338" s="68">
        <v>0</v>
      </c>
      <c r="BU2338" s="68">
        <v>0</v>
      </c>
      <c r="BV2338" s="47"/>
      <c r="BW2338" s="47"/>
    </row>
    <row r="2339" spans="1:75" ht="19.5" customHeight="1">
      <c r="A2339" s="138"/>
      <c r="B2339" s="138"/>
      <c r="C2339" s="64">
        <v>77008006</v>
      </c>
      <c r="D2339" s="59" t="s">
        <v>2342</v>
      </c>
      <c r="E2339" s="59" t="s">
        <v>2343</v>
      </c>
      <c r="F2339" s="64">
        <v>1</v>
      </c>
      <c r="G2339" s="60">
        <v>0</v>
      </c>
      <c r="H2339" s="64">
        <v>0</v>
      </c>
      <c r="I2339" s="66">
        <v>0</v>
      </c>
      <c r="J2339" s="64">
        <v>1</v>
      </c>
      <c r="K2339" s="64">
        <v>0</v>
      </c>
      <c r="L2339" s="64">
        <v>0</v>
      </c>
      <c r="M2339" s="60">
        <v>0</v>
      </c>
      <c r="N2339" s="60">
        <v>0</v>
      </c>
      <c r="O2339" s="60">
        <v>2</v>
      </c>
      <c r="P2339" s="60">
        <v>16</v>
      </c>
      <c r="Q2339" s="60">
        <v>1</v>
      </c>
      <c r="R2339" s="60">
        <v>0</v>
      </c>
      <c r="S2339" s="68">
        <v>0</v>
      </c>
      <c r="T2339" s="60">
        <v>0</v>
      </c>
      <c r="U2339" s="60">
        <v>1</v>
      </c>
      <c r="V2339" s="60">
        <v>2</v>
      </c>
      <c r="W2339" s="60">
        <v>0</v>
      </c>
      <c r="X2339" s="60">
        <v>1.5</v>
      </c>
      <c r="Y2339" s="12">
        <v>0</v>
      </c>
      <c r="Z2339" s="60">
        <v>0</v>
      </c>
      <c r="AA2339" s="60">
        <v>0</v>
      </c>
      <c r="AB2339" s="60">
        <v>0</v>
      </c>
      <c r="AC2339" s="60">
        <v>0</v>
      </c>
      <c r="AD2339" s="60">
        <v>0</v>
      </c>
      <c r="AE2339" s="60">
        <v>1</v>
      </c>
      <c r="AF2339" s="60">
        <v>0</v>
      </c>
      <c r="AG2339" s="60">
        <v>1</v>
      </c>
      <c r="AH2339" s="60">
        <v>2</v>
      </c>
      <c r="AI2339" s="68">
        <v>0</v>
      </c>
      <c r="AJ2339" s="68">
        <v>2</v>
      </c>
      <c r="AK2339" s="68">
        <v>0</v>
      </c>
      <c r="AL2339" s="68">
        <v>2</v>
      </c>
      <c r="AM2339" s="60">
        <v>0</v>
      </c>
      <c r="AN2339" s="60">
        <v>0</v>
      </c>
      <c r="AO2339" s="60">
        <v>0</v>
      </c>
      <c r="AP2339" s="60">
        <v>0</v>
      </c>
      <c r="AQ2339" s="60">
        <v>5000</v>
      </c>
      <c r="AR2339" s="60">
        <v>0</v>
      </c>
      <c r="AS2339" s="60">
        <v>15</v>
      </c>
      <c r="AT2339" s="78">
        <v>0</v>
      </c>
      <c r="AU2339" s="334" t="s">
        <v>5525</v>
      </c>
      <c r="AV2339" s="79"/>
      <c r="AW2339" s="59" t="s">
        <v>198</v>
      </c>
      <c r="AX2339" s="60" t="s">
        <v>534</v>
      </c>
      <c r="AY2339" s="64">
        <v>10000007</v>
      </c>
      <c r="AZ2339" s="64">
        <v>77005205</v>
      </c>
      <c r="BA2339" s="59" t="s">
        <v>586</v>
      </c>
      <c r="BB2339" s="60" t="s">
        <v>2344</v>
      </c>
      <c r="BC2339" s="66">
        <v>0</v>
      </c>
      <c r="BD2339" s="66">
        <v>1</v>
      </c>
      <c r="BE2339" s="90" t="s">
        <v>2345</v>
      </c>
      <c r="BF2339" s="90" t="s">
        <v>2346</v>
      </c>
      <c r="BG2339" s="60">
        <v>0</v>
      </c>
      <c r="BH2339" s="60">
        <v>0</v>
      </c>
      <c r="BI2339" s="60">
        <v>0</v>
      </c>
      <c r="BJ2339" s="60">
        <v>0</v>
      </c>
      <c r="BK2339" s="60">
        <v>0</v>
      </c>
      <c r="BL2339" s="60">
        <v>0</v>
      </c>
      <c r="BM2339" s="93">
        <v>0</v>
      </c>
      <c r="BN2339" s="68">
        <v>0</v>
      </c>
      <c r="BO2339" s="68">
        <v>0</v>
      </c>
      <c r="BP2339" s="68">
        <v>0</v>
      </c>
      <c r="BQ2339" s="68">
        <v>0</v>
      </c>
      <c r="BR2339" s="68">
        <v>0</v>
      </c>
      <c r="BS2339" s="68">
        <v>0</v>
      </c>
      <c r="BT2339" s="68">
        <v>0</v>
      </c>
      <c r="BU2339" s="68">
        <v>0</v>
      </c>
      <c r="BV2339" s="47"/>
      <c r="BW2339" s="47"/>
    </row>
    <row r="2340" spans="1:75" s="1" customFormat="1" ht="19.5" customHeight="1">
      <c r="A2340" s="215"/>
      <c r="B2340" s="215"/>
      <c r="C2340" s="64">
        <v>77008007</v>
      </c>
      <c r="D2340" s="59" t="s">
        <v>2347</v>
      </c>
      <c r="E2340" s="59" t="s">
        <v>2348</v>
      </c>
      <c r="F2340" s="64">
        <v>1</v>
      </c>
      <c r="G2340" s="64">
        <v>0</v>
      </c>
      <c r="H2340" s="64">
        <v>0</v>
      </c>
      <c r="I2340" s="66">
        <v>0</v>
      </c>
      <c r="J2340" s="64">
        <v>1</v>
      </c>
      <c r="K2340" s="64">
        <v>0</v>
      </c>
      <c r="L2340" s="64">
        <v>0</v>
      </c>
      <c r="M2340" s="60">
        <v>0</v>
      </c>
      <c r="N2340" s="60">
        <v>0</v>
      </c>
      <c r="O2340" s="60">
        <v>2</v>
      </c>
      <c r="P2340" s="60">
        <v>3</v>
      </c>
      <c r="Q2340" s="60">
        <v>0.2</v>
      </c>
      <c r="R2340" s="60">
        <v>0</v>
      </c>
      <c r="S2340" s="68">
        <v>0</v>
      </c>
      <c r="T2340" s="60">
        <v>0</v>
      </c>
      <c r="U2340" s="60">
        <v>1</v>
      </c>
      <c r="V2340" s="60">
        <v>2</v>
      </c>
      <c r="W2340" s="60">
        <v>0</v>
      </c>
      <c r="X2340" s="60">
        <v>1.5</v>
      </c>
      <c r="Y2340" s="12">
        <v>0</v>
      </c>
      <c r="Z2340" s="60">
        <v>0</v>
      </c>
      <c r="AA2340" s="60">
        <v>1</v>
      </c>
      <c r="AB2340" s="60">
        <v>0</v>
      </c>
      <c r="AC2340" s="60">
        <v>0</v>
      </c>
      <c r="AD2340" s="60">
        <v>1</v>
      </c>
      <c r="AE2340" s="60">
        <v>1</v>
      </c>
      <c r="AF2340" s="60">
        <v>12</v>
      </c>
      <c r="AG2340" s="60">
        <v>1</v>
      </c>
      <c r="AH2340" s="60">
        <v>3</v>
      </c>
      <c r="AI2340" s="68">
        <v>1</v>
      </c>
      <c r="AJ2340" s="68">
        <v>1</v>
      </c>
      <c r="AK2340" s="68">
        <v>0</v>
      </c>
      <c r="AL2340" s="68">
        <v>3</v>
      </c>
      <c r="AM2340" s="60">
        <v>0</v>
      </c>
      <c r="AN2340" s="60">
        <v>0</v>
      </c>
      <c r="AO2340" s="60">
        <v>0</v>
      </c>
      <c r="AP2340" s="60">
        <v>0</v>
      </c>
      <c r="AQ2340" s="60">
        <v>2000</v>
      </c>
      <c r="AR2340" s="60">
        <v>0.3</v>
      </c>
      <c r="AS2340" s="60">
        <v>0</v>
      </c>
      <c r="AT2340" s="68">
        <v>0</v>
      </c>
      <c r="AU2340" s="334" t="s">
        <v>5585</v>
      </c>
      <c r="AV2340" s="79"/>
      <c r="AW2340" s="63" t="s">
        <v>198</v>
      </c>
      <c r="AX2340" s="60" t="s">
        <v>534</v>
      </c>
      <c r="AY2340" s="64">
        <v>0</v>
      </c>
      <c r="AZ2340" s="64">
        <v>77005202</v>
      </c>
      <c r="BA2340" s="59" t="s">
        <v>200</v>
      </c>
      <c r="BB2340" s="60">
        <v>0</v>
      </c>
      <c r="BC2340" s="66">
        <v>0</v>
      </c>
      <c r="BD2340" s="66">
        <v>0</v>
      </c>
      <c r="BE2340" s="90" t="s">
        <v>2247</v>
      </c>
      <c r="BF2340" s="90" t="s">
        <v>2248</v>
      </c>
      <c r="BG2340" s="60">
        <v>0</v>
      </c>
      <c r="BH2340" s="60">
        <v>0</v>
      </c>
      <c r="BI2340" s="60">
        <v>0</v>
      </c>
      <c r="BJ2340" s="60">
        <v>0</v>
      </c>
      <c r="BK2340" s="60">
        <v>0</v>
      </c>
      <c r="BL2340" s="60">
        <v>0</v>
      </c>
      <c r="BM2340" s="93">
        <v>0</v>
      </c>
      <c r="BN2340" s="68">
        <v>0</v>
      </c>
      <c r="BO2340" s="68">
        <v>0</v>
      </c>
      <c r="BP2340" s="68">
        <v>0</v>
      </c>
      <c r="BQ2340" s="68">
        <v>0</v>
      </c>
      <c r="BR2340" s="68">
        <v>0</v>
      </c>
      <c r="BS2340" s="68">
        <v>0</v>
      </c>
      <c r="BT2340" s="68">
        <v>0</v>
      </c>
      <c r="BU2340" s="68">
        <v>0</v>
      </c>
      <c r="BV2340" s="47"/>
      <c r="BW2340" s="47"/>
    </row>
    <row r="2341" spans="1:75" ht="19.5" customHeight="1">
      <c r="A2341" s="138"/>
      <c r="B2341" s="138"/>
      <c r="C2341" s="100">
        <v>77009001</v>
      </c>
      <c r="D2341" s="99" t="s">
        <v>2350</v>
      </c>
      <c r="E2341" s="99" t="s">
        <v>2351</v>
      </c>
      <c r="F2341" s="101">
        <v>1</v>
      </c>
      <c r="G2341" s="101">
        <v>63021101</v>
      </c>
      <c r="H2341" s="101">
        <v>0</v>
      </c>
      <c r="I2341" s="105">
        <v>0</v>
      </c>
      <c r="J2341" s="100">
        <v>1</v>
      </c>
      <c r="K2341" s="101">
        <v>0</v>
      </c>
      <c r="L2341" s="101">
        <v>0</v>
      </c>
      <c r="M2341" s="101">
        <v>0</v>
      </c>
      <c r="N2341" s="101">
        <v>0</v>
      </c>
      <c r="O2341" s="101">
        <v>1</v>
      </c>
      <c r="P2341" s="101">
        <v>0</v>
      </c>
      <c r="Q2341" s="101">
        <v>0</v>
      </c>
      <c r="R2341" s="101">
        <v>0</v>
      </c>
      <c r="S2341" s="106">
        <v>0</v>
      </c>
      <c r="T2341" s="101">
        <v>0</v>
      </c>
      <c r="U2341" s="101">
        <v>1</v>
      </c>
      <c r="V2341" s="101">
        <v>1</v>
      </c>
      <c r="W2341" s="101">
        <v>0</v>
      </c>
      <c r="X2341" s="101">
        <v>1</v>
      </c>
      <c r="Y2341" s="12">
        <v>0</v>
      </c>
      <c r="Z2341" s="101">
        <v>0</v>
      </c>
      <c r="AA2341" s="101">
        <v>0</v>
      </c>
      <c r="AB2341" s="101">
        <v>0</v>
      </c>
      <c r="AC2341" s="101">
        <v>0</v>
      </c>
      <c r="AD2341" s="101">
        <v>0</v>
      </c>
      <c r="AE2341" s="101">
        <v>0</v>
      </c>
      <c r="AF2341" s="101">
        <v>6</v>
      </c>
      <c r="AG2341" s="101">
        <v>1</v>
      </c>
      <c r="AH2341" s="114">
        <v>6</v>
      </c>
      <c r="AI2341" s="106">
        <v>2</v>
      </c>
      <c r="AJ2341" s="106">
        <v>1</v>
      </c>
      <c r="AK2341" s="106">
        <v>0</v>
      </c>
      <c r="AL2341" s="106">
        <v>8</v>
      </c>
      <c r="AM2341" s="101">
        <v>0</v>
      </c>
      <c r="AN2341" s="101">
        <v>0</v>
      </c>
      <c r="AO2341" s="101">
        <v>0</v>
      </c>
      <c r="AP2341" s="101">
        <v>0.2</v>
      </c>
      <c r="AQ2341" s="101">
        <v>5000</v>
      </c>
      <c r="AR2341" s="101">
        <v>0.2</v>
      </c>
      <c r="AS2341" s="101">
        <v>0</v>
      </c>
      <c r="AT2341" s="106">
        <v>0</v>
      </c>
      <c r="AU2341" s="101">
        <v>97050301</v>
      </c>
      <c r="AV2341" s="101"/>
      <c r="AW2341" s="99" t="s">
        <v>198</v>
      </c>
      <c r="AX2341" s="101" t="s">
        <v>534</v>
      </c>
      <c r="AY2341" s="100">
        <v>10000001</v>
      </c>
      <c r="AZ2341" s="100">
        <v>77005301</v>
      </c>
      <c r="BA2341" s="99" t="s">
        <v>2352</v>
      </c>
      <c r="BB2341" s="101" t="s">
        <v>5586</v>
      </c>
      <c r="BC2341" s="106">
        <v>0</v>
      </c>
      <c r="BD2341" s="106">
        <v>0</v>
      </c>
      <c r="BE2341" s="137" t="s">
        <v>5587</v>
      </c>
      <c r="BF2341" s="137" t="s">
        <v>5588</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100">
        <v>77009002</v>
      </c>
      <c r="D2342" s="99" t="s">
        <v>5589</v>
      </c>
      <c r="E2342" s="290" t="s">
        <v>5590</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2</v>
      </c>
      <c r="Y2342" s="12">
        <v>0</v>
      </c>
      <c r="Z2342" s="101">
        <v>0</v>
      </c>
      <c r="AA2342" s="101">
        <v>0</v>
      </c>
      <c r="AB2342" s="101">
        <v>0</v>
      </c>
      <c r="AC2342" s="101">
        <v>0</v>
      </c>
      <c r="AD2342" s="101">
        <v>0</v>
      </c>
      <c r="AE2342" s="101">
        <v>0</v>
      </c>
      <c r="AF2342" s="101">
        <v>9</v>
      </c>
      <c r="AG2342" s="101">
        <v>1</v>
      </c>
      <c r="AH2342" s="101">
        <v>3</v>
      </c>
      <c r="AI2342" s="106">
        <v>3</v>
      </c>
      <c r="AJ2342" s="106">
        <v>0</v>
      </c>
      <c r="AK2342" s="106">
        <v>0</v>
      </c>
      <c r="AL2342" s="106">
        <v>1.5</v>
      </c>
      <c r="AM2342" s="101">
        <v>0</v>
      </c>
      <c r="AN2342" s="101">
        <v>0</v>
      </c>
      <c r="AO2342" s="101">
        <v>0</v>
      </c>
      <c r="AP2342" s="101">
        <v>0.2</v>
      </c>
      <c r="AQ2342" s="101">
        <v>2000</v>
      </c>
      <c r="AR2342" s="101">
        <v>0.4</v>
      </c>
      <c r="AS2342" s="101">
        <v>0</v>
      </c>
      <c r="AT2342" s="106">
        <v>0</v>
      </c>
      <c r="AU2342" s="339" t="s">
        <v>5591</v>
      </c>
      <c r="AV2342" s="114"/>
      <c r="AW2342" s="102" t="s">
        <v>198</v>
      </c>
      <c r="AX2342" s="101" t="s">
        <v>545</v>
      </c>
      <c r="AY2342" s="100">
        <v>10000001</v>
      </c>
      <c r="AZ2342" s="100">
        <v>77005302</v>
      </c>
      <c r="BA2342" s="99" t="s">
        <v>200</v>
      </c>
      <c r="BB2342" s="101" t="s">
        <v>5592</v>
      </c>
      <c r="BC2342" s="105">
        <v>0</v>
      </c>
      <c r="BD2342" s="105">
        <v>0</v>
      </c>
      <c r="BE2342" s="119" t="s">
        <v>5593</v>
      </c>
      <c r="BF2342" s="119" t="s">
        <v>5594</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106">
        <v>0</v>
      </c>
      <c r="BV2342" s="47"/>
      <c r="BW2342" s="47"/>
    </row>
    <row r="2343" spans="1:75" ht="20.100000000000001" customHeight="1">
      <c r="A2343" s="138"/>
      <c r="B2343" s="138"/>
      <c r="C2343" s="100">
        <v>77009003</v>
      </c>
      <c r="D2343" s="99" t="s">
        <v>2361</v>
      </c>
      <c r="E2343" s="290" t="s">
        <v>2362</v>
      </c>
      <c r="F2343" s="97">
        <v>1</v>
      </c>
      <c r="G2343" s="101">
        <v>63021101</v>
      </c>
      <c r="H2343" s="100">
        <v>0</v>
      </c>
      <c r="I2343" s="105">
        <v>0</v>
      </c>
      <c r="J2343" s="100">
        <v>1</v>
      </c>
      <c r="K2343" s="101">
        <v>0</v>
      </c>
      <c r="L2343" s="100">
        <v>0</v>
      </c>
      <c r="M2343" s="101">
        <v>0</v>
      </c>
      <c r="N2343" s="101">
        <v>0</v>
      </c>
      <c r="O2343" s="101">
        <v>1</v>
      </c>
      <c r="P2343" s="101">
        <v>0</v>
      </c>
      <c r="Q2343" s="101">
        <v>0</v>
      </c>
      <c r="R2343" s="101">
        <v>0</v>
      </c>
      <c r="S2343" s="106">
        <v>0</v>
      </c>
      <c r="T2343" s="101">
        <v>0</v>
      </c>
      <c r="U2343" s="101">
        <v>1</v>
      </c>
      <c r="V2343" s="101">
        <v>1</v>
      </c>
      <c r="W2343" s="101">
        <v>0</v>
      </c>
      <c r="X2343" s="101">
        <v>2</v>
      </c>
      <c r="Y2343" s="12">
        <v>0</v>
      </c>
      <c r="Z2343" s="101">
        <v>0</v>
      </c>
      <c r="AA2343" s="101">
        <v>0</v>
      </c>
      <c r="AB2343" s="101">
        <v>0</v>
      </c>
      <c r="AC2343" s="101">
        <v>0</v>
      </c>
      <c r="AD2343" s="101">
        <v>0</v>
      </c>
      <c r="AE2343" s="101">
        <v>0</v>
      </c>
      <c r="AF2343" s="101">
        <v>9</v>
      </c>
      <c r="AG2343" s="101">
        <v>1</v>
      </c>
      <c r="AH2343" s="101">
        <v>3</v>
      </c>
      <c r="AI2343" s="106">
        <v>0</v>
      </c>
      <c r="AJ2343" s="106">
        <v>0</v>
      </c>
      <c r="AK2343" s="106">
        <v>0</v>
      </c>
      <c r="AL2343" s="106">
        <v>1.5</v>
      </c>
      <c r="AM2343" s="101">
        <v>0</v>
      </c>
      <c r="AN2343" s="101">
        <v>0</v>
      </c>
      <c r="AO2343" s="101">
        <v>0</v>
      </c>
      <c r="AP2343" s="100">
        <v>0.2</v>
      </c>
      <c r="AQ2343" s="101">
        <v>3000</v>
      </c>
      <c r="AR2343" s="101">
        <v>0.2</v>
      </c>
      <c r="AS2343" s="101">
        <v>0</v>
      </c>
      <c r="AT2343" s="106">
        <v>0</v>
      </c>
      <c r="AU2343" s="101">
        <v>0</v>
      </c>
      <c r="AV2343" s="101"/>
      <c r="AW2343" s="99" t="s">
        <v>198</v>
      </c>
      <c r="AX2343" s="101" t="s">
        <v>545</v>
      </c>
      <c r="AY2343" s="100">
        <v>0</v>
      </c>
      <c r="AZ2343" s="100">
        <v>77005303</v>
      </c>
      <c r="BA2343" s="99" t="s">
        <v>5595</v>
      </c>
      <c r="BB2343" s="101">
        <v>90005004</v>
      </c>
      <c r="BC2343" s="105">
        <v>0</v>
      </c>
      <c r="BD2343" s="105">
        <v>0</v>
      </c>
      <c r="BE2343" s="119" t="s">
        <v>5596</v>
      </c>
      <c r="BF2343" s="119" t="s">
        <v>5597</v>
      </c>
      <c r="BG2343" s="101">
        <v>0</v>
      </c>
      <c r="BH2343" s="101">
        <v>0</v>
      </c>
      <c r="BI2343" s="101">
        <v>0</v>
      </c>
      <c r="BJ2343" s="101">
        <v>0</v>
      </c>
      <c r="BK2343" s="101">
        <v>0</v>
      </c>
      <c r="BL2343" s="101">
        <v>0</v>
      </c>
      <c r="BM2343" s="97">
        <v>0</v>
      </c>
      <c r="BN2343" s="106">
        <v>0</v>
      </c>
      <c r="BO2343" s="106">
        <v>0</v>
      </c>
      <c r="BP2343" s="106">
        <v>0</v>
      </c>
      <c r="BQ2343" s="106">
        <v>0</v>
      </c>
      <c r="BR2343" s="106">
        <v>0</v>
      </c>
      <c r="BS2343" s="106">
        <v>0</v>
      </c>
      <c r="BT2343" s="106">
        <v>0</v>
      </c>
      <c r="BU2343" s="106">
        <v>0</v>
      </c>
      <c r="BV2343" s="47"/>
      <c r="BW2343" s="47"/>
    </row>
    <row r="2344" spans="1:75" ht="20.100000000000001" customHeight="1">
      <c r="A2344" s="138"/>
      <c r="B2344" s="138"/>
      <c r="C2344" s="100">
        <v>77009004</v>
      </c>
      <c r="D2344" s="99" t="s">
        <v>2368</v>
      </c>
      <c r="E2344" s="290" t="s">
        <v>2369</v>
      </c>
      <c r="F2344" s="97">
        <v>1</v>
      </c>
      <c r="G2344" s="101">
        <v>63021101</v>
      </c>
      <c r="H2344" s="100">
        <v>0</v>
      </c>
      <c r="I2344" s="105">
        <v>0</v>
      </c>
      <c r="J2344" s="100">
        <v>1</v>
      </c>
      <c r="K2344" s="101">
        <v>0</v>
      </c>
      <c r="L2344" s="100">
        <v>0</v>
      </c>
      <c r="M2344" s="101">
        <v>0</v>
      </c>
      <c r="N2344" s="101">
        <v>0</v>
      </c>
      <c r="O2344" s="101">
        <v>1</v>
      </c>
      <c r="P2344" s="101">
        <v>0</v>
      </c>
      <c r="Q2344" s="101">
        <v>0</v>
      </c>
      <c r="R2344" s="101">
        <v>0</v>
      </c>
      <c r="S2344" s="106">
        <v>0</v>
      </c>
      <c r="T2344" s="101">
        <v>0</v>
      </c>
      <c r="U2344" s="101">
        <v>1</v>
      </c>
      <c r="V2344" s="101">
        <v>1</v>
      </c>
      <c r="W2344" s="101">
        <v>0</v>
      </c>
      <c r="X2344" s="101">
        <v>0</v>
      </c>
      <c r="Y2344" s="12">
        <v>0</v>
      </c>
      <c r="Z2344" s="101">
        <v>0</v>
      </c>
      <c r="AA2344" s="101">
        <v>0</v>
      </c>
      <c r="AB2344" s="101">
        <v>0</v>
      </c>
      <c r="AC2344" s="101">
        <v>0</v>
      </c>
      <c r="AD2344" s="101">
        <v>0</v>
      </c>
      <c r="AE2344" s="101">
        <v>0</v>
      </c>
      <c r="AF2344" s="101">
        <v>24</v>
      </c>
      <c r="AG2344" s="101">
        <v>0</v>
      </c>
      <c r="AH2344" s="101">
        <v>0</v>
      </c>
      <c r="AI2344" s="106">
        <v>0</v>
      </c>
      <c r="AJ2344" s="106">
        <v>0</v>
      </c>
      <c r="AK2344" s="106">
        <v>0</v>
      </c>
      <c r="AL2344" s="106">
        <v>1.5</v>
      </c>
      <c r="AM2344" s="101">
        <v>0</v>
      </c>
      <c r="AN2344" s="101">
        <v>0</v>
      </c>
      <c r="AO2344" s="101">
        <v>0</v>
      </c>
      <c r="AP2344" s="100">
        <v>0.2</v>
      </c>
      <c r="AQ2344" s="101">
        <v>3000</v>
      </c>
      <c r="AR2344" s="101">
        <v>0.2</v>
      </c>
      <c r="AS2344" s="101">
        <v>0</v>
      </c>
      <c r="AT2344" s="106">
        <v>0</v>
      </c>
      <c r="AU2344" s="101">
        <v>0</v>
      </c>
      <c r="AV2344" s="101"/>
      <c r="AW2344" s="99" t="s">
        <v>198</v>
      </c>
      <c r="AX2344" s="101" t="s">
        <v>545</v>
      </c>
      <c r="AY2344" s="100">
        <v>0</v>
      </c>
      <c r="AZ2344" s="100">
        <v>0</v>
      </c>
      <c r="BA2344" s="99" t="s">
        <v>2370</v>
      </c>
      <c r="BB2344" s="340" t="s">
        <v>5598</v>
      </c>
      <c r="BC2344" s="105">
        <v>0</v>
      </c>
      <c r="BD2344" s="105">
        <v>0</v>
      </c>
      <c r="BE2344" s="119" t="s">
        <v>5599</v>
      </c>
      <c r="BF2344" s="119" t="s">
        <v>5600</v>
      </c>
      <c r="BG2344" s="101">
        <v>0</v>
      </c>
      <c r="BH2344" s="101">
        <v>0</v>
      </c>
      <c r="BI2344" s="101">
        <v>0</v>
      </c>
      <c r="BJ2344" s="101">
        <v>0</v>
      </c>
      <c r="BK2344" s="101">
        <v>0</v>
      </c>
      <c r="BL2344" s="101">
        <v>0</v>
      </c>
      <c r="BM2344" s="97">
        <v>0</v>
      </c>
      <c r="BN2344" s="106">
        <v>0</v>
      </c>
      <c r="BO2344" s="106">
        <v>0</v>
      </c>
      <c r="BP2344" s="106">
        <v>0</v>
      </c>
      <c r="BQ2344" s="106">
        <v>0</v>
      </c>
      <c r="BR2344" s="106">
        <v>0</v>
      </c>
      <c r="BS2344" s="106">
        <v>0</v>
      </c>
      <c r="BT2344" s="106">
        <v>0</v>
      </c>
      <c r="BU2344" s="106">
        <v>0</v>
      </c>
      <c r="BV2344" s="47"/>
      <c r="BW2344" s="47"/>
    </row>
    <row r="2345" spans="1:75" ht="20.100000000000001" customHeight="1">
      <c r="A2345" s="138"/>
      <c r="B2345" s="138"/>
      <c r="C2345" s="100">
        <v>77009005</v>
      </c>
      <c r="D2345" s="99" t="s">
        <v>600</v>
      </c>
      <c r="E2345" s="290" t="s">
        <v>601</v>
      </c>
      <c r="F2345" s="97">
        <v>1</v>
      </c>
      <c r="G2345" s="101">
        <v>63021101</v>
      </c>
      <c r="H2345" s="100">
        <v>0</v>
      </c>
      <c r="I2345" s="105">
        <v>0</v>
      </c>
      <c r="J2345" s="100">
        <v>1</v>
      </c>
      <c r="K2345" s="101">
        <v>0</v>
      </c>
      <c r="L2345" s="100">
        <v>0</v>
      </c>
      <c r="M2345" s="101">
        <v>0</v>
      </c>
      <c r="N2345" s="101">
        <v>0</v>
      </c>
      <c r="O2345" s="101">
        <v>1</v>
      </c>
      <c r="P2345" s="101">
        <v>0</v>
      </c>
      <c r="Q2345" s="101">
        <v>0</v>
      </c>
      <c r="R2345" s="101">
        <v>0</v>
      </c>
      <c r="S2345" s="106">
        <v>0</v>
      </c>
      <c r="T2345" s="101">
        <v>0</v>
      </c>
      <c r="U2345" s="101">
        <v>1</v>
      </c>
      <c r="V2345" s="101">
        <v>1</v>
      </c>
      <c r="W2345" s="101">
        <v>0</v>
      </c>
      <c r="X2345" s="101">
        <v>0</v>
      </c>
      <c r="Y2345" s="12">
        <v>0</v>
      </c>
      <c r="Z2345" s="101">
        <v>0</v>
      </c>
      <c r="AA2345" s="101">
        <v>0</v>
      </c>
      <c r="AB2345" s="101">
        <v>0</v>
      </c>
      <c r="AC2345" s="101">
        <v>0</v>
      </c>
      <c r="AD2345" s="101">
        <v>0</v>
      </c>
      <c r="AE2345" s="101">
        <v>0</v>
      </c>
      <c r="AF2345" s="101">
        <v>24</v>
      </c>
      <c r="AG2345" s="101">
        <v>0</v>
      </c>
      <c r="AH2345" s="101">
        <v>0</v>
      </c>
      <c r="AI2345" s="106">
        <v>0</v>
      </c>
      <c r="AJ2345" s="106">
        <v>0</v>
      </c>
      <c r="AK2345" s="106">
        <v>0</v>
      </c>
      <c r="AL2345" s="106">
        <v>1.5</v>
      </c>
      <c r="AM2345" s="101">
        <v>0</v>
      </c>
      <c r="AN2345" s="101">
        <v>0</v>
      </c>
      <c r="AO2345" s="101">
        <v>0</v>
      </c>
      <c r="AP2345" s="100">
        <v>0.2</v>
      </c>
      <c r="AQ2345" s="101">
        <v>3000</v>
      </c>
      <c r="AR2345" s="101">
        <v>0.2</v>
      </c>
      <c r="AS2345" s="101">
        <v>0</v>
      </c>
      <c r="AT2345" s="106">
        <v>0</v>
      </c>
      <c r="AU2345" s="101" t="s">
        <v>198</v>
      </c>
      <c r="AV2345" s="101"/>
      <c r="AW2345" s="99" t="s">
        <v>198</v>
      </c>
      <c r="AX2345" s="101" t="s">
        <v>545</v>
      </c>
      <c r="AY2345" s="100">
        <v>0</v>
      </c>
      <c r="AZ2345" s="100">
        <v>0</v>
      </c>
      <c r="BA2345" s="99" t="s">
        <v>2386</v>
      </c>
      <c r="BB2345" s="340" t="s">
        <v>5601</v>
      </c>
      <c r="BC2345" s="105">
        <v>0</v>
      </c>
      <c r="BD2345" s="105">
        <v>0</v>
      </c>
      <c r="BE2345" s="119" t="s">
        <v>2388</v>
      </c>
      <c r="BF2345" s="119" t="s">
        <v>2389</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106">
        <v>0</v>
      </c>
      <c r="BV2345" s="47"/>
      <c r="BW2345" s="47"/>
    </row>
    <row r="2346" spans="1:75" s="2" customFormat="1" ht="20.100000000000001" customHeight="1">
      <c r="A2346" s="6"/>
      <c r="B2346" s="6"/>
      <c r="C2346" s="100">
        <v>77009006</v>
      </c>
      <c r="D2346" s="102" t="s">
        <v>2390</v>
      </c>
      <c r="E2346" s="102" t="s">
        <v>2391</v>
      </c>
      <c r="F2346" s="101">
        <v>1</v>
      </c>
      <c r="G2346" s="101">
        <v>0</v>
      </c>
      <c r="H2346" s="100">
        <v>0</v>
      </c>
      <c r="I2346" s="105">
        <v>0</v>
      </c>
      <c r="J2346" s="101">
        <v>1</v>
      </c>
      <c r="K2346" s="101">
        <v>0</v>
      </c>
      <c r="L2346" s="101">
        <v>0</v>
      </c>
      <c r="M2346" s="100">
        <v>0</v>
      </c>
      <c r="N2346" s="100">
        <v>0</v>
      </c>
      <c r="O2346" s="100">
        <v>2</v>
      </c>
      <c r="P2346" s="100">
        <v>16</v>
      </c>
      <c r="Q2346" s="100">
        <v>10</v>
      </c>
      <c r="R2346" s="100">
        <v>0</v>
      </c>
      <c r="S2346" s="106">
        <v>0</v>
      </c>
      <c r="T2346" s="105">
        <v>0</v>
      </c>
      <c r="U2346" s="101">
        <v>1</v>
      </c>
      <c r="V2346" s="100">
        <v>2</v>
      </c>
      <c r="W2346" s="100">
        <v>0</v>
      </c>
      <c r="X2346" s="100">
        <v>2.6</v>
      </c>
      <c r="Y2346" s="12">
        <v>0</v>
      </c>
      <c r="Z2346" s="100">
        <v>0</v>
      </c>
      <c r="AA2346" s="100">
        <v>1</v>
      </c>
      <c r="AB2346" s="100">
        <v>0</v>
      </c>
      <c r="AC2346" s="100">
        <v>0</v>
      </c>
      <c r="AD2346" s="100">
        <v>0</v>
      </c>
      <c r="AE2346" s="100">
        <v>0</v>
      </c>
      <c r="AF2346" s="100">
        <v>0</v>
      </c>
      <c r="AG2346" s="100">
        <v>2</v>
      </c>
      <c r="AH2346" s="100" t="s">
        <v>213</v>
      </c>
      <c r="AI2346" s="106">
        <v>0</v>
      </c>
      <c r="AJ2346" s="106">
        <v>2</v>
      </c>
      <c r="AK2346" s="106">
        <v>0</v>
      </c>
      <c r="AL2346" s="106">
        <v>3</v>
      </c>
      <c r="AM2346" s="100">
        <v>0</v>
      </c>
      <c r="AN2346" s="100">
        <v>0</v>
      </c>
      <c r="AO2346" s="100">
        <v>0</v>
      </c>
      <c r="AP2346" s="100">
        <v>1</v>
      </c>
      <c r="AQ2346" s="100">
        <v>2000</v>
      </c>
      <c r="AR2346" s="100">
        <v>1</v>
      </c>
      <c r="AS2346" s="100">
        <v>0</v>
      </c>
      <c r="AT2346" s="106">
        <v>0</v>
      </c>
      <c r="AU2346" s="100">
        <v>97050303</v>
      </c>
      <c r="AV2346" s="100"/>
      <c r="AW2346" s="102" t="s">
        <v>287</v>
      </c>
      <c r="AX2346" s="100" t="s">
        <v>534</v>
      </c>
      <c r="AY2346" s="100">
        <v>10000015</v>
      </c>
      <c r="AZ2346" s="100">
        <v>77005304</v>
      </c>
      <c r="BA2346" s="99" t="s">
        <v>200</v>
      </c>
      <c r="BB2346" s="102">
        <v>0</v>
      </c>
      <c r="BC2346" s="105">
        <v>0</v>
      </c>
      <c r="BD2346" s="105">
        <v>0</v>
      </c>
      <c r="BE2346" s="164" t="s">
        <v>2392</v>
      </c>
      <c r="BF2346" s="164" t="s">
        <v>2393</v>
      </c>
      <c r="BG2346" s="100">
        <v>0</v>
      </c>
      <c r="BH2346" s="101">
        <v>0</v>
      </c>
      <c r="BI2346" s="100">
        <v>0</v>
      </c>
      <c r="BJ2346" s="100">
        <v>0</v>
      </c>
      <c r="BK2346" s="100">
        <v>0</v>
      </c>
      <c r="BL2346" s="100">
        <v>0</v>
      </c>
      <c r="BM2346" s="97">
        <v>0</v>
      </c>
      <c r="BN2346" s="106">
        <v>1</v>
      </c>
      <c r="BO2346" s="106">
        <v>0</v>
      </c>
      <c r="BP2346" s="106">
        <v>0</v>
      </c>
      <c r="BQ2346" s="106">
        <v>0</v>
      </c>
      <c r="BR2346" s="106">
        <v>0</v>
      </c>
      <c r="BS2346" s="106">
        <v>0</v>
      </c>
      <c r="BT2346" s="106">
        <v>0</v>
      </c>
      <c r="BU2346" s="106">
        <v>0</v>
      </c>
      <c r="BV2346" s="47"/>
      <c r="BW2346" s="47"/>
    </row>
    <row r="2347" spans="1:75" ht="19.5" customHeight="1">
      <c r="A2347" s="138"/>
      <c r="B2347" s="138"/>
      <c r="C2347" s="100">
        <v>77009007</v>
      </c>
      <c r="D2347" s="99" t="s">
        <v>1265</v>
      </c>
      <c r="E2347" s="99" t="s">
        <v>1266</v>
      </c>
      <c r="F2347" s="101">
        <v>1</v>
      </c>
      <c r="G2347" s="101">
        <v>0</v>
      </c>
      <c r="H2347" s="101">
        <v>0</v>
      </c>
      <c r="I2347" s="105">
        <v>0</v>
      </c>
      <c r="J2347" s="100">
        <v>1</v>
      </c>
      <c r="K2347" s="100">
        <v>0</v>
      </c>
      <c r="L2347" s="100">
        <v>0</v>
      </c>
      <c r="M2347" s="101">
        <v>0</v>
      </c>
      <c r="N2347" s="101">
        <v>0</v>
      </c>
      <c r="O2347" s="101">
        <v>2</v>
      </c>
      <c r="P2347" s="101">
        <v>1</v>
      </c>
      <c r="Q2347" s="101">
        <v>0.2</v>
      </c>
      <c r="R2347" s="101">
        <v>0</v>
      </c>
      <c r="S2347" s="106">
        <v>0</v>
      </c>
      <c r="T2347" s="101">
        <v>0</v>
      </c>
      <c r="U2347" s="101">
        <v>1</v>
      </c>
      <c r="V2347" s="101">
        <v>1</v>
      </c>
      <c r="W2347" s="101">
        <v>0</v>
      </c>
      <c r="X2347" s="101">
        <v>0</v>
      </c>
      <c r="Y2347" s="12">
        <v>0</v>
      </c>
      <c r="Z2347" s="101">
        <v>0</v>
      </c>
      <c r="AA2347" s="101">
        <v>1</v>
      </c>
      <c r="AB2347" s="101">
        <v>0</v>
      </c>
      <c r="AC2347" s="101">
        <v>0</v>
      </c>
      <c r="AD2347" s="101">
        <v>0</v>
      </c>
      <c r="AE2347" s="101">
        <v>1</v>
      </c>
      <c r="AF2347" s="101">
        <v>12</v>
      </c>
      <c r="AG2347" s="101">
        <v>2</v>
      </c>
      <c r="AH2347" s="101" t="s">
        <v>213</v>
      </c>
      <c r="AI2347" s="106">
        <v>0</v>
      </c>
      <c r="AJ2347" s="106">
        <v>2</v>
      </c>
      <c r="AK2347" s="106">
        <v>0</v>
      </c>
      <c r="AL2347" s="106">
        <v>1.5</v>
      </c>
      <c r="AM2347" s="101">
        <v>0</v>
      </c>
      <c r="AN2347" s="101">
        <v>0</v>
      </c>
      <c r="AO2347" s="101">
        <v>0</v>
      </c>
      <c r="AP2347" s="101">
        <v>0.3</v>
      </c>
      <c r="AQ2347" s="101">
        <v>300</v>
      </c>
      <c r="AR2347" s="101">
        <v>0</v>
      </c>
      <c r="AS2347" s="101">
        <v>15</v>
      </c>
      <c r="AT2347" s="106">
        <v>0</v>
      </c>
      <c r="AU2347" s="114">
        <v>0</v>
      </c>
      <c r="AV2347" s="114"/>
      <c r="AW2347" s="99" t="s">
        <v>198</v>
      </c>
      <c r="AX2347" s="101" t="s">
        <v>215</v>
      </c>
      <c r="AY2347" s="100">
        <v>0</v>
      </c>
      <c r="AZ2347" s="100">
        <v>0</v>
      </c>
      <c r="BA2347" s="136" t="s">
        <v>216</v>
      </c>
      <c r="BB2347" s="101">
        <v>1</v>
      </c>
      <c r="BC2347" s="105">
        <v>0</v>
      </c>
      <c r="BD2347" s="105">
        <v>0</v>
      </c>
      <c r="BE2347" s="119" t="s">
        <v>2394</v>
      </c>
      <c r="BF2347" s="119" t="s">
        <v>2395</v>
      </c>
      <c r="BG2347" s="101">
        <v>0</v>
      </c>
      <c r="BH2347" s="101">
        <v>0</v>
      </c>
      <c r="BI2347" s="101">
        <v>0</v>
      </c>
      <c r="BJ2347" s="101">
        <v>0</v>
      </c>
      <c r="BK2347" s="101">
        <v>0</v>
      </c>
      <c r="BL2347" s="101">
        <v>0</v>
      </c>
      <c r="BM2347" s="97">
        <v>0</v>
      </c>
      <c r="BN2347" s="106">
        <v>0</v>
      </c>
      <c r="BO2347" s="106">
        <v>0</v>
      </c>
      <c r="BP2347" s="106">
        <v>0</v>
      </c>
      <c r="BQ2347" s="106">
        <v>0</v>
      </c>
      <c r="BR2347" s="106">
        <v>0</v>
      </c>
      <c r="BS2347" s="106">
        <v>1</v>
      </c>
      <c r="BT2347" s="106">
        <v>77009008</v>
      </c>
      <c r="BU2347" s="106">
        <v>0</v>
      </c>
      <c r="BV2347" s="47"/>
      <c r="BW2347" s="47"/>
    </row>
    <row r="2348" spans="1:75" ht="19.5" customHeight="1">
      <c r="A2348" s="138"/>
      <c r="B2348" s="138"/>
      <c r="C2348" s="100">
        <v>77009008</v>
      </c>
      <c r="D2348" s="102" t="s">
        <v>1265</v>
      </c>
      <c r="E2348" s="102" t="s">
        <v>1266</v>
      </c>
      <c r="F2348" s="101">
        <v>1</v>
      </c>
      <c r="G2348" s="101">
        <v>0</v>
      </c>
      <c r="H2348" s="100">
        <v>0</v>
      </c>
      <c r="I2348" s="105">
        <v>0</v>
      </c>
      <c r="J2348" s="101">
        <v>1</v>
      </c>
      <c r="K2348" s="101">
        <v>0</v>
      </c>
      <c r="L2348" s="101">
        <v>0</v>
      </c>
      <c r="M2348" s="100">
        <v>0</v>
      </c>
      <c r="N2348" s="100">
        <v>0</v>
      </c>
      <c r="O2348" s="100">
        <v>2</v>
      </c>
      <c r="P2348" s="100">
        <v>1</v>
      </c>
      <c r="Q2348" s="100">
        <v>1</v>
      </c>
      <c r="R2348" s="100">
        <v>0</v>
      </c>
      <c r="S2348" s="106">
        <v>0</v>
      </c>
      <c r="T2348" s="105">
        <v>0</v>
      </c>
      <c r="U2348" s="101">
        <v>1</v>
      </c>
      <c r="V2348" s="100">
        <v>1</v>
      </c>
      <c r="W2348" s="100">
        <v>0</v>
      </c>
      <c r="X2348" s="100">
        <v>1.5</v>
      </c>
      <c r="Y2348" s="12">
        <v>0</v>
      </c>
      <c r="Z2348" s="100">
        <v>0</v>
      </c>
      <c r="AA2348" s="100">
        <v>1</v>
      </c>
      <c r="AB2348" s="100">
        <v>0</v>
      </c>
      <c r="AC2348" s="100">
        <v>0</v>
      </c>
      <c r="AD2348" s="100">
        <v>0</v>
      </c>
      <c r="AE2348" s="100">
        <v>0</v>
      </c>
      <c r="AF2348" s="100">
        <v>0</v>
      </c>
      <c r="AG2348" s="100">
        <v>1</v>
      </c>
      <c r="AH2348" s="157">
        <v>4</v>
      </c>
      <c r="AI2348" s="106">
        <v>0</v>
      </c>
      <c r="AJ2348" s="106">
        <v>1</v>
      </c>
      <c r="AK2348" s="106">
        <v>0</v>
      </c>
      <c r="AL2348" s="106">
        <v>5</v>
      </c>
      <c r="AM2348" s="100">
        <v>0</v>
      </c>
      <c r="AN2348" s="100">
        <v>1</v>
      </c>
      <c r="AO2348" s="100">
        <v>0</v>
      </c>
      <c r="AP2348" s="100">
        <v>0.6</v>
      </c>
      <c r="AQ2348" s="100">
        <v>2000</v>
      </c>
      <c r="AR2348" s="100">
        <v>0.6</v>
      </c>
      <c r="AS2348" s="100">
        <v>0</v>
      </c>
      <c r="AT2348" s="106">
        <v>0</v>
      </c>
      <c r="AU2348" s="100">
        <v>97050301</v>
      </c>
      <c r="AV2348" s="100"/>
      <c r="AW2348" s="102" t="s">
        <v>287</v>
      </c>
      <c r="AX2348" s="100" t="s">
        <v>545</v>
      </c>
      <c r="AY2348" s="100">
        <v>10001005</v>
      </c>
      <c r="AZ2348" s="100">
        <v>77005305</v>
      </c>
      <c r="BA2348" s="102" t="s">
        <v>200</v>
      </c>
      <c r="BB2348" s="102">
        <v>0</v>
      </c>
      <c r="BC2348" s="105">
        <v>0</v>
      </c>
      <c r="BD2348" s="105">
        <v>0</v>
      </c>
      <c r="BE2348" s="164" t="s">
        <v>1269</v>
      </c>
      <c r="BF2348" s="164" t="s">
        <v>1270</v>
      </c>
      <c r="BG2348" s="100">
        <v>0</v>
      </c>
      <c r="BH2348" s="101">
        <v>0</v>
      </c>
      <c r="BI2348" s="100">
        <v>0</v>
      </c>
      <c r="BJ2348" s="100">
        <v>0</v>
      </c>
      <c r="BK2348" s="100">
        <v>0</v>
      </c>
      <c r="BL2348" s="100">
        <v>0</v>
      </c>
      <c r="BM2348" s="97">
        <v>0</v>
      </c>
      <c r="BN2348" s="106">
        <v>0</v>
      </c>
      <c r="BO2348" s="106">
        <v>0</v>
      </c>
      <c r="BP2348" s="106">
        <v>0</v>
      </c>
      <c r="BQ2348" s="106">
        <v>0</v>
      </c>
      <c r="BR2348" s="106">
        <v>0</v>
      </c>
      <c r="BS2348" s="106">
        <v>0</v>
      </c>
      <c r="BT2348" s="106">
        <v>0</v>
      </c>
      <c r="BU2348" s="106">
        <v>0</v>
      </c>
      <c r="BV2348" s="47"/>
      <c r="BW2348" s="47"/>
    </row>
    <row r="2349" spans="1:75" ht="20.100000000000001" customHeight="1">
      <c r="A2349" s="138"/>
      <c r="B2349" s="138"/>
      <c r="C2349" s="64">
        <v>77010001</v>
      </c>
      <c r="D2349" s="59" t="s">
        <v>3051</v>
      </c>
      <c r="E2349" s="147" t="s">
        <v>3052</v>
      </c>
      <c r="F2349" s="93">
        <v>1</v>
      </c>
      <c r="G2349" s="60">
        <v>63021101</v>
      </c>
      <c r="H2349" s="64">
        <v>0</v>
      </c>
      <c r="I2349" s="66">
        <v>0</v>
      </c>
      <c r="J2349" s="64">
        <v>1</v>
      </c>
      <c r="K2349" s="60">
        <v>0</v>
      </c>
      <c r="L2349" s="64">
        <v>0</v>
      </c>
      <c r="M2349" s="60">
        <v>0</v>
      </c>
      <c r="N2349" s="60">
        <v>0</v>
      </c>
      <c r="O2349" s="60">
        <v>2</v>
      </c>
      <c r="P2349" s="60">
        <v>7</v>
      </c>
      <c r="Q2349" s="60">
        <v>0.15</v>
      </c>
      <c r="R2349" s="60">
        <v>0</v>
      </c>
      <c r="S2349" s="68">
        <v>0</v>
      </c>
      <c r="T2349" s="60">
        <v>0</v>
      </c>
      <c r="U2349" s="60">
        <v>1</v>
      </c>
      <c r="V2349" s="60">
        <v>1</v>
      </c>
      <c r="W2349" s="60">
        <v>0</v>
      </c>
      <c r="X2349" s="60">
        <v>0</v>
      </c>
      <c r="Y2349" s="12">
        <v>0</v>
      </c>
      <c r="Z2349" s="60">
        <v>0</v>
      </c>
      <c r="AA2349" s="60">
        <v>0</v>
      </c>
      <c r="AB2349" s="60">
        <v>0</v>
      </c>
      <c r="AC2349" s="60">
        <v>0</v>
      </c>
      <c r="AD2349" s="60">
        <v>0</v>
      </c>
      <c r="AE2349" s="60">
        <v>0</v>
      </c>
      <c r="AF2349" s="60">
        <v>0</v>
      </c>
      <c r="AG2349" s="60">
        <v>0</v>
      </c>
      <c r="AH2349" s="60">
        <v>0</v>
      </c>
      <c r="AI2349" s="68">
        <v>0</v>
      </c>
      <c r="AJ2349" s="68">
        <v>0</v>
      </c>
      <c r="AK2349" s="68">
        <v>0</v>
      </c>
      <c r="AL2349" s="68">
        <v>1.5</v>
      </c>
      <c r="AM2349" s="60">
        <v>0</v>
      </c>
      <c r="AN2349" s="60">
        <v>0</v>
      </c>
      <c r="AO2349" s="60">
        <v>0</v>
      </c>
      <c r="AP2349" s="64">
        <v>0</v>
      </c>
      <c r="AQ2349" s="60">
        <v>3000</v>
      </c>
      <c r="AR2349" s="60">
        <v>0</v>
      </c>
      <c r="AS2349" s="60">
        <v>0</v>
      </c>
      <c r="AT2349" s="68">
        <v>0</v>
      </c>
      <c r="AU2349" s="60">
        <v>97050401</v>
      </c>
      <c r="AV2349" s="60"/>
      <c r="AW2349" s="59" t="s">
        <v>198</v>
      </c>
      <c r="AX2349" s="60" t="s">
        <v>545</v>
      </c>
      <c r="AY2349" s="64">
        <v>0</v>
      </c>
      <c r="AZ2349" s="64">
        <v>0</v>
      </c>
      <c r="BA2349" s="59" t="s">
        <v>200</v>
      </c>
      <c r="BB2349" s="60">
        <v>0</v>
      </c>
      <c r="BC2349" s="66">
        <v>0</v>
      </c>
      <c r="BD2349" s="66">
        <v>0</v>
      </c>
      <c r="BE2349" s="90" t="s">
        <v>5602</v>
      </c>
      <c r="BF2349" s="90" t="s">
        <v>5603</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47">
        <v>0</v>
      </c>
      <c r="BV2349" s="47"/>
      <c r="BW2349" s="47"/>
    </row>
    <row r="2350" spans="1:75" ht="20.100000000000001" customHeight="1">
      <c r="C2350" s="64">
        <v>77010111</v>
      </c>
      <c r="D2350" s="59" t="s">
        <v>5604</v>
      </c>
      <c r="E2350" s="59" t="s">
        <v>4044</v>
      </c>
      <c r="F2350" s="16">
        <v>1</v>
      </c>
      <c r="G2350" s="64">
        <v>90002001</v>
      </c>
      <c r="H2350" s="60">
        <v>0</v>
      </c>
      <c r="I2350" s="27">
        <v>0</v>
      </c>
      <c r="J2350" s="18">
        <v>1</v>
      </c>
      <c r="K2350" s="18">
        <v>0</v>
      </c>
      <c r="L2350" s="18">
        <v>0</v>
      </c>
      <c r="M2350" s="60">
        <v>0</v>
      </c>
      <c r="N2350" s="60">
        <v>0</v>
      </c>
      <c r="O2350" s="60">
        <v>1</v>
      </c>
      <c r="P2350" s="60">
        <v>0</v>
      </c>
      <c r="Q2350" s="60">
        <v>0</v>
      </c>
      <c r="R2350" s="60">
        <v>0</v>
      </c>
      <c r="S2350" s="12">
        <v>0</v>
      </c>
      <c r="T2350" s="60">
        <v>0</v>
      </c>
      <c r="U2350" s="16">
        <v>1</v>
      </c>
      <c r="V2350" s="60">
        <v>1</v>
      </c>
      <c r="W2350" s="60">
        <v>0</v>
      </c>
      <c r="X2350" s="60">
        <v>4</v>
      </c>
      <c r="Y2350" s="12">
        <v>0</v>
      </c>
      <c r="Z2350" s="60">
        <v>0</v>
      </c>
      <c r="AA2350" s="60">
        <v>0</v>
      </c>
      <c r="AB2350" s="60">
        <v>0</v>
      </c>
      <c r="AC2350" s="60">
        <v>0</v>
      </c>
      <c r="AD2350" s="60">
        <v>0</v>
      </c>
      <c r="AE2350" s="60">
        <v>0</v>
      </c>
      <c r="AF2350" s="60">
        <v>20</v>
      </c>
      <c r="AG2350" s="60">
        <v>2</v>
      </c>
      <c r="AH2350" s="60" t="s">
        <v>627</v>
      </c>
      <c r="AI2350" s="12">
        <v>0</v>
      </c>
      <c r="AJ2350" s="12">
        <v>2</v>
      </c>
      <c r="AK2350" s="12">
        <v>0</v>
      </c>
      <c r="AL2350" s="68">
        <v>3</v>
      </c>
      <c r="AM2350" s="60">
        <v>0</v>
      </c>
      <c r="AN2350" s="60">
        <v>0</v>
      </c>
      <c r="AO2350" s="60">
        <v>10</v>
      </c>
      <c r="AP2350" s="60">
        <v>10.1</v>
      </c>
      <c r="AQ2350" s="60">
        <v>10000</v>
      </c>
      <c r="AR2350" s="60">
        <v>0</v>
      </c>
      <c r="AS2350" s="60">
        <v>0</v>
      </c>
      <c r="AT2350" s="12">
        <v>0</v>
      </c>
      <c r="AU2350" s="60">
        <v>0</v>
      </c>
      <c r="AV2350" s="60"/>
      <c r="AW2350" s="59" t="s">
        <v>287</v>
      </c>
      <c r="AX2350" s="16">
        <v>0</v>
      </c>
      <c r="AY2350" s="64">
        <v>0</v>
      </c>
      <c r="AZ2350" s="18">
        <v>77010111</v>
      </c>
      <c r="BA2350" s="59" t="s">
        <v>2442</v>
      </c>
      <c r="BB2350" s="60">
        <v>60</v>
      </c>
      <c r="BC2350" s="66">
        <v>0</v>
      </c>
      <c r="BD2350" s="66">
        <v>0</v>
      </c>
      <c r="BE2350" s="90" t="s">
        <v>630</v>
      </c>
      <c r="BF2350" s="90" t="s">
        <v>631</v>
      </c>
      <c r="BG2350" s="60">
        <v>0</v>
      </c>
      <c r="BH2350" s="16">
        <v>0</v>
      </c>
      <c r="BI2350" s="60">
        <v>0</v>
      </c>
      <c r="BJ2350" s="60">
        <v>0</v>
      </c>
      <c r="BK2350" s="60">
        <v>0</v>
      </c>
      <c r="BL2350" s="60">
        <v>0</v>
      </c>
      <c r="BM2350" s="16">
        <v>0</v>
      </c>
      <c r="BN2350" s="12">
        <v>0</v>
      </c>
      <c r="BO2350" s="12">
        <v>0</v>
      </c>
      <c r="BP2350" s="12">
        <v>0</v>
      </c>
      <c r="BQ2350" s="12">
        <v>0</v>
      </c>
      <c r="BR2350" s="12">
        <v>0</v>
      </c>
      <c r="BS2350" s="12">
        <v>0</v>
      </c>
      <c r="BT2350" s="12">
        <v>0</v>
      </c>
      <c r="BU2350" s="47">
        <v>0</v>
      </c>
      <c r="BV2350" s="47"/>
      <c r="BW2350" s="47"/>
    </row>
    <row r="2351" spans="1:75" s="1" customFormat="1" ht="20.100000000000001" customHeight="1">
      <c r="C2351" s="60">
        <v>77010200</v>
      </c>
      <c r="D2351" s="59" t="s">
        <v>5605</v>
      </c>
      <c r="E2351" s="59" t="s">
        <v>1437</v>
      </c>
      <c r="F2351" s="60">
        <v>0</v>
      </c>
      <c r="G2351" s="60">
        <v>62011301</v>
      </c>
      <c r="H2351" s="60">
        <v>0</v>
      </c>
      <c r="I2351" s="66">
        <v>0</v>
      </c>
      <c r="J2351" s="60">
        <v>10</v>
      </c>
      <c r="K2351" s="60">
        <v>3</v>
      </c>
      <c r="L2351" s="60">
        <v>0</v>
      </c>
      <c r="M2351" s="60">
        <v>0</v>
      </c>
      <c r="N2351" s="60">
        <v>0</v>
      </c>
      <c r="O2351" s="60">
        <v>1</v>
      </c>
      <c r="P2351" s="60">
        <v>0</v>
      </c>
      <c r="Q2351" s="60">
        <v>0</v>
      </c>
      <c r="R2351" s="60">
        <v>0</v>
      </c>
      <c r="S2351" s="68">
        <v>0</v>
      </c>
      <c r="T2351" s="60">
        <v>0</v>
      </c>
      <c r="U2351" s="60">
        <v>1</v>
      </c>
      <c r="V2351" s="60">
        <v>2</v>
      </c>
      <c r="W2351" s="60">
        <v>0</v>
      </c>
      <c r="X2351" s="60">
        <v>3</v>
      </c>
      <c r="Y2351" s="12">
        <v>0</v>
      </c>
      <c r="Z2351" s="60">
        <v>350</v>
      </c>
      <c r="AA2351" s="60">
        <v>1</v>
      </c>
      <c r="AB2351" s="60">
        <v>0</v>
      </c>
      <c r="AC2351" s="60">
        <v>0</v>
      </c>
      <c r="AD2351" s="60">
        <v>0</v>
      </c>
      <c r="AE2351" s="60">
        <v>0</v>
      </c>
      <c r="AF2351" s="60">
        <v>20</v>
      </c>
      <c r="AG2351" s="60">
        <v>1</v>
      </c>
      <c r="AH2351" s="60">
        <v>0</v>
      </c>
      <c r="AI2351" s="68">
        <v>0</v>
      </c>
      <c r="AJ2351" s="68">
        <v>101</v>
      </c>
      <c r="AK2351" s="68">
        <v>0</v>
      </c>
      <c r="AL2351" s="68">
        <v>10</v>
      </c>
      <c r="AM2351" s="60">
        <v>0</v>
      </c>
      <c r="AN2351" s="60">
        <v>0</v>
      </c>
      <c r="AO2351" s="60">
        <v>0</v>
      </c>
      <c r="AP2351" s="60">
        <v>1</v>
      </c>
      <c r="AQ2351" s="60">
        <v>1000</v>
      </c>
      <c r="AR2351" s="60">
        <v>0.4</v>
      </c>
      <c r="AS2351" s="60">
        <v>0</v>
      </c>
      <c r="AT2351" s="68">
        <v>0</v>
      </c>
      <c r="AU2351" s="60" t="s">
        <v>198</v>
      </c>
      <c r="AV2351" s="60"/>
      <c r="AW2351" s="59" t="s">
        <v>762</v>
      </c>
      <c r="AX2351" s="60" t="s">
        <v>215</v>
      </c>
      <c r="AY2351" s="64">
        <v>10000015</v>
      </c>
      <c r="AZ2351" s="64">
        <v>21000030</v>
      </c>
      <c r="BA2351" s="59" t="s">
        <v>2483</v>
      </c>
      <c r="BB2351" s="355" t="s">
        <v>5606</v>
      </c>
      <c r="BC2351" s="66">
        <v>0</v>
      </c>
      <c r="BD2351" s="66">
        <v>0</v>
      </c>
      <c r="BE2351" s="121" t="str">
        <f>"&lt;color=#D3FD3A&gt;"&amp;D2814&amp;"(法杖武器技能):\n&lt;/color&gt;"&amp;BE2814&amp;"\n\n&lt;color=#D3FD3A&gt;"&amp;D2561&amp;"(魔法书武器技能):\n&lt;/color&gt;"&amp;BE2840</f>
        <v>&lt;color=#D3FD3A&gt;(法杖武器技能):\n&lt;/color&gt;\n\n&lt;color=#D3FD3A&gt;(魔法书武器技能):\n&lt;/color&gt;</v>
      </c>
      <c r="BF2351" s="121" t="s">
        <v>1438</v>
      </c>
      <c r="BG2351" s="60">
        <v>0</v>
      </c>
      <c r="BH2351" s="60">
        <v>0</v>
      </c>
      <c r="BI2351" s="60">
        <v>0</v>
      </c>
      <c r="BJ2351" s="60">
        <v>0</v>
      </c>
      <c r="BK2351" s="60">
        <v>0</v>
      </c>
      <c r="BL2351" s="60">
        <v>0</v>
      </c>
      <c r="BM2351" s="93">
        <v>0</v>
      </c>
      <c r="BN2351" s="68">
        <v>0</v>
      </c>
      <c r="BO2351" s="68">
        <v>0</v>
      </c>
      <c r="BP2351" s="68">
        <v>0</v>
      </c>
      <c r="BQ2351" s="68">
        <v>0</v>
      </c>
      <c r="BR2351" s="68">
        <v>0</v>
      </c>
      <c r="BS2351" s="68">
        <v>0</v>
      </c>
      <c r="BT2351" s="68">
        <v>0</v>
      </c>
      <c r="BU2351" s="68">
        <v>0</v>
      </c>
      <c r="BV2351" s="47"/>
      <c r="BW2351" s="47"/>
    </row>
    <row r="2352" spans="1:75" s="1" customFormat="1" ht="20.100000000000001" customHeight="1">
      <c r="C2352" s="60">
        <v>77010201</v>
      </c>
      <c r="D2352" s="59" t="s">
        <v>5607</v>
      </c>
      <c r="E2352" s="59" t="s">
        <v>1437</v>
      </c>
      <c r="F2352" s="60">
        <v>0</v>
      </c>
      <c r="G2352" s="60">
        <v>62011301</v>
      </c>
      <c r="H2352" s="60">
        <v>0</v>
      </c>
      <c r="I2352" s="66">
        <v>0</v>
      </c>
      <c r="J2352" s="60">
        <v>10</v>
      </c>
      <c r="K2352" s="60">
        <v>3</v>
      </c>
      <c r="L2352" s="60">
        <v>0</v>
      </c>
      <c r="M2352" s="60">
        <v>0</v>
      </c>
      <c r="N2352" s="60">
        <v>0</v>
      </c>
      <c r="O2352" s="60">
        <v>2</v>
      </c>
      <c r="P2352" s="60">
        <v>1</v>
      </c>
      <c r="Q2352" s="60">
        <v>1</v>
      </c>
      <c r="R2352" s="60">
        <v>0</v>
      </c>
      <c r="S2352" s="68">
        <v>0</v>
      </c>
      <c r="T2352" s="60">
        <v>0</v>
      </c>
      <c r="U2352" s="60">
        <v>1</v>
      </c>
      <c r="V2352" s="60">
        <v>2</v>
      </c>
      <c r="W2352" s="60">
        <v>0</v>
      </c>
      <c r="X2352" s="60">
        <v>0</v>
      </c>
      <c r="Y2352" s="12">
        <v>0</v>
      </c>
      <c r="Z2352" s="60">
        <v>350</v>
      </c>
      <c r="AA2352" s="60">
        <v>1</v>
      </c>
      <c r="AB2352" s="60">
        <v>0</v>
      </c>
      <c r="AC2352" s="60">
        <v>0</v>
      </c>
      <c r="AD2352" s="60">
        <v>0</v>
      </c>
      <c r="AE2352" s="60">
        <v>0</v>
      </c>
      <c r="AF2352" s="60">
        <v>0</v>
      </c>
      <c r="AG2352" s="60">
        <v>1</v>
      </c>
      <c r="AH2352" s="60">
        <v>0</v>
      </c>
      <c r="AI2352" s="68">
        <v>0</v>
      </c>
      <c r="AJ2352" s="68">
        <v>101</v>
      </c>
      <c r="AK2352" s="68">
        <v>0</v>
      </c>
      <c r="AL2352" s="68">
        <v>10</v>
      </c>
      <c r="AM2352" s="60">
        <v>0</v>
      </c>
      <c r="AN2352" s="60">
        <v>0</v>
      </c>
      <c r="AO2352" s="60">
        <v>0</v>
      </c>
      <c r="AP2352" s="60">
        <v>1</v>
      </c>
      <c r="AQ2352" s="60">
        <v>1000</v>
      </c>
      <c r="AR2352" s="60">
        <v>0</v>
      </c>
      <c r="AS2352" s="60">
        <v>0</v>
      </c>
      <c r="AT2352" s="68">
        <v>97050404</v>
      </c>
      <c r="AU2352" s="60" t="s">
        <v>198</v>
      </c>
      <c r="AV2352" s="60"/>
      <c r="AW2352" s="59" t="s">
        <v>198</v>
      </c>
      <c r="AX2352" s="60">
        <v>0</v>
      </c>
      <c r="AY2352" s="64">
        <v>0</v>
      </c>
      <c r="AZ2352" s="64">
        <v>0</v>
      </c>
      <c r="BA2352" s="59" t="s">
        <v>200</v>
      </c>
      <c r="BB2352" s="60">
        <v>0</v>
      </c>
      <c r="BC2352" s="66">
        <v>0</v>
      </c>
      <c r="BD2352" s="66">
        <v>0</v>
      </c>
      <c r="BE2352" s="121" t="str">
        <f>"&lt;color=#D3FD3A&gt;"&amp;D2815&amp;"(法杖武器技能):\n&lt;/color&gt;"&amp;BE2815&amp;"\n\n&lt;color=#D3FD3A&gt;"&amp;D2562&amp;"(魔法书武器技能):\n&lt;/color&gt;"&amp;BE2841</f>
        <v>&lt;color=#D3FD3A&gt;(法杖武器技能):\n&lt;/color&gt;\n\n&lt;color=#D3FD3A&gt;(魔法书武器技能):\n&lt;/color&gt;</v>
      </c>
      <c r="BF2352" s="121" t="s">
        <v>1438</v>
      </c>
      <c r="BG2352" s="60">
        <v>0</v>
      </c>
      <c r="BH2352" s="60">
        <v>0</v>
      </c>
      <c r="BI2352" s="60">
        <v>0</v>
      </c>
      <c r="BJ2352" s="60">
        <v>0</v>
      </c>
      <c r="BK2352" s="60">
        <v>0</v>
      </c>
      <c r="BL2352" s="60">
        <v>0</v>
      </c>
      <c r="BM2352" s="93">
        <v>0</v>
      </c>
      <c r="BN2352" s="68">
        <v>0</v>
      </c>
      <c r="BO2352" s="68">
        <v>0</v>
      </c>
      <c r="BP2352" s="68">
        <v>0</v>
      </c>
      <c r="BQ2352" s="68">
        <v>0</v>
      </c>
      <c r="BR2352" s="68">
        <v>0</v>
      </c>
      <c r="BS2352" s="68">
        <v>0</v>
      </c>
      <c r="BT2352" s="68">
        <v>0</v>
      </c>
      <c r="BU2352" s="68">
        <v>0</v>
      </c>
      <c r="BV2352" s="47"/>
      <c r="BW2352" s="47"/>
    </row>
  </sheetData>
  <autoFilter ref="BA1:BA2352"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2025-10-23T11:09:59Z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2052-12.1.0.23125</vt:lpwstr>
  </property>
  <property fmtid="{D5CDD505-2E9C-101B-9397-08002B2CF9AE}" pid="4" name="ICV">
    <vt:lpwstr>FCFFDC0558BD49789FA1FADFEB6AAAE6_12</vt:lpwstr>
  </property>
</Properties>
</file>