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7AE2B350-36C6-471D-AFB7-263EE7522E26}"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SkillProto!$BA$1:$BA$2312</definedName>
  </definedNames>
  <calcPr calcId="191029"/>
</workbook>
</file>

<file path=xl/calcChain.xml><?xml version="1.0" encoding="utf-8"?>
<calcChain xmlns="http://schemas.openxmlformats.org/spreadsheetml/2006/main">
  <c r="BE1177" i="1" l="1"/>
  <c r="BE1178" i="1"/>
  <c r="BE1179" i="1"/>
  <c r="BE1180" i="1"/>
  <c r="BE1181" i="1"/>
  <c r="BE1176" i="1"/>
  <c r="BE527" i="1"/>
  <c r="BE528" i="1"/>
  <c r="BE529" i="1"/>
  <c r="BE530" i="1"/>
  <c r="BE531" i="1"/>
  <c r="BE533" i="1"/>
  <c r="BE534" i="1"/>
  <c r="BE535" i="1"/>
  <c r="BE536" i="1"/>
  <c r="BE537" i="1"/>
  <c r="BE532" i="1"/>
  <c r="BE526" i="1"/>
  <c r="BE521" i="1"/>
  <c r="BE522" i="1"/>
  <c r="BE523" i="1"/>
  <c r="BE524" i="1"/>
  <c r="BE525" i="1"/>
  <c r="BE520" i="1"/>
  <c r="AZ1190" i="1"/>
  <c r="AZ1202" i="1" s="1"/>
  <c r="AZ1191" i="1"/>
  <c r="AZ1203" i="1" s="1"/>
  <c r="AZ1192" i="1"/>
  <c r="AZ1193" i="1"/>
  <c r="AZ1205" i="1" s="1"/>
  <c r="AZ1194" i="1"/>
  <c r="AZ1204" i="1"/>
  <c r="AZ1206" i="1"/>
  <c r="AZ1189" i="1"/>
  <c r="AZ1201" i="1" s="1"/>
  <c r="BE2312" i="1"/>
  <c r="BE2170" i="1"/>
  <c r="BE2167" i="1"/>
  <c r="BE2161" i="1"/>
  <c r="BE2160" i="1"/>
  <c r="BE2159" i="1"/>
  <c r="H2159" i="1"/>
  <c r="J2142" i="1"/>
  <c r="BE2120" i="1"/>
  <c r="H1757" i="1"/>
  <c r="H1756" i="1"/>
  <c r="H1755" i="1"/>
  <c r="H1754" i="1"/>
  <c r="H1753" i="1"/>
  <c r="H1752" i="1"/>
  <c r="H1751" i="1"/>
  <c r="H1750" i="1"/>
  <c r="H1749" i="1"/>
  <c r="H1748" i="1"/>
  <c r="H1746" i="1"/>
  <c r="H1745" i="1"/>
  <c r="H1744" i="1"/>
  <c r="H1743" i="1"/>
  <c r="H1742" i="1"/>
  <c r="H1741" i="1"/>
  <c r="H1740" i="1"/>
  <c r="H1739" i="1"/>
  <c r="H1738" i="1"/>
  <c r="H1737" i="1"/>
  <c r="H1735" i="1"/>
  <c r="H1734" i="1"/>
  <c r="H1733" i="1"/>
  <c r="H1732" i="1"/>
  <c r="H1731" i="1"/>
  <c r="H1730" i="1"/>
  <c r="H1729" i="1"/>
  <c r="H1728" i="1"/>
  <c r="H1727" i="1"/>
  <c r="H1726" i="1"/>
  <c r="H1724" i="1"/>
  <c r="H1723" i="1"/>
  <c r="H1722" i="1"/>
  <c r="H1721" i="1"/>
  <c r="H1720" i="1"/>
  <c r="H1719" i="1"/>
  <c r="H1718" i="1"/>
  <c r="H1717" i="1"/>
  <c r="H1716" i="1"/>
  <c r="H1715" i="1"/>
  <c r="AL1484" i="1"/>
  <c r="BE1399" i="1"/>
  <c r="BE1398" i="1"/>
  <c r="BE1307" i="1"/>
  <c r="BE1306" i="1"/>
  <c r="BE1301" i="1"/>
  <c r="BE1292" i="1"/>
  <c r="BE1290" i="1"/>
  <c r="BE1283" i="1"/>
  <c r="BE1282" i="1"/>
  <c r="BE1251" i="1"/>
  <c r="BE1239" i="1"/>
  <c r="BE1230" i="1"/>
  <c r="BE1229" i="1"/>
  <c r="BE1228" i="1"/>
  <c r="BE1227" i="1"/>
  <c r="BE1226" i="1"/>
  <c r="BE1225" i="1"/>
  <c r="BE1224" i="1"/>
  <c r="BE1223" i="1"/>
  <c r="BE1222" i="1"/>
  <c r="BE1221" i="1"/>
  <c r="BE1220" i="1"/>
  <c r="BE1219" i="1"/>
  <c r="BE1200" i="1"/>
  <c r="BE1199" i="1"/>
  <c r="BE1198" i="1"/>
  <c r="BE1197" i="1"/>
  <c r="BE1196" i="1"/>
  <c r="BE1195"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518" i="1" s="1"/>
  <c r="BE1006" i="1"/>
  <c r="BE1005" i="1"/>
  <c r="BE1004" i="1"/>
  <c r="BE1003" i="1"/>
  <c r="BE1002" i="1"/>
  <c r="BE1001" i="1"/>
  <c r="BE1000" i="1"/>
  <c r="BE999" i="1"/>
  <c r="BE510" i="1" s="1"/>
  <c r="BE998" i="1"/>
  <c r="BE997" i="1"/>
  <c r="BE996" i="1"/>
  <c r="BE995" i="1"/>
  <c r="BE994" i="1"/>
  <c r="BE993" i="1"/>
  <c r="BE992" i="1"/>
  <c r="BE991" i="1"/>
  <c r="BE990" i="1"/>
  <c r="BE976" i="1"/>
  <c r="BE513" i="1" s="1"/>
  <c r="BE975" i="1"/>
  <c r="BE974" i="1"/>
  <c r="BE511" i="1" s="1"/>
  <c r="BE973" i="1"/>
  <c r="BE972" i="1"/>
  <c r="BE971" i="1"/>
  <c r="BE970" i="1"/>
  <c r="BE507" i="1" s="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501" i="1" s="1"/>
  <c r="BE871" i="1"/>
  <c r="BE870" i="1"/>
  <c r="BE869" i="1"/>
  <c r="H869" i="1"/>
  <c r="BE868" i="1"/>
  <c r="H868" i="1"/>
  <c r="BE867" i="1"/>
  <c r="H867" i="1"/>
  <c r="BE866" i="1"/>
  <c r="BE865" i="1"/>
  <c r="BE500" i="1" s="1"/>
  <c r="BE864" i="1"/>
  <c r="BE863" i="1"/>
  <c r="H863" i="1"/>
  <c r="BE862" i="1"/>
  <c r="BE497" i="1" s="1"/>
  <c r="H862" i="1"/>
  <c r="BE861" i="1"/>
  <c r="H861" i="1"/>
  <c r="BE860" i="1"/>
  <c r="BE495" i="1" s="1"/>
  <c r="BE859" i="1"/>
  <c r="BE858" i="1"/>
  <c r="BE493" i="1" s="1"/>
  <c r="BE857" i="1"/>
  <c r="H857" i="1"/>
  <c r="BE856" i="1"/>
  <c r="H856" i="1"/>
  <c r="BE855" i="1"/>
  <c r="H855" i="1"/>
  <c r="H851" i="1"/>
  <c r="H850" i="1"/>
  <c r="H849" i="1"/>
  <c r="H838" i="1"/>
  <c r="H837" i="1"/>
  <c r="H836" i="1"/>
  <c r="BE835" i="1"/>
  <c r="BE834" i="1"/>
  <c r="BE488" i="1" s="1"/>
  <c r="BE833" i="1"/>
  <c r="BE832" i="1"/>
  <c r="H832" i="1"/>
  <c r="BE831" i="1"/>
  <c r="BE485" i="1" s="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BE480" i="1" s="1"/>
  <c r="H720" i="1"/>
  <c r="BE719" i="1"/>
  <c r="H719" i="1"/>
  <c r="BE718" i="1"/>
  <c r="H718" i="1"/>
  <c r="BE717" i="1"/>
  <c r="BE483" i="1" s="1"/>
  <c r="BE716" i="1"/>
  <c r="BE715" i="1"/>
  <c r="BE481" i="1" s="1"/>
  <c r="BE714" i="1"/>
  <c r="H714" i="1"/>
  <c r="BE713" i="1"/>
  <c r="H713" i="1"/>
  <c r="BE712" i="1"/>
  <c r="H712" i="1"/>
  <c r="BE711" i="1"/>
  <c r="BE710" i="1"/>
  <c r="BE709" i="1"/>
  <c r="BE708" i="1"/>
  <c r="BE474" i="1" s="1"/>
  <c r="H708" i="1"/>
  <c r="BE707" i="1"/>
  <c r="H707" i="1"/>
  <c r="BE706" i="1"/>
  <c r="H706" i="1"/>
  <c r="BE705" i="1"/>
  <c r="BE477" i="1" s="1"/>
  <c r="BE704" i="1"/>
  <c r="BE703" i="1"/>
  <c r="BE702" i="1"/>
  <c r="H702" i="1"/>
  <c r="BE701" i="1"/>
  <c r="H701" i="1"/>
  <c r="BE700" i="1"/>
  <c r="BE472" i="1" s="1"/>
  <c r="H700" i="1"/>
  <c r="BE699" i="1"/>
  <c r="BE698" i="1"/>
  <c r="BE697" i="1"/>
  <c r="BE696" i="1"/>
  <c r="H696" i="1"/>
  <c r="BE695" i="1"/>
  <c r="H695" i="1"/>
  <c r="BE694" i="1"/>
  <c r="H694" i="1"/>
  <c r="BE693" i="1"/>
  <c r="BE471" i="1" s="1"/>
  <c r="BE692" i="1"/>
  <c r="BE470" i="1" s="1"/>
  <c r="BE691" i="1"/>
  <c r="BE469" i="1" s="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462" i="1" s="1"/>
  <c r="BE590" i="1"/>
  <c r="BE589" i="1"/>
  <c r="BE588" i="1"/>
  <c r="BE587" i="1"/>
  <c r="BE586" i="1"/>
  <c r="BE585" i="1"/>
  <c r="BE584" i="1"/>
  <c r="BE583" i="1"/>
  <c r="BE454" i="1" s="1"/>
  <c r="BE582" i="1"/>
  <c r="BE581" i="1"/>
  <c r="BE580" i="1"/>
  <c r="BE579" i="1"/>
  <c r="BE450" i="1" s="1"/>
  <c r="BE578" i="1"/>
  <c r="BE577" i="1"/>
  <c r="BE576" i="1"/>
  <c r="BE575" i="1"/>
  <c r="BE574" i="1"/>
  <c r="BE573" i="1"/>
  <c r="BE572" i="1"/>
  <c r="BE461" i="1" s="1"/>
  <c r="BE571" i="1"/>
  <c r="BE460" i="1" s="1"/>
  <c r="BE570" i="1"/>
  <c r="BE459" i="1" s="1"/>
  <c r="BE569" i="1"/>
  <c r="BE458" i="1" s="1"/>
  <c r="BE568" i="1"/>
  <c r="BE457" i="1" s="1"/>
  <c r="BE567" i="1"/>
  <c r="BE566" i="1"/>
  <c r="BE565" i="1"/>
  <c r="BE564" i="1"/>
  <c r="BE563" i="1"/>
  <c r="BE562" i="1"/>
  <c r="BE561" i="1"/>
  <c r="BE560" i="1"/>
  <c r="BE449" i="1" s="1"/>
  <c r="BE559" i="1"/>
  <c r="BE448" i="1" s="1"/>
  <c r="BE517" i="1"/>
  <c r="BE516" i="1"/>
  <c r="BE515" i="1"/>
  <c r="BE514" i="1"/>
  <c r="BE512" i="1"/>
  <c r="BE505" i="1"/>
  <c r="BE504" i="1"/>
  <c r="BE503" i="1"/>
  <c r="BE502" i="1"/>
  <c r="BE499" i="1"/>
  <c r="BE498" i="1"/>
  <c r="BE496" i="1"/>
  <c r="BE494" i="1"/>
  <c r="BE492" i="1"/>
  <c r="BE491" i="1"/>
  <c r="BE490" i="1"/>
  <c r="BE489" i="1"/>
  <c r="BE487" i="1"/>
  <c r="BE486" i="1"/>
  <c r="BE484" i="1"/>
  <c r="BE479" i="1"/>
  <c r="BE478" i="1"/>
  <c r="BE476" i="1"/>
  <c r="BE475" i="1"/>
  <c r="BE467" i="1"/>
  <c r="BE466" i="1"/>
  <c r="BE465" i="1"/>
  <c r="BE464" i="1"/>
  <c r="BE463" i="1"/>
  <c r="BE455" i="1"/>
  <c r="BE453" i="1"/>
  <c r="BE452" i="1"/>
  <c r="BE451" i="1"/>
  <c r="BE380" i="1"/>
  <c r="BE93" i="1"/>
  <c r="J93" i="1"/>
  <c r="H93" i="1"/>
  <c r="H84" i="1"/>
  <c r="BE506" i="1" l="1"/>
  <c r="BE456" i="1"/>
  <c r="BE509" i="1"/>
  <c r="BE508" i="1"/>
  <c r="BE468" i="1"/>
  <c r="BE482" i="1"/>
  <c r="BE4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<sst xmlns="http://schemas.openxmlformats.org/spreadsheetml/2006/main" count="18090" uniqueCount="5438">
  <si>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</si>
  <si>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</si>
  <si>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</si>
  <si>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</si>
  <si>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</si>
  <si>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</si>
  <si>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</si>
  <si>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</si>
  <si>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</si>
  <si>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</si>
  <si>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</si>
  <si>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</si>
  <si>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</si>
  <si>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</si>
  <si>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</si>
  <si>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</si>
  <si>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</si>
  <si>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</si>
  <si>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</si>
  <si>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</si>
  <si>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</si>
  <si>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</si>
  <si>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</si>
  <si>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</si>
  <si>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</si>
  <si>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</si>
  <si>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</si>
  <si>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</si>
  <si>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</si>
  <si>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</si>
  <si>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</si>
  <si>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</si>
  <si>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</si>
  <si>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</si>
  <si>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</si>
  <si>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</si>
  <si>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</si>
  <si>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</si>
  <si>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</si>
  <si>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</si>
  <si>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</si>
  <si>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</si>
  <si>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</si>
  <si>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</si>
  <si>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</si>
  <si>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</si>
  <si>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</si>
  <si>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</si>
  <si>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</si>
  <si>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</si>
  <si>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</si>
  <si>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</si>
  <si>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</si>
  <si>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</si>
  <si>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</si>
  <si>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</si>
  <si>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</si>
  <si>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</si>
  <si>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</si>
  <si>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</si>
  <si>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</si>
  <si>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</si>
  <si>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</si>
  <si>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</si>
  <si>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</si>
  <si>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</si>
  <si>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</si>
  <si>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</si>
  <si>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</si>
  <si>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</si>
  <si>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</si>
  <si>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</si>
  <si>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</si>
  <si>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</si>
  <si>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</si>
  <si>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</si>
  <si>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</si>
  <si>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</si>
  <si>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</si>
  <si>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</si>
  <si>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</si>
  <si>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</si>
  <si>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</si>
  <si>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</si>
  <si>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</si>
  <si>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</si>
  <si>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</si>
  <si>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</si>
  <si>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</si>
  <si>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</si>
  <si>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</si>
  <si>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</si>
  <si>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</si>
  <si>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</si>
  <si>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</si>
  <si>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</si>
  <si>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</si>
  <si>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</si>
  <si>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</si>
  <si>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</si>
  <si>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</si>
  <si>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</si>
  <si>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</si>
  <si>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</si>
  <si>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</si>
  <si>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</si>
  <si>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</si>
  <si>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</si>
  <si>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</si>
  <si>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</si>
  <si>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</si>
  <si>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</si>
  <si>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</si>
  <si>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</si>
  <si>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</si>
  <si>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</si>
  <si>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</si>
  <si>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</si>
  <si>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</si>
  <si>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</si>
  <si>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</si>
  <si>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</si>
  <si>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</si>
  <si>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</si>
  <si>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</si>
  <si>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</si>
  <si>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</si>
  <si>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</si>
  <si>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</si>
  <si>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</si>
  <si>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</si>
  <si>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</si>
  <si>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</si>
  <si>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</si>
  <si>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</si>
  <si>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</si>
  <si>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</si>
  <si>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</si>
  <si>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</si>
  <si>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</si>
  <si>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</si>
  <si>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</si>
  <si>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</si>
  <si>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</si>
  <si>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</si>
  <si>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</si>
  <si>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</si>
  <si>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</si>
  <si>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</si>
  <si>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</si>
  <si>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</si>
  <si>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</si>
  <si>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</si>
  <si>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</si>
  <si>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</si>
  <si>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</si>
  <si>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</si>
  <si>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</si>
  <si>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</si>
  <si>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</si>
  <si>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</si>
  <si>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</si>
  <si>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</si>
  <si>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</si>
  <si>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</si>
  <si>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</si>
  <si>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</si>
  <si>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</si>
  <si>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</si>
  <si>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</si>
  <si>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</si>
  <si>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</si>
  <si>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</si>
  <si>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</si>
  <si>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</si>
  <si>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</si>
  <si>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</si>
  <si>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</si>
  <si>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</si>
  <si>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</si>
  <si>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</si>
  <si>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</si>
  <si>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</si>
  <si>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</si>
  <si>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</si>
  <si>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</si>
  <si>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</si>
  <si>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</si>
  <si>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</si>
  <si>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</si>
  <si>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</si>
  <si>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</si>
  <si>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</si>
  <si>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</si>
  <si>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</si>
  <si>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</si>
  <si>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</si>
  <si>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</si>
  <si>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</si>
  <si>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</si>
  <si>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</si>
  <si>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</si>
  <si>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</si>
  <si>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</si>
  <si>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</si>
  <si>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</si>
  <si>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</si>
  <si>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</si>
  <si>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</si>
  <si>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</si>
  <si>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</si>
  <si>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</si>
  <si>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</si>
  <si>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</si>
  <si>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</si>
  <si>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</si>
  <si>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</si>
  <si>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</si>
  <si>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</si>
  <si>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</si>
  <si>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</si>
  <si>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</si>
  <si>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</si>
  <si>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</si>
  <si>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</si>
  <si>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</si>
  <si>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</si>
  <si>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</si>
  <si>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</si>
  <si>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</si>
  <si>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</si>
  <si>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</si>
  <si>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</si>
  <si>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</si>
  <si>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</si>
  <si>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</si>
  <si>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</si>
  <si>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</si>
  <si>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</si>
  <si>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</si>
  <si>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</si>
  <si>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</si>
  <si>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</si>
  <si>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</si>
  <si>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</si>
  <si>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</si>
  <si>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</si>
  <si>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</si>
  <si>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</si>
  <si>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</si>
  <si>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</si>
  <si>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</si>
  <si>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</si>
  <si>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</si>
  <si>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</si>
  <si>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</si>
  <si>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</si>
  <si>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</si>
  <si>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</si>
  <si>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</si>
  <si>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</si>
  <si>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</si>
  <si>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</si>
  <si>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</si>
  <si>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</si>
  <si>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</si>
  <si>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</si>
  <si>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</si>
  <si>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</si>
  <si>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</si>
  <si>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</si>
  <si>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</si>
  <si>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</si>
  <si>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</si>
  <si>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</si>
  <si>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</si>
  <si>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</si>
  <si>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</si>
  <si>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</si>
  <si>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</si>
  <si>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</si>
  <si>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</si>
  <si>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</si>
  <si>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</si>
  <si>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</si>
  <si>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</si>
  <si>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</si>
  <si>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</si>
  <si>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</si>
  <si>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</si>
  <si>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</si>
  <si>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</si>
  <si>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</si>
  <si>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</si>
  <si>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</si>
  <si>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</si>
  <si>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</si>
  <si>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</si>
  <si>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</si>
  <si>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</si>
  <si>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</si>
  <si>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</si>
  <si>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</si>
  <si>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</si>
  <si>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</si>
  <si>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</si>
  <si>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</si>
  <si>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</si>
  <si>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</si>
  <si>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</si>
  <si>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</si>
  <si>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</si>
  <si>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</si>
  <si>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</si>
  <si>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</si>
  <si>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</si>
  <si>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</si>
  <si>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</si>
  <si>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</si>
  <si>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</si>
  <si>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</si>
  <si>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</si>
  <si>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</si>
  <si>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</si>
  <si>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</si>
  <si>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</si>
  <si>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</si>
  <si>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</si>
  <si>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</si>
  <si>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</si>
  <si>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</si>
  <si>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</si>
  <si>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</si>
  <si>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</si>
  <si>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</si>
  <si>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</si>
  <si>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</si>
  <si>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</si>
  <si>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</si>
  <si>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</si>
  <si>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</si>
  <si>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</si>
  <si>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</si>
  <si>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</si>
  <si>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</si>
  <si>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</si>
  <si>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</si>
  <si>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</si>
  <si>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</si>
  <si>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</si>
  <si>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</si>
  <si>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</si>
  <si>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</si>
  <si>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</si>
  <si>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</si>
  <si>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</si>
  <si>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</si>
  <si>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</si>
  <si>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</si>
  <si>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</si>
  <si>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</si>
  <si>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</si>
  <si>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</si>
  <si>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</si>
  <si>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</si>
  <si>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</si>
  <si>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</si>
  <si>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</si>
  <si>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</si>
  <si>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</si>
  <si>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</si>
  <si>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</si>
  <si>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</si>
  <si>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</si>
  <si>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</si>
  <si>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</si>
  <si>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</si>
  <si>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</si>
  <si>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</si>
  <si>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</si>
  <si>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</si>
  <si>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</si>
  <si>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</si>
  <si>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</si>
  <si>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</si>
  <si>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</si>
  <si>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</si>
  <si>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</si>
  <si>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</si>
  <si>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</si>
  <si>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</si>
  <si>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</si>
  <si>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</si>
  <si>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</si>
  <si>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</si>
  <si>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</si>
  <si>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</si>
  <si>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</si>
  <si>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</si>
  <si>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</si>
  <si>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</si>
  <si>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</si>
  <si>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</si>
  <si>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</si>
  <si>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</si>
  <si>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</si>
  <si>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</si>
  <si>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</si>
  <si>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</si>
  <si>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</si>
  <si>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</si>
  <si>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</si>
  <si>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</si>
  <si>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</si>
  <si>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</si>
  <si>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</si>
  <si>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</si>
  <si>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</si>
  <si>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</si>
  <si>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</si>
  <si>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</si>
  <si>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</si>
  <si>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</si>
  <si>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</si>
  <si>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</si>
  <si>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</si>
  <si>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</si>
  <si>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</si>
  <si>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</si>
  <si>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</si>
  <si>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</si>
  <si>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</si>
  <si>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</si>
  <si>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</si>
  <si>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</si>
  <si>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</si>
  <si>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</si>
  <si>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</si>
  <si>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</si>
  <si>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</si>
  <si>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</si>
  <si>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</si>
  <si>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</si>
  <si>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</si>
  <si>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</si>
  <si>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</si>
  <si>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</si>
  <si>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</si>
  <si>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</si>
  <si>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</si>
  <si>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</si>
  <si>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</si>
  <si>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</si>
  <si>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</si>
  <si>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</si>
  <si>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</si>
  <si>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</si>
  <si>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</si>
  <si>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</si>
  <si>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</si>
  <si>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</si>
  <si>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</si>
  <si>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</si>
  <si>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</si>
  <si>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</si>
  <si>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</si>
  <si>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</si>
  <si>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</si>
  <si>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</si>
  <si>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</si>
  <si>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</si>
  <si>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</si>
  <si>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</si>
  <si>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</si>
  <si>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</si>
  <si>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</si>
  <si>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</si>
  <si>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</si>
  <si>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</si>
  <si>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</si>
  <si>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</si>
  <si>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</si>
  <si>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</si>
  <si>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</si>
  <si>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</si>
  <si>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</si>
  <si>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</si>
  <si>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</si>
  <si>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</si>
  <si>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</si>
  <si>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</si>
  <si>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</si>
  <si>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</si>
  <si>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</si>
  <si>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</si>
  <si>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</si>
  <si>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</si>
  <si>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</si>
  <si>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</si>
  <si>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</si>
  <si>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</si>
  <si>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</si>
  <si>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</si>
  <si>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</si>
  <si>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</si>
  <si>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</si>
  <si>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</si>
  <si>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</si>
  <si>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</si>
  <si>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</si>
  <si>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</si>
  <si>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</si>
  <si>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</si>
  <si>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</si>
  <si>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</si>
  <si>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</si>
  <si>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</si>
  <si>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</si>
  <si>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</si>
  <si>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</si>
  <si>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</si>
  <si>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</si>
  <si>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</si>
  <si>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</si>
  <si>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</si>
  <si>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</si>
  <si>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</si>
  <si>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</si>
  <si>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</si>
  <si>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</si>
  <si>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</si>
  <si>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</si>
  <si>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</si>
  <si>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</si>
  <si>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</si>
  <si>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</si>
  <si>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</si>
  <si>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</si>
  <si>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</si>
  <si>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</si>
  <si>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</si>
  <si>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</si>
  <si>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</si>
  <si>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</si>
  <si>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</si>
  <si>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</si>
  <si>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</si>
  <si>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</si>
  <si>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</si>
  <si>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</si>
  <si>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</si>
  <si>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</si>
  <si>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</si>
  <si>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</si>
  <si>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</si>
  <si>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</si>
  <si>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</si>
  <si>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</si>
  <si>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</si>
  <si>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</si>
  <si>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</si>
  <si>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</si>
  <si>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</si>
  <si>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</si>
  <si>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</si>
  <si>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</si>
  <si>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</si>
  <si>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</si>
  <si>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</si>
  <si>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</si>
  <si>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</si>
  <si>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</si>
  <si>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</si>
  <si>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</si>
  <si>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</si>
  <si>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</si>
  <si>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</si>
  <si>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</si>
  <si>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</si>
  <si>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</si>
  <si>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</si>
  <si>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</si>
  <si>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</si>
  <si>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</si>
  <si>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</si>
  <si>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</si>
  <si>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</si>
  <si>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</si>
  <si>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</si>
  <si>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</si>
  <si>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</si>
  <si>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</si>
  <si>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</si>
  <si>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</si>
  <si>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</si>
  <si>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</si>
  <si>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</si>
  <si>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</si>
  <si>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</si>
  <si>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</si>
  <si>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</si>
  <si>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</si>
  <si>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</si>
  <si>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</si>
  <si>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</si>
  <si>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</si>
  <si>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</si>
  <si>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</si>
  <si>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</si>
  <si>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</si>
  <si>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</si>
  <si>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</si>
  <si>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</si>
  <si>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</si>
  <si>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</si>
  <si>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</si>
  <si>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</si>
  <si>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</si>
  <si>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</si>
  <si>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</si>
  <si>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</si>
  <si>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</si>
  <si>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</si>
  <si>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</si>
  <si>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</si>
  <si>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</si>
  <si>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</si>
  <si>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</si>
  <si>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</si>
  <si>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</si>
  <si>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</si>
  <si>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</si>
  <si>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</si>
  <si>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</si>
  <si>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</si>
  <si>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</si>
  <si>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</si>
  <si>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</si>
  <si>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</si>
  <si>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</si>
  <si>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</si>
  <si>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</si>
  <si>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</si>
  <si>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</si>
  <si>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</si>
  <si>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</si>
  <si>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</si>
  <si>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</si>
  <si>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</si>
  <si>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</si>
  <si>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</si>
  <si>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</si>
  <si>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</si>
  <si>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</si>
  <si>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</si>
  <si>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</si>
  <si>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</si>
  <si>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</si>
  <si>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</si>
  <si>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</si>
  <si>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</si>
  <si>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</si>
  <si>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</si>
  <si>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</si>
  <si>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</si>
  <si>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</si>
  <si>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</si>
  <si>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</si>
  <si>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</si>
  <si>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</si>
  <si>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</si>
  <si>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</si>
  <si>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</si>
  <si>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</si>
  <si>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</si>
  <si>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</si>
  <si>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</si>
  <si>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</si>
  <si>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</si>
  <si>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</si>
  <si>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</si>
  <si>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</si>
  <si>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</si>
  <si>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</si>
  <si>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</si>
  <si>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</si>
  <si>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</si>
  <si>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</si>
  <si>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</si>
  <si>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</si>
  <si>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</si>
  <si>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</si>
  <si>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</si>
  <si>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</si>
  <si>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</si>
  <si>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</si>
  <si>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</si>
  <si>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</si>
  <si>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</si>
  <si>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</si>
  <si>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</si>
  <si>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</si>
  <si>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</si>
  <si>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</si>
  <si>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</si>
  <si>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</si>
  <si>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</si>
  <si>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</si>
  <si>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</si>
  <si>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</si>
  <si>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</si>
  <si>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</si>
  <si>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</si>
  <si>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</si>
  <si>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</si>
  <si>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</si>
  <si>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</si>
  <si>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</si>
  <si>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</si>
  <si>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</si>
  <si>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</si>
  <si>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</si>
  <si>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</si>
  <si>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</si>
  <si>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</si>
  <si>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</si>
  <si>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</si>
  <si>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</si>
  <si>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</si>
  <si>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</si>
  <si>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</si>
  <si>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</si>
  <si>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</si>
  <si>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</si>
  <si>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</si>
  <si>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</si>
  <si>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</si>
  <si>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</si>
  <si>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</si>
  <si>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</si>
  <si>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</si>
  <si>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</si>
  <si>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</si>
  <si>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</si>
  <si>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</si>
  <si>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</si>
  <si>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</si>
  <si>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</si>
  <si>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</si>
  <si>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</si>
  <si>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</si>
  <si>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</si>
  <si>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</si>
  <si>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</si>
  <si>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</si>
  <si>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</si>
  <si>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</si>
  <si>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</si>
  <si>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</si>
  <si>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</si>
  <si>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</si>
  <si>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</si>
  <si>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</si>
  <si>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</si>
  <si>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</si>
  <si>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</si>
  <si>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</si>
  <si>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</si>
  <si>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</si>
  <si>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</si>
  <si>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</si>
  <si>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</si>
  <si>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</si>
  <si>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</si>
  <si>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</si>
  <si>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</si>
  <si>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</si>
  <si>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</si>
  <si>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</si>
  <si>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</si>
  <si>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</si>
  <si>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</si>
  <si>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</si>
  <si>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</si>
  <si>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</si>
  <si>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</si>
  <si>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</si>
  <si>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</si>
  <si>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</si>
  <si>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</si>
  <si>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</si>
  <si>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</si>
  <si>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</si>
  <si>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</si>
  <si>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</si>
  <si>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</si>
  <si>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</si>
  <si>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</si>
  <si>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</si>
  <si>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</si>
  <si>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</si>
  <si>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</si>
  <si>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</si>
  <si>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</si>
  <si>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</si>
  <si>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</si>
  <si>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</si>
  <si>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</si>
  <si>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</si>
  <si>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</si>
  <si>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</si>
  <si>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</si>
  <si>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</si>
  <si>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</si>
  <si>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</si>
  <si>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</si>
  <si>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</si>
  <si>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</si>
  <si>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</si>
  <si>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</si>
  <si>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</si>
  <si>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</si>
  <si>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</si>
  <si>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</si>
  <si>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</si>
  <si>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</si>
  <si>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</si>
  <si>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</si>
  <si>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</si>
  <si>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</si>
  <si>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</si>
  <si>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</si>
  <si>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</si>
  <si>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</si>
  <si>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</si>
  <si>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</si>
  <si>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</si>
  <si>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</si>
  <si>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</si>
  <si>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</si>
  <si>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</si>
  <si>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</si>
  <si>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</si>
  <si>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</si>
  <si>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</si>
  <si>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</si>
  <si>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</si>
  <si>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</si>
  <si>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</si>
  <si>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</si>
  <si>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</si>
  <si>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</si>
  <si>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</si>
  <si>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</si>
  <si>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</si>
  <si>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</si>
  <si>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</si>
  <si>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</si>
  <si>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</si>
  <si>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</si>
  <si>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</si>
  <si>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</si>
  <si>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</si>
  <si>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</si>
  <si>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</si>
  <si>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</si>
  <si>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</si>
  <si>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</si>
  <si>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</si>
  <si>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</si>
  <si>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</si>
  <si>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</si>
  <si>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</si>
  <si>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</si>
  <si>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</si>
  <si>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</si>
  <si>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</si>
  <si>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</si>
  <si>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</si>
  <si>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</si>
  <si>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</si>
  <si>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</si>
  <si>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</si>
  <si>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</si>
  <si>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</si>
  <si>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</si>
  <si>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</si>
  <si>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</si>
  <si>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</si>
  <si>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</si>
  <si>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</si>
  <si>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</si>
  <si>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</si>
  <si>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</si>
  <si>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</si>
  <si>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</si>
  <si>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</si>
  <si>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</si>
  <si>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</si>
  <si>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</si>
  <si>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</si>
  <si>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</si>
  <si>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</si>
  <si>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</si>
  <si>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</si>
  <si>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</si>
  <si>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</si>
  <si>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</si>
  <si>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</si>
  <si>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</si>
  <si>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</si>
  <si>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</si>
  <si>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</si>
  <si>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</si>
  <si>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</si>
  <si>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</si>
  <si>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</si>
  <si>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</si>
  <si>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</si>
  <si>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</si>
  <si>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</si>
  <si>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</si>
  <si>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</si>
  <si>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</si>
  <si>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</si>
  <si>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</si>
  <si>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</si>
  <si>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</si>
  <si>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</si>
  <si>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</si>
  <si>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</si>
  <si>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</si>
  <si>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</si>
  <si>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</si>
  <si>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</si>
  <si>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</si>
  <si>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</si>
  <si>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</si>
  <si>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</si>
  <si>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</si>
  <si>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</si>
  <si>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</si>
  <si>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</si>
  <si>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</si>
  <si>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</si>
  <si>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</si>
  <si>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</si>
  <si>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</si>
  <si>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</si>
  <si>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</si>
  <si>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</si>
  <si>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</si>
  <si>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</si>
  <si>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</si>
  <si>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</si>
  <si>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</si>
  <si>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</si>
  <si>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</si>
  <si>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</si>
  <si>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</si>
  <si>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</si>
  <si>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</si>
  <si>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</si>
  <si>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</si>
  <si>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</si>
  <si>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</si>
  <si>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</si>
  <si>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</si>
  <si>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</si>
  <si>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</si>
  <si>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</si>
  <si>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</si>
  <si>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</si>
  <si>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</si>
  <si>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</si>
  <si>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</si>
  <si>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</si>
  <si>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</si>
  <si>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</si>
  <si>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</si>
  <si>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</si>
  <si>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</si>
  <si>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</si>
  <si>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</si>
  <si>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</si>
  <si>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</si>
  <si>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</si>
  <si>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</si>
  <si>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</si>
  <si>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</si>
  <si>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</si>
  <si>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</si>
  <si>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</si>
  <si>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</si>
  <si>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</si>
  <si>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</si>
  <si>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</si>
  <si>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</si>
  <si>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</si>
  <si>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</si>
  <si>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</si>
  <si>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</si>
  <si>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</si>
  <si>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</si>
  <si>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</si>
  <si>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</si>
  <si>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</si>
  <si>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</si>
  <si>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</si>
  <si>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</si>
  <si>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</si>
  <si>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</si>
  <si>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</si>
  <si>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</si>
  <si>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</si>
  <si>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</si>
  <si>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</si>
  <si>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</si>
  <si>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</si>
  <si>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</si>
  <si>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</si>
  <si>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</si>
  <si>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</si>
  <si>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</si>
  <si>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</si>
  <si>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</si>
  <si>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</si>
  <si>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</si>
  <si>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</si>
  <si>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</si>
  <si>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</si>
  <si>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</si>
  <si>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</si>
  <si>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</si>
  <si>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</si>
  <si>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</si>
  <si>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</si>
  <si>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</si>
  <si>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</si>
  <si>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</si>
  <si>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</si>
  <si>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</si>
  <si>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</si>
  <si>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</si>
  <si>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</si>
  <si>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</si>
  <si>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</si>
  <si>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</si>
  <si>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</si>
  <si>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</si>
  <si>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</si>
  <si>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</si>
  <si>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</si>
  <si>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</si>
  <si>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</si>
  <si>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</si>
  <si>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</si>
  <si>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</si>
  <si>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</si>
  <si>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</si>
  <si>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</si>
  <si>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</si>
  <si>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</si>
  <si>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</si>
  <si>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</si>
  <si>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</si>
  <si>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</si>
  <si>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</si>
  <si>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</si>
  <si>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</si>
  <si>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</si>
  <si>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</si>
  <si>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</si>
  <si>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</si>
  <si>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</si>
  <si>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</si>
  <si>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</si>
  <si>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</si>
  <si>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</si>
  <si>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</si>
  <si>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</si>
  <si>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</si>
  <si>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</si>
  <si>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</si>
  <si>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</si>
  <si>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</si>
  <si>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</si>
  <si>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</si>
  <si>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</si>
  <si>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</si>
  <si>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</si>
  <si>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</si>
  <si>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</si>
  <si>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</si>
  <si>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</si>
  <si>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</si>
  <si>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</si>
  <si>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</si>
  <si>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</si>
  <si>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</si>
  <si>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</si>
  <si>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</si>
  <si>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</si>
  <si>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</si>
  <si>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</si>
  <si>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</si>
  <si>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</si>
  <si>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</si>
  <si>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</si>
  <si>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</si>
  <si>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</si>
  <si>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</si>
  <si>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</si>
  <si>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</si>
  <si>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</si>
  <si>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</si>
  <si>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</si>
  <si>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</si>
  <si>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</si>
  <si>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</si>
  <si>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</si>
  <si>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</si>
  <si>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</si>
  <si>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</si>
  <si>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</si>
  <si>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</si>
  <si>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</si>
  <si>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</si>
  <si>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</si>
  <si>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</si>
  <si>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</si>
  <si>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</si>
  <si>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</si>
  <si>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</si>
  <si>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</si>
  <si>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</si>
  <si>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</si>
  <si>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</si>
  <si>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</si>
  <si>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</si>
  <si>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</si>
  <si>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</si>
  <si>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</si>
  <si>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</si>
  <si>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</si>
  <si>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</si>
  <si>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</si>
  <si>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</si>
  <si>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</si>
  <si>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</si>
  <si>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</si>
  <si>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</si>
  <si>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</si>
  <si>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</si>
  <si>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</si>
  <si>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</si>
  <si>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</si>
  <si>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</si>
  <si>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</si>
  <si>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</si>
  <si>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</si>
  <si>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</si>
  <si>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</si>
  <si>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</si>
  <si>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</si>
  <si>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</si>
  <si>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</si>
  <si>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</si>
  <si>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</si>
  <si>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</si>
  <si>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</si>
  <si>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</si>
  <si>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</si>
  <si>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</si>
  <si>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</si>
  <si>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</si>
  <si>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</si>
  <si>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</si>
  <si>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</si>
  <si>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</si>
  <si>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</si>
  <si>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</si>
  <si>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</si>
  <si>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</si>
  <si>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</si>
  <si>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</si>
  <si>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</si>
  <si>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</si>
  <si>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</si>
  <si>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</si>
  <si>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</si>
  <si>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</si>
  <si>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</si>
  <si>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</si>
  <si>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</si>
  <si>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</si>
  <si>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</si>
  <si>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</si>
  <si>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</si>
  <si>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</si>
  <si>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</si>
  <si>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</si>
  <si>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</si>
  <si>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</si>
  <si>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</si>
  <si>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</si>
  <si>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</si>
  <si>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</si>
  <si>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</si>
  <si>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</si>
  <si>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</si>
  <si>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</si>
  <si>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</si>
  <si>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</si>
  <si>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</si>
  <si>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</si>
  <si>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</si>
  <si>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</si>
  <si>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</si>
  <si>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</si>
  <si>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</si>
  <si>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</si>
  <si>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</si>
  <si>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</si>
  <si>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</si>
  <si>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</si>
  <si>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</si>
  <si>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</si>
  <si>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</si>
  <si>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</si>
  <si>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</si>
  <si>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</si>
  <si>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</si>
  <si>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</si>
  <si>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</si>
  <si>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</si>
  <si>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</si>
  <si>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</si>
  <si>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</si>
  <si>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</si>
  <si>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</si>
  <si>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</si>
  <si>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</si>
  <si>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</si>
  <si>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</si>
  <si>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</si>
  <si>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</si>
  <si>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</si>
  <si>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</si>
  <si>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</si>
  <si>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</si>
  <si>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</si>
  <si>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</si>
  <si>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</si>
  <si>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</si>
  <si>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</si>
  <si>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</si>
  <si>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</si>
  <si>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</si>
  <si>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</si>
  <si>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</si>
  <si>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</si>
  <si>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</si>
  <si>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</si>
  <si>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</si>
  <si>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</si>
  <si>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</si>
  <si>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</si>
  <si>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</si>
  <si>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</si>
  <si>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</si>
  <si>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</si>
  <si>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</si>
  <si>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</si>
  <si>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</si>
  <si>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</si>
  <si>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</si>
  <si>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</si>
  <si>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</si>
  <si>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</si>
  <si>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</si>
  <si>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</si>
  <si>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</si>
  <si>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</si>
  <si>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</si>
  <si>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</si>
  <si>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</si>
  <si>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</si>
  <si>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</si>
  <si>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</si>
  <si>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</si>
  <si>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</si>
  <si>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</si>
  <si>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</si>
  <si>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</si>
  <si>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</si>
  <si>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</si>
  <si>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</si>
  <si>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</si>
  <si>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</si>
  <si>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</si>
  <si>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</si>
  <si>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</si>
  <si>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</si>
  <si>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</si>
  <si>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</si>
  <si>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</si>
  <si>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</si>
  <si>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</si>
  <si>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</si>
  <si>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</si>
  <si>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</si>
  <si>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</si>
  <si>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</si>
  <si>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</si>
  <si>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</si>
  <si>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</si>
  <si>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</si>
  <si>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</si>
  <si>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</si>
  <si>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</si>
  <si>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</si>
  <si>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</si>
  <si>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</si>
  <si>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</si>
  <si>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</si>
  <si>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</si>
  <si>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</si>
  <si>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</si>
  <si>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</si>
  <si>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</si>
  <si>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</si>
  <si>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</si>
  <si>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</si>
  <si>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</si>
  <si>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</si>
  <si>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</si>
  <si>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</si>
  <si>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</si>
  <si>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</si>
  <si>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</si>
  <si>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</si>
  <si>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</si>
  <si>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</si>
  <si>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</si>
  <si>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</si>
  <si>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</si>
  <si>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</si>
  <si>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</si>
  <si>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</si>
  <si>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普通攻击2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</si>
  <si>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</si>
  <si>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</si>
  <si>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</si>
  <si>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</si>
  <si>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</si>
  <si>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</si>
  <si>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</si>
  <si>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</si>
  <si>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</si>
  <si>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</si>
  <si>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</si>
  <si>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</si>
  <si>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</si>
  <si>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</si>
  <si>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</si>
  <si>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</si>
  <si>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</si>
  <si>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</si>
  <si>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</si>
  <si>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</si>
  <si>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</si>
  <si>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</si>
  <si>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</si>
  <si>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</si>
  <si>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</si>
  <si>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</si>
  <si>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</si>
  <si>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</si>
  <si>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</si>
  <si>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</si>
  <si>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</si>
  <si>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</si>
  <si>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</si>
  <si>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</si>
  <si>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</si>
  <si>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</si>
  <si>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</si>
  <si>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</si>
  <si>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</si>
  <si>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</si>
  <si>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</si>
  <si>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</si>
  <si>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</si>
  <si>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</si>
  <si>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</si>
  <si>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</si>
  <si>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</si>
  <si>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</si>
  <si>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</si>
  <si>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</si>
  <si>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</si>
  <si>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</si>
  <si>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</si>
  <si>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</si>
  <si>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</si>
  <si>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</si>
  <si>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</si>
  <si>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</si>
  <si>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</si>
  <si>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</si>
  <si>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</si>
  <si>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</si>
  <si>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</si>
  <si>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</si>
  <si>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</si>
  <si>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</si>
  <si>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</si>
  <si>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</si>
  <si>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</si>
  <si>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</si>
  <si>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</si>
  <si>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</si>
  <si>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</si>
  <si>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</si>
  <si>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</si>
  <si>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</si>
  <si>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</si>
  <si>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</si>
  <si>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</si>
  <si>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</si>
  <si>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</si>
  <si>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</si>
  <si>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</si>
  <si>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</si>
  <si>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</si>
  <si>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</si>
  <si>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</si>
  <si>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</si>
  <si>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</si>
  <si>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</si>
  <si>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</si>
  <si>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</si>
  <si>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</si>
  <si>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</si>
  <si>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</si>
  <si>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</si>
  <si>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</si>
  <si>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</si>
  <si>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</si>
  <si>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</si>
  <si>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</si>
  <si>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</si>
  <si>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</si>
  <si>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</si>
  <si>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</si>
  <si>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</si>
  <si>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</si>
  <si>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</si>
  <si>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</si>
  <si>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</si>
  <si>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</si>
  <si>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</si>
  <si>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</si>
  <si>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</si>
  <si>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</si>
  <si>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</si>
  <si>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</si>
  <si>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</si>
  <si>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</si>
  <si>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</si>
  <si>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</si>
  <si>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</si>
  <si>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</si>
  <si>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</si>
  <si>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</si>
  <si>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</si>
  <si>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</si>
  <si>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</si>
  <si>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</si>
  <si>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</si>
  <si>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</si>
  <si>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</si>
  <si>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</si>
  <si>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</si>
  <si>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</si>
  <si>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</si>
  <si>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</si>
  <si>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</si>
  <si>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</si>
  <si>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</si>
  <si>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</si>
  <si>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</si>
  <si>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</si>
  <si>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</si>
  <si>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</si>
  <si>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</si>
  <si>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</si>
  <si>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</si>
  <si>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</si>
  <si>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</si>
  <si>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</si>
  <si>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</si>
  <si>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</si>
  <si>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</si>
  <si>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</si>
  <si>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</si>
  <si>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</si>
  <si>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</si>
  <si>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</si>
  <si>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</si>
  <si>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</si>
  <si>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</si>
  <si>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</si>
  <si>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</si>
  <si>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</si>
  <si>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</si>
  <si>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</si>
  <si>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</si>
  <si>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</si>
  <si>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</si>
  <si>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</si>
  <si>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</si>
  <si>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</si>
  <si>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</si>
  <si>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</si>
  <si>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</si>
  <si>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</si>
  <si>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</si>
  <si>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</si>
  <si>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</si>
  <si>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</si>
  <si>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</si>
  <si>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</si>
  <si>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</si>
  <si>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</si>
  <si>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</si>
  <si>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</si>
  <si>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</si>
  <si>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</si>
  <si>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</si>
  <si>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</si>
  <si>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</si>
  <si>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</si>
  <si>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</si>
  <si>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</si>
  <si>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</si>
  <si>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</si>
  <si>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</si>
  <si>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</si>
  <si>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</si>
  <si>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</si>
  <si>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</si>
  <si>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</si>
  <si>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</si>
  <si>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</si>
  <si>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</si>
  <si>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</si>
  <si>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</si>
  <si>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</si>
  <si>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</si>
  <si>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</si>
  <si>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</si>
  <si>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</si>
  <si>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</si>
  <si>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</si>
  <si>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</si>
  <si>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</si>
  <si>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</si>
  <si>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</si>
  <si>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</si>
  <si>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</si>
  <si>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</si>
  <si>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</si>
  <si>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</si>
  <si>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</si>
  <si>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</si>
  <si>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</si>
  <si>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</si>
  <si>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</si>
  <si>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</si>
  <si>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</si>
  <si>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</si>
  <si>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</si>
  <si>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</si>
  <si>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</si>
  <si>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</si>
  <si>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</si>
  <si>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</si>
  <si>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</si>
  <si>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</si>
  <si>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</si>
  <si>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</si>
  <si>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</si>
  <si>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</si>
  <si>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</si>
  <si>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</si>
  <si>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</si>
  <si>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</si>
  <si>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</si>
  <si>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</si>
  <si>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</si>
  <si>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</si>
  <si>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</si>
  <si>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</si>
  <si>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</si>
  <si>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</si>
  <si>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</si>
  <si>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</si>
  <si>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</si>
  <si>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</si>
  <si>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</si>
  <si>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</si>
  <si>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</si>
  <si>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</si>
  <si>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</si>
  <si>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</si>
  <si>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</si>
  <si>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</si>
  <si>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</si>
  <si>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</si>
  <si>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</si>
  <si>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</si>
  <si>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</si>
  <si>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</si>
  <si>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</si>
  <si>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</si>
  <si>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</si>
  <si>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</si>
  <si>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</si>
  <si>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</si>
  <si>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</si>
  <si>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</si>
  <si>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</si>
  <si>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</si>
  <si>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</si>
  <si>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</si>
  <si>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</si>
  <si>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</si>
  <si>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</si>
  <si>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</si>
  <si>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</si>
  <si>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</si>
  <si>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</si>
  <si>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</si>
  <si>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</si>
  <si>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</si>
  <si>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</si>
  <si>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</si>
  <si>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</si>
  <si>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</si>
  <si>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</si>
  <si>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</si>
  <si>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</si>
  <si>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</si>
  <si>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</si>
  <si>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</si>
  <si>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</si>
  <si>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</si>
  <si>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</si>
  <si>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</si>
  <si>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</si>
  <si>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</si>
  <si>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</si>
  <si>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</si>
  <si>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</si>
  <si>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</si>
  <si>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</si>
  <si>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</si>
  <si>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</si>
  <si>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</si>
  <si>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</si>
  <si>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</si>
  <si>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</si>
  <si>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</si>
  <si>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</si>
  <si>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</si>
  <si>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</si>
  <si>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</si>
  <si>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</si>
  <si>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</si>
  <si>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</si>
  <si>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</si>
  <si>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</si>
  <si>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</si>
  <si>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</si>
  <si>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</si>
  <si>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</si>
  <si>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</si>
  <si>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</si>
  <si>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</si>
  <si>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</si>
  <si>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</si>
  <si>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</si>
  <si>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</si>
  <si>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</si>
  <si>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</si>
  <si>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</si>
  <si>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</si>
  <si>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</si>
  <si>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</si>
  <si>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</si>
  <si>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</si>
  <si>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</si>
  <si>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</si>
  <si>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</si>
  <si>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</si>
  <si>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</si>
  <si>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</si>
  <si>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</si>
  <si>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</si>
  <si>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</si>
  <si>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</si>
  <si>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</si>
  <si>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</si>
  <si>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</si>
  <si>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</si>
  <si>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</si>
  <si>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</si>
  <si>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</si>
  <si>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</si>
  <si>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</si>
  <si>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</si>
  <si>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</si>
  <si>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</si>
  <si>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</si>
  <si>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</si>
  <si>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</si>
  <si>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</si>
  <si>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</si>
  <si>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</si>
  <si>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</si>
  <si>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</si>
  <si>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</si>
  <si>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</si>
  <si>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</si>
  <si>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</si>
  <si>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</si>
  <si>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</si>
  <si>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</si>
  <si>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</si>
  <si>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</si>
  <si>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</si>
  <si>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</si>
  <si>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</si>
  <si>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</si>
  <si>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</si>
  <si>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</si>
  <si>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</si>
  <si>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</si>
  <si>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</si>
  <si>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</si>
  <si>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</si>
  <si>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</si>
  <si>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</si>
  <si>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</si>
  <si>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</si>
  <si>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</si>
  <si>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</si>
  <si>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</si>
  <si>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</si>
  <si>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</si>
  <si>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</si>
  <si>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</si>
  <si>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</si>
  <si>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</si>
  <si>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</si>
  <si>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</si>
  <si>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</si>
  <si>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</si>
  <si>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</si>
  <si>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</si>
  <si>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</si>
  <si>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</si>
  <si>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</si>
  <si>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</si>
  <si>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</si>
  <si>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</si>
  <si>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</si>
  <si>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</si>
  <si>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</si>
  <si>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</si>
  <si>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</si>
  <si>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</si>
  <si>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</si>
  <si>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</si>
  <si>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</si>
  <si>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</si>
  <si>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</si>
  <si>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</si>
  <si>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</si>
  <si>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</si>
  <si>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</si>
  <si>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</si>
  <si>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</si>
  <si>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</si>
  <si>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</si>
  <si>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</si>
  <si>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</si>
  <si>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</si>
  <si>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</si>
  <si>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</si>
  <si>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</si>
  <si>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</si>
  <si>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</si>
  <si>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</si>
  <si>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</si>
  <si>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</si>
  <si>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</si>
  <si>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</si>
  <si>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</si>
  <si>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</si>
  <si>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</si>
  <si>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</si>
  <si>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</si>
  <si>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</si>
  <si>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</si>
  <si>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</si>
  <si>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</si>
  <si>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</si>
  <si>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</si>
  <si>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</si>
  <si>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</si>
  <si>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</si>
  <si>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</si>
  <si>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</si>
  <si>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</si>
  <si>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</si>
  <si>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</si>
  <si>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</si>
  <si>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</si>
  <si>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</si>
  <si>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</si>
  <si>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</si>
  <si>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</si>
  <si>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</si>
  <si>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</si>
  <si>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</si>
  <si>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</si>
  <si>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</si>
  <si>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</si>
  <si>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</si>
  <si>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</si>
  <si>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</si>
  <si>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</si>
  <si>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</si>
  <si>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</si>
  <si>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</si>
  <si>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</si>
  <si>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</si>
  <si>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</si>
  <si>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</si>
  <si>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</si>
  <si>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</si>
  <si>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</si>
  <si>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</si>
  <si>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</si>
  <si>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</si>
  <si>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</si>
  <si>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</si>
  <si>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</si>
  <si>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</si>
  <si>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</si>
  <si>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</si>
  <si>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</si>
  <si>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</si>
  <si>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</si>
  <si>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</si>
  <si>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</si>
  <si>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</si>
  <si>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</si>
  <si>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</si>
  <si>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</si>
  <si>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</si>
  <si>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</si>
  <si>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</si>
  <si>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</si>
  <si>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</si>
  <si>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</si>
  <si>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</si>
  <si>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</si>
  <si>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</si>
  <si>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</si>
  <si>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</si>
  <si>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</si>
  <si>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</si>
  <si>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</si>
  <si>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</si>
  <si>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</si>
  <si>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</si>
  <si>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</si>
  <si>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</si>
  <si>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</si>
  <si>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</si>
  <si>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</si>
  <si>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</si>
  <si>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</si>
  <si>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</si>
  <si>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</si>
  <si>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</si>
  <si>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</si>
  <si>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</si>
  <si>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</si>
  <si>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</si>
  <si>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</si>
  <si>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</si>
  <si>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</si>
  <si>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</si>
  <si>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</si>
  <si>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</si>
  <si>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</si>
  <si>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</si>
  <si>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</si>
  <si>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</si>
  <si>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</si>
  <si>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</si>
  <si>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</si>
  <si>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</si>
  <si>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</si>
  <si>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</si>
  <si>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</si>
  <si>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</si>
  <si>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</si>
  <si>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</si>
  <si>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</si>
  <si>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</si>
  <si>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</si>
  <si>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</si>
  <si>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</si>
  <si>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</si>
  <si>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</si>
  <si>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</si>
  <si>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</si>
  <si>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</si>
  <si>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</si>
  <si>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</si>
  <si>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</si>
  <si>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</si>
  <si>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</si>
  <si>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</si>
  <si>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</si>
  <si>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</si>
  <si>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</si>
  <si>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</si>
  <si>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</si>
  <si>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</si>
  <si>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</si>
  <si>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</si>
  <si>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</si>
  <si>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</si>
  <si>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</si>
  <si>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</si>
  <si>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</si>
  <si>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</si>
  <si>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</si>
  <si>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</si>
  <si>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</si>
  <si>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</si>
  <si>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</si>
  <si>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</si>
  <si>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</si>
  <si>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</si>
  <si>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</si>
  <si>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</si>
  <si>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</si>
  <si>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</si>
  <si>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</si>
  <si>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</si>
  <si>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</si>
  <si>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</si>
  <si>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</si>
  <si>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</si>
  <si>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</si>
  <si>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</si>
  <si>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</si>
  <si>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</si>
  <si>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</si>
  <si>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</si>
  <si>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</si>
  <si>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</si>
  <si>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</si>
  <si>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</si>
  <si>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</si>
  <si>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</si>
  <si>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</si>
  <si>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</si>
  <si>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</si>
  <si>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</si>
  <si>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</si>
  <si>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</si>
  <si>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</si>
  <si>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</si>
  <si>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</si>
  <si>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</si>
  <si>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</si>
  <si>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</si>
  <si>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</si>
  <si>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</si>
  <si>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</si>
  <si>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</si>
  <si>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</si>
  <si>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</si>
  <si>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</si>
  <si>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</si>
  <si>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</si>
  <si>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</si>
  <si>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</si>
  <si>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</si>
  <si>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</si>
  <si>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</si>
  <si>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</si>
  <si>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</si>
  <si>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</si>
  <si>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</si>
  <si>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</si>
  <si>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</si>
  <si>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</si>
  <si>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</si>
  <si>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</si>
  <si>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</si>
  <si>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</si>
  <si>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</si>
  <si>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</si>
  <si>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</si>
  <si>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</si>
  <si>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</si>
  <si>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</si>
  <si>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</si>
  <si>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</si>
  <si>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</si>
  <si>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</si>
  <si>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</si>
  <si>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</si>
  <si>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</si>
  <si>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</si>
  <si>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</si>
  <si>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</si>
  <si>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</si>
  <si>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</si>
  <si>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</si>
  <si>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</si>
  <si>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</si>
  <si>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</si>
  <si>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</si>
  <si>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</si>
  <si>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</si>
  <si>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</si>
  <si>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</si>
  <si>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</si>
  <si>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</si>
  <si>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</si>
  <si>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</si>
  <si>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</si>
  <si>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</si>
  <si>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</si>
  <si>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</si>
  <si>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</si>
  <si>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</si>
  <si>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</si>
  <si>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</si>
  <si>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</si>
  <si>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</si>
  <si>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</si>
  <si>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</si>
  <si>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</si>
  <si>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</si>
  <si>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</si>
  <si>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</si>
  <si>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</si>
  <si>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</si>
  <si>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</si>
  <si>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</si>
  <si>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</si>
  <si>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</si>
  <si>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</si>
  <si>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</si>
  <si>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</si>
  <si>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</si>
  <si>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</si>
  <si>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</si>
  <si>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</si>
  <si>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</si>
  <si>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</si>
  <si>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</si>
  <si>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</si>
  <si>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</si>
  <si>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</si>
  <si>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</si>
  <si>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</si>
  <si>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</si>
  <si>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</si>
  <si>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</si>
  <si>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</si>
  <si>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</si>
  <si>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</si>
  <si>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</si>
  <si>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</si>
  <si>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</si>
  <si>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</si>
  <si>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</si>
  <si>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</si>
  <si>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</si>
  <si>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</si>
  <si>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</si>
  <si>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</si>
  <si>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</si>
  <si>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</si>
  <si>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</si>
  <si>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</si>
  <si>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</si>
  <si>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</si>
  <si>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</si>
  <si>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</si>
  <si>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</si>
  <si>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</si>
  <si>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</si>
  <si>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</si>
  <si>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</si>
  <si>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</si>
  <si>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</si>
  <si>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</si>
  <si>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</si>
  <si>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</si>
  <si>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</si>
  <si>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</si>
  <si>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</si>
  <si>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</si>
  <si>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</si>
  <si>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</si>
  <si>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</si>
  <si>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</si>
  <si>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</si>
  <si>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</si>
  <si>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</si>
  <si>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</si>
  <si>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</si>
  <si>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</si>
  <si>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</si>
  <si>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</si>
  <si>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</si>
  <si>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</si>
  <si>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</si>
  <si>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</si>
  <si>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</si>
  <si>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</si>
  <si>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</si>
  <si>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</si>
  <si>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</si>
  <si>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</si>
  <si>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</si>
  <si>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</si>
  <si>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</si>
  <si>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</si>
  <si>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</si>
  <si>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</si>
  <si>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</si>
  <si>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</si>
  <si>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</si>
  <si>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</si>
  <si>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</si>
  <si>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</si>
  <si>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</si>
  <si>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</si>
  <si>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</si>
  <si>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</si>
  <si>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</si>
  <si>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</si>
  <si>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</si>
  <si>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</si>
  <si>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</si>
  <si>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</si>
  <si>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</si>
  <si>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</si>
  <si>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</si>
  <si>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</si>
  <si>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</si>
  <si>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</si>
  <si>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</si>
  <si>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</si>
  <si>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</si>
  <si>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</si>
  <si>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</si>
  <si>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</si>
  <si>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</si>
  <si>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</si>
  <si>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</si>
  <si>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</si>
  <si>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</si>
  <si>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</si>
  <si>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</si>
  <si>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</si>
  <si>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</si>
  <si>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</si>
  <si>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</si>
  <si>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</si>
  <si>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</si>
  <si>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</si>
  <si>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</si>
  <si>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</si>
  <si>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</si>
  <si>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</si>
  <si>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</si>
  <si>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</si>
  <si>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</si>
  <si>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</si>
  <si>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</si>
  <si>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</si>
  <si>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</si>
  <si>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</si>
  <si>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</si>
  <si>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</si>
  <si>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</si>
  <si>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</si>
  <si>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</si>
  <si>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</si>
  <si>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</si>
  <si>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</si>
  <si>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</si>
  <si>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</si>
  <si>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</si>
  <si>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</si>
  <si>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</si>
  <si>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</si>
  <si>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</si>
  <si>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</si>
  <si>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</si>
  <si>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</si>
  <si>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</si>
  <si>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</si>
  <si>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</si>
  <si>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</si>
  <si>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</si>
  <si>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</si>
  <si>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</si>
  <si>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</si>
  <si>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</si>
  <si>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</si>
  <si>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</si>
  <si>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</si>
  <si>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</si>
  <si>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</si>
  <si>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</si>
  <si>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</si>
  <si>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</si>
  <si>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</si>
  <si>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</si>
  <si>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</si>
  <si>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</si>
  <si>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</si>
  <si>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</si>
  <si>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</si>
  <si>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</si>
  <si>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</si>
  <si>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</si>
  <si>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</si>
  <si>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</si>
  <si>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</si>
  <si>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</si>
  <si>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</si>
  <si>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</si>
  <si>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</si>
  <si>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</si>
  <si>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</si>
  <si>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</si>
  <si>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</si>
  <si>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</si>
  <si>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</si>
  <si>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</si>
  <si>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</si>
  <si>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</si>
  <si>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</si>
  <si>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</si>
  <si>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</si>
  <si>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</si>
  <si>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</si>
  <si>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</si>
  <si>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</si>
  <si>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</si>
  <si>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</si>
  <si>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</si>
  <si>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</si>
  <si>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</si>
  <si>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</si>
  <si>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</si>
  <si>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</si>
  <si>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</si>
  <si>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</si>
  <si>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</si>
  <si>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</si>
  <si>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</si>
  <si>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</si>
  <si>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</si>
  <si>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</si>
  <si>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</si>
  <si>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</si>
  <si>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</si>
  <si>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</si>
  <si>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</si>
  <si>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</si>
  <si>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</si>
  <si>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</si>
  <si>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</si>
  <si>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</si>
  <si>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</si>
  <si>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</si>
  <si>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</si>
  <si>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</si>
  <si>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</si>
  <si>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</si>
  <si>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</si>
  <si>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</si>
  <si>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</si>
  <si>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</si>
  <si>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</si>
  <si>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</si>
  <si>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</si>
  <si>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</si>
  <si>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</si>
  <si>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</si>
  <si>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</si>
  <si>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</si>
  <si>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</si>
  <si>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</si>
  <si>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</si>
  <si>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</si>
  <si>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</si>
  <si>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</si>
  <si>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</si>
  <si>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</si>
  <si>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</si>
  <si>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</si>
  <si>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</si>
  <si>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</si>
  <si>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</si>
  <si>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</si>
  <si>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</si>
  <si>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</si>
  <si>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</si>
  <si>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</si>
  <si>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</si>
  <si>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</si>
  <si>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</si>
  <si>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</si>
  <si>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</si>
  <si>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</si>
  <si>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</si>
  <si>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</si>
  <si>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</si>
  <si>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</si>
  <si>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</si>
  <si>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</si>
  <si>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</si>
  <si>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</si>
  <si>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</si>
  <si>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</si>
  <si>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</si>
  <si>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</si>
  <si>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</si>
  <si>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</si>
  <si>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</si>
  <si>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</si>
  <si>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</si>
  <si>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</si>
  <si>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</si>
  <si>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</si>
  <si>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</si>
  <si>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</si>
  <si>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</si>
  <si>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</si>
  <si>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</si>
  <si>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</si>
  <si>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</si>
  <si>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</si>
  <si>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</si>
  <si>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</si>
  <si>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</si>
  <si>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</si>
  <si>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</si>
  <si>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</si>
  <si>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</si>
  <si>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</si>
  <si>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</si>
  <si>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</si>
  <si>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</si>
  <si>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</si>
  <si>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</si>
  <si>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</si>
  <si>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</si>
  <si>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</si>
  <si>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</si>
  <si>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</si>
  <si>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</si>
  <si>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</si>
  <si>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</si>
  <si>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</si>
  <si>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</si>
  <si>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</si>
  <si>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</si>
  <si>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</si>
  <si>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</si>
  <si>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</si>
  <si>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</si>
  <si>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</si>
  <si>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</si>
  <si>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</si>
  <si>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</si>
  <si>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90000314;0;3;7;1,0.8,1,1,1,1,1,1,1;5000,0,0,0,0</t>
  </si>
  <si>
    <t>召唤7个精灵，精灵会继承自身100%伤害,随机对附近敌方单位随机造成伤害,精灵自身为虚空状态,无法被攻击。</t>
  </si>
  <si>
    <t>90000314;0;3;8;1,0.8,1,1,1,1,1,1,1;5000,0,0,0,0</t>
  </si>
  <si>
    <t>召唤8个精灵，精灵会继承自身100%伤害,随机对附近敌方单位随机造成伤害,精灵自身为虚空状态,无法被攻击。</t>
  </si>
  <si>
    <t>90000314;0;3;9;1,0.8,1,1,1,1,1,1,1;5000,0,0,0,0</t>
  </si>
  <si>
    <t>召唤9个精灵，精灵会继承自身100%伤害,随机对附近敌方单位随机造成伤害,精灵自身为虚空状态,无法被攻击。</t>
  </si>
  <si>
    <t>90000314;0;3;10;1,0.8,1,1,1,1,1,1,1;5000,0,0,0,0</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</si>
  <si>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</si>
  <si>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</si>
  <si>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</si>
  <si>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</si>
  <si>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</si>
  <si>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</si>
  <si>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</si>
  <si>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</si>
  <si>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</si>
  <si>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</si>
  <si>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</si>
  <si>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</si>
  <si>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</si>
  <si>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</si>
  <si>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</si>
  <si>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</si>
  <si>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</si>
  <si>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</si>
  <si>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</si>
  <si>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</si>
  <si>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</si>
  <si>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</si>
  <si>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</si>
  <si>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</si>
  <si>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</si>
  <si>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</si>
  <si>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</si>
  <si>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</si>
  <si>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</si>
  <si>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</si>
  <si>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</si>
  <si>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</si>
  <si>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</si>
  <si>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</si>
  <si>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</si>
  <si>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</si>
  <si>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</si>
  <si>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</si>
  <si>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</si>
  <si>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</si>
  <si>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</si>
  <si>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</si>
  <si>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</si>
  <si>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</si>
  <si>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</si>
  <si>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</si>
  <si>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</si>
  <si>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</si>
  <si>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</si>
  <si>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</si>
  <si>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</si>
  <si>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</si>
  <si>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</si>
  <si>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</si>
  <si>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</si>
  <si>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</si>
  <si>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</si>
  <si>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</si>
  <si>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</si>
  <si>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</si>
  <si>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</si>
  <si>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</si>
  <si>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</si>
  <si>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</si>
  <si>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</si>
  <si>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</si>
  <si>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</si>
  <si>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</si>
  <si>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</si>
  <si>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</si>
  <si>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</si>
  <si>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</si>
  <si>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</si>
  <si>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</si>
  <si>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</si>
  <si>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</si>
  <si>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</si>
  <si>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</si>
  <si>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</si>
  <si>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</si>
  <si>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</si>
  <si>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</si>
  <si>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</si>
  <si>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</si>
  <si>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</si>
  <si>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</si>
  <si>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</si>
  <si>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</si>
  <si>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</si>
  <si>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</si>
  <si>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</si>
  <si>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</si>
  <si>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</si>
  <si>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</si>
  <si>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</si>
  <si>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</si>
  <si>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</si>
  <si>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</si>
  <si>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</si>
  <si>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</si>
  <si>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</si>
  <si>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</si>
  <si>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</si>
  <si>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</si>
  <si>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</si>
  <si>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</si>
  <si>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</si>
  <si>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</si>
  <si>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</si>
  <si>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</si>
  <si>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</si>
  <si>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</si>
  <si>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</si>
  <si>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</si>
  <si>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</si>
  <si>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</si>
  <si>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</si>
  <si>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</si>
  <si>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</si>
  <si>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</si>
  <si>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</si>
  <si>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</si>
  <si>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</si>
  <si>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</si>
  <si>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</si>
  <si>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</si>
  <si>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</si>
  <si>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</si>
  <si>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</si>
  <si>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</si>
  <si>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</si>
  <si>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</si>
  <si>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</si>
  <si>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</si>
  <si>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</si>
  <si>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</si>
  <si>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</si>
  <si>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</si>
  <si>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</si>
  <si>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</si>
  <si>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</si>
  <si>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</si>
  <si>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</si>
  <si>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</si>
  <si>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</si>
  <si>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</si>
  <si>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</si>
  <si>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</si>
  <si>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</si>
  <si>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</si>
  <si>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</si>
  <si>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</si>
  <si>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</si>
  <si>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</si>
  <si>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</si>
  <si>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</si>
  <si>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</si>
  <si>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</si>
  <si>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</si>
  <si>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</si>
  <si>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</si>
  <si>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</si>
  <si>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</si>
  <si>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</si>
  <si>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</si>
  <si>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</si>
  <si>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</si>
  <si>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</si>
  <si>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</si>
  <si>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</si>
  <si>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</si>
  <si>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</si>
  <si>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</si>
  <si>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</si>
  <si>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</si>
  <si>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</si>
  <si>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</si>
  <si>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</si>
  <si>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</si>
  <si>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</si>
  <si>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</si>
  <si>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</si>
  <si>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</si>
  <si>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</si>
  <si>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</si>
  <si>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</si>
  <si>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</si>
  <si>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</si>
  <si>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</si>
  <si>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</si>
  <si>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</si>
  <si>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</si>
  <si>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</si>
  <si>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</si>
  <si>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</si>
  <si>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</si>
  <si>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</si>
  <si>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</si>
  <si>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</si>
  <si>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</si>
  <si>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</si>
  <si>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</si>
  <si>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</si>
  <si>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</si>
  <si>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</si>
  <si>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</si>
  <si>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</si>
  <si>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</si>
  <si>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</si>
  <si>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</si>
  <si>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</si>
  <si>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</si>
  <si>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</si>
  <si>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</si>
  <si>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</si>
  <si>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</si>
  <si>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</si>
  <si>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</si>
  <si>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</si>
  <si>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</si>
  <si>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</si>
  <si>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</si>
  <si>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</si>
  <si>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</si>
  <si>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</si>
  <si>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</si>
  <si>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</si>
  <si>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</si>
  <si>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</si>
  <si>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</si>
  <si>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</si>
  <si>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</si>
  <si>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</si>
  <si>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</si>
  <si>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</si>
  <si>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</si>
  <si>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</si>
  <si>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</si>
  <si>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</si>
  <si>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</si>
  <si>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</si>
  <si>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</si>
  <si>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</si>
  <si>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</si>
  <si>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</si>
  <si>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</si>
  <si>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</si>
  <si>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</si>
  <si>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</si>
  <si>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</si>
  <si>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</si>
  <si>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</si>
  <si>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</si>
  <si>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</si>
  <si>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</si>
  <si>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</si>
  <si>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</si>
  <si>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</si>
  <si>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</si>
  <si>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</si>
  <si>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</si>
  <si>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</si>
  <si>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</si>
  <si>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</si>
  <si>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</si>
  <si>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</si>
  <si>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</si>
  <si>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</si>
  <si>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</si>
  <si>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</si>
  <si>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</si>
  <si>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</si>
  <si>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</si>
  <si>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</si>
  <si>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</si>
  <si>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</si>
  <si>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</si>
  <si>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</si>
  <si>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</si>
  <si>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</si>
  <si>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</si>
  <si>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</si>
  <si>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</si>
  <si>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</si>
  <si>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</si>
  <si>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</si>
  <si>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</si>
  <si>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</si>
  <si>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</si>
  <si>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</si>
  <si>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</si>
  <si>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</si>
  <si>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</si>
  <si>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</si>
  <si>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</si>
  <si>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</si>
  <si>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</si>
  <si>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</si>
  <si>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</si>
  <si>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</si>
  <si>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</si>
  <si>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</si>
  <si>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</si>
  <si>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</si>
  <si>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</si>
  <si>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</si>
  <si>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</si>
  <si>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</si>
  <si>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</si>
  <si>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</si>
  <si>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</si>
  <si>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</si>
  <si>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</si>
  <si>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</si>
  <si>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</si>
  <si>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</si>
  <si>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</si>
  <si>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</si>
  <si>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</si>
  <si>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</si>
  <si>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</si>
  <si>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</si>
  <si>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</si>
  <si>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</si>
  <si>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</si>
  <si>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</si>
  <si>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</si>
  <si>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</si>
  <si>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</si>
  <si>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</si>
  <si>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</si>
  <si>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</si>
  <si>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</si>
  <si>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</si>
  <si>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</si>
  <si>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</si>
  <si>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</si>
  <si>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</si>
  <si>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</si>
  <si>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</si>
  <si>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</si>
  <si>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</si>
  <si>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</si>
  <si>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</si>
  <si>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</si>
  <si>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</si>
  <si>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</si>
  <si>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</si>
  <si>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</si>
  <si>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</si>
  <si>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</si>
  <si>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</si>
  <si>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</si>
  <si>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</si>
  <si>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</si>
  <si>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</si>
  <si>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</si>
  <si>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</si>
  <si>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</si>
  <si>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</si>
  <si>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</si>
  <si>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</si>
  <si>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</si>
  <si>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</si>
  <si>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</si>
  <si>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</si>
  <si>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</si>
  <si>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</si>
  <si>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</si>
  <si>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</si>
  <si>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</si>
  <si>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</si>
  <si>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</si>
  <si>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</si>
  <si>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</si>
  <si>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</si>
  <si>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</si>
  <si>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</si>
  <si>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</si>
  <si>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</si>
  <si>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</si>
  <si>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</si>
  <si>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</si>
  <si>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</si>
  <si>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</si>
  <si>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</si>
  <si>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</si>
  <si>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</si>
  <si>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</si>
  <si>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</si>
  <si>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</si>
  <si>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</si>
  <si>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</si>
  <si>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</si>
  <si>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</si>
  <si>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</si>
  <si>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</si>
  <si>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</si>
  <si>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</si>
  <si>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</si>
  <si>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</si>
  <si>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</si>
  <si>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</si>
  <si>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</si>
  <si>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</si>
  <si>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</si>
  <si>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</si>
  <si>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</si>
  <si>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</si>
  <si>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</si>
  <si>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</si>
  <si>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</si>
  <si>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</si>
  <si>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</si>
  <si>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</si>
  <si>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</si>
  <si>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</si>
  <si>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</si>
  <si>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</si>
  <si>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</si>
  <si>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</si>
  <si>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</si>
  <si>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</si>
  <si>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</si>
  <si>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</si>
  <si>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</si>
  <si>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</si>
  <si>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</si>
  <si>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</si>
  <si>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</si>
  <si>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</si>
  <si>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</si>
  <si>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</si>
  <si>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</si>
  <si>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</si>
  <si>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</si>
  <si>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</si>
  <si>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</si>
  <si>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</si>
  <si>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</si>
  <si>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</si>
  <si>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</si>
  <si>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</si>
  <si>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</si>
  <si>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</si>
  <si>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</si>
  <si>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</si>
  <si>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</si>
  <si>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</si>
  <si>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</si>
  <si>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</si>
  <si>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</si>
  <si>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</si>
  <si>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</si>
  <si>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</si>
  <si>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</si>
  <si>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</si>
  <si>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</si>
  <si>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</si>
  <si>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</si>
  <si>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</si>
  <si>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</si>
  <si>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</si>
  <si>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</si>
  <si>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</si>
  <si>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</si>
  <si>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</si>
  <si>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</si>
  <si>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</si>
  <si>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</si>
  <si>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</si>
  <si>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</si>
  <si>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</si>
  <si>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</si>
  <si>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</si>
  <si>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</si>
  <si>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</si>
  <si>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</si>
  <si>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</si>
  <si>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</si>
  <si>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</si>
  <si>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</si>
  <si>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</si>
  <si>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</si>
  <si>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</si>
  <si>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</si>
  <si>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</si>
  <si>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</si>
  <si>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</si>
  <si>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</si>
  <si>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</si>
  <si>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</si>
  <si>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</si>
  <si>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</si>
  <si>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</si>
  <si>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</si>
  <si>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</si>
  <si>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</si>
  <si>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</si>
  <si>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</si>
  <si>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</si>
  <si>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</si>
  <si>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</si>
  <si>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</si>
  <si>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</si>
  <si>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</si>
  <si>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</si>
  <si>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</si>
  <si>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</si>
  <si>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</si>
  <si>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</si>
  <si>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</si>
  <si>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</si>
  <si>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</si>
  <si>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</si>
  <si>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</si>
  <si>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</si>
  <si>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</si>
  <si>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</si>
  <si>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</si>
  <si>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</si>
  <si>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</si>
  <si>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</si>
  <si>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</si>
  <si>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</si>
  <si>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</si>
  <si>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</si>
  <si>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</si>
  <si>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</si>
  <si>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</si>
  <si>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</si>
  <si>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</si>
  <si>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</si>
  <si>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</si>
  <si>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</si>
  <si>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</si>
  <si>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</si>
  <si>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</si>
  <si>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</si>
  <si>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</si>
  <si>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</si>
  <si>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</si>
  <si>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</si>
  <si>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</si>
  <si>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</si>
  <si>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</si>
  <si>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</si>
  <si>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</si>
  <si>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</si>
  <si>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</si>
  <si>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</si>
  <si>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</si>
  <si>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</si>
  <si>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</si>
  <si>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</si>
  <si>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</si>
  <si>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</si>
  <si>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</si>
  <si>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</si>
  <si>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</si>
  <si>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</si>
  <si>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</si>
  <si>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</si>
  <si>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</si>
  <si>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</si>
  <si>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</si>
  <si>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</si>
  <si>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</si>
  <si>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</si>
  <si>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</si>
  <si>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</si>
  <si>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</si>
  <si>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</si>
  <si>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</si>
  <si>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</si>
  <si>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</si>
  <si>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</si>
  <si>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</si>
  <si>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</si>
  <si>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</si>
  <si>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</si>
  <si>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</si>
  <si>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</si>
  <si>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</si>
  <si>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</si>
  <si>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</si>
  <si>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</si>
  <si>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</si>
  <si>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</si>
  <si>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</si>
  <si>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</si>
  <si>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</si>
  <si>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</si>
  <si>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</si>
  <si>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</si>
  <si>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</si>
  <si>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</si>
  <si>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</si>
  <si>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</si>
  <si>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</si>
  <si>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</si>
  <si>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</si>
  <si>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</si>
  <si>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</si>
  <si>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</si>
  <si>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</si>
  <si>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</si>
  <si>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</si>
  <si>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</si>
  <si>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</si>
  <si>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</si>
  <si>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</si>
  <si>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</si>
  <si>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</si>
  <si>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</si>
  <si>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</si>
  <si>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</si>
  <si>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</si>
  <si>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</si>
  <si>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</si>
  <si>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</si>
  <si>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</si>
  <si>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</si>
  <si>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</si>
  <si>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</si>
  <si>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</si>
  <si>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</si>
  <si>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</si>
  <si>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</si>
  <si>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</si>
  <si>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</si>
  <si>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</si>
  <si>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</si>
  <si>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</si>
  <si>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</si>
  <si>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</si>
  <si>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</si>
  <si>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</si>
  <si>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</si>
  <si>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</si>
  <si>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</si>
  <si>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</si>
  <si>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</si>
  <si>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</si>
  <si>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</si>
  <si>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</si>
  <si>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</si>
  <si>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</si>
  <si>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</si>
  <si>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</si>
  <si>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</si>
  <si>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</si>
  <si>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</si>
  <si>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</si>
  <si>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</si>
  <si>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</si>
  <si>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</si>
  <si>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</si>
  <si>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</si>
  <si>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</si>
  <si>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</si>
  <si>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</si>
  <si>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</si>
  <si>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</si>
  <si>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</si>
  <si>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</si>
  <si>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</si>
  <si>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</si>
  <si>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</si>
  <si>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</si>
  <si>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</si>
  <si>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</si>
  <si>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</si>
  <si>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</si>
  <si>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</si>
  <si>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</si>
  <si>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</si>
  <si>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</si>
  <si>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</si>
  <si>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</si>
  <si>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</si>
  <si>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</si>
  <si>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</si>
  <si>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</si>
  <si>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</si>
  <si>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</si>
  <si>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</si>
  <si>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</si>
  <si>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</si>
  <si>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</si>
  <si>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</si>
  <si>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</si>
  <si>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</si>
  <si>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</si>
  <si>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</si>
  <si>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</si>
  <si>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</si>
  <si>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</si>
  <si>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</si>
  <si>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</si>
  <si>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</si>
  <si>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</si>
  <si>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</si>
  <si>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</si>
  <si>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</si>
  <si>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</si>
  <si>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</si>
  <si>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</si>
  <si>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</si>
  <si>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</si>
  <si>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</si>
  <si>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</si>
  <si>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</si>
  <si>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</si>
  <si>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</si>
  <si>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</si>
  <si>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</si>
  <si>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</si>
  <si>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</si>
  <si>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</si>
  <si>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</si>
  <si>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</si>
  <si>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</si>
  <si>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</si>
  <si>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</si>
  <si>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</si>
  <si>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</si>
  <si>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</si>
  <si>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</si>
  <si>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</si>
  <si>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</si>
  <si>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</si>
  <si>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</si>
  <si>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</si>
  <si>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</si>
  <si>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</si>
  <si>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</si>
  <si>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</si>
  <si>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</si>
  <si>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</si>
  <si>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</si>
  <si>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</si>
  <si>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</si>
  <si>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</si>
  <si>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</si>
  <si>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</si>
  <si>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</si>
  <si>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</si>
  <si>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</si>
  <si>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</si>
  <si>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</si>
  <si>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</si>
  <si>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</si>
  <si>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</si>
  <si>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</si>
  <si>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</si>
  <si>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</si>
  <si>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</si>
  <si>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</si>
  <si>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</si>
  <si>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</si>
  <si>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</si>
  <si>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</si>
  <si>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</si>
  <si>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</si>
  <si>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</si>
  <si>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</si>
  <si>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</si>
  <si>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</si>
  <si>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</si>
  <si>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</si>
  <si>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</si>
  <si>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</si>
  <si>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</si>
  <si>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</si>
  <si>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</si>
  <si>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</si>
  <si>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</si>
  <si>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</si>
  <si>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</si>
  <si>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</si>
  <si>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</si>
  <si>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</si>
  <si>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</si>
  <si>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</si>
  <si>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</si>
  <si>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</si>
  <si>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</si>
  <si>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</si>
  <si>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</si>
  <si>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</si>
  <si>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</si>
  <si>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</si>
  <si>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</si>
  <si>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</si>
  <si>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</si>
  <si>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</si>
  <si>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</si>
  <si>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</si>
  <si>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</si>
  <si>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</si>
  <si>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</si>
  <si>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</si>
  <si>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</si>
  <si>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</si>
  <si>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</si>
  <si>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</si>
  <si>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</si>
  <si>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</si>
  <si>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</si>
  <si>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</si>
  <si>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</si>
  <si>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</si>
  <si>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</si>
  <si>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</si>
  <si>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</si>
  <si>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</si>
  <si>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</si>
  <si>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</si>
  <si>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</si>
  <si>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</si>
  <si>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</si>
  <si>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</si>
  <si>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</si>
  <si>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</si>
  <si>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</si>
  <si>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</si>
  <si>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</si>
  <si>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</si>
  <si>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</si>
  <si>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</si>
  <si>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</si>
  <si>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</si>
  <si>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</si>
  <si>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</si>
  <si>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</si>
  <si>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</si>
  <si>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</si>
  <si>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</si>
  <si>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</si>
  <si>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</si>
  <si>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</si>
  <si>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</si>
  <si>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</si>
  <si>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</si>
  <si>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</si>
  <si>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</si>
  <si>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</si>
  <si>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</si>
  <si>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</si>
  <si>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</si>
  <si>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</si>
  <si>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</si>
  <si>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</si>
  <si>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</si>
  <si>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</si>
  <si>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</si>
  <si>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</si>
  <si>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</si>
  <si>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</si>
  <si>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</si>
  <si>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</si>
  <si>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</si>
  <si>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</si>
  <si>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</si>
  <si>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</si>
  <si>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</si>
  <si>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</si>
  <si>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</si>
  <si>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</si>
  <si>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</si>
  <si>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</si>
  <si>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</si>
  <si>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</si>
  <si>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</si>
  <si>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</si>
  <si>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</si>
  <si>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</si>
  <si>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</si>
  <si>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</si>
  <si>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</si>
  <si>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</si>
  <si>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</si>
  <si>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</si>
  <si>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</si>
  <si>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</si>
  <si>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</si>
  <si>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</si>
  <si>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</si>
  <si>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</si>
  <si>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</si>
  <si>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</si>
  <si>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</si>
  <si>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</si>
  <si>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</si>
  <si>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</si>
  <si>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</si>
  <si>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</si>
  <si>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</si>
  <si>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</si>
  <si>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</si>
  <si>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</si>
  <si>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</si>
  <si>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</si>
  <si>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</si>
  <si>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</si>
  <si>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</si>
  <si>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</si>
  <si>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</si>
  <si>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</si>
  <si>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</si>
  <si>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</si>
  <si>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</si>
  <si>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</si>
  <si>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</si>
  <si>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</si>
  <si>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</si>
  <si>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</si>
  <si>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</si>
  <si>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</si>
  <si>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</si>
  <si>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</si>
  <si>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</si>
  <si>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</si>
  <si>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</si>
  <si>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</si>
  <si>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</si>
  <si>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</si>
  <si>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</si>
  <si>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</si>
  <si>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</si>
  <si>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</si>
  <si>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</si>
  <si>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</si>
  <si>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</si>
  <si>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</si>
  <si>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</si>
  <si>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</si>
  <si>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</si>
  <si>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</si>
  <si>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</si>
  <si>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</si>
  <si>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</si>
  <si>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</si>
  <si>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</si>
  <si>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</si>
  <si>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</si>
  <si>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</si>
  <si>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</si>
  <si>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</si>
  <si>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</si>
  <si>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</si>
  <si>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</si>
  <si>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</si>
  <si>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</si>
  <si>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</si>
  <si>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</si>
  <si>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</si>
  <si>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</si>
  <si>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</si>
  <si>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</si>
  <si>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</si>
  <si>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</si>
  <si>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</si>
  <si>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</si>
  <si>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</si>
  <si>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</si>
  <si>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</si>
  <si>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</si>
  <si>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</si>
  <si>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</si>
  <si>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</si>
  <si>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</si>
  <si>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</si>
  <si>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</si>
  <si>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</si>
  <si>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</si>
  <si>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</si>
  <si>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</si>
  <si>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</si>
  <si>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</si>
  <si>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</si>
  <si>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</si>
  <si>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</si>
  <si>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</si>
  <si>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</si>
  <si>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</si>
  <si>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</si>
  <si>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</si>
  <si>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</si>
  <si>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</si>
  <si>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</si>
  <si>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</si>
  <si>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</si>
  <si>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</si>
  <si>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</si>
  <si>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</si>
  <si>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</si>
  <si>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</si>
  <si>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</si>
  <si>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</si>
  <si>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</si>
  <si>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</si>
  <si>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</si>
  <si>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</si>
  <si>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</si>
  <si>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</si>
  <si>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</si>
  <si>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</si>
  <si>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</si>
  <si>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</si>
  <si>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</si>
  <si>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</si>
  <si>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</si>
  <si>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</si>
  <si>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</si>
  <si>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</si>
  <si>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</si>
  <si>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</si>
  <si>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</si>
  <si>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</si>
  <si>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</si>
  <si>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</si>
  <si>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</si>
  <si>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</si>
  <si>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</si>
  <si>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</si>
  <si>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</si>
  <si>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</si>
  <si>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</si>
  <si>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</si>
  <si>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</si>
  <si>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</si>
  <si>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</si>
  <si>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</si>
  <si>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</si>
  <si>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</si>
  <si>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</si>
  <si>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</si>
  <si>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</si>
  <si>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</si>
  <si>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</si>
  <si>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</si>
  <si>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</si>
  <si>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</si>
  <si>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</si>
  <si>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</si>
  <si>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</si>
  <si>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</si>
  <si>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</si>
  <si>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</si>
  <si>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</si>
  <si>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</si>
  <si>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</si>
  <si>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</si>
  <si>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</si>
  <si>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</si>
  <si>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</si>
  <si>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</si>
  <si>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</si>
  <si>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</si>
  <si>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</si>
  <si>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</si>
  <si>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</si>
  <si>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</si>
  <si>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</si>
  <si>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</si>
  <si>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</si>
  <si>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</si>
  <si>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</si>
  <si>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</si>
  <si>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</si>
  <si>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</si>
  <si>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</si>
  <si>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</si>
  <si>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</si>
  <si>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</si>
  <si>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</si>
  <si>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</si>
  <si>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</si>
  <si>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</si>
  <si>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</si>
  <si>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</si>
  <si>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</si>
  <si>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</si>
  <si>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</si>
  <si>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</si>
  <si>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</si>
  <si>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</si>
  <si>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</si>
  <si>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</si>
  <si>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</si>
  <si>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</si>
  <si>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</si>
  <si>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</si>
  <si>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</si>
  <si>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</si>
  <si>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</si>
  <si>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</si>
  <si>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</si>
  <si>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</si>
  <si>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</si>
  <si>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</si>
  <si>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</si>
  <si>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</si>
  <si>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</si>
  <si>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</si>
  <si>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</si>
  <si>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</si>
  <si>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</si>
  <si>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</si>
  <si>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</si>
  <si>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</si>
  <si>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</si>
  <si>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</si>
  <si>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</si>
  <si>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</si>
  <si>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</si>
  <si>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</si>
  <si>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</si>
  <si>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</si>
  <si>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</si>
  <si>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</si>
  <si>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</si>
  <si>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</si>
  <si>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</si>
  <si>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</si>
  <si>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</si>
  <si>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</si>
  <si>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</si>
  <si>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</si>
  <si>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</si>
  <si>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</si>
  <si>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</si>
  <si>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</si>
  <si>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</si>
  <si>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</si>
  <si>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</si>
  <si>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</si>
  <si>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</si>
  <si>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</si>
  <si>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</si>
  <si>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</si>
  <si>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</si>
  <si>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</si>
  <si>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</si>
  <si>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</si>
  <si>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</si>
  <si>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</si>
  <si>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</si>
  <si>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</si>
  <si>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</si>
  <si>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</si>
  <si>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</si>
  <si>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</si>
  <si>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</si>
  <si>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</si>
  <si>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</si>
  <si>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</si>
  <si>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</si>
  <si>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</si>
  <si>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</si>
  <si>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</si>
  <si>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</si>
  <si>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</si>
  <si>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</si>
  <si>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</si>
  <si>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</si>
  <si>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</si>
  <si>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</si>
  <si>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</si>
  <si>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</si>
  <si>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</si>
  <si>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</si>
  <si>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</si>
  <si>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</si>
  <si>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</si>
  <si>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</si>
  <si>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</si>
  <si>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</si>
  <si>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</si>
  <si>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</si>
  <si>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</si>
  <si>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</si>
  <si>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</si>
  <si>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</si>
  <si>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</si>
  <si>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</si>
  <si>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</si>
  <si>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</si>
  <si>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</si>
  <si>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</si>
  <si>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</si>
  <si>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</si>
  <si>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</si>
  <si>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</si>
  <si>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</si>
  <si>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</si>
  <si>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</si>
  <si>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</si>
  <si>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</si>
  <si>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</si>
  <si>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</si>
  <si>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</si>
  <si>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</si>
  <si>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</si>
  <si>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</si>
  <si>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</si>
  <si>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</si>
  <si>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</si>
  <si>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</si>
  <si>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</si>
  <si>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</si>
  <si>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</si>
  <si>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</si>
  <si>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</si>
  <si>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</si>
  <si>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</si>
  <si>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</si>
  <si>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</si>
  <si>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</si>
  <si>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</si>
  <si>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</si>
  <si>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</si>
  <si>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</si>
  <si>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</si>
  <si>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</si>
  <si>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</si>
  <si>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</si>
  <si>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</si>
  <si>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</si>
  <si>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</si>
  <si>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</si>
  <si>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</si>
  <si>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</si>
  <si>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</si>
  <si>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</si>
  <si>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</si>
  <si>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</si>
  <si>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</si>
  <si>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</si>
  <si>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</si>
  <si>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</si>
  <si>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</si>
  <si>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</si>
  <si>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</si>
  <si>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</si>
  <si>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</si>
  <si>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</si>
  <si>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</si>
  <si>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</si>
  <si>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</si>
  <si>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</si>
  <si>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</si>
  <si>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</si>
  <si>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</si>
  <si>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</si>
  <si>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</si>
  <si>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</si>
  <si>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</si>
  <si>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</si>
  <si>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</si>
  <si>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</si>
  <si>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</si>
  <si>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</si>
  <si>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</si>
  <si>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</si>
  <si>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</si>
  <si>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</si>
  <si>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</si>
  <si>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</si>
  <si>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</si>
  <si>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</si>
  <si>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</si>
  <si>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</si>
  <si>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</si>
  <si>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</si>
  <si>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</si>
  <si>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</si>
  <si>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</si>
  <si>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</si>
  <si>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</si>
  <si>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</si>
  <si>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</si>
  <si>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</si>
  <si>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</si>
  <si>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</si>
  <si>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</si>
  <si>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</si>
  <si>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</si>
  <si>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</si>
  <si>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</si>
  <si>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</si>
  <si>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</si>
  <si>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</si>
  <si>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</si>
  <si>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</si>
  <si>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</si>
  <si>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</si>
  <si>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</si>
  <si>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</si>
  <si>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</si>
  <si>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</si>
  <si>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</si>
  <si>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</si>
  <si>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</si>
  <si>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</si>
  <si>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</si>
  <si>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</si>
  <si>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</si>
  <si>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</si>
  <si>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</si>
  <si>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</si>
  <si>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</si>
  <si>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</si>
  <si>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</si>
  <si>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</si>
  <si>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</si>
  <si>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</si>
  <si>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</si>
  <si>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</si>
  <si>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</si>
  <si>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</si>
  <si>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</si>
  <si>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</si>
  <si>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</si>
  <si>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</si>
  <si>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</si>
  <si>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</si>
  <si>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</si>
  <si>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</si>
  <si>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</si>
  <si>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</si>
  <si>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</si>
  <si>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</si>
  <si>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</si>
  <si>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</si>
  <si>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</si>
  <si>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</si>
  <si>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</si>
  <si>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</si>
  <si>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</si>
  <si>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</si>
  <si>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</si>
  <si>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</si>
  <si>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</si>
  <si>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</si>
  <si>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</si>
  <si>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</si>
  <si>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</si>
  <si>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</si>
  <si>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</si>
  <si>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</si>
  <si>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</si>
  <si>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</si>
  <si>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</si>
  <si>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</si>
  <si>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</si>
  <si>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</si>
  <si>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</si>
  <si>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</si>
  <si>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</si>
  <si>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</si>
  <si>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</si>
  <si>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</si>
  <si>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</si>
  <si>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</si>
  <si>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</si>
  <si>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</si>
  <si>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</si>
  <si>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</si>
  <si>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</si>
  <si>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</si>
  <si>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</si>
  <si>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</si>
  <si>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</si>
  <si>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</si>
  <si>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</si>
  <si>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</si>
  <si>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</si>
  <si>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</si>
  <si>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</si>
  <si>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</si>
  <si>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</si>
  <si>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</si>
  <si>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</si>
  <si>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</si>
  <si>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</si>
  <si>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</si>
  <si>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</si>
  <si>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</si>
  <si>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</si>
  <si>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</si>
  <si>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</si>
  <si>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</si>
  <si>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</si>
  <si>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</si>
  <si>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</si>
  <si>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</si>
  <si>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</si>
  <si>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</si>
  <si>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</si>
  <si>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</si>
  <si>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</si>
  <si>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</si>
  <si>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</si>
  <si>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</si>
  <si>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</si>
  <si>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</si>
  <si>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</si>
  <si>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</si>
  <si>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</si>
  <si>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</si>
  <si>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</si>
  <si>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</si>
  <si>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</si>
  <si>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</si>
  <si>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</si>
  <si>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</si>
  <si>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</si>
  <si>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</si>
  <si>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</si>
  <si>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</si>
  <si>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</si>
  <si>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</si>
  <si>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</si>
  <si>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</si>
  <si>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</si>
  <si>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</si>
  <si>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</si>
  <si>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</si>
  <si>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</si>
  <si>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</si>
  <si>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</si>
  <si>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</si>
  <si>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</si>
  <si>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</si>
  <si>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</si>
  <si>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</si>
  <si>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</si>
  <si>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</si>
  <si>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</si>
  <si>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</si>
  <si>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</si>
  <si>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</si>
  <si>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</si>
  <si>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</si>
  <si>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</si>
  <si>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</si>
  <si>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</si>
  <si>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</si>
  <si>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</si>
  <si>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</si>
  <si>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</si>
  <si>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</si>
  <si>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</si>
  <si>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</si>
  <si>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</si>
  <si>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</si>
  <si>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</si>
  <si>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</si>
  <si>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</si>
  <si>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</si>
  <si>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</si>
  <si>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</si>
  <si>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</si>
  <si>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</si>
  <si>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</si>
  <si>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</si>
  <si>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</si>
  <si>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</si>
  <si>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</si>
  <si>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</si>
  <si>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</si>
  <si>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</si>
  <si>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</si>
  <si>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</si>
  <si>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</si>
  <si>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</si>
  <si>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</si>
  <si>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</si>
  <si>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</si>
  <si>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</si>
  <si>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</si>
  <si>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</si>
  <si>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</si>
  <si>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</si>
  <si>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</si>
  <si>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</si>
  <si>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</si>
  <si>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</si>
  <si>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</si>
  <si>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</si>
  <si>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</si>
  <si>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</si>
  <si>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</si>
  <si>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</si>
  <si>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</si>
  <si>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</si>
  <si>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</si>
  <si>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</si>
  <si>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</si>
  <si>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</si>
  <si>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</si>
  <si>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</si>
  <si>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</si>
  <si>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</si>
  <si>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</si>
  <si>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</si>
  <si>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</si>
  <si>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</si>
  <si>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</si>
  <si>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</si>
  <si>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</si>
  <si>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</si>
  <si>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</si>
  <si>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</si>
  <si>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</si>
  <si>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</si>
  <si>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</si>
  <si>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</si>
  <si>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</si>
  <si>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</si>
  <si>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</si>
  <si>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</si>
  <si>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</si>
  <si>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</si>
  <si>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</si>
  <si>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</si>
  <si>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</si>
  <si>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</si>
  <si>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</si>
  <si>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</si>
  <si>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</si>
  <si>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</si>
  <si>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</si>
  <si>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</si>
  <si>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</si>
  <si>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</si>
  <si>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</si>
  <si>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</si>
  <si>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</si>
  <si>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</si>
  <si>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</si>
  <si>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</si>
  <si>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</si>
  <si>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</si>
  <si>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</si>
  <si>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</si>
  <si>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</si>
  <si>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</si>
  <si>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</si>
  <si>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</si>
  <si>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</si>
  <si>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</si>
  <si>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</si>
  <si>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</si>
  <si>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</si>
  <si>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</si>
  <si>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</si>
  <si>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</si>
  <si>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</si>
  <si>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</si>
  <si>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</si>
  <si>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</si>
  <si>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</si>
  <si>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</si>
  <si>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</si>
  <si>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</si>
  <si>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</si>
  <si>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</si>
  <si>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</si>
  <si>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</si>
  <si>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</si>
  <si>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</si>
  <si>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</si>
  <si>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</si>
  <si>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</si>
  <si>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</si>
  <si>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</si>
  <si>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</si>
  <si>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</si>
  <si>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</si>
  <si>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</si>
  <si>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</si>
  <si>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</si>
  <si>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</si>
  <si>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</si>
  <si>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</si>
  <si>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</si>
  <si>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</si>
  <si>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</si>
  <si>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</si>
  <si>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</si>
  <si>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</si>
  <si>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</si>
  <si>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</si>
  <si>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</si>
  <si>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</si>
  <si>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</si>
  <si>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</si>
  <si>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</si>
  <si>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</si>
  <si>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</si>
  <si>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</si>
  <si>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</si>
  <si>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</si>
  <si>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</si>
  <si>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</si>
  <si>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</si>
  <si>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</si>
  <si>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</si>
  <si>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</si>
  <si>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</si>
  <si>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</si>
  <si>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</si>
  <si>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</si>
  <si>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</si>
  <si>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</si>
  <si>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</si>
  <si>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</si>
  <si>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</si>
  <si>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</si>
  <si>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</si>
  <si>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</si>
  <si>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</si>
  <si>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</si>
  <si>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</si>
  <si>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</si>
  <si>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</si>
  <si>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</si>
  <si>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</si>
  <si>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</si>
  <si>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</si>
  <si>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</si>
  <si>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</si>
  <si>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</si>
  <si>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</si>
  <si>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</si>
  <si>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</si>
  <si>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</si>
  <si>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</si>
  <si>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</si>
  <si>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</si>
  <si>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</si>
  <si>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</si>
  <si>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</si>
  <si>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</si>
  <si>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</si>
  <si>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</si>
  <si>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</si>
  <si>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</si>
  <si>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</si>
  <si>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</si>
  <si>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</si>
  <si>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</si>
  <si>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</si>
  <si>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</si>
  <si>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</si>
  <si>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</si>
  <si>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</si>
  <si>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</si>
  <si>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</si>
  <si>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</si>
  <si>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</si>
  <si>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</si>
  <si>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</si>
  <si>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</si>
  <si>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</si>
  <si>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</si>
  <si>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</si>
  <si>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</si>
  <si>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</si>
  <si>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</si>
  <si>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</si>
  <si>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</si>
  <si>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</si>
  <si>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</si>
  <si>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</si>
  <si>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</si>
  <si>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</si>
  <si>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</si>
  <si>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</si>
  <si>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</si>
  <si>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</si>
  <si>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</si>
  <si>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</si>
  <si>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</si>
  <si>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</si>
  <si>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</si>
  <si>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</si>
  <si>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</si>
  <si>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</si>
  <si>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</si>
  <si>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</si>
  <si>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</si>
  <si>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</si>
  <si>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</si>
  <si>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</si>
  <si>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</si>
  <si>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</si>
  <si>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</si>
  <si>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</si>
  <si>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</si>
  <si>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</si>
  <si>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</si>
  <si>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</si>
  <si>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</si>
  <si>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</si>
  <si>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</si>
  <si>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</si>
  <si>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</si>
  <si>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</si>
  <si>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</si>
  <si>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</si>
  <si>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</si>
  <si>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</si>
  <si>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</si>
  <si>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</si>
  <si>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</si>
  <si>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</si>
  <si>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</si>
  <si>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</si>
  <si>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</si>
  <si>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</si>
  <si>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</si>
  <si>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</si>
  <si>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</si>
  <si>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</si>
  <si>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</si>
  <si>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</si>
  <si>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</si>
  <si>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</si>
  <si>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</si>
  <si>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</si>
  <si>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</si>
  <si>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</si>
  <si>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</si>
  <si>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</si>
  <si>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</si>
  <si>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</si>
  <si>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</si>
  <si>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</si>
  <si>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</si>
  <si>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</si>
  <si>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</si>
  <si>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</si>
  <si>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</si>
  <si>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</si>
  <si>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</si>
  <si>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</si>
  <si>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</si>
  <si>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</si>
  <si>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</si>
  <si>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</si>
  <si>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</si>
  <si>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</si>
  <si>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</si>
  <si>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</si>
  <si>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</si>
  <si>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</si>
  <si>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</si>
  <si>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</si>
  <si>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</si>
  <si>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</si>
  <si>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</si>
  <si>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</si>
  <si>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</si>
  <si>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</si>
  <si>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</si>
  <si>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</si>
  <si>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</si>
  <si>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</si>
  <si>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</si>
  <si>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</si>
  <si>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</si>
  <si>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</si>
  <si>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</si>
  <si>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</si>
  <si>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</si>
  <si>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</si>
  <si>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</si>
  <si>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</si>
  <si>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</si>
  <si>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</si>
  <si>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</si>
  <si>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</si>
  <si>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</si>
  <si>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</si>
  <si>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</si>
  <si>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</si>
  <si>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</si>
  <si>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</si>
  <si>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</si>
  <si>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</si>
  <si>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</si>
  <si>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</si>
  <si>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</si>
  <si>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</si>
  <si>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</si>
  <si>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</si>
  <si>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</si>
  <si>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</si>
  <si>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</si>
  <si>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</si>
  <si>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</si>
  <si>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</si>
  <si>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</si>
  <si>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</si>
  <si>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</si>
  <si>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</si>
  <si>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</si>
  <si>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</si>
  <si>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</si>
  <si>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</si>
  <si>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</si>
  <si>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</si>
  <si>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</si>
  <si>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</si>
  <si>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</si>
  <si>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</si>
  <si>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</si>
  <si>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</si>
  <si>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</si>
  <si>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</si>
  <si>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</si>
  <si>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</si>
  <si>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</si>
  <si>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</si>
  <si>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</si>
  <si>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</si>
  <si>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</si>
  <si>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</si>
  <si>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</si>
  <si>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</si>
  <si>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</si>
  <si>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</si>
  <si>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</si>
  <si>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</si>
  <si>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</si>
  <si>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</si>
  <si>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</si>
  <si>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</si>
  <si>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</si>
  <si>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</si>
  <si>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</si>
  <si>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</si>
  <si>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</si>
  <si>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</si>
  <si>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</si>
  <si>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</si>
  <si>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</si>
  <si>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</si>
  <si>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</si>
  <si>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</si>
  <si>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</si>
  <si>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</si>
  <si>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</si>
  <si>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</si>
  <si>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</si>
  <si>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</si>
  <si>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</si>
  <si>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</si>
  <si>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</si>
  <si>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</si>
  <si>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</si>
  <si>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</si>
  <si>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</si>
  <si>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</si>
  <si>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</si>
  <si>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</si>
  <si>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</si>
  <si>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</si>
  <si>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</si>
  <si>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</si>
  <si>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</si>
  <si>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</si>
  <si>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</si>
  <si>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</si>
  <si>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</si>
  <si>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</si>
  <si>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</si>
  <si>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</si>
  <si>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</si>
  <si>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</si>
  <si>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</si>
  <si>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</si>
  <si>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</si>
  <si>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</si>
  <si>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</si>
  <si>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</si>
  <si>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</si>
  <si>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</si>
  <si>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</si>
  <si>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</si>
  <si>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</si>
  <si>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</si>
  <si>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</si>
  <si>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</si>
  <si>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</si>
  <si>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</si>
  <si>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</si>
  <si>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</si>
  <si>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</si>
  <si>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</si>
  <si>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</si>
  <si>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</si>
  <si>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</si>
  <si>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</si>
  <si>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</si>
  <si>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</si>
  <si>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</si>
  <si>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</si>
  <si>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</si>
  <si>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</si>
  <si>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</si>
  <si>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</si>
  <si>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</si>
  <si>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</si>
  <si>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</si>
  <si>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</si>
  <si>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</si>
  <si>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</si>
  <si>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</si>
  <si>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</si>
  <si>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</si>
  <si>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</si>
  <si>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</si>
  <si>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</si>
  <si>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</si>
  <si>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</si>
  <si>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</si>
  <si>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</si>
  <si>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</si>
  <si>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</si>
  <si>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</si>
  <si>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</si>
  <si>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</si>
  <si>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</si>
  <si>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</si>
  <si>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</si>
  <si>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</si>
  <si>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</si>
  <si>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</si>
  <si>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</si>
  <si>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</si>
  <si>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</si>
  <si>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</si>
  <si>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</si>
  <si>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</si>
  <si>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</si>
  <si>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</si>
  <si>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</si>
  <si>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</si>
  <si>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</si>
  <si>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</si>
  <si>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</si>
  <si>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</si>
  <si>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</si>
  <si>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</si>
  <si>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</si>
  <si>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</si>
  <si>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</si>
  <si>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</si>
  <si>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</si>
  <si>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</si>
  <si>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</si>
  <si>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</si>
  <si>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</si>
  <si>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</si>
  <si>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</si>
  <si>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</si>
  <si>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</si>
  <si>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</si>
  <si>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</si>
  <si>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</si>
  <si>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</si>
  <si>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</si>
  <si>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</si>
  <si>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</si>
  <si>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</si>
  <si>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</si>
  <si>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</si>
  <si>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</si>
  <si>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</si>
  <si>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</si>
  <si>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</si>
  <si>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</si>
  <si>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</si>
  <si>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</si>
  <si>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</si>
  <si>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</si>
  <si>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</si>
  <si>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</si>
  <si>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</si>
  <si>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</si>
  <si>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</si>
  <si>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</si>
  <si>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</si>
  <si>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</si>
  <si>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</si>
  <si>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</si>
  <si>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</si>
  <si>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</si>
  <si>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</si>
  <si>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</si>
  <si>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</si>
  <si>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</si>
  <si>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</si>
  <si>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</si>
  <si>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</si>
  <si>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</si>
  <si>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</si>
  <si>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</si>
  <si>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</si>
  <si>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</si>
  <si>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</si>
  <si>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</si>
  <si>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</si>
  <si>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</si>
  <si>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</si>
  <si>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</si>
  <si>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</si>
  <si>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</si>
  <si>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</si>
  <si>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</si>
  <si>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</si>
  <si>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</si>
  <si>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</si>
  <si>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</si>
  <si>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</si>
  <si>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</si>
  <si>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</si>
  <si>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</si>
  <si>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</si>
  <si>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</si>
  <si>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</si>
  <si>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</si>
  <si>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</si>
  <si>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</si>
  <si>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</si>
  <si>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</si>
  <si>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</si>
  <si>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</si>
  <si>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</si>
  <si>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</si>
  <si>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</si>
  <si>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</si>
  <si>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</si>
  <si>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</si>
  <si>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</si>
  <si>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</si>
  <si>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</si>
  <si>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</si>
  <si>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</si>
  <si>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</si>
  <si>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</si>
  <si>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</si>
  <si>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</si>
  <si>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</si>
  <si>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</si>
  <si>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</si>
  <si>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</si>
  <si>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</si>
  <si>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</si>
  <si>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</si>
  <si>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</si>
  <si>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</si>
  <si>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</si>
  <si>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</si>
  <si>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</si>
  <si>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</si>
  <si>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</si>
  <si>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</si>
  <si>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</si>
  <si>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</si>
  <si>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</si>
  <si>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</si>
  <si>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</si>
  <si>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</si>
  <si>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</si>
  <si>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</si>
  <si>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</si>
  <si>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</si>
  <si>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</si>
  <si>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</si>
  <si>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</si>
  <si>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</si>
  <si>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</si>
  <si>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</si>
  <si>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</si>
  <si>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</si>
  <si>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</si>
  <si>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</si>
  <si>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</si>
  <si>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</si>
  <si>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</si>
  <si>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</si>
  <si>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</si>
  <si>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</si>
  <si>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</si>
  <si>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</si>
  <si>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</si>
  <si>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</si>
  <si>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</si>
  <si>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</si>
  <si>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</si>
  <si>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</si>
  <si>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</si>
  <si>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</si>
  <si>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</si>
  <si>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</si>
  <si>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</si>
  <si>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</si>
  <si>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</si>
  <si>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</si>
  <si>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</si>
  <si>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</si>
  <si>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</si>
  <si>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</si>
  <si>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</si>
  <si>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</si>
  <si>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</si>
  <si>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</si>
  <si>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</si>
  <si>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</si>
  <si>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</si>
  <si>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</si>
  <si>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</si>
  <si>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</si>
  <si>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</si>
  <si>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</si>
  <si>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</si>
  <si>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</si>
  <si>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</si>
  <si>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</si>
  <si>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</si>
  <si>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</si>
  <si>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</si>
  <si>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</si>
  <si>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</si>
  <si>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</si>
  <si>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</si>
  <si>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</si>
  <si>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</si>
  <si>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</si>
  <si>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</si>
  <si>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</si>
  <si>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</si>
  <si>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</si>
  <si>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</si>
  <si>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</si>
  <si>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</si>
  <si>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</si>
  <si>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</si>
  <si>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</si>
  <si>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</si>
  <si>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</si>
  <si>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</si>
  <si>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</si>
  <si>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</si>
  <si>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</si>
  <si>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</si>
  <si>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</si>
  <si>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</si>
  <si>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</si>
  <si>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</si>
  <si>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</si>
  <si>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</si>
  <si>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</si>
  <si>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</si>
  <si>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</si>
  <si>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</si>
  <si>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</si>
  <si>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</si>
  <si>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</si>
  <si>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</si>
  <si>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</si>
  <si>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</si>
  <si>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</si>
  <si>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</si>
  <si>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</si>
  <si>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</si>
  <si>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</si>
  <si>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</si>
  <si>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</si>
  <si>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</si>
  <si>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</si>
  <si>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</si>
  <si>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</si>
  <si>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</si>
  <si>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</si>
  <si>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</si>
  <si>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</si>
  <si>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</si>
  <si>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</si>
  <si>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</si>
  <si>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</si>
  <si>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</si>
  <si>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</si>
  <si>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</si>
  <si>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</si>
  <si>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</si>
  <si>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</si>
  <si>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</si>
  <si>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</si>
  <si>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</si>
  <si>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</si>
  <si>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</si>
  <si>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</si>
  <si>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</si>
  <si>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</si>
  <si>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</si>
  <si>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</si>
  <si>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</si>
  <si>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</si>
  <si>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</si>
  <si>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</si>
  <si>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</si>
  <si>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</si>
  <si>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</si>
  <si>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</si>
  <si>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</si>
  <si>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</si>
  <si>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</si>
  <si>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</si>
  <si>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</si>
  <si>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</si>
  <si>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</si>
  <si>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</si>
  <si>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</si>
  <si>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</si>
  <si>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</si>
  <si>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</si>
  <si>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</si>
  <si>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</si>
  <si>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</si>
  <si>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</si>
  <si>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</si>
  <si>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</si>
  <si>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</si>
  <si>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</si>
  <si>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</si>
  <si>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</si>
  <si>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</si>
  <si>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</si>
  <si>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</si>
  <si>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</si>
  <si>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</si>
  <si>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</si>
  <si>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</si>
  <si>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</si>
  <si>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</si>
  <si>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</si>
  <si>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</si>
  <si>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</si>
  <si>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</si>
  <si>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</si>
  <si>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</si>
  <si>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</si>
  <si>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</si>
  <si>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</si>
  <si>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</si>
  <si>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</si>
  <si>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</si>
  <si>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</si>
  <si>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</si>
  <si>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</si>
  <si>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</si>
  <si>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</si>
  <si>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</si>
  <si>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</si>
  <si>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</si>
  <si>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</si>
  <si>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</si>
  <si>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</si>
  <si>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</si>
  <si>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</si>
  <si>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</si>
  <si>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</si>
  <si>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</si>
  <si>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</si>
  <si>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</si>
  <si>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</si>
  <si>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</si>
  <si>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</si>
  <si>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</si>
  <si>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</si>
  <si>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</si>
  <si>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</si>
  <si>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</si>
  <si>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</si>
  <si>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</si>
  <si>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</si>
  <si>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</si>
  <si>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</si>
  <si>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</si>
  <si>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</si>
  <si>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</si>
  <si>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</si>
  <si>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</si>
  <si>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</si>
  <si>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</si>
  <si>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</si>
  <si>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</si>
  <si>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</si>
  <si>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</si>
  <si>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</si>
  <si>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</si>
  <si>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</si>
  <si>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</si>
  <si>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</si>
  <si>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</si>
  <si>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</si>
  <si>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</si>
  <si>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</si>
  <si>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</si>
  <si>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</si>
  <si>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</si>
  <si>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</si>
  <si>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</si>
  <si>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</si>
  <si>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</si>
  <si>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</si>
  <si>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</si>
  <si>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</si>
  <si>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</si>
  <si>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</si>
  <si>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</si>
  <si>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</si>
  <si>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</si>
  <si>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</si>
  <si>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</si>
  <si>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</si>
  <si>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</si>
  <si>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</si>
  <si>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</si>
  <si>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</si>
  <si>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</si>
  <si>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</si>
  <si>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</si>
  <si>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</si>
  <si>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</si>
  <si>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</si>
  <si>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</si>
  <si>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</si>
  <si>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</si>
  <si>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</si>
  <si>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</si>
  <si>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</si>
  <si>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</si>
  <si>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</si>
  <si>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</si>
  <si>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</si>
  <si>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</si>
  <si>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</si>
  <si>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</si>
  <si>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</si>
  <si>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</si>
  <si>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</si>
  <si>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</si>
  <si>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</si>
  <si>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</si>
  <si>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</si>
  <si>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</si>
  <si>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</si>
  <si>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</si>
  <si>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</si>
  <si>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</si>
  <si>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</si>
  <si>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</si>
  <si>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</si>
  <si>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</si>
  <si>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</si>
  <si>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</si>
  <si>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</si>
  <si>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</si>
  <si>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</si>
  <si>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</si>
  <si>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</si>
  <si>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</si>
  <si>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</si>
  <si>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</si>
  <si>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</si>
  <si>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</si>
  <si>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</si>
  <si>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</si>
  <si>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</si>
  <si>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</si>
  <si>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</si>
  <si>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</si>
  <si>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</si>
  <si>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</si>
  <si>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</si>
  <si>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</si>
  <si>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</si>
  <si>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</si>
  <si>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</si>
  <si>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</si>
  <si>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</si>
  <si>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</si>
  <si>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</si>
  <si>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</si>
  <si>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</si>
  <si>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</si>
  <si>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</si>
  <si>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</si>
  <si>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</si>
  <si>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</si>
  <si>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</si>
  <si>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</si>
  <si>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</si>
  <si>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</si>
  <si>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</si>
  <si>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</si>
  <si>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</si>
  <si>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</si>
  <si>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</si>
  <si>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</si>
  <si>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</si>
  <si>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</si>
  <si>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</si>
  <si>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</si>
  <si>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</si>
  <si>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</si>
  <si>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</si>
  <si>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</si>
  <si>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</si>
  <si>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</si>
  <si>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</si>
  <si>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</si>
  <si>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</si>
  <si>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</si>
  <si>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</si>
  <si>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</si>
  <si>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</si>
  <si>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</si>
  <si>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</si>
  <si>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</si>
  <si>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</si>
  <si>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</si>
  <si>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</si>
  <si>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</si>
  <si>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</si>
  <si>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</si>
  <si>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</si>
  <si>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</si>
  <si>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</si>
  <si>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</si>
  <si>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</si>
  <si>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</si>
  <si>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</si>
  <si>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</si>
  <si>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</si>
  <si>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</si>
  <si>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</si>
  <si>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</si>
  <si>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</si>
  <si>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</si>
  <si>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</si>
  <si>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</si>
  <si>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</si>
  <si>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</si>
  <si>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</si>
  <si>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</si>
  <si>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</si>
  <si>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</si>
  <si>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</si>
  <si>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</si>
  <si>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</si>
  <si>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</si>
  <si>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</si>
  <si>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</si>
  <si>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</si>
  <si>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</si>
  <si>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</si>
  <si>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</si>
  <si>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</si>
  <si>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</si>
  <si>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</si>
  <si>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</si>
  <si>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</si>
  <si>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</si>
  <si>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</si>
  <si>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</si>
  <si>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</si>
  <si>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</si>
  <si>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</si>
  <si>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</si>
  <si>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</si>
  <si>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</si>
  <si>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</si>
  <si>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</si>
  <si>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</si>
  <si>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</si>
  <si>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</si>
  <si>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</si>
  <si>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</si>
  <si>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</si>
  <si>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</si>
  <si>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</si>
  <si>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</si>
  <si>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</si>
  <si>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</si>
  <si>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</si>
  <si>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</si>
  <si>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</si>
  <si>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</si>
  <si>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</si>
  <si>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</si>
  <si>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</si>
  <si>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</si>
  <si>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</si>
  <si>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</si>
  <si>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</si>
  <si>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</si>
  <si>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</si>
  <si>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</si>
  <si>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</si>
  <si>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</si>
  <si>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</si>
  <si>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</si>
  <si>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</si>
  <si>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</si>
  <si>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</si>
  <si>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</si>
  <si>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</si>
  <si>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</si>
  <si>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</si>
  <si>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</si>
  <si>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</si>
  <si>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</si>
  <si>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</si>
  <si>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</si>
  <si>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</si>
  <si>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</si>
  <si>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</si>
  <si>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</si>
  <si>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</si>
  <si>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</si>
  <si>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</si>
  <si>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</si>
  <si>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</si>
  <si>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</si>
  <si>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</si>
  <si>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</si>
  <si>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</si>
  <si>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</si>
  <si>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</si>
  <si>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</si>
  <si>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</si>
  <si>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</si>
  <si>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</si>
  <si>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</si>
  <si>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</si>
  <si>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</si>
  <si>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</si>
  <si>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</si>
  <si>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</si>
  <si>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</si>
  <si>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</si>
  <si>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</si>
  <si>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</si>
  <si>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</si>
  <si>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</si>
  <si>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</si>
  <si>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</si>
  <si>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</si>
  <si>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</si>
  <si>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</si>
  <si>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</si>
  <si>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</si>
  <si>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</si>
  <si>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</si>
  <si>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</si>
  <si>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</si>
  <si>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</si>
  <si>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</si>
  <si>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</si>
  <si>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</si>
  <si>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</si>
  <si>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</si>
  <si>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</si>
  <si>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</si>
  <si>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</si>
  <si>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</si>
  <si>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</si>
  <si>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</si>
  <si>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</si>
  <si>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</si>
  <si>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</si>
  <si>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</si>
  <si>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</si>
  <si>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</si>
  <si>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</si>
  <si>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</si>
  <si>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</si>
  <si>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</si>
  <si>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</si>
  <si>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</si>
  <si>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</si>
  <si>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</si>
  <si>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</si>
  <si>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</si>
  <si>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</si>
  <si>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</si>
  <si>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</si>
  <si>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</si>
  <si>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</si>
  <si>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</si>
  <si>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</si>
  <si>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</si>
  <si>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</si>
  <si>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</si>
  <si>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</si>
  <si>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</si>
  <si>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</si>
  <si>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</si>
  <si>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</si>
  <si>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</si>
  <si>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</si>
  <si>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</si>
  <si>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</si>
  <si>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</si>
  <si>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</si>
  <si>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</si>
  <si>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</si>
  <si>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</si>
  <si>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</si>
  <si>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</si>
  <si>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</si>
  <si>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</si>
  <si>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</si>
  <si>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</si>
  <si>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</si>
  <si>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</si>
  <si>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</si>
  <si>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</si>
  <si>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</si>
  <si>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</si>
  <si>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</si>
  <si>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</si>
  <si>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</si>
  <si>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</si>
  <si>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</si>
  <si>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</si>
  <si>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</si>
  <si>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</si>
  <si>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</si>
  <si>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</si>
  <si>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</si>
  <si>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</si>
  <si>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</si>
  <si>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</si>
  <si>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</si>
  <si>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</si>
  <si>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</si>
  <si>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</si>
  <si>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</si>
  <si>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</si>
  <si>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</si>
  <si>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</si>
  <si>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</si>
  <si>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</si>
  <si>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</si>
  <si>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</si>
  <si>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</si>
  <si>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</si>
  <si>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</si>
  <si>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</si>
  <si>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</si>
  <si>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</si>
  <si>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</si>
  <si>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</si>
  <si>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</si>
  <si>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</si>
  <si>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</si>
  <si>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</si>
  <si>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</si>
  <si>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</si>
  <si>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</si>
  <si>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</si>
  <si>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</si>
  <si>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</si>
  <si>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</si>
  <si>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</si>
  <si>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</si>
  <si>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</si>
  <si>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</si>
  <si>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</si>
  <si>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</si>
  <si>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</si>
  <si>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</si>
  <si>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</si>
  <si>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</si>
  <si>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</si>
  <si>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</si>
  <si>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</si>
  <si>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</si>
  <si>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</si>
  <si>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</si>
  <si>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</si>
  <si>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</si>
  <si>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</si>
  <si>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</si>
  <si>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</si>
  <si>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</si>
  <si>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</si>
  <si>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</si>
  <si>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</si>
  <si>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</si>
  <si>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</si>
  <si>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</si>
  <si>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</si>
  <si>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</si>
  <si>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</si>
  <si>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</si>
  <si>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</si>
  <si>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</si>
  <si>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</si>
  <si>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</si>
  <si>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</si>
  <si>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</si>
  <si>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</si>
  <si>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</si>
  <si>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</si>
  <si>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</si>
  <si>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</si>
  <si>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</si>
  <si>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</si>
  <si>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</si>
  <si>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</si>
  <si>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</si>
  <si>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</si>
  <si>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</si>
  <si>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</si>
  <si>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</si>
  <si>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</si>
  <si>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</si>
  <si>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</si>
  <si>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</si>
  <si>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</si>
  <si>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</si>
  <si>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</si>
  <si>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</si>
  <si>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</si>
  <si>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</si>
  <si>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</si>
  <si>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</si>
  <si>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</si>
  <si>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</si>
  <si>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</si>
  <si>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</si>
  <si>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</si>
  <si>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</si>
  <si>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</si>
  <si>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</si>
  <si>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</si>
  <si>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</si>
  <si>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</si>
  <si>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</si>
  <si>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</si>
  <si>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</si>
  <si>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</si>
  <si>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</si>
  <si>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</si>
  <si>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</si>
  <si>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</si>
  <si>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</si>
  <si>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</si>
  <si>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</si>
  <si>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</si>
  <si>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</si>
  <si>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</si>
  <si>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</si>
  <si>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</si>
  <si>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</si>
  <si>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</si>
  <si>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</si>
  <si>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</si>
  <si>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</si>
  <si>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</si>
  <si>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</si>
  <si>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</si>
  <si>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</si>
  <si>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</si>
  <si>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</si>
  <si>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</si>
  <si>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</si>
  <si>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</si>
  <si>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</si>
  <si>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</si>
  <si>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</si>
  <si>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</si>
  <si>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</si>
  <si>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</si>
  <si>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</si>
  <si>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</si>
  <si>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</si>
  <si>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</si>
  <si>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</si>
  <si>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</si>
  <si>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</si>
  <si>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</si>
  <si>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</si>
  <si>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</si>
  <si>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</si>
  <si>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</si>
  <si>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</si>
  <si>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</si>
  <si>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</si>
  <si>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</si>
  <si>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</si>
  <si>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</si>
  <si>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</si>
  <si>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</si>
  <si>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</si>
  <si>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</si>
  <si>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</si>
  <si>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</si>
  <si>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</si>
  <si>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</si>
  <si>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</si>
  <si>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</si>
  <si>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</si>
  <si>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</si>
  <si>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</si>
  <si>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</si>
  <si>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</si>
  <si>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</si>
  <si>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</si>
  <si>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</si>
  <si>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</si>
  <si>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</si>
  <si>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</si>
  <si>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</si>
  <si>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</si>
  <si>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</si>
  <si>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</si>
  <si>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</si>
  <si>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</si>
  <si>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</si>
  <si>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</si>
  <si>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</si>
  <si>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</si>
  <si>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</si>
  <si>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</si>
  <si>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</si>
  <si>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</si>
  <si>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</si>
  <si>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</si>
  <si>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</si>
  <si>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</si>
  <si>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</si>
  <si>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</si>
  <si>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</si>
  <si>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</si>
  <si>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</si>
  <si>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</si>
  <si>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</si>
  <si>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</si>
  <si>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</si>
  <si>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</si>
  <si>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</si>
  <si>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</si>
  <si>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</si>
  <si>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</si>
  <si>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</si>
  <si>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</si>
  <si>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</si>
  <si>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</si>
  <si>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</si>
  <si>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</si>
  <si>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</si>
  <si>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</si>
  <si>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</si>
  <si>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</si>
  <si>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</si>
  <si>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</si>
  <si>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</si>
  <si>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</si>
  <si>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</si>
  <si>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</si>
  <si>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</si>
  <si>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</si>
  <si>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</si>
  <si>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</si>
  <si>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</si>
  <si>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</si>
  <si>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</si>
  <si>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</si>
  <si>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</si>
  <si>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</si>
  <si>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</si>
  <si>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</si>
  <si>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</si>
  <si>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</si>
  <si>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</si>
  <si>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</si>
  <si>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</si>
  <si>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</si>
  <si>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</si>
  <si>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</si>
  <si>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</si>
  <si>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</si>
  <si>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</si>
  <si>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</si>
  <si>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</si>
  <si>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</si>
  <si>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</si>
  <si>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</si>
  <si>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</si>
  <si>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</si>
  <si>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</si>
  <si>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</si>
  <si>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</si>
  <si>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</si>
  <si>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</si>
  <si>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</si>
  <si>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</si>
  <si>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</si>
  <si>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</si>
  <si>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</si>
  <si>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</si>
  <si>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</si>
  <si>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</si>
  <si>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</si>
  <si>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</si>
  <si>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</si>
  <si>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</si>
  <si>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</si>
  <si>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</si>
  <si>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</si>
  <si>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</si>
  <si>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</si>
  <si>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</si>
  <si>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</si>
  <si>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</si>
  <si>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</si>
  <si>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</si>
  <si>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</si>
  <si>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</si>
  <si>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</si>
  <si>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</si>
  <si>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</si>
  <si>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</si>
  <si>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</si>
  <si>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</si>
  <si>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</si>
  <si>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</si>
  <si>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</si>
  <si>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</si>
  <si>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</si>
  <si>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</si>
  <si>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</si>
  <si>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</si>
  <si>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</si>
  <si>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</si>
  <si>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</si>
  <si>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</si>
  <si>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</si>
  <si>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</si>
  <si>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</si>
  <si>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</si>
  <si>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</si>
  <si>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</si>
  <si>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</si>
  <si>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</si>
  <si>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</si>
  <si>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</si>
  <si>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</si>
  <si>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</si>
  <si>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</si>
  <si>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</si>
  <si>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</si>
  <si>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</si>
  <si>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</si>
  <si>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</si>
  <si>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</si>
  <si>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</si>
  <si>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</si>
  <si>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</si>
  <si>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</si>
  <si>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</si>
  <si>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</si>
  <si>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</si>
  <si>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</si>
  <si>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</si>
  <si>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</si>
  <si>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</si>
  <si>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</si>
  <si>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</si>
  <si>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</si>
  <si>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</si>
  <si>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</si>
  <si>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</si>
  <si>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</si>
  <si>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</si>
  <si>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</si>
  <si>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</si>
  <si>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</si>
  <si>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</si>
  <si>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</si>
  <si>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</si>
  <si>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</si>
  <si>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</si>
  <si>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</si>
  <si>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</si>
  <si>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</si>
  <si>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</si>
  <si>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</si>
  <si>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</si>
  <si>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</si>
  <si>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</si>
  <si>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</si>
  <si>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</si>
  <si>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</si>
  <si>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</si>
  <si>
    <t>Normal Attack 2</t>
    <phoneticPr fontId="51" type="noConversion"/>
  </si>
  <si>
    <t>Normal Attack 1</t>
    <phoneticPr fontId="51" type="noConversion"/>
  </si>
  <si>
    <t>破界巨刃</t>
    <phoneticPr fontId="51" type="noConversion"/>
  </si>
  <si>
    <t>咆哮之击</t>
    <phoneticPr fontId="51" type="noConversion"/>
  </si>
  <si>
    <t>跃空击</t>
    <phoneticPr fontId="51" type="noConversion"/>
  </si>
  <si>
    <t>92040050,92040051</t>
    <phoneticPr fontId="51" type="noConversion"/>
  </si>
  <si>
    <t>Skill_13</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</si>
</sst>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12"/>
  <sheetViews>
    <sheetView showGridLines="0" tabSelected="1" workbookViewId="0">
      <pane xSplit="4" ySplit="5" topLeftCell="E1212" activePane="bottomRight" state="frozen"/>
      <selection pane="topRight" activeCell="E1" sqref="E1"/>
      <selection pane="bottomLeft" activeCell="A6" sqref="A6"/>
      <selection pane="bottomRight" activeCell="I1219" sqref="I1219"/>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5432</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1350</v>
      </c>
      <c r="E437" s="18" t="s">
        <v>5431</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1351</v>
      </c>
      <c r="E438" s="18" t="s">
        <v>1352</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1353</v>
      </c>
      <c r="BF439" s="89" t="s">
        <v>1354</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1353</v>
      </c>
      <c r="BF440" s="89" t="s">
        <v>1354</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1353</v>
      </c>
      <c r="BF441" s="89" t="s">
        <v>1354</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1353</v>
      </c>
      <c r="BF442" s="89" t="s">
        <v>1354</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1353</v>
      </c>
      <c r="BF443" s="89" t="s">
        <v>1354</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1353</v>
      </c>
      <c r="BF444" s="89" t="s">
        <v>1354</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50000501</v>
      </c>
      <c r="D445" s="18" t="s">
        <v>1349</v>
      </c>
      <c r="E445" s="18" t="s">
        <v>5432</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50000502</v>
      </c>
      <c r="D446" s="18" t="s">
        <v>1350</v>
      </c>
      <c r="E446" s="18" t="s">
        <v>5431</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50000503</v>
      </c>
      <c r="D447" s="18" t="s">
        <v>1351</v>
      </c>
      <c r="E447" s="18" t="s">
        <v>1352</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1355</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1356</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1357</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1358</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1359</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1360</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1361</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1362</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1363</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1364</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1365</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1366</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51011301</v>
      </c>
      <c r="D460" s="18" t="s">
        <v>1367</v>
      </c>
      <c r="E460" s="18" t="s">
        <v>1368</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1369</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1370</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51011302</v>
      </c>
      <c r="D461" s="18" t="s">
        <v>1367</v>
      </c>
      <c r="E461" s="18" t="s">
        <v>1368</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1369</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1370</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51011303</v>
      </c>
      <c r="D462" s="18" t="s">
        <v>1367</v>
      </c>
      <c r="E462" s="18" t="s">
        <v>1368</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1369</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1371</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51011304</v>
      </c>
      <c r="D463" s="18" t="s">
        <v>1367</v>
      </c>
      <c r="E463" s="18" t="s">
        <v>1368</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1369</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1372</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51011305</v>
      </c>
      <c r="D464" s="18" t="s">
        <v>1367</v>
      </c>
      <c r="E464" s="18" t="s">
        <v>1368</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1369</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1373</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51011306</v>
      </c>
      <c r="D465" s="18" t="s">
        <v>1367</v>
      </c>
      <c r="E465" s="18" t="s">
        <v>1368</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1369</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1374</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52011101</v>
      </c>
      <c r="D466" s="18" t="s">
        <v>1375</v>
      </c>
      <c r="E466" s="18" t="s">
        <v>1376</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1377</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52011102</v>
      </c>
      <c r="D467" s="18" t="s">
        <v>1375</v>
      </c>
      <c r="E467" s="18" t="s">
        <v>1376</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1377</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52011103</v>
      </c>
      <c r="D468" s="18" t="s">
        <v>1375</v>
      </c>
      <c r="E468" s="18" t="s">
        <v>1376</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1378</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52011104</v>
      </c>
      <c r="D469" s="18" t="s">
        <v>1375</v>
      </c>
      <c r="E469" s="18" t="s">
        <v>1376</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1379</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52011105</v>
      </c>
      <c r="D470" s="18" t="s">
        <v>1375</v>
      </c>
      <c r="E470" s="18" t="s">
        <v>1376</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1380</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52011106</v>
      </c>
      <c r="D471" s="18" t="s">
        <v>1375</v>
      </c>
      <c r="E471" s="18" t="s">
        <v>1376</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1381</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52011201</v>
      </c>
      <c r="D472" s="18" t="s">
        <v>1382</v>
      </c>
      <c r="E472" s="18" t="s">
        <v>1383</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1384</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52011202</v>
      </c>
      <c r="D473" s="18" t="s">
        <v>1382</v>
      </c>
      <c r="E473" s="18" t="s">
        <v>1383</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1384</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52011203</v>
      </c>
      <c r="D474" s="18" t="s">
        <v>1382</v>
      </c>
      <c r="E474" s="18" t="s">
        <v>1383</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1385</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52011204</v>
      </c>
      <c r="D475" s="18" t="s">
        <v>1382</v>
      </c>
      <c r="E475" s="18" t="s">
        <v>1383</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1386</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52011205</v>
      </c>
      <c r="D476" s="18" t="s">
        <v>1382</v>
      </c>
      <c r="E476" s="18" t="s">
        <v>1383</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1387</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52011206</v>
      </c>
      <c r="D477" s="18" t="s">
        <v>1382</v>
      </c>
      <c r="E477" s="18" t="s">
        <v>1383</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1388</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52011301</v>
      </c>
      <c r="D478" s="18" t="s">
        <v>1389</v>
      </c>
      <c r="E478" s="18" t="s">
        <v>1390</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1369</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1391</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52011302</v>
      </c>
      <c r="D479" s="18" t="s">
        <v>1389</v>
      </c>
      <c r="E479" s="18" t="s">
        <v>1390</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1369</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1391</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52011303</v>
      </c>
      <c r="D480" s="18" t="s">
        <v>1389</v>
      </c>
      <c r="E480" s="18" t="s">
        <v>1390</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1369</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1392</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
        <v>52011304</v>
      </c>
      <c r="D481" s="18" t="s">
        <v>1389</v>
      </c>
      <c r="E481" s="18" t="s">
        <v>1390</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1369</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1393</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spans="3:75" ht="20.100000000000001" customHeight="1">
      <c r="C482" s="17">
        <v>52011305</v>
      </c>
      <c r="D482" s="18" t="s">
        <v>1389</v>
      </c>
      <c r="E482" s="18" t="s">
        <v>1390</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1369</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1394</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spans="3:75" ht="20.100000000000001" customHeight="1">
      <c r="C483" s="17">
        <v>52011306</v>
      </c>
      <c r="D483" s="18" t="s">
        <v>1389</v>
      </c>
      <c r="E483" s="18" t="s">
        <v>1390</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1369</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1395</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spans="3:75" ht="20.100000000000001" customHeight="1">
      <c r="C484" s="174">
        <v>53011101</v>
      </c>
      <c r="D484" s="175" t="s">
        <v>1396</v>
      </c>
      <c r="E484" s="175" t="s">
        <v>1397</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1398</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1399</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53011102</v>
      </c>
      <c r="D485" s="175" t="s">
        <v>1396</v>
      </c>
      <c r="E485" s="175" t="s">
        <v>1397</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1398</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1399</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53011103</v>
      </c>
      <c r="D486" s="175" t="s">
        <v>1396</v>
      </c>
      <c r="E486" s="175" t="s">
        <v>1397</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1398</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1400</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53011104</v>
      </c>
      <c r="D487" s="175" t="s">
        <v>1396</v>
      </c>
      <c r="E487" s="175" t="s">
        <v>1397</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1398</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1401</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53011105</v>
      </c>
      <c r="D488" s="175" t="s">
        <v>1396</v>
      </c>
      <c r="E488" s="175" t="s">
        <v>1397</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1398</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1402</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53011106</v>
      </c>
      <c r="D489" s="175" t="s">
        <v>1396</v>
      </c>
      <c r="E489" s="175" t="s">
        <v>1397</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1398</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1403</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53011201</v>
      </c>
      <c r="D490" s="175" t="s">
        <v>1404</v>
      </c>
      <c r="E490" s="175" t="s">
        <v>1405</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1406</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1407</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53011202</v>
      </c>
      <c r="D491" s="175" t="s">
        <v>1404</v>
      </c>
      <c r="E491" s="175" t="s">
        <v>1405</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1406</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1407</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53011203</v>
      </c>
      <c r="D492" s="175" t="s">
        <v>1404</v>
      </c>
      <c r="E492" s="175" t="s">
        <v>1405</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1406</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1408</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53011204</v>
      </c>
      <c r="D493" s="175" t="s">
        <v>1404</v>
      </c>
      <c r="E493" s="175" t="s">
        <v>1405</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1406</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1409</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53011205</v>
      </c>
      <c r="D494" s="175" t="s">
        <v>1404</v>
      </c>
      <c r="E494" s="175" t="s">
        <v>1405</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1406</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1410</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53011206</v>
      </c>
      <c r="D495" s="175" t="s">
        <v>1404</v>
      </c>
      <c r="E495" s="175" t="s">
        <v>1405</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1406</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1411</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53011301</v>
      </c>
      <c r="D496" s="175" t="s">
        <v>1412</v>
      </c>
      <c r="E496" s="175" t="s">
        <v>1413</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1414</v>
      </c>
      <c r="AY496" s="178">
        <v>10000015</v>
      </c>
      <c r="AZ496" s="178">
        <v>21000030</v>
      </c>
      <c r="BA496" s="175" t="s">
        <v>1369</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1415</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53011302</v>
      </c>
      <c r="D497" s="175" t="s">
        <v>1412</v>
      </c>
      <c r="E497" s="175" t="s">
        <v>1413</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1414</v>
      </c>
      <c r="AY497" s="178">
        <v>10000015</v>
      </c>
      <c r="AZ497" s="178">
        <v>21000030</v>
      </c>
      <c r="BA497" s="175" t="s">
        <v>1369</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1415</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53011303</v>
      </c>
      <c r="D498" s="175" t="s">
        <v>1412</v>
      </c>
      <c r="E498" s="175" t="s">
        <v>1413</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1414</v>
      </c>
      <c r="AY498" s="178">
        <v>10000015</v>
      </c>
      <c r="AZ498" s="178">
        <v>21000030</v>
      </c>
      <c r="BA498" s="175" t="s">
        <v>1369</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1416</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ht="20.100000000000001" customHeight="1">
      <c r="C499" s="174">
        <v>53011304</v>
      </c>
      <c r="D499" s="175" t="s">
        <v>1412</v>
      </c>
      <c r="E499" s="175" t="s">
        <v>1413</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1414</v>
      </c>
      <c r="AY499" s="178">
        <v>10000015</v>
      </c>
      <c r="AZ499" s="178">
        <v>21000030</v>
      </c>
      <c r="BA499" s="175" t="s">
        <v>1369</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1417</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spans="3:75" ht="20.100000000000001" customHeight="1">
      <c r="C500" s="174">
        <v>53011305</v>
      </c>
      <c r="D500" s="175" t="s">
        <v>1412</v>
      </c>
      <c r="E500" s="175" t="s">
        <v>1413</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1414</v>
      </c>
      <c r="AY500" s="178">
        <v>10000015</v>
      </c>
      <c r="AZ500" s="178">
        <v>21000030</v>
      </c>
      <c r="BA500" s="175" t="s">
        <v>1369</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1418</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spans="3:75" ht="20.100000000000001" customHeight="1">
      <c r="C501" s="174">
        <v>53011306</v>
      </c>
      <c r="D501" s="175" t="s">
        <v>1412</v>
      </c>
      <c r="E501" s="175" t="s">
        <v>1413</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1414</v>
      </c>
      <c r="AY501" s="178">
        <v>10000015</v>
      </c>
      <c r="AZ501" s="178">
        <v>21000030</v>
      </c>
      <c r="BA501" s="175" t="s">
        <v>1369</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1419</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pans="3:75" s="1" customFormat="1" ht="20.100000000000001" customHeight="1">
      <c r="C502" s="62">
        <v>54011101</v>
      </c>
      <c r="D502" s="61" t="s">
        <v>1420</v>
      </c>
      <c r="E502" s="61" t="s">
        <v>1421</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1369</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1422</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54011102</v>
      </c>
      <c r="D503" s="61" t="s">
        <v>1420</v>
      </c>
      <c r="E503" s="61" t="s">
        <v>1421</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1369</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1422</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54011103</v>
      </c>
      <c r="D504" s="61" t="s">
        <v>1420</v>
      </c>
      <c r="E504" s="61" t="s">
        <v>1421</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1369</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1423</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54011104</v>
      </c>
      <c r="D505" s="61" t="s">
        <v>1420</v>
      </c>
      <c r="E505" s="61" t="s">
        <v>1421</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1369</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1424</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54011105</v>
      </c>
      <c r="D506" s="61" t="s">
        <v>1420</v>
      </c>
      <c r="E506" s="61" t="s">
        <v>1421</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1369</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1425</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54011106</v>
      </c>
      <c r="D507" s="61" t="s">
        <v>1420</v>
      </c>
      <c r="E507" s="61" t="s">
        <v>1421</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1369</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1426</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54011201</v>
      </c>
      <c r="D508" s="101" t="s">
        <v>1427</v>
      </c>
      <c r="E508" s="101" t="s">
        <v>1428</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1429</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54011202</v>
      </c>
      <c r="D509" s="101" t="s">
        <v>1427</v>
      </c>
      <c r="E509" s="101" t="s">
        <v>1428</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1429</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54011203</v>
      </c>
      <c r="D510" s="101" t="s">
        <v>1427</v>
      </c>
      <c r="E510" s="101" t="s">
        <v>1428</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1430</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54011204</v>
      </c>
      <c r="D511" s="101" t="s">
        <v>1427</v>
      </c>
      <c r="E511" s="101" t="s">
        <v>1428</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1431</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54011205</v>
      </c>
      <c r="D512" s="101" t="s">
        <v>1427</v>
      </c>
      <c r="E512" s="101" t="s">
        <v>1428</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1432</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54011206</v>
      </c>
      <c r="D513" s="101" t="s">
        <v>1427</v>
      </c>
      <c r="E513" s="101" t="s">
        <v>1428</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1433</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54011301</v>
      </c>
      <c r="D514" s="61" t="s">
        <v>1434</v>
      </c>
      <c r="E514" s="61" t="s">
        <v>1435</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1369</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1436</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54011302</v>
      </c>
      <c r="D515" s="61" t="s">
        <v>1434</v>
      </c>
      <c r="E515" s="61" t="s">
        <v>1435</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1369</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1436</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54011303</v>
      </c>
      <c r="D516" s="61" t="s">
        <v>1434</v>
      </c>
      <c r="E516" s="61" t="s">
        <v>1435</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1369</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1437</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s="1" customFormat="1" ht="20.100000000000001" customHeight="1">
      <c r="C517" s="62">
        <v>54011304</v>
      </c>
      <c r="D517" s="61" t="s">
        <v>1434</v>
      </c>
      <c r="E517" s="61" t="s">
        <v>1435</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1369</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1438</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pans="3:75" s="1" customFormat="1" ht="20.100000000000001" customHeight="1">
      <c r="C518" s="62">
        <v>54011305</v>
      </c>
      <c r="D518" s="61" t="s">
        <v>1434</v>
      </c>
      <c r="E518" s="61" t="s">
        <v>1435</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1369</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1439</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pans="3:75" s="1" customFormat="1" ht="20.100000000000001" customHeight="1">
      <c r="C519" s="62">
        <v>54011306</v>
      </c>
      <c r="D519" s="61" t="s">
        <v>1434</v>
      </c>
      <c r="E519" s="61" t="s">
        <v>1435</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1369</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1440</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spans="3:75" ht="20.100000000000001" customHeight="1">
      <c r="C520" s="17">
        <v>55011101</v>
      </c>
      <c r="D520" s="18" t="s">
        <v>5433</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1355</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55011102</v>
      </c>
      <c r="D521" s="18" t="s">
        <v>2373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1356</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55011103</v>
      </c>
      <c r="D522" s="18" t="s">
        <v>2373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1357</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55011104</v>
      </c>
      <c r="D523" s="18" t="s">
        <v>2373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1358</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55011105</v>
      </c>
      <c r="D524" s="18" t="s">
        <v>2373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1359</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55011106</v>
      </c>
      <c r="D525" s="18" t="s">
        <v>2373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1360</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55011201</v>
      </c>
      <c r="D526" s="18" t="s">
        <v>5434</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1361</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55011202</v>
      </c>
      <c r="D527" s="18" t="s">
        <v>2374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1362</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55011203</v>
      </c>
      <c r="D528" s="18" t="s">
        <v>2374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1363</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55011204</v>
      </c>
      <c r="D529" s="18" t="s">
        <v>2374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1364</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55011205</v>
      </c>
      <c r="D530" s="18" t="s">
        <v>2374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1365</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55011206</v>
      </c>
      <c r="D531" s="18" t="s">
        <v>2374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1366</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55011301</v>
      </c>
      <c r="D532" s="18" t="s">
        <v>5435</v>
      </c>
      <c r="E532" s="18" t="s">
        <v>1368</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1369</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1370</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55011302</v>
      </c>
      <c r="D533" s="18" t="s">
        <v>2375</v>
      </c>
      <c r="E533" s="18" t="s">
        <v>1368</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1369</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1370</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55011303</v>
      </c>
      <c r="D534" s="18" t="s">
        <v>2375</v>
      </c>
      <c r="E534" s="18" t="s">
        <v>1368</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1369</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1371</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20.100000000000001" customHeight="1">
      <c r="C535" s="17">
        <v>55011304</v>
      </c>
      <c r="D535" s="18" t="s">
        <v>2375</v>
      </c>
      <c r="E535" s="18" t="s">
        <v>1368</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1369</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1372</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spans="3:75" ht="20.100000000000001" customHeight="1">
      <c r="C536" s="17">
        <v>55011305</v>
      </c>
      <c r="D536" s="18" t="s">
        <v>2375</v>
      </c>
      <c r="E536" s="18" t="s">
        <v>1368</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1369</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1373</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spans="3:75" ht="20.100000000000001" customHeight="1">
      <c r="C537" s="17">
        <v>55011306</v>
      </c>
      <c r="D537" s="18" t="s">
        <v>2375</v>
      </c>
      <c r="E537" s="18" t="s">
        <v>1368</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1369</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1374</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19.5" customHeight="1">
      <c r="C538" s="19">
        <v>600000011</v>
      </c>
      <c r="D538" s="20" t="s">
        <v>1441</v>
      </c>
      <c r="E538" s="20" t="s">
        <v>1442</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1353</v>
      </c>
      <c r="BF538" s="89" t="s">
        <v>1354</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spans="3:75" ht="20.100000000000001" customHeight="1">
      <c r="C539" s="19">
        <v>600000021</v>
      </c>
      <c r="D539" s="20" t="s">
        <v>1443</v>
      </c>
      <c r="E539" s="20" t="s">
        <v>1444</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1353</v>
      </c>
      <c r="BF539" s="89" t="s">
        <v>1354</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spans="3:75" ht="20.100000000000001" customHeight="1">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20.100000000000001" customHeight="1">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spans="3:75" ht="20.100000000000001" customHeight="1">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spans="3:75" ht="19.5" customHeight="1">
      <c r="C547" s="17">
        <v>60000204</v>
      </c>
      <c r="D547" s="18" t="s">
        <v>1445</v>
      </c>
      <c r="E547" s="18" t="s">
        <v>1446</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spans="3:75" ht="20.100000000000001" customHeight="1">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spans="3:75" ht="20.100000000000001" customHeight="1">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spans="3:75" ht="20.100000000000001" customHeight="1">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spans="3:75" ht="20.100000000000001" customHeight="1">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1.1000000000000001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spans="3:75" ht="20.100000000000001" customHeight="1">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1.1000000000000001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spans="3:75" ht="20.100000000000001" customHeight="1">
      <c r="C554" s="19">
        <v>60000505</v>
      </c>
      <c r="D554" s="20" t="s">
        <v>1447</v>
      </c>
      <c r="E554" s="20" t="s">
        <v>1448</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1.1000000000000001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pans="3:75" s="1" customFormat="1" ht="20.100000000000001" customHeight="1">
      <c r="C555" s="66">
        <v>60000601</v>
      </c>
      <c r="D555" s="65" t="s">
        <v>1449</v>
      </c>
      <c r="E555" s="65" t="s">
        <v>1450</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spans="3:75" ht="20.100000000000001" customHeight="1">
      <c r="C556" s="19">
        <v>60000602</v>
      </c>
      <c r="D556" s="20" t="s">
        <v>1449</v>
      </c>
      <c r="E556" s="20" t="s">
        <v>1450</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pans="3:75" s="1" customFormat="1" ht="20.100000000000001" customHeight="1">
      <c r="C557" s="66">
        <v>60000701</v>
      </c>
      <c r="D557" s="65" t="s">
        <v>1449</v>
      </c>
      <c r="E557" s="65" t="s">
        <v>1450</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1451</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spans="3:75" ht="20.100000000000001" customHeight="1">
      <c r="C558" s="19">
        <v>60000702</v>
      </c>
      <c r="D558" s="20" t="s">
        <v>1449</v>
      </c>
      <c r="E558" s="20" t="s">
        <v>1450</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1452</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1453</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1454</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1455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1456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1457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100000000000001" customHeight="1">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1458</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1459</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1460</v>
      </c>
      <c r="AV566" s="17"/>
      <c r="AW566" s="18" t="s">
        <v>617</v>
      </c>
      <c r="AX566" s="17" t="s">
        <v>1458</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1459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1460</v>
      </c>
      <c r="AV567" s="17"/>
      <c r="AW567" s="18" t="s">
        <v>617</v>
      </c>
      <c r="AX567" s="17" t="s">
        <v>1458</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1461</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25" customHeight="1">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1460</v>
      </c>
      <c r="AV568" s="17"/>
      <c r="AW568" s="18" t="s">
        <v>617</v>
      </c>
      <c r="AX568" s="17" t="s">
        <v>1458</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1462</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2.2000000000000002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1460</v>
      </c>
      <c r="AV569" s="17"/>
      <c r="AW569" s="18" t="s">
        <v>617</v>
      </c>
      <c r="AX569" s="17" t="s">
        <v>1458</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1463</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1460</v>
      </c>
      <c r="AV570" s="17"/>
      <c r="AW570" s="18" t="s">
        <v>617</v>
      </c>
      <c r="AX570" s="17" t="s">
        <v>1458</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1464</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61011301</v>
      </c>
      <c r="D571" s="18" t="s">
        <v>1367</v>
      </c>
      <c r="E571" s="18" t="s">
        <v>1465</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1466</v>
      </c>
      <c r="AY571" s="19">
        <v>10000015</v>
      </c>
      <c r="AZ571" s="19">
        <v>21000030</v>
      </c>
      <c r="BA571" s="18" t="s">
        <v>1369</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1467</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61011302</v>
      </c>
      <c r="D572" s="18" t="s">
        <v>1367</v>
      </c>
      <c r="E572" s="18" t="s">
        <v>1465</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1466</v>
      </c>
      <c r="AY572" s="19">
        <v>10000015</v>
      </c>
      <c r="AZ572" s="19">
        <v>21000030</v>
      </c>
      <c r="BA572" s="18" t="s">
        <v>1369</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1467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61011303</v>
      </c>
      <c r="D573" s="18" t="s">
        <v>1367</v>
      </c>
      <c r="E573" s="18" t="s">
        <v>1465</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1466</v>
      </c>
      <c r="AY573" s="19">
        <v>10000015</v>
      </c>
      <c r="AZ573" s="19">
        <v>21000030</v>
      </c>
      <c r="BA573" s="18" t="s">
        <v>1369</v>
      </c>
      <c r="BB573" s="17">
        <v>0</v>
      </c>
      <c r="BC573" s="28">
        <v>0</v>
      </c>
      <c r="BD573" s="28">
        <v>0</v>
      </c>
      <c r="BE573" s="172" t="str">
        <f t="shared" si="22"/>
        <v>立即跳跃至目标区域并对其怪物造成225%攻击伤害+1500点固定伤害,并使目标眩晕1秒</v>
      </c>
      <c r="BF573" s="172" t="s">
        <v>1468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61011304</v>
      </c>
      <c r="D574" s="18" t="s">
        <v>1367</v>
      </c>
      <c r="E574" s="18" t="s">
        <v>1465</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1466</v>
      </c>
      <c r="AY574" s="19">
        <v>10000015</v>
      </c>
      <c r="AZ574" s="19">
        <v>21000030</v>
      </c>
      <c r="BA574" s="18" t="s">
        <v>1369</v>
      </c>
      <c r="BB574" s="17">
        <v>0</v>
      </c>
      <c r="BC574" s="28">
        <v>0</v>
      </c>
      <c r="BD574" s="28">
        <v>0</v>
      </c>
      <c r="BE574" s="172" t="str">
        <f t="shared" si="22"/>
        <v>立即跳跃至目标区域并对其怪物造成250%攻击伤害+2250点固定伤害,并使目标眩晕1秒</v>
      </c>
      <c r="BF574" s="172" t="s">
        <v>1469</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61011305</v>
      </c>
      <c r="D575" s="18" t="s">
        <v>1367</v>
      </c>
      <c r="E575" s="18" t="s">
        <v>1465</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1466</v>
      </c>
      <c r="AY575" s="19">
        <v>10000015</v>
      </c>
      <c r="AZ575" s="19">
        <v>21000030</v>
      </c>
      <c r="BA575" s="18" t="s">
        <v>1369</v>
      </c>
      <c r="BB575" s="17">
        <v>0</v>
      </c>
      <c r="BC575" s="28">
        <v>0</v>
      </c>
      <c r="BD575" s="28">
        <v>0</v>
      </c>
      <c r="BE575" s="172" t="str">
        <f t="shared" si="22"/>
        <v>立即跳跃至目标区域并对其怪物造成275%攻击伤害+3250点固定伤害,并使目标眩晕1秒</v>
      </c>
      <c r="BF575" s="172" t="s">
        <v>1470</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61011306</v>
      </c>
      <c r="D576" s="18" t="s">
        <v>1367</v>
      </c>
      <c r="E576" s="18" t="s">
        <v>1465</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1466</v>
      </c>
      <c r="AY576" s="19">
        <v>10000015</v>
      </c>
      <c r="AZ576" s="19">
        <v>21000030</v>
      </c>
      <c r="BA576" s="18" t="s">
        <v>1369</v>
      </c>
      <c r="BB576" s="17">
        <v>0</v>
      </c>
      <c r="BC576" s="28">
        <v>0</v>
      </c>
      <c r="BD576" s="28">
        <v>0</v>
      </c>
      <c r="BE576" s="172" t="str">
        <f t="shared" si="22"/>
        <v>立即跳跃至目标区域并对其怪物造成300%攻击伤害+4250点固定伤害,并使目标眩晕1秒</v>
      </c>
      <c r="BF576" s="172" t="s">
        <v>1471</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61012101</v>
      </c>
      <c r="D577" s="18" t="s">
        <v>1472</v>
      </c>
      <c r="E577" s="18" t="s">
        <v>1473</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1474</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1475</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1476</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61012102</v>
      </c>
      <c r="D578" s="18" t="s">
        <v>1472</v>
      </c>
      <c r="E578" s="18" t="s">
        <v>1473</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1474</v>
      </c>
      <c r="AI578" s="13">
        <v>2</v>
      </c>
      <c r="AJ578" s="13">
        <v>2</v>
      </c>
      <c r="AK578" s="13">
        <v>0</v>
      </c>
      <c r="AL578" s="13">
        <v>1.5</v>
      </c>
      <c r="AM578" s="17">
        <v>0</v>
      </c>
      <c r="AN578" s="17">
        <v>0</v>
      </c>
      <c r="AO578" s="17">
        <v>0</v>
      </c>
      <c r="AP578" s="17">
        <v>0.5</v>
      </c>
      <c r="AQ578" s="17">
        <v>2000</v>
      </c>
      <c r="AR578" s="17">
        <v>0.5</v>
      </c>
      <c r="AS578" s="17">
        <v>0</v>
      </c>
      <c r="AT578" s="13">
        <v>0</v>
      </c>
      <c r="AU578" s="17" t="s">
        <v>1477</v>
      </c>
      <c r="AV578" s="17"/>
      <c r="AW578" s="18" t="s">
        <v>287</v>
      </c>
      <c r="AX578" s="17" t="s">
        <v>1475</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1476</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61012103</v>
      </c>
      <c r="D579" s="18" t="s">
        <v>1472</v>
      </c>
      <c r="E579" s="18" t="s">
        <v>1473</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1474</v>
      </c>
      <c r="AI579" s="13">
        <v>2</v>
      </c>
      <c r="AJ579" s="13">
        <v>2</v>
      </c>
      <c r="AK579" s="13">
        <v>0</v>
      </c>
      <c r="AL579" s="13">
        <v>1.5</v>
      </c>
      <c r="AM579" s="17">
        <v>0</v>
      </c>
      <c r="AN579" s="17">
        <v>0</v>
      </c>
      <c r="AO579" s="17">
        <v>0</v>
      </c>
      <c r="AP579" s="17">
        <v>0.5</v>
      </c>
      <c r="AQ579" s="17">
        <v>2000</v>
      </c>
      <c r="AR579" s="17">
        <v>0.5</v>
      </c>
      <c r="AS579" s="17">
        <v>0</v>
      </c>
      <c r="AT579" s="13">
        <v>0</v>
      </c>
      <c r="AU579" s="17" t="s">
        <v>1477</v>
      </c>
      <c r="AV579" s="17"/>
      <c r="AW579" s="18" t="s">
        <v>287</v>
      </c>
      <c r="AX579" s="17" t="s">
        <v>1475</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1478</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61012104</v>
      </c>
      <c r="D580" s="18" t="s">
        <v>1472</v>
      </c>
      <c r="E580" s="18" t="s">
        <v>1473</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1474</v>
      </c>
      <c r="AI580" s="13">
        <v>2</v>
      </c>
      <c r="AJ580" s="13">
        <v>2</v>
      </c>
      <c r="AK580" s="13">
        <v>0</v>
      </c>
      <c r="AL580" s="13">
        <v>1.5</v>
      </c>
      <c r="AM580" s="17">
        <v>0</v>
      </c>
      <c r="AN580" s="17">
        <v>0</v>
      </c>
      <c r="AO580" s="17">
        <v>0</v>
      </c>
      <c r="AP580" s="17">
        <v>0.5</v>
      </c>
      <c r="AQ580" s="17">
        <v>2000</v>
      </c>
      <c r="AR580" s="17">
        <v>0.5</v>
      </c>
      <c r="AS580" s="17">
        <v>0</v>
      </c>
      <c r="AT580" s="13">
        <v>0</v>
      </c>
      <c r="AU580" s="17" t="s">
        <v>1477</v>
      </c>
      <c r="AV580" s="17"/>
      <c r="AW580" s="18" t="s">
        <v>287</v>
      </c>
      <c r="AX580" s="17" t="s">
        <v>1475</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1479</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61012105</v>
      </c>
      <c r="D581" s="18" t="s">
        <v>1472</v>
      </c>
      <c r="E581" s="18" t="s">
        <v>1473</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1474</v>
      </c>
      <c r="AI581" s="13">
        <v>2</v>
      </c>
      <c r="AJ581" s="13">
        <v>2</v>
      </c>
      <c r="AK581" s="13">
        <v>0</v>
      </c>
      <c r="AL581" s="13">
        <v>1.5</v>
      </c>
      <c r="AM581" s="17">
        <v>0</v>
      </c>
      <c r="AN581" s="17">
        <v>0</v>
      </c>
      <c r="AO581" s="17">
        <v>0</v>
      </c>
      <c r="AP581" s="17">
        <v>0.5</v>
      </c>
      <c r="AQ581" s="17">
        <v>2000</v>
      </c>
      <c r="AR581" s="17">
        <v>0.5</v>
      </c>
      <c r="AS581" s="17">
        <v>0</v>
      </c>
      <c r="AT581" s="13">
        <v>0</v>
      </c>
      <c r="AU581" s="17" t="s">
        <v>1477</v>
      </c>
      <c r="AV581" s="17"/>
      <c r="AW581" s="18" t="s">
        <v>287</v>
      </c>
      <c r="AX581" s="17" t="s">
        <v>1475</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1480</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61012106</v>
      </c>
      <c r="D582" s="18" t="s">
        <v>1472</v>
      </c>
      <c r="E582" s="18" t="s">
        <v>1473</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1474</v>
      </c>
      <c r="AI582" s="13">
        <v>2</v>
      </c>
      <c r="AJ582" s="13">
        <v>2</v>
      </c>
      <c r="AK582" s="13">
        <v>0</v>
      </c>
      <c r="AL582" s="13">
        <v>1.5</v>
      </c>
      <c r="AM582" s="17">
        <v>0</v>
      </c>
      <c r="AN582" s="17">
        <v>0</v>
      </c>
      <c r="AO582" s="17">
        <v>0</v>
      </c>
      <c r="AP582" s="17">
        <v>0.5</v>
      </c>
      <c r="AQ582" s="17">
        <v>2000</v>
      </c>
      <c r="AR582" s="17">
        <v>0.5</v>
      </c>
      <c r="AS582" s="17">
        <v>0</v>
      </c>
      <c r="AT582" s="13">
        <v>0</v>
      </c>
      <c r="AU582" s="17" t="s">
        <v>1477</v>
      </c>
      <c r="AV582" s="17"/>
      <c r="AW582" s="18" t="s">
        <v>287</v>
      </c>
      <c r="AX582" s="17" t="s">
        <v>1475</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1481</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1482</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1483</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1.1000000000000001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1482</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1484</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1482</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1485</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1482</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1486</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1482</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1487</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1482</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1488</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61012301</v>
      </c>
      <c r="D589" s="18" t="s">
        <v>1489</v>
      </c>
      <c r="E589" s="18" t="s">
        <v>1490</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1491</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1492</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61012302</v>
      </c>
      <c r="D590" s="18" t="s">
        <v>1489</v>
      </c>
      <c r="E590" s="18" t="s">
        <v>1490</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1491</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1492</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61012303</v>
      </c>
      <c r="D591" s="18" t="s">
        <v>1489</v>
      </c>
      <c r="E591" s="18" t="s">
        <v>1490</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1491</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1493</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17">
        <v>61012304</v>
      </c>
      <c r="D592" s="18" t="s">
        <v>1489</v>
      </c>
      <c r="E592" s="18" t="s">
        <v>1490</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55" t="s">
        <v>1491</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1494</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spans="3:75" ht="20.100000000000001" customHeight="1">
      <c r="C593" s="17">
        <v>61012305</v>
      </c>
      <c r="D593" s="18" t="s">
        <v>1489</v>
      </c>
      <c r="E593" s="18" t="s">
        <v>1490</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2.2000000000000002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55" t="s">
        <v>1491</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1495</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spans="3:75" ht="20.100000000000001" customHeight="1">
      <c r="C594" s="17">
        <v>61012306</v>
      </c>
      <c r="D594" s="18" t="s">
        <v>1489</v>
      </c>
      <c r="E594" s="18" t="s">
        <v>1490</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55" t="s">
        <v>1491</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1496</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spans="3:75" ht="20.100000000000001" customHeight="1">
      <c r="C595" s="31">
        <v>610211011</v>
      </c>
      <c r="D595" s="39" t="s">
        <v>1497</v>
      </c>
      <c r="E595" s="39" t="s">
        <v>1498</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1499</v>
      </c>
      <c r="AU595" s="31" t="s">
        <v>198</v>
      </c>
      <c r="AV595" s="31"/>
      <c r="AW595" s="39" t="s">
        <v>199</v>
      </c>
      <c r="AX595" s="31" t="s">
        <v>348</v>
      </c>
      <c r="AY595" s="31">
        <v>0</v>
      </c>
      <c r="AZ595" s="31">
        <v>0</v>
      </c>
      <c r="BA595" s="39" t="s">
        <v>200</v>
      </c>
      <c r="BB595" s="39" t="s">
        <v>198</v>
      </c>
      <c r="BC595" s="31">
        <v>0</v>
      </c>
      <c r="BD595" s="31">
        <v>0</v>
      </c>
      <c r="BE595" s="185" t="s">
        <v>1500</v>
      </c>
      <c r="BF595" s="185" t="s">
        <v>1501</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610211021</v>
      </c>
      <c r="D596" s="39" t="s">
        <v>1497</v>
      </c>
      <c r="E596" s="39" t="s">
        <v>1498</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1499</v>
      </c>
      <c r="AU596" s="31" t="s">
        <v>198</v>
      </c>
      <c r="AV596" s="31"/>
      <c r="AW596" s="39" t="s">
        <v>199</v>
      </c>
      <c r="AX596" s="31" t="s">
        <v>348</v>
      </c>
      <c r="AY596" s="31">
        <v>0</v>
      </c>
      <c r="AZ596" s="31">
        <v>0</v>
      </c>
      <c r="BA596" s="39" t="s">
        <v>200</v>
      </c>
      <c r="BB596" s="39" t="s">
        <v>198</v>
      </c>
      <c r="BC596" s="31">
        <v>0</v>
      </c>
      <c r="BD596" s="31">
        <v>0</v>
      </c>
      <c r="BE596" s="185" t="s">
        <v>1500</v>
      </c>
      <c r="BF596" s="185" t="s">
        <v>1501</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610211031</v>
      </c>
      <c r="D597" s="39" t="s">
        <v>1497</v>
      </c>
      <c r="E597" s="39" t="s">
        <v>1498</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1502</v>
      </c>
      <c r="AU597" s="31" t="s">
        <v>198</v>
      </c>
      <c r="AV597" s="31"/>
      <c r="AW597" s="39" t="s">
        <v>199</v>
      </c>
      <c r="AX597" s="31" t="s">
        <v>348</v>
      </c>
      <c r="AY597" s="31">
        <v>0</v>
      </c>
      <c r="AZ597" s="31">
        <v>0</v>
      </c>
      <c r="BA597" s="39" t="s">
        <v>200</v>
      </c>
      <c r="BB597" s="39" t="s">
        <v>198</v>
      </c>
      <c r="BC597" s="31">
        <v>0</v>
      </c>
      <c r="BD597" s="31">
        <v>0</v>
      </c>
      <c r="BE597" s="185" t="s">
        <v>1503</v>
      </c>
      <c r="BF597" s="185" t="s">
        <v>1504</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610211041</v>
      </c>
      <c r="D598" s="39" t="s">
        <v>1497</v>
      </c>
      <c r="E598" s="39" t="s">
        <v>1498</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62" t="s">
        <v>1505</v>
      </c>
      <c r="AU598" s="31" t="s">
        <v>198</v>
      </c>
      <c r="AV598" s="31"/>
      <c r="AW598" s="39" t="s">
        <v>199</v>
      </c>
      <c r="AX598" s="31" t="s">
        <v>348</v>
      </c>
      <c r="AY598" s="31">
        <v>0</v>
      </c>
      <c r="AZ598" s="31">
        <v>0</v>
      </c>
      <c r="BA598" s="39" t="s">
        <v>200</v>
      </c>
      <c r="BB598" s="39" t="s">
        <v>198</v>
      </c>
      <c r="BC598" s="31">
        <v>0</v>
      </c>
      <c r="BD598" s="31">
        <v>0</v>
      </c>
      <c r="BE598" s="185" t="s">
        <v>1506</v>
      </c>
      <c r="BF598" s="185" t="s">
        <v>1507</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spans="3:75" ht="20.100000000000001" customHeight="1">
      <c r="C599" s="31">
        <v>610211051</v>
      </c>
      <c r="D599" s="39" t="s">
        <v>1497</v>
      </c>
      <c r="E599" s="39" t="s">
        <v>1498</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62" t="s">
        <v>1508</v>
      </c>
      <c r="AU599" s="31" t="s">
        <v>198</v>
      </c>
      <c r="AV599" s="31"/>
      <c r="AW599" s="39" t="s">
        <v>199</v>
      </c>
      <c r="AX599" s="31" t="s">
        <v>348</v>
      </c>
      <c r="AY599" s="31">
        <v>0</v>
      </c>
      <c r="AZ599" s="31">
        <v>0</v>
      </c>
      <c r="BA599" s="39" t="s">
        <v>200</v>
      </c>
      <c r="BB599" s="39" t="s">
        <v>198</v>
      </c>
      <c r="BC599" s="31">
        <v>0</v>
      </c>
      <c r="BD599" s="31">
        <v>0</v>
      </c>
      <c r="BE599" s="185" t="s">
        <v>1509</v>
      </c>
      <c r="BF599" s="185" t="s">
        <v>1510</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spans="3:75" ht="20.100000000000001" customHeight="1">
      <c r="C600" s="31">
        <v>610211061</v>
      </c>
      <c r="D600" s="39" t="s">
        <v>1497</v>
      </c>
      <c r="E600" s="39" t="s">
        <v>1498</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62" t="s">
        <v>1511</v>
      </c>
      <c r="AU600" s="31" t="s">
        <v>198</v>
      </c>
      <c r="AV600" s="31"/>
      <c r="AW600" s="39" t="s">
        <v>199</v>
      </c>
      <c r="AX600" s="31" t="s">
        <v>348</v>
      </c>
      <c r="AY600" s="31">
        <v>0</v>
      </c>
      <c r="AZ600" s="31">
        <v>0</v>
      </c>
      <c r="BA600" s="39" t="s">
        <v>200</v>
      </c>
      <c r="BB600" s="39" t="s">
        <v>198</v>
      </c>
      <c r="BC600" s="31">
        <v>0</v>
      </c>
      <c r="BD600" s="31">
        <v>0</v>
      </c>
      <c r="BE600" s="185" t="s">
        <v>1512</v>
      </c>
      <c r="BF600" s="185" t="s">
        <v>1513</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spans="3:75" ht="20.100000000000001" customHeight="1">
      <c r="C601" s="31">
        <v>610211071</v>
      </c>
      <c r="D601" s="39" t="s">
        <v>1514</v>
      </c>
      <c r="E601" s="39" t="s">
        <v>1515</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1460</v>
      </c>
      <c r="AV601" s="31"/>
      <c r="AW601" s="39" t="s">
        <v>762</v>
      </c>
      <c r="AX601" s="31" t="s">
        <v>215</v>
      </c>
      <c r="AY601" s="31">
        <v>10000015</v>
      </c>
      <c r="AZ601" s="31">
        <v>21101021</v>
      </c>
      <c r="BA601" s="39" t="s">
        <v>1369</v>
      </c>
      <c r="BB601" s="31">
        <v>1</v>
      </c>
      <c r="BC601" s="31">
        <v>0</v>
      </c>
      <c r="BD601" s="31">
        <v>0</v>
      </c>
      <c r="BE601" s="185"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5" t="s">
        <v>1516</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610211081</v>
      </c>
      <c r="D602" s="39" t="s">
        <v>1514</v>
      </c>
      <c r="E602" s="39" t="s">
        <v>1515</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1460</v>
      </c>
      <c r="AV602" s="31"/>
      <c r="AW602" s="39" t="s">
        <v>762</v>
      </c>
      <c r="AX602" s="31" t="s">
        <v>215</v>
      </c>
      <c r="AY602" s="31">
        <v>10000015</v>
      </c>
      <c r="AZ602" s="31">
        <v>21101021</v>
      </c>
      <c r="BA602" s="39" t="s">
        <v>1369</v>
      </c>
      <c r="BB602" s="31">
        <v>1</v>
      </c>
      <c r="BC602" s="31">
        <v>0</v>
      </c>
      <c r="BD602" s="31">
        <v>0</v>
      </c>
      <c r="BE602" s="185"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5" t="s">
        <v>1516</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610211091</v>
      </c>
      <c r="D603" s="39" t="s">
        <v>1514</v>
      </c>
      <c r="E603" s="39" t="s">
        <v>1515</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1460</v>
      </c>
      <c r="AV603" s="31"/>
      <c r="AW603" s="39" t="s">
        <v>762</v>
      </c>
      <c r="AX603" s="31" t="s">
        <v>215</v>
      </c>
      <c r="AY603" s="31">
        <v>10000015</v>
      </c>
      <c r="AZ603" s="31">
        <v>21101021</v>
      </c>
      <c r="BA603" s="39" t="s">
        <v>1369</v>
      </c>
      <c r="BB603" s="31">
        <v>1</v>
      </c>
      <c r="BC603" s="31">
        <v>0</v>
      </c>
      <c r="BD603" s="31">
        <v>0</v>
      </c>
      <c r="BE603" s="185" t="str">
        <f t="shared" si="26"/>
        <v>立即对当前脚下敌人目标造成200%攻击伤害+1400点固定伤害和使目标眩晕1秒,并迅速跳跃至目标区域</v>
      </c>
      <c r="BF603" s="185" t="s">
        <v>1517</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20.100000000000001" customHeight="1">
      <c r="C604" s="31">
        <v>610211101</v>
      </c>
      <c r="D604" s="39" t="s">
        <v>1514</v>
      </c>
      <c r="E604" s="39" t="s">
        <v>1515</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1460</v>
      </c>
      <c r="AV604" s="31"/>
      <c r="AW604" s="39" t="s">
        <v>762</v>
      </c>
      <c r="AX604" s="31" t="s">
        <v>215</v>
      </c>
      <c r="AY604" s="31">
        <v>10000015</v>
      </c>
      <c r="AZ604" s="31">
        <v>21101021</v>
      </c>
      <c r="BA604" s="39" t="s">
        <v>1369</v>
      </c>
      <c r="BB604" s="31">
        <v>1</v>
      </c>
      <c r="BC604" s="31">
        <v>0</v>
      </c>
      <c r="BD604" s="31">
        <v>0</v>
      </c>
      <c r="BE604" s="185" t="str">
        <f t="shared" si="26"/>
        <v>立即对当前脚下敌人目标造成200%攻击伤害+1750点固定伤害和使目标眩晕1秒,并迅速跳跃至目标区域</v>
      </c>
      <c r="BF604" s="185" t="s">
        <v>1518</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spans="3:75" ht="20.100000000000001" customHeight="1">
      <c r="C605" s="31">
        <v>610211111</v>
      </c>
      <c r="D605" s="39" t="s">
        <v>1514</v>
      </c>
      <c r="E605" s="39" t="s">
        <v>1515</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1460</v>
      </c>
      <c r="AV605" s="31"/>
      <c r="AW605" s="39" t="s">
        <v>762</v>
      </c>
      <c r="AX605" s="31" t="s">
        <v>215</v>
      </c>
      <c r="AY605" s="31">
        <v>10000015</v>
      </c>
      <c r="AZ605" s="31">
        <v>21101021</v>
      </c>
      <c r="BA605" s="39" t="s">
        <v>1369</v>
      </c>
      <c r="BB605" s="31">
        <v>1</v>
      </c>
      <c r="BC605" s="31">
        <v>0</v>
      </c>
      <c r="BD605" s="31">
        <v>0</v>
      </c>
      <c r="BE605" s="185" t="str">
        <f t="shared" si="26"/>
        <v>立即对当前脚下敌人目标造成200%攻击伤害+2100点固定伤害和使目标眩晕1秒,并迅速跳跃至目标区域</v>
      </c>
      <c r="BF605" s="185" t="s">
        <v>1519</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spans="3:75" ht="20.100000000000001" customHeight="1">
      <c r="C606" s="31">
        <v>610211121</v>
      </c>
      <c r="D606" s="39" t="s">
        <v>1514</v>
      </c>
      <c r="E606" s="39" t="s">
        <v>1515</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1460</v>
      </c>
      <c r="AV606" s="31"/>
      <c r="AW606" s="39" t="s">
        <v>762</v>
      </c>
      <c r="AX606" s="31" t="s">
        <v>215</v>
      </c>
      <c r="AY606" s="31">
        <v>10000015</v>
      </c>
      <c r="AZ606" s="31">
        <v>21101021</v>
      </c>
      <c r="BA606" s="39" t="s">
        <v>1369</v>
      </c>
      <c r="BB606" s="31">
        <v>1</v>
      </c>
      <c r="BC606" s="31">
        <v>0</v>
      </c>
      <c r="BD606" s="31">
        <v>0</v>
      </c>
      <c r="BE606" s="185" t="str">
        <f t="shared" si="26"/>
        <v>立即对当前脚下敌人目标造成200%攻击伤害+2450点固定伤害和使目标眩晕1秒,并迅速跳跃至目标区域</v>
      </c>
      <c r="BF606" s="185" t="s">
        <v>1520</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spans="3:75" ht="19.5" customHeight="1">
      <c r="C607" s="182">
        <v>61021101</v>
      </c>
      <c r="D607" s="20" t="s">
        <v>1521</v>
      </c>
      <c r="E607" s="20" t="s">
        <v>1522</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1523</v>
      </c>
      <c r="AV607" s="19"/>
      <c r="AW607" s="20" t="s">
        <v>1524</v>
      </c>
      <c r="AX607" s="19" t="s">
        <v>1525</v>
      </c>
      <c r="AY607" s="19">
        <v>10000006</v>
      </c>
      <c r="AZ607" s="19">
        <v>21010040</v>
      </c>
      <c r="BA607" s="18" t="s">
        <v>1526</v>
      </c>
      <c r="BB607" s="20">
        <v>0</v>
      </c>
      <c r="BC607" s="28">
        <v>0</v>
      </c>
      <c r="BD607" s="28">
        <v>0</v>
      </c>
      <c r="BE607" s="186"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6" t="s">
        <v>1527</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61021102</v>
      </c>
      <c r="D608" s="20" t="s">
        <v>1521</v>
      </c>
      <c r="E608" s="20" t="s">
        <v>1522</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1523</v>
      </c>
      <c r="AV608" s="19"/>
      <c r="AW608" s="20" t="s">
        <v>1524</v>
      </c>
      <c r="AX608" s="19" t="s">
        <v>1525</v>
      </c>
      <c r="AY608" s="19">
        <v>10000006</v>
      </c>
      <c r="AZ608" s="19">
        <v>21010040</v>
      </c>
      <c r="BA608" s="18" t="s">
        <v>1526</v>
      </c>
      <c r="BB608" s="20">
        <v>0</v>
      </c>
      <c r="BC608" s="28">
        <v>0</v>
      </c>
      <c r="BD608" s="28">
        <v>0</v>
      </c>
      <c r="BE608" s="186"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6" t="s">
        <v>1527</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61021103</v>
      </c>
      <c r="D609" s="20" t="s">
        <v>1521</v>
      </c>
      <c r="E609" s="20" t="s">
        <v>1522</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1523</v>
      </c>
      <c r="AV609" s="19"/>
      <c r="AW609" s="20" t="s">
        <v>1524</v>
      </c>
      <c r="AX609" s="19" t="s">
        <v>1525</v>
      </c>
      <c r="AY609" s="19">
        <v>10000006</v>
      </c>
      <c r="AZ609" s="19">
        <v>21010040</v>
      </c>
      <c r="BA609" s="18" t="s">
        <v>1526</v>
      </c>
      <c r="BB609" s="20">
        <v>0</v>
      </c>
      <c r="BC609" s="28">
        <v>0</v>
      </c>
      <c r="BD609" s="28">
        <v>0</v>
      </c>
      <c r="BE609" s="186" t="str">
        <f t="shared" si="27"/>
        <v>立即将目标周围的怪物强制拉到技能范围中,并对目标范围内的怪物造成275%攻击伤害+1800点固定伤害,并使目标移动速度降低50%且沉默,持续3秒</v>
      </c>
      <c r="BF609" s="186" t="s">
        <v>1528</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82">
        <v>61021104</v>
      </c>
      <c r="D610" s="20" t="s">
        <v>1521</v>
      </c>
      <c r="E610" s="20" t="s">
        <v>1522</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63" t="s">
        <v>1523</v>
      </c>
      <c r="AV610" s="19"/>
      <c r="AW610" s="20" t="s">
        <v>1524</v>
      </c>
      <c r="AX610" s="19" t="s">
        <v>1525</v>
      </c>
      <c r="AY610" s="19">
        <v>10000006</v>
      </c>
      <c r="AZ610" s="19">
        <v>21010040</v>
      </c>
      <c r="BA610" s="18" t="s">
        <v>1526</v>
      </c>
      <c r="BB610" s="20">
        <v>0</v>
      </c>
      <c r="BC610" s="28">
        <v>0</v>
      </c>
      <c r="BD610" s="28">
        <v>0</v>
      </c>
      <c r="BE610" s="186" t="str">
        <f t="shared" si="27"/>
        <v>立即将目标周围的怪物强制拉到技能范围中,并对目标范围内的怪物造成300%攻击伤害+2800点固定伤害,并使目标移动速度降低50%且沉默,持续3秒</v>
      </c>
      <c r="BF610" s="186" t="s">
        <v>1529</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spans="3:75" ht="19.5" customHeight="1">
      <c r="C611" s="182">
        <v>61021105</v>
      </c>
      <c r="D611" s="20" t="s">
        <v>1521</v>
      </c>
      <c r="E611" s="20" t="s">
        <v>1522</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63" t="s">
        <v>1523</v>
      </c>
      <c r="AV611" s="19"/>
      <c r="AW611" s="20" t="s">
        <v>1524</v>
      </c>
      <c r="AX611" s="19" t="s">
        <v>1525</v>
      </c>
      <c r="AY611" s="19">
        <v>10000006</v>
      </c>
      <c r="AZ611" s="19">
        <v>21010040</v>
      </c>
      <c r="BA611" s="18" t="s">
        <v>1526</v>
      </c>
      <c r="BB611" s="20">
        <v>0</v>
      </c>
      <c r="BC611" s="28">
        <v>0</v>
      </c>
      <c r="BD611" s="28">
        <v>0</v>
      </c>
      <c r="BE611" s="186" t="str">
        <f t="shared" si="27"/>
        <v>立即将目标周围的怪物强制拉到技能范围中,并对目标范围内的怪物造成325%攻击伤害+4000点固定伤害,并使目标移动速度降低50%且沉默,持续3秒</v>
      </c>
      <c r="BF611" s="186" t="s">
        <v>1530</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spans="3:75" ht="19.5" customHeight="1">
      <c r="C612" s="182">
        <v>61021106</v>
      </c>
      <c r="D612" s="20" t="s">
        <v>1521</v>
      </c>
      <c r="E612" s="20" t="s">
        <v>1522</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63" t="s">
        <v>1523</v>
      </c>
      <c r="AV612" s="19"/>
      <c r="AW612" s="20" t="s">
        <v>1524</v>
      </c>
      <c r="AX612" s="19" t="s">
        <v>1525</v>
      </c>
      <c r="AY612" s="19">
        <v>10000006</v>
      </c>
      <c r="AZ612" s="19">
        <v>21010040</v>
      </c>
      <c r="BA612" s="18" t="s">
        <v>1526</v>
      </c>
      <c r="BB612" s="20">
        <v>0</v>
      </c>
      <c r="BC612" s="28">
        <v>0</v>
      </c>
      <c r="BD612" s="28">
        <v>0</v>
      </c>
      <c r="BE612" s="186" t="str">
        <f t="shared" si="27"/>
        <v>立即将目标周围的怪物强制拉到技能范围中,并对目标范围内的怪物造成350%攻击伤害+5200点固定伤害,并使目标移动速度降低50%且沉默,持续3秒</v>
      </c>
      <c r="BF612" s="186" t="s">
        <v>1531</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spans="3:75" ht="19.5" customHeight="1">
      <c r="C613" s="19">
        <v>61021201</v>
      </c>
      <c r="D613" s="20" t="s">
        <v>1532</v>
      </c>
      <c r="E613" s="20" t="s">
        <v>1533</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1534</v>
      </c>
      <c r="AX613" s="19" t="s">
        <v>1041</v>
      </c>
      <c r="AY613" s="19">
        <v>10003002</v>
      </c>
      <c r="AZ613" s="19">
        <v>21010020</v>
      </c>
      <c r="BA613" s="20" t="s">
        <v>586</v>
      </c>
      <c r="BB613" s="20">
        <v>0</v>
      </c>
      <c r="BC613" s="28">
        <v>0</v>
      </c>
      <c r="BD613" s="28">
        <v>0</v>
      </c>
      <c r="BE613" s="186"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6" t="s">
        <v>1535</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spans="3:75" ht="19.5" customHeight="1">
      <c r="C614" s="19">
        <v>61021202</v>
      </c>
      <c r="D614" s="20" t="s">
        <v>1532</v>
      </c>
      <c r="E614" s="20" t="s">
        <v>1533</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1534</v>
      </c>
      <c r="AX614" s="19" t="s">
        <v>1041</v>
      </c>
      <c r="AY614" s="19">
        <v>10003002</v>
      </c>
      <c r="AZ614" s="19">
        <v>21010020</v>
      </c>
      <c r="BA614" s="20" t="s">
        <v>586</v>
      </c>
      <c r="BB614" s="20">
        <v>0</v>
      </c>
      <c r="BC614" s="28">
        <v>0</v>
      </c>
      <c r="BD614" s="28">
        <v>0</v>
      </c>
      <c r="BE614" s="186"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6" t="s">
        <v>1535</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spans="3:75" ht="19.5" customHeight="1">
      <c r="C615" s="19">
        <v>61021203</v>
      </c>
      <c r="D615" s="20" t="s">
        <v>1532</v>
      </c>
      <c r="E615" s="20" t="s">
        <v>1533</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1534</v>
      </c>
      <c r="AX615" s="19" t="s">
        <v>1041</v>
      </c>
      <c r="AY615" s="19">
        <v>10003002</v>
      </c>
      <c r="AZ615" s="19">
        <v>21010020</v>
      </c>
      <c r="BA615" s="20" t="s">
        <v>586</v>
      </c>
      <c r="BB615" s="20">
        <v>0</v>
      </c>
      <c r="BC615" s="28">
        <v>0</v>
      </c>
      <c r="BD615" s="28">
        <v>0</v>
      </c>
      <c r="BE615" s="186" t="str">
        <f t="shared" si="29"/>
        <v>向前方发射一颗移动缓慢的法球,球体每秒对附近玩家造成325%伤害+1800点固定伤害,并产生2秒禁锢效果,技能持续为15秒,移动过程中每秒对范围额外附加150%伤害+1000点伤害</v>
      </c>
      <c r="BF615" s="186" t="s">
        <v>1536</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spans="3:75" ht="19.5" customHeight="1">
      <c r="C616" s="19">
        <v>61021204</v>
      </c>
      <c r="D616" s="20" t="s">
        <v>1532</v>
      </c>
      <c r="E616" s="20" t="s">
        <v>1533</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1534</v>
      </c>
      <c r="AX616" s="19" t="s">
        <v>1041</v>
      </c>
      <c r="AY616" s="19">
        <v>10003002</v>
      </c>
      <c r="AZ616" s="19">
        <v>21010020</v>
      </c>
      <c r="BA616" s="20" t="s">
        <v>586</v>
      </c>
      <c r="BB616" s="20">
        <v>0</v>
      </c>
      <c r="BC616" s="28">
        <v>0</v>
      </c>
      <c r="BD616" s="28">
        <v>0</v>
      </c>
      <c r="BE616" s="186" t="str">
        <f t="shared" si="29"/>
        <v>向前方发射一颗移动缓慢的法球,球体每秒对附近玩家造成350%伤害+2800点固定伤害,并产生2秒禁锢效果,技能持续为15秒,移动过程中每秒对范围额外附加150%伤害+1500点伤害</v>
      </c>
      <c r="BF616" s="186" t="s">
        <v>1537</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spans="3:75" ht="19.5" customHeight="1">
      <c r="C617" s="19">
        <v>61021205</v>
      </c>
      <c r="D617" s="20" t="s">
        <v>1532</v>
      </c>
      <c r="E617" s="20" t="s">
        <v>1533</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1534</v>
      </c>
      <c r="AX617" s="19" t="s">
        <v>1041</v>
      </c>
      <c r="AY617" s="19">
        <v>10003002</v>
      </c>
      <c r="AZ617" s="19">
        <v>21010020</v>
      </c>
      <c r="BA617" s="20" t="s">
        <v>586</v>
      </c>
      <c r="BB617" s="20">
        <v>0</v>
      </c>
      <c r="BC617" s="28">
        <v>0</v>
      </c>
      <c r="BD617" s="28">
        <v>0</v>
      </c>
      <c r="BE617" s="186" t="str">
        <f t="shared" si="29"/>
        <v>向前方发射一颗移动缓慢的法球,球体每秒对附近玩家造成375%伤害+4000点固定伤害,并产生2秒禁锢效果,技能持续为15秒,移动过程中每秒对范围额外附加150%伤害+2000点伤害</v>
      </c>
      <c r="BF617" s="186" t="s">
        <v>1538</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spans="3:75" ht="19.5" customHeight="1">
      <c r="C618" s="19">
        <v>61021206</v>
      </c>
      <c r="D618" s="20" t="s">
        <v>1532</v>
      </c>
      <c r="E618" s="20" t="s">
        <v>1533</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1534</v>
      </c>
      <c r="AX618" s="19" t="s">
        <v>1041</v>
      </c>
      <c r="AY618" s="19">
        <v>10003002</v>
      </c>
      <c r="AZ618" s="19">
        <v>21010020</v>
      </c>
      <c r="BA618" s="20" t="s">
        <v>586</v>
      </c>
      <c r="BB618" s="20">
        <v>0</v>
      </c>
      <c r="BC618" s="28">
        <v>0</v>
      </c>
      <c r="BD618" s="28">
        <v>0</v>
      </c>
      <c r="BE618" s="186" t="str">
        <f t="shared" si="29"/>
        <v>向前方发射一颗移动缓慢的法球,球体每秒对附近玩家造成400%伤害+5200点固定伤害,并产生2秒禁锢效果,技能持续为15秒,移动过程中每秒对范围额外附加150%伤害+2500点伤害</v>
      </c>
      <c r="BF618" s="186" t="s">
        <v>1539</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spans="3:75" ht="19.5" customHeight="1">
      <c r="C619" s="19">
        <v>61021301</v>
      </c>
      <c r="D619" s="20" t="s">
        <v>1540</v>
      </c>
      <c r="E619" s="20" t="s">
        <v>1541</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1542</v>
      </c>
      <c r="AI619" s="13">
        <v>2</v>
      </c>
      <c r="AJ619" s="13">
        <v>3</v>
      </c>
      <c r="AK619" s="13">
        <v>0</v>
      </c>
      <c r="AL619" s="13">
        <v>3</v>
      </c>
      <c r="AM619" s="19">
        <v>0</v>
      </c>
      <c r="AN619" s="19">
        <v>0</v>
      </c>
      <c r="AO619" s="19">
        <v>0</v>
      </c>
      <c r="AP619" s="19">
        <v>0.25</v>
      </c>
      <c r="AQ619" s="19">
        <v>3000</v>
      </c>
      <c r="AR619" s="19">
        <v>0.1</v>
      </c>
      <c r="AS619" s="19">
        <v>0</v>
      </c>
      <c r="AT619" s="13">
        <v>0</v>
      </c>
      <c r="AU619" s="363" t="s">
        <v>1543</v>
      </c>
      <c r="AV619" s="19"/>
      <c r="AW619" s="20" t="s">
        <v>256</v>
      </c>
      <c r="AX619" s="19" t="s">
        <v>545</v>
      </c>
      <c r="AY619" s="19">
        <v>10001007</v>
      </c>
      <c r="AZ619" s="19">
        <v>21010030</v>
      </c>
      <c r="BA619" s="20" t="s">
        <v>200</v>
      </c>
      <c r="BB619" s="20">
        <v>0</v>
      </c>
      <c r="BC619" s="28">
        <v>0</v>
      </c>
      <c r="BD619" s="28">
        <v>0</v>
      </c>
      <c r="BE619" s="186"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6" t="s">
        <v>1544</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61021302</v>
      </c>
      <c r="D620" s="20" t="s">
        <v>1540</v>
      </c>
      <c r="E620" s="20" t="s">
        <v>1541</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1542</v>
      </c>
      <c r="AI620" s="13">
        <v>2</v>
      </c>
      <c r="AJ620" s="13">
        <v>3</v>
      </c>
      <c r="AK620" s="13">
        <v>0</v>
      </c>
      <c r="AL620" s="13">
        <v>3</v>
      </c>
      <c r="AM620" s="19">
        <v>0</v>
      </c>
      <c r="AN620" s="19">
        <v>0</v>
      </c>
      <c r="AO620" s="19">
        <v>0</v>
      </c>
      <c r="AP620" s="19">
        <v>0.25</v>
      </c>
      <c r="AQ620" s="19">
        <v>3000</v>
      </c>
      <c r="AR620" s="19">
        <v>0.1</v>
      </c>
      <c r="AS620" s="19">
        <v>0</v>
      </c>
      <c r="AT620" s="13">
        <v>0</v>
      </c>
      <c r="AU620" s="363" t="s">
        <v>1543</v>
      </c>
      <c r="AV620" s="19"/>
      <c r="AW620" s="20" t="s">
        <v>256</v>
      </c>
      <c r="AX620" s="19" t="s">
        <v>545</v>
      </c>
      <c r="AY620" s="19">
        <v>10001007</v>
      </c>
      <c r="AZ620" s="19">
        <v>21010030</v>
      </c>
      <c r="BA620" s="20" t="s">
        <v>200</v>
      </c>
      <c r="BB620" s="20">
        <v>0</v>
      </c>
      <c r="BC620" s="28">
        <v>0</v>
      </c>
      <c r="BD620" s="28">
        <v>0</v>
      </c>
      <c r="BE620" s="186"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6" t="s">
        <v>1544</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61021303</v>
      </c>
      <c r="D621" s="20" t="s">
        <v>1540</v>
      </c>
      <c r="E621" s="20" t="s">
        <v>1541</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1542</v>
      </c>
      <c r="AI621" s="13">
        <v>2</v>
      </c>
      <c r="AJ621" s="13">
        <v>3</v>
      </c>
      <c r="AK621" s="13">
        <v>0</v>
      </c>
      <c r="AL621" s="13">
        <v>3</v>
      </c>
      <c r="AM621" s="19">
        <v>0</v>
      </c>
      <c r="AN621" s="19">
        <v>0</v>
      </c>
      <c r="AO621" s="19">
        <v>0</v>
      </c>
      <c r="AP621" s="19">
        <v>0.25</v>
      </c>
      <c r="AQ621" s="19">
        <v>3000</v>
      </c>
      <c r="AR621" s="19">
        <v>0.1</v>
      </c>
      <c r="AS621" s="19">
        <v>0</v>
      </c>
      <c r="AT621" s="13">
        <v>0</v>
      </c>
      <c r="AU621" s="363" t="s">
        <v>1543</v>
      </c>
      <c r="AV621" s="19"/>
      <c r="AW621" s="20" t="s">
        <v>256</v>
      </c>
      <c r="AX621" s="19" t="s">
        <v>545</v>
      </c>
      <c r="AY621" s="19">
        <v>10001007</v>
      </c>
      <c r="AZ621" s="19">
        <v>21010030</v>
      </c>
      <c r="BA621" s="20" t="s">
        <v>200</v>
      </c>
      <c r="BB621" s="20">
        <v>0</v>
      </c>
      <c r="BC621" s="28">
        <v>0</v>
      </c>
      <c r="BD621" s="28">
        <v>0</v>
      </c>
      <c r="BE621" s="186" t="str">
        <f t="shared" si="31"/>
        <v>立即对目标范围内的怪物造成275%攻击伤害+1500点固定伤害,并使目标冰冻1秒,使其受到伤害额外提升20%</v>
      </c>
      <c r="BF621" s="186" t="s">
        <v>1545</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19.5" customHeight="1">
      <c r="C622" s="19">
        <v>61021304</v>
      </c>
      <c r="D622" s="20" t="s">
        <v>1540</v>
      </c>
      <c r="E622" s="20" t="s">
        <v>1541</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1542</v>
      </c>
      <c r="AI622" s="13">
        <v>2</v>
      </c>
      <c r="AJ622" s="13">
        <v>3</v>
      </c>
      <c r="AK622" s="13">
        <v>0</v>
      </c>
      <c r="AL622" s="13">
        <v>3</v>
      </c>
      <c r="AM622" s="19">
        <v>0</v>
      </c>
      <c r="AN622" s="19">
        <v>0</v>
      </c>
      <c r="AO622" s="19">
        <v>0</v>
      </c>
      <c r="AP622" s="19">
        <v>0.25</v>
      </c>
      <c r="AQ622" s="19">
        <v>3000</v>
      </c>
      <c r="AR622" s="19">
        <v>0.1</v>
      </c>
      <c r="AS622" s="19">
        <v>0</v>
      </c>
      <c r="AT622" s="13">
        <v>0</v>
      </c>
      <c r="AU622" s="363" t="s">
        <v>1543</v>
      </c>
      <c r="AV622" s="19"/>
      <c r="AW622" s="20" t="s">
        <v>256</v>
      </c>
      <c r="AX622" s="19" t="s">
        <v>545</v>
      </c>
      <c r="AY622" s="19">
        <v>10001007</v>
      </c>
      <c r="AZ622" s="19">
        <v>21010030</v>
      </c>
      <c r="BA622" s="20" t="s">
        <v>200</v>
      </c>
      <c r="BB622" s="20">
        <v>0</v>
      </c>
      <c r="BC622" s="28">
        <v>0</v>
      </c>
      <c r="BD622" s="28">
        <v>0</v>
      </c>
      <c r="BE622" s="186" t="str">
        <f t="shared" si="31"/>
        <v>立即对目标范围内的怪物造成300%攻击伤害+2000点固定伤害,并使目标冰冻1秒,使其受到伤害额外提升20%</v>
      </c>
      <c r="BF622" s="186" t="s">
        <v>1546</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spans="3:75" ht="19.5" customHeight="1">
      <c r="C623" s="19">
        <v>61021305</v>
      </c>
      <c r="D623" s="20" t="s">
        <v>1540</v>
      </c>
      <c r="E623" s="20" t="s">
        <v>1541</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1542</v>
      </c>
      <c r="AI623" s="13">
        <v>2</v>
      </c>
      <c r="AJ623" s="13">
        <v>3</v>
      </c>
      <c r="AK623" s="13">
        <v>0</v>
      </c>
      <c r="AL623" s="13">
        <v>3</v>
      </c>
      <c r="AM623" s="19">
        <v>0</v>
      </c>
      <c r="AN623" s="19">
        <v>0</v>
      </c>
      <c r="AO623" s="19">
        <v>0</v>
      </c>
      <c r="AP623" s="19">
        <v>0.25</v>
      </c>
      <c r="AQ623" s="19">
        <v>3000</v>
      </c>
      <c r="AR623" s="19">
        <v>0.1</v>
      </c>
      <c r="AS623" s="19">
        <v>0</v>
      </c>
      <c r="AT623" s="13">
        <v>0</v>
      </c>
      <c r="AU623" s="363" t="s">
        <v>1543</v>
      </c>
      <c r="AV623" s="19"/>
      <c r="AW623" s="20" t="s">
        <v>256</v>
      </c>
      <c r="AX623" s="19" t="s">
        <v>545</v>
      </c>
      <c r="AY623" s="19">
        <v>10001007</v>
      </c>
      <c r="AZ623" s="19">
        <v>21010030</v>
      </c>
      <c r="BA623" s="20" t="s">
        <v>200</v>
      </c>
      <c r="BB623" s="20">
        <v>0</v>
      </c>
      <c r="BC623" s="28">
        <v>0</v>
      </c>
      <c r="BD623" s="28">
        <v>0</v>
      </c>
      <c r="BE623" s="186" t="str">
        <f t="shared" si="31"/>
        <v>立即对目标范围内的怪物造成325%攻击伤害+2750点固定伤害,并使目标冰冻1秒,使其受到伤害额外提升20%</v>
      </c>
      <c r="BF623" s="186" t="s">
        <v>1547</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spans="3:75" ht="19.5" customHeight="1">
      <c r="C624" s="19">
        <v>61021306</v>
      </c>
      <c r="D624" s="20" t="s">
        <v>1540</v>
      </c>
      <c r="E624" s="20" t="s">
        <v>1541</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1542</v>
      </c>
      <c r="AI624" s="13">
        <v>2</v>
      </c>
      <c r="AJ624" s="13">
        <v>3</v>
      </c>
      <c r="AK624" s="13">
        <v>0</v>
      </c>
      <c r="AL624" s="13">
        <v>3</v>
      </c>
      <c r="AM624" s="19">
        <v>0</v>
      </c>
      <c r="AN624" s="19">
        <v>0</v>
      </c>
      <c r="AO624" s="19">
        <v>0</v>
      </c>
      <c r="AP624" s="19">
        <v>0.25</v>
      </c>
      <c r="AQ624" s="19">
        <v>3000</v>
      </c>
      <c r="AR624" s="19">
        <v>0.1</v>
      </c>
      <c r="AS624" s="19">
        <v>0</v>
      </c>
      <c r="AT624" s="13">
        <v>0</v>
      </c>
      <c r="AU624" s="363" t="s">
        <v>1543</v>
      </c>
      <c r="AV624" s="19"/>
      <c r="AW624" s="20" t="s">
        <v>256</v>
      </c>
      <c r="AX624" s="19" t="s">
        <v>545</v>
      </c>
      <c r="AY624" s="19">
        <v>10001007</v>
      </c>
      <c r="AZ624" s="19">
        <v>21010030</v>
      </c>
      <c r="BA624" s="20" t="s">
        <v>200</v>
      </c>
      <c r="BB624" s="20">
        <v>0</v>
      </c>
      <c r="BC624" s="28">
        <v>0</v>
      </c>
      <c r="BD624" s="28">
        <v>0</v>
      </c>
      <c r="BE624" s="186" t="str">
        <f t="shared" si="31"/>
        <v>立即对目标范围内的怪物造成350%攻击伤害+3500点固定伤害,并使目标冰冻1秒,使其受到伤害额外提升20%</v>
      </c>
      <c r="BF624" s="186" t="s">
        <v>1548</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spans="3:75" ht="20.100000000000001" customHeight="1">
      <c r="C625" s="13">
        <v>61021401</v>
      </c>
      <c r="D625" s="14" t="s">
        <v>1549</v>
      </c>
      <c r="E625" s="14" t="s">
        <v>1550</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1551</v>
      </c>
      <c r="BB625" s="13">
        <v>0</v>
      </c>
      <c r="BC625" s="13">
        <v>0</v>
      </c>
      <c r="BD625" s="13">
        <v>0</v>
      </c>
      <c r="BE625" s="187"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7" t="s">
        <v>1552</v>
      </c>
      <c r="BG625" s="13">
        <v>0</v>
      </c>
      <c r="BH625" s="13">
        <v>0</v>
      </c>
      <c r="BI625" s="13">
        <v>0</v>
      </c>
      <c r="BJ625" s="13">
        <v>0</v>
      </c>
      <c r="BK625" s="13">
        <v>0</v>
      </c>
      <c r="BL625" s="13">
        <v>0</v>
      </c>
      <c r="BM625" s="188">
        <v>0</v>
      </c>
      <c r="BN625" s="13">
        <v>0</v>
      </c>
      <c r="BO625" s="13">
        <v>0</v>
      </c>
      <c r="BP625" s="13">
        <v>1000</v>
      </c>
      <c r="BQ625" s="13">
        <v>1.2</v>
      </c>
      <c r="BR625" s="13">
        <v>500</v>
      </c>
      <c r="BS625" s="13">
        <v>0</v>
      </c>
      <c r="BT625" s="13">
        <v>0</v>
      </c>
      <c r="BU625" s="49">
        <v>0</v>
      </c>
      <c r="BV625" s="49"/>
      <c r="BW625" s="49"/>
    </row>
    <row r="626" spans="3:75" ht="20.100000000000001" customHeight="1">
      <c r="C626" s="13">
        <v>61021402</v>
      </c>
      <c r="D626" s="14" t="s">
        <v>1549</v>
      </c>
      <c r="E626" s="14" t="s">
        <v>1550</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1551</v>
      </c>
      <c r="BB626" s="13">
        <v>0</v>
      </c>
      <c r="BC626" s="13">
        <v>0</v>
      </c>
      <c r="BD626" s="13">
        <v>0</v>
      </c>
      <c r="BE626" s="187"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7" t="s">
        <v>1552</v>
      </c>
      <c r="BG626" s="13">
        <v>0</v>
      </c>
      <c r="BH626" s="13">
        <v>0</v>
      </c>
      <c r="BI626" s="13">
        <v>0</v>
      </c>
      <c r="BJ626" s="13">
        <v>0</v>
      </c>
      <c r="BK626" s="13">
        <v>0</v>
      </c>
      <c r="BL626" s="13">
        <v>0</v>
      </c>
      <c r="BM626" s="188">
        <v>0</v>
      </c>
      <c r="BN626" s="13">
        <v>0</v>
      </c>
      <c r="BO626" s="13">
        <v>0</v>
      </c>
      <c r="BP626" s="13">
        <v>1000</v>
      </c>
      <c r="BQ626" s="13">
        <v>1.2</v>
      </c>
      <c r="BR626" s="13">
        <v>500</v>
      </c>
      <c r="BS626" s="13">
        <v>0</v>
      </c>
      <c r="BT626" s="13">
        <v>0</v>
      </c>
      <c r="BU626" s="49">
        <v>0</v>
      </c>
      <c r="BV626" s="49"/>
      <c r="BW626" s="49"/>
    </row>
    <row r="627" spans="3:75" ht="20.100000000000001" customHeight="1">
      <c r="C627" s="13">
        <v>61021403</v>
      </c>
      <c r="D627" s="14" t="s">
        <v>1549</v>
      </c>
      <c r="E627" s="14" t="s">
        <v>1550</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1551</v>
      </c>
      <c r="BB627" s="13">
        <v>0</v>
      </c>
      <c r="BC627" s="13">
        <v>0</v>
      </c>
      <c r="BD627" s="13">
        <v>0</v>
      </c>
      <c r="BE627" s="187"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7" t="s">
        <v>1553</v>
      </c>
      <c r="BG627" s="13">
        <v>0</v>
      </c>
      <c r="BH627" s="13">
        <v>0</v>
      </c>
      <c r="BI627" s="13">
        <v>0</v>
      </c>
      <c r="BJ627" s="13">
        <v>0</v>
      </c>
      <c r="BK627" s="13">
        <v>0</v>
      </c>
      <c r="BL627" s="13">
        <v>0</v>
      </c>
      <c r="BM627" s="188">
        <v>0</v>
      </c>
      <c r="BN627" s="13">
        <v>0</v>
      </c>
      <c r="BO627" s="13">
        <v>0</v>
      </c>
      <c r="BP627" s="13">
        <v>1000</v>
      </c>
      <c r="BQ627" s="13">
        <v>1.4</v>
      </c>
      <c r="BR627" s="13">
        <v>1000</v>
      </c>
      <c r="BS627" s="13">
        <v>0</v>
      </c>
      <c r="BT627" s="13">
        <v>0</v>
      </c>
      <c r="BU627" s="49">
        <v>0</v>
      </c>
      <c r="BV627" s="49"/>
      <c r="BW627" s="49"/>
    </row>
    <row r="628" spans="3:75" ht="20.100000000000001" customHeight="1">
      <c r="C628" s="13">
        <v>61021404</v>
      </c>
      <c r="D628" s="14" t="s">
        <v>1549</v>
      </c>
      <c r="E628" s="14" t="s">
        <v>1550</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1551</v>
      </c>
      <c r="BB628" s="13">
        <v>0</v>
      </c>
      <c r="BC628" s="13">
        <v>0</v>
      </c>
      <c r="BD628" s="13">
        <v>0</v>
      </c>
      <c r="BE628" s="187"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7" t="s">
        <v>1554</v>
      </c>
      <c r="BG628" s="13">
        <v>0</v>
      </c>
      <c r="BH628" s="13">
        <v>0</v>
      </c>
      <c r="BI628" s="13">
        <v>0</v>
      </c>
      <c r="BJ628" s="13">
        <v>0</v>
      </c>
      <c r="BK628" s="13">
        <v>0</v>
      </c>
      <c r="BL628" s="13">
        <v>0</v>
      </c>
      <c r="BM628" s="188">
        <v>0</v>
      </c>
      <c r="BN628" s="13">
        <v>0</v>
      </c>
      <c r="BO628" s="13">
        <v>0</v>
      </c>
      <c r="BP628" s="13">
        <v>1000</v>
      </c>
      <c r="BQ628" s="13">
        <v>1.6</v>
      </c>
      <c r="BR628" s="13">
        <v>1500</v>
      </c>
      <c r="BS628" s="13">
        <v>0</v>
      </c>
      <c r="BT628" s="13">
        <v>0</v>
      </c>
      <c r="BU628" s="49">
        <v>0</v>
      </c>
      <c r="BV628" s="49"/>
      <c r="BW628" s="49"/>
    </row>
    <row r="629" spans="3:75" ht="20.100000000000001" customHeight="1">
      <c r="C629" s="13">
        <v>61021405</v>
      </c>
      <c r="D629" s="14" t="s">
        <v>1549</v>
      </c>
      <c r="E629" s="14" t="s">
        <v>1550</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1551</v>
      </c>
      <c r="BB629" s="13">
        <v>0</v>
      </c>
      <c r="BC629" s="13">
        <v>0</v>
      </c>
      <c r="BD629" s="13">
        <v>0</v>
      </c>
      <c r="BE629" s="187"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7" t="s">
        <v>1555</v>
      </c>
      <c r="BG629" s="13">
        <v>0</v>
      </c>
      <c r="BH629" s="13">
        <v>0</v>
      </c>
      <c r="BI629" s="13">
        <v>0</v>
      </c>
      <c r="BJ629" s="13">
        <v>0</v>
      </c>
      <c r="BK629" s="13">
        <v>0</v>
      </c>
      <c r="BL629" s="13">
        <v>0</v>
      </c>
      <c r="BM629" s="188">
        <v>0</v>
      </c>
      <c r="BN629" s="13">
        <v>0</v>
      </c>
      <c r="BO629" s="13">
        <v>0</v>
      </c>
      <c r="BP629" s="13">
        <v>1000</v>
      </c>
      <c r="BQ629" s="13">
        <v>1.8</v>
      </c>
      <c r="BR629" s="13">
        <v>2000</v>
      </c>
      <c r="BS629" s="13">
        <v>0</v>
      </c>
      <c r="BT629" s="13">
        <v>0</v>
      </c>
      <c r="BU629" s="49">
        <v>0</v>
      </c>
      <c r="BV629" s="49"/>
      <c r="BW629" s="49"/>
    </row>
    <row r="630" spans="3:75" ht="20.100000000000001" customHeight="1">
      <c r="C630" s="13">
        <v>61021406</v>
      </c>
      <c r="D630" s="14" t="s">
        <v>1549</v>
      </c>
      <c r="E630" s="14" t="s">
        <v>1550</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1551</v>
      </c>
      <c r="BB630" s="13">
        <v>0</v>
      </c>
      <c r="BC630" s="13">
        <v>0</v>
      </c>
      <c r="BD630" s="13">
        <v>0</v>
      </c>
      <c r="BE630" s="187"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7" t="s">
        <v>1556</v>
      </c>
      <c r="BG630" s="13">
        <v>0</v>
      </c>
      <c r="BH630" s="13">
        <v>0</v>
      </c>
      <c r="BI630" s="13">
        <v>0</v>
      </c>
      <c r="BJ630" s="13">
        <v>0</v>
      </c>
      <c r="BK630" s="13">
        <v>0</v>
      </c>
      <c r="BL630" s="13">
        <v>0</v>
      </c>
      <c r="BM630" s="188">
        <v>0</v>
      </c>
      <c r="BN630" s="13">
        <v>0</v>
      </c>
      <c r="BO630" s="13">
        <v>0</v>
      </c>
      <c r="BP630" s="13">
        <v>1000</v>
      </c>
      <c r="BQ630" s="13">
        <v>2</v>
      </c>
      <c r="BR630" s="13">
        <v>2500</v>
      </c>
      <c r="BS630" s="13">
        <v>0</v>
      </c>
      <c r="BT630" s="13">
        <v>0</v>
      </c>
      <c r="BU630" s="49">
        <v>0</v>
      </c>
      <c r="BV630" s="49"/>
      <c r="BW630" s="49"/>
    </row>
    <row r="631" spans="3:75" ht="19.5" customHeight="1">
      <c r="C631" s="19">
        <v>61022101</v>
      </c>
      <c r="D631" s="20" t="s">
        <v>1557</v>
      </c>
      <c r="E631" s="20" t="s">
        <v>1558</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1559</v>
      </c>
      <c r="AV631" s="19"/>
      <c r="AW631" s="20" t="s">
        <v>617</v>
      </c>
      <c r="AX631" s="19" t="s">
        <v>545</v>
      </c>
      <c r="AY631" s="19">
        <v>10001005</v>
      </c>
      <c r="AZ631" s="19">
        <v>21020010</v>
      </c>
      <c r="BA631" s="20" t="s">
        <v>200</v>
      </c>
      <c r="BB631" s="20">
        <v>0</v>
      </c>
      <c r="BC631" s="28">
        <v>0</v>
      </c>
      <c r="BD631" s="28">
        <v>0</v>
      </c>
      <c r="BE631" s="186"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6" t="s">
        <v>1560</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61022102</v>
      </c>
      <c r="D632" s="20" t="s">
        <v>1557</v>
      </c>
      <c r="E632" s="20" t="s">
        <v>1558</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1559</v>
      </c>
      <c r="AV632" s="19"/>
      <c r="AW632" s="20" t="s">
        <v>617</v>
      </c>
      <c r="AX632" s="19" t="s">
        <v>545</v>
      </c>
      <c r="AY632" s="19">
        <v>10001005</v>
      </c>
      <c r="AZ632" s="19">
        <v>21020010</v>
      </c>
      <c r="BA632" s="20" t="s">
        <v>200</v>
      </c>
      <c r="BB632" s="20">
        <v>0</v>
      </c>
      <c r="BC632" s="28">
        <v>0</v>
      </c>
      <c r="BD632" s="28">
        <v>0</v>
      </c>
      <c r="BE632" s="186"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6" t="s">
        <v>1560</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61022103</v>
      </c>
      <c r="D633" s="20" t="s">
        <v>1557</v>
      </c>
      <c r="E633" s="20" t="s">
        <v>1558</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1559</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霸体状态下蓄力1秒,立即对目标范围内的怪物造成775%攻击伤害+3200点固定伤害,并对目标造成易损状态,使其每秒损失50%伤害,持续5秒,并使其受到伤害额外提升25%。</v>
      </c>
      <c r="BF633" s="186" t="s">
        <v>1561</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9">
        <v>61022104</v>
      </c>
      <c r="D634" s="20" t="s">
        <v>1557</v>
      </c>
      <c r="E634" s="20" t="s">
        <v>1558</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63" t="s">
        <v>1559</v>
      </c>
      <c r="AV634" s="19"/>
      <c r="AW634" s="20" t="s">
        <v>617</v>
      </c>
      <c r="AX634" s="19" t="s">
        <v>545</v>
      </c>
      <c r="AY634" s="19">
        <v>10001005</v>
      </c>
      <c r="AZ634" s="19">
        <v>21020010</v>
      </c>
      <c r="BA634" s="20" t="s">
        <v>200</v>
      </c>
      <c r="BB634" s="20">
        <v>0</v>
      </c>
      <c r="BC634" s="28">
        <v>0</v>
      </c>
      <c r="BD634" s="28">
        <v>0</v>
      </c>
      <c r="BE634" s="186" t="str">
        <f t="shared" si="33"/>
        <v>霸体状态下蓄力1秒,立即对目标范围内的怪物造成850%攻击伤害+4700点固定伤害,并对目标造成易损状态,使其每秒损失50%伤害,持续5秒,并使其受到伤害额外提升25%。</v>
      </c>
      <c r="BF634" s="186" t="s">
        <v>1562</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spans="3:75" ht="20.100000000000001" customHeight="1">
      <c r="C635" s="19">
        <v>61022105</v>
      </c>
      <c r="D635" s="20" t="s">
        <v>1557</v>
      </c>
      <c r="E635" s="20" t="s">
        <v>1558</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63" t="s">
        <v>1559</v>
      </c>
      <c r="AV635" s="19"/>
      <c r="AW635" s="20" t="s">
        <v>617</v>
      </c>
      <c r="AX635" s="19" t="s">
        <v>545</v>
      </c>
      <c r="AY635" s="19">
        <v>10001005</v>
      </c>
      <c r="AZ635" s="19">
        <v>21020010</v>
      </c>
      <c r="BA635" s="20" t="s">
        <v>200</v>
      </c>
      <c r="BB635" s="20">
        <v>0</v>
      </c>
      <c r="BC635" s="28">
        <v>0</v>
      </c>
      <c r="BD635" s="28">
        <v>0</v>
      </c>
      <c r="BE635" s="186" t="str">
        <f t="shared" si="33"/>
        <v>霸体状态下蓄力1秒,立即对目标范围内的怪物造成925%攻击伤害+6500点固定伤害,并对目标造成易损状态,使其每秒损失50%伤害,持续5秒,并使其受到伤害额外提升25%。</v>
      </c>
      <c r="BF635" s="186" t="s">
        <v>1563</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spans="3:75" ht="20.100000000000001" customHeight="1">
      <c r="C636" s="19">
        <v>61022106</v>
      </c>
      <c r="D636" s="20" t="s">
        <v>1557</v>
      </c>
      <c r="E636" s="20" t="s">
        <v>1558</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63" t="s">
        <v>1559</v>
      </c>
      <c r="AV636" s="19"/>
      <c r="AW636" s="20" t="s">
        <v>617</v>
      </c>
      <c r="AX636" s="19" t="s">
        <v>545</v>
      </c>
      <c r="AY636" s="19">
        <v>10001005</v>
      </c>
      <c r="AZ636" s="19">
        <v>21020010</v>
      </c>
      <c r="BA636" s="20" t="s">
        <v>200</v>
      </c>
      <c r="BB636" s="20">
        <v>0</v>
      </c>
      <c r="BC636" s="28">
        <v>0</v>
      </c>
      <c r="BD636" s="28">
        <v>0</v>
      </c>
      <c r="BE636" s="186" t="str">
        <f t="shared" si="33"/>
        <v>霸体状态下蓄力1秒,立即对目标范围内的怪物造成1000%攻击伤害+8300点固定伤害,并对目标造成易损状态,使其每秒损失50%伤害,持续5秒,并使其受到伤害额外提升25%。</v>
      </c>
      <c r="BF636" s="186" t="s">
        <v>1564</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spans="3:75" ht="20.100000000000001" customHeight="1">
      <c r="C637" s="13">
        <v>61022201</v>
      </c>
      <c r="D637" s="14" t="s">
        <v>1565</v>
      </c>
      <c r="E637" s="14" t="s">
        <v>1566</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1567</v>
      </c>
      <c r="AU637" s="13" t="s">
        <v>198</v>
      </c>
      <c r="AV637" s="13"/>
      <c r="AW637" s="14" t="s">
        <v>199</v>
      </c>
      <c r="AX637" s="13" t="s">
        <v>1406</v>
      </c>
      <c r="AY637" s="13">
        <v>0</v>
      </c>
      <c r="AZ637" s="13">
        <v>21020020</v>
      </c>
      <c r="BA637" s="14" t="s">
        <v>200</v>
      </c>
      <c r="BB637" s="14">
        <v>0</v>
      </c>
      <c r="BC637" s="13">
        <v>0</v>
      </c>
      <c r="BD637" s="13">
        <v>0</v>
      </c>
      <c r="BE637" s="187" t="s">
        <v>1568</v>
      </c>
      <c r="BF637" s="187" t="s">
        <v>1569</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61022202</v>
      </c>
      <c r="D638" s="14" t="s">
        <v>1565</v>
      </c>
      <c r="E638" s="14" t="s">
        <v>1566</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1567</v>
      </c>
      <c r="AU638" s="13" t="s">
        <v>198</v>
      </c>
      <c r="AV638" s="13"/>
      <c r="AW638" s="14" t="s">
        <v>199</v>
      </c>
      <c r="AX638" s="13" t="s">
        <v>1406</v>
      </c>
      <c r="AY638" s="13">
        <v>0</v>
      </c>
      <c r="AZ638" s="13">
        <v>21020020</v>
      </c>
      <c r="BA638" s="14" t="s">
        <v>200</v>
      </c>
      <c r="BB638" s="14">
        <v>0</v>
      </c>
      <c r="BC638" s="13">
        <v>0</v>
      </c>
      <c r="BD638" s="13">
        <v>0</v>
      </c>
      <c r="BE638" s="187" t="s">
        <v>1568</v>
      </c>
      <c r="BF638" s="187" t="s">
        <v>1569</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61022203</v>
      </c>
      <c r="D639" s="14" t="s">
        <v>1565</v>
      </c>
      <c r="E639" s="14" t="s">
        <v>1566</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1570</v>
      </c>
      <c r="AU639" s="13" t="s">
        <v>198</v>
      </c>
      <c r="AV639" s="13"/>
      <c r="AW639" s="14" t="s">
        <v>199</v>
      </c>
      <c r="AX639" s="13" t="s">
        <v>1406</v>
      </c>
      <c r="AY639" s="13">
        <v>0</v>
      </c>
      <c r="AZ639" s="13">
        <v>21020020</v>
      </c>
      <c r="BA639" s="14" t="s">
        <v>200</v>
      </c>
      <c r="BB639" s="14">
        <v>0</v>
      </c>
      <c r="BC639" s="13">
        <v>0</v>
      </c>
      <c r="BD639" s="13">
        <v>0</v>
      </c>
      <c r="BE639" s="187" t="s">
        <v>1571</v>
      </c>
      <c r="BF639" s="187" t="s">
        <v>1572</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3">
        <v>61022204</v>
      </c>
      <c r="D640" s="14" t="s">
        <v>1565</v>
      </c>
      <c r="E640" s="14" t="s">
        <v>1566</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55" t="s">
        <v>1573</v>
      </c>
      <c r="AU640" s="13" t="s">
        <v>198</v>
      </c>
      <c r="AV640" s="13"/>
      <c r="AW640" s="14" t="s">
        <v>199</v>
      </c>
      <c r="AX640" s="13" t="s">
        <v>1406</v>
      </c>
      <c r="AY640" s="13">
        <v>0</v>
      </c>
      <c r="AZ640" s="13">
        <v>21020020</v>
      </c>
      <c r="BA640" s="14" t="s">
        <v>200</v>
      </c>
      <c r="BB640" s="14">
        <v>0</v>
      </c>
      <c r="BC640" s="13">
        <v>0</v>
      </c>
      <c r="BD640" s="13">
        <v>0</v>
      </c>
      <c r="BE640" s="187" t="s">
        <v>1574</v>
      </c>
      <c r="BF640" s="187" t="s">
        <v>1575</v>
      </c>
      <c r="BG640" s="13">
        <v>0</v>
      </c>
      <c r="BH640" s="13">
        <v>0</v>
      </c>
      <c r="BI640" s="13">
        <v>0</v>
      </c>
      <c r="BJ640" s="13">
        <v>0</v>
      </c>
      <c r="BK640" s="13">
        <v>0</v>
      </c>
      <c r="BL640" s="13">
        <v>0</v>
      </c>
      <c r="BM640" s="188">
        <v>0</v>
      </c>
      <c r="BN640" s="13">
        <v>1</v>
      </c>
      <c r="BO640" s="13">
        <v>0</v>
      </c>
      <c r="BP640" s="13">
        <v>0</v>
      </c>
      <c r="BQ640" s="13">
        <v>0</v>
      </c>
      <c r="BR640" s="13">
        <v>0</v>
      </c>
      <c r="BS640" s="13">
        <v>0</v>
      </c>
      <c r="BT640" s="13">
        <v>0</v>
      </c>
      <c r="BU640" s="49">
        <v>0</v>
      </c>
      <c r="BV640" s="49"/>
      <c r="BW640" s="49"/>
    </row>
    <row r="641" spans="3:75" ht="20.100000000000001" customHeight="1">
      <c r="C641" s="13">
        <v>61022205</v>
      </c>
      <c r="D641" s="14" t="s">
        <v>1565</v>
      </c>
      <c r="E641" s="14" t="s">
        <v>1566</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55" t="s">
        <v>1576</v>
      </c>
      <c r="AU641" s="13" t="s">
        <v>198</v>
      </c>
      <c r="AV641" s="13"/>
      <c r="AW641" s="14" t="s">
        <v>199</v>
      </c>
      <c r="AX641" s="13" t="s">
        <v>1406</v>
      </c>
      <c r="AY641" s="13">
        <v>0</v>
      </c>
      <c r="AZ641" s="13">
        <v>21020020</v>
      </c>
      <c r="BA641" s="14" t="s">
        <v>200</v>
      </c>
      <c r="BB641" s="14">
        <v>0</v>
      </c>
      <c r="BC641" s="13">
        <v>0</v>
      </c>
      <c r="BD641" s="13">
        <v>0</v>
      </c>
      <c r="BE641" s="187" t="s">
        <v>1577</v>
      </c>
      <c r="BF641" s="187" t="s">
        <v>1578</v>
      </c>
      <c r="BG641" s="13">
        <v>0</v>
      </c>
      <c r="BH641" s="13">
        <v>0</v>
      </c>
      <c r="BI641" s="13">
        <v>0</v>
      </c>
      <c r="BJ641" s="13">
        <v>0</v>
      </c>
      <c r="BK641" s="13">
        <v>0</v>
      </c>
      <c r="BL641" s="13">
        <v>0</v>
      </c>
      <c r="BM641" s="188">
        <v>0</v>
      </c>
      <c r="BN641" s="13">
        <v>1</v>
      </c>
      <c r="BO641" s="13">
        <v>0</v>
      </c>
      <c r="BP641" s="13">
        <v>0</v>
      </c>
      <c r="BQ641" s="13">
        <v>0</v>
      </c>
      <c r="BR641" s="13">
        <v>0</v>
      </c>
      <c r="BS641" s="13">
        <v>0</v>
      </c>
      <c r="BT641" s="13">
        <v>0</v>
      </c>
      <c r="BU641" s="49">
        <v>0</v>
      </c>
      <c r="BV641" s="49"/>
      <c r="BW641" s="49"/>
    </row>
    <row r="642" spans="3:75" ht="20.100000000000001" customHeight="1">
      <c r="C642" s="13">
        <v>61022206</v>
      </c>
      <c r="D642" s="14" t="s">
        <v>1565</v>
      </c>
      <c r="E642" s="14" t="s">
        <v>1566</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55" t="s">
        <v>1579</v>
      </c>
      <c r="AU642" s="13" t="s">
        <v>198</v>
      </c>
      <c r="AV642" s="13"/>
      <c r="AW642" s="14" t="s">
        <v>199</v>
      </c>
      <c r="AX642" s="13" t="s">
        <v>1406</v>
      </c>
      <c r="AY642" s="13">
        <v>0</v>
      </c>
      <c r="AZ642" s="13">
        <v>21020020</v>
      </c>
      <c r="BA642" s="14" t="s">
        <v>200</v>
      </c>
      <c r="BB642" s="14">
        <v>0</v>
      </c>
      <c r="BC642" s="13">
        <v>0</v>
      </c>
      <c r="BD642" s="13">
        <v>0</v>
      </c>
      <c r="BE642" s="187" t="s">
        <v>1580</v>
      </c>
      <c r="BF642" s="187" t="s">
        <v>1581</v>
      </c>
      <c r="BG642" s="13">
        <v>0</v>
      </c>
      <c r="BH642" s="13">
        <v>0</v>
      </c>
      <c r="BI642" s="13">
        <v>0</v>
      </c>
      <c r="BJ642" s="13">
        <v>0</v>
      </c>
      <c r="BK642" s="13">
        <v>0</v>
      </c>
      <c r="BL642" s="13">
        <v>0</v>
      </c>
      <c r="BM642" s="188">
        <v>0</v>
      </c>
      <c r="BN642" s="13">
        <v>1</v>
      </c>
      <c r="BO642" s="13">
        <v>0</v>
      </c>
      <c r="BP642" s="13">
        <v>0</v>
      </c>
      <c r="BQ642" s="13">
        <v>0</v>
      </c>
      <c r="BR642" s="13">
        <v>0</v>
      </c>
      <c r="BS642" s="13">
        <v>0</v>
      </c>
      <c r="BT642" s="13">
        <v>0</v>
      </c>
      <c r="BU642" s="49">
        <v>0</v>
      </c>
      <c r="BV642" s="49"/>
      <c r="BW642" s="49"/>
    </row>
    <row r="643" spans="3:75" ht="20.100000000000001" customHeight="1">
      <c r="C643" s="19">
        <v>61022211</v>
      </c>
      <c r="D643" s="20" t="s">
        <v>1582</v>
      </c>
      <c r="E643" s="20" t="s">
        <v>1583</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4">
        <v>0</v>
      </c>
      <c r="AU643" s="363" t="s">
        <v>1584</v>
      </c>
      <c r="AV643" s="19"/>
      <c r="AW643" s="20" t="s">
        <v>198</v>
      </c>
      <c r="AX643" s="19" t="s">
        <v>1585</v>
      </c>
      <c r="AY643" s="19">
        <v>10000006</v>
      </c>
      <c r="AZ643" s="27">
        <v>60000004</v>
      </c>
      <c r="BA643" s="20" t="s">
        <v>1586</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spans="3:75" ht="19.5" customHeight="1">
      <c r="C644" s="19">
        <v>61022301</v>
      </c>
      <c r="D644" s="20" t="s">
        <v>1587</v>
      </c>
      <c r="E644" s="20" t="s">
        <v>1588</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1.1000000000000001</v>
      </c>
      <c r="Y644" s="13">
        <v>0</v>
      </c>
      <c r="Z644" s="19">
        <v>500</v>
      </c>
      <c r="AA644" s="19">
        <v>1</v>
      </c>
      <c r="AB644" s="19">
        <v>0</v>
      </c>
      <c r="AC644" s="19">
        <v>0</v>
      </c>
      <c r="AD644" s="19">
        <v>0</v>
      </c>
      <c r="AE644" s="19">
        <v>0</v>
      </c>
      <c r="AF644" s="19">
        <v>12</v>
      </c>
      <c r="AG644" s="19">
        <v>2</v>
      </c>
      <c r="AH644" s="19" t="s">
        <v>1589</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1590</v>
      </c>
      <c r="AX644" s="19" t="s">
        <v>1591</v>
      </c>
      <c r="AY644" s="19">
        <v>10001006</v>
      </c>
      <c r="AZ644" s="19">
        <v>21020030</v>
      </c>
      <c r="BA644" s="20" t="s">
        <v>315</v>
      </c>
      <c r="BB644" s="20" t="s">
        <v>1592</v>
      </c>
      <c r="BC644" s="28">
        <v>0</v>
      </c>
      <c r="BD644" s="28">
        <v>0</v>
      </c>
      <c r="BE644" s="186" t="str">
        <f>"立即对目标范围内的怪物每秒多次造成"&amp;X644*100&amp;"%攻击伤害+"&amp;Z644&amp;"点固定伤害,并使目标眩晕,持续2秒"</f>
        <v>立即对目标范围内的怪物每秒多次造成110%攻击伤害+500点固定伤害,并使目标眩晕,持续2秒</v>
      </c>
      <c r="BF644" s="186" t="s">
        <v>1593</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61022302</v>
      </c>
      <c r="D645" s="20" t="s">
        <v>1587</v>
      </c>
      <c r="E645" s="20" t="s">
        <v>1588</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1.1000000000000001</v>
      </c>
      <c r="Y645" s="13">
        <v>0</v>
      </c>
      <c r="Z645" s="19">
        <v>500</v>
      </c>
      <c r="AA645" s="19">
        <v>1</v>
      </c>
      <c r="AB645" s="19">
        <v>0</v>
      </c>
      <c r="AC645" s="19">
        <v>0</v>
      </c>
      <c r="AD645" s="19">
        <v>0</v>
      </c>
      <c r="AE645" s="19">
        <v>0</v>
      </c>
      <c r="AF645" s="19">
        <v>12</v>
      </c>
      <c r="AG645" s="19">
        <v>2</v>
      </c>
      <c r="AH645" s="19" t="s">
        <v>1589</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1590</v>
      </c>
      <c r="AX645" s="19" t="s">
        <v>1591</v>
      </c>
      <c r="AY645" s="19">
        <v>10001006</v>
      </c>
      <c r="AZ645" s="19">
        <v>21020030</v>
      </c>
      <c r="BA645" s="20" t="s">
        <v>315</v>
      </c>
      <c r="BB645" s="20" t="s">
        <v>1592</v>
      </c>
      <c r="BC645" s="28">
        <v>0</v>
      </c>
      <c r="BD645" s="28">
        <v>0</v>
      </c>
      <c r="BE645" s="186"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6" t="s">
        <v>1593</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61022303</v>
      </c>
      <c r="D646" s="20" t="s">
        <v>1587</v>
      </c>
      <c r="E646" s="20" t="s">
        <v>1588</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1589</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1590</v>
      </c>
      <c r="AX646" s="19" t="s">
        <v>1591</v>
      </c>
      <c r="AY646" s="19">
        <v>10001006</v>
      </c>
      <c r="AZ646" s="19">
        <v>21020030</v>
      </c>
      <c r="BA646" s="20" t="s">
        <v>315</v>
      </c>
      <c r="BB646" s="20" t="s">
        <v>1592</v>
      </c>
      <c r="BC646" s="28">
        <v>0</v>
      </c>
      <c r="BD646" s="28">
        <v>0</v>
      </c>
      <c r="BE646" s="186" t="str">
        <f t="shared" si="36"/>
        <v>立即对目标范围内的怪物每秒多次造成120%攻击伤害+800点固定伤害,并使目标眩晕,持续2秒</v>
      </c>
      <c r="BF646" s="186" t="s">
        <v>1594</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20.100000000000001" customHeight="1">
      <c r="C647" s="19">
        <v>61022304</v>
      </c>
      <c r="D647" s="20" t="s">
        <v>1587</v>
      </c>
      <c r="E647" s="20" t="s">
        <v>1588</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1589</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1590</v>
      </c>
      <c r="AX647" s="19" t="s">
        <v>1591</v>
      </c>
      <c r="AY647" s="19">
        <v>10001006</v>
      </c>
      <c r="AZ647" s="19">
        <v>21020030</v>
      </c>
      <c r="BA647" s="20" t="s">
        <v>315</v>
      </c>
      <c r="BB647" s="20" t="s">
        <v>1592</v>
      </c>
      <c r="BC647" s="28">
        <v>0</v>
      </c>
      <c r="BD647" s="28">
        <v>0</v>
      </c>
      <c r="BE647" s="186" t="str">
        <f t="shared" si="36"/>
        <v>立即对目标范围内的怪物每秒多次造成130%攻击伤害+1150点固定伤害,并使目标眩晕,持续2秒</v>
      </c>
      <c r="BF647" s="186" t="s">
        <v>1595</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20.100000000000001" customHeight="1">
      <c r="C648" s="19">
        <v>61022305</v>
      </c>
      <c r="D648" s="20" t="s">
        <v>1587</v>
      </c>
      <c r="E648" s="20" t="s">
        <v>1588</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1589</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1590</v>
      </c>
      <c r="AX648" s="19" t="s">
        <v>1591</v>
      </c>
      <c r="AY648" s="19">
        <v>10001006</v>
      </c>
      <c r="AZ648" s="19">
        <v>21020030</v>
      </c>
      <c r="BA648" s="20" t="s">
        <v>315</v>
      </c>
      <c r="BB648" s="20" t="s">
        <v>1592</v>
      </c>
      <c r="BC648" s="28">
        <v>0</v>
      </c>
      <c r="BD648" s="28">
        <v>0</v>
      </c>
      <c r="BE648" s="186" t="str">
        <f t="shared" si="36"/>
        <v>立即对目标范围内的怪物每秒多次造成140%攻击伤害+1550点固定伤害,并使目标眩晕,持续2秒</v>
      </c>
      <c r="BF648" s="186" t="s">
        <v>1596</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20.100000000000001" customHeight="1">
      <c r="C649" s="19">
        <v>61022306</v>
      </c>
      <c r="D649" s="20" t="s">
        <v>1587</v>
      </c>
      <c r="E649" s="20" t="s">
        <v>1588</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1589</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1590</v>
      </c>
      <c r="AX649" s="19" t="s">
        <v>1591</v>
      </c>
      <c r="AY649" s="19">
        <v>10001006</v>
      </c>
      <c r="AZ649" s="19">
        <v>21020030</v>
      </c>
      <c r="BA649" s="20" t="s">
        <v>315</v>
      </c>
      <c r="BB649" s="20" t="s">
        <v>1592</v>
      </c>
      <c r="BC649" s="28">
        <v>0</v>
      </c>
      <c r="BD649" s="28">
        <v>0</v>
      </c>
      <c r="BE649" s="186" t="str">
        <f t="shared" si="36"/>
        <v>立即对目标范围内的怪物每秒多次造成150%攻击伤害+2050点固定伤害,并使目标眩晕,持续2秒</v>
      </c>
      <c r="BF649" s="186" t="s">
        <v>1597</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61022401</v>
      </c>
      <c r="D650" s="20" t="s">
        <v>1598</v>
      </c>
      <c r="E650" s="20" t="s">
        <v>1558</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1599</v>
      </c>
      <c r="AV650" s="17"/>
      <c r="AW650" s="18" t="s">
        <v>1590</v>
      </c>
      <c r="AX650" s="17" t="s">
        <v>215</v>
      </c>
      <c r="AY650" s="19">
        <v>10001007</v>
      </c>
      <c r="AZ650" s="19">
        <v>21020040</v>
      </c>
      <c r="BA650" s="18" t="s">
        <v>216</v>
      </c>
      <c r="BB650" s="20">
        <v>0</v>
      </c>
      <c r="BC650" s="28">
        <v>0</v>
      </c>
      <c r="BD650" s="28">
        <v>0</v>
      </c>
      <c r="BE650" s="186"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6" t="s">
        <v>1600</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61022402</v>
      </c>
      <c r="D651" s="20" t="s">
        <v>1598</v>
      </c>
      <c r="E651" s="20" t="s">
        <v>1558</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1599</v>
      </c>
      <c r="AV651" s="17"/>
      <c r="AW651" s="18" t="s">
        <v>1590</v>
      </c>
      <c r="AX651" s="17" t="s">
        <v>215</v>
      </c>
      <c r="AY651" s="19">
        <v>10001007</v>
      </c>
      <c r="AZ651" s="19">
        <v>21020040</v>
      </c>
      <c r="BA651" s="18" t="s">
        <v>216</v>
      </c>
      <c r="BB651" s="20">
        <v>0</v>
      </c>
      <c r="BC651" s="28">
        <v>0</v>
      </c>
      <c r="BD651" s="28">
        <v>0</v>
      </c>
      <c r="BE651" s="186"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6" t="s">
        <v>1600</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61022403</v>
      </c>
      <c r="D652" s="20" t="s">
        <v>1598</v>
      </c>
      <c r="E652" s="20" t="s">
        <v>1558</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1599</v>
      </c>
      <c r="AV652" s="17"/>
      <c r="AW652" s="18" t="s">
        <v>1590</v>
      </c>
      <c r="AX652" s="17" t="s">
        <v>215</v>
      </c>
      <c r="AY652" s="19">
        <v>10001007</v>
      </c>
      <c r="AZ652" s="19">
        <v>21020040</v>
      </c>
      <c r="BA652" s="18" t="s">
        <v>216</v>
      </c>
      <c r="BB652" s="20">
        <v>0</v>
      </c>
      <c r="BC652" s="28">
        <v>0</v>
      </c>
      <c r="BD652" s="28">
        <v>0</v>
      </c>
      <c r="BE652" s="186" t="str">
        <f t="shared" si="38"/>
        <v>对目标快速突击,所经过的直线区域造成325%伤害+1800点固定伤害并眩晕1秒,如果目标是怪物,则对其造成易伤状态,使其受到伤害额外提升20%,持续10秒</v>
      </c>
      <c r="BF652" s="186" t="s">
        <v>1601</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19.5" customHeight="1">
      <c r="C653" s="19">
        <v>61022404</v>
      </c>
      <c r="D653" s="20" t="s">
        <v>1598</v>
      </c>
      <c r="E653" s="20" t="s">
        <v>1558</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64" t="s">
        <v>1599</v>
      </c>
      <c r="AV653" s="17"/>
      <c r="AW653" s="18" t="s">
        <v>1590</v>
      </c>
      <c r="AX653" s="17" t="s">
        <v>215</v>
      </c>
      <c r="AY653" s="19">
        <v>10001007</v>
      </c>
      <c r="AZ653" s="19">
        <v>21020040</v>
      </c>
      <c r="BA653" s="18" t="s">
        <v>216</v>
      </c>
      <c r="BB653" s="20">
        <v>0</v>
      </c>
      <c r="BC653" s="28">
        <v>0</v>
      </c>
      <c r="BD653" s="28">
        <v>0</v>
      </c>
      <c r="BE653" s="186" t="str">
        <f t="shared" si="38"/>
        <v>对目标快速突击,所经过的直线区域造成350%伤害+2800点固定伤害并眩晕1秒,如果目标是怪物,则对其造成易伤状态,使其受到伤害额外提升20%,持续10秒</v>
      </c>
      <c r="BF653" s="186" t="s">
        <v>1602</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spans="3:75" ht="19.5" customHeight="1">
      <c r="C654" s="19">
        <v>61022405</v>
      </c>
      <c r="D654" s="20" t="s">
        <v>1598</v>
      </c>
      <c r="E654" s="20" t="s">
        <v>1558</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64" t="s">
        <v>1599</v>
      </c>
      <c r="AV654" s="17"/>
      <c r="AW654" s="18" t="s">
        <v>1590</v>
      </c>
      <c r="AX654" s="17" t="s">
        <v>215</v>
      </c>
      <c r="AY654" s="19">
        <v>10001007</v>
      </c>
      <c r="AZ654" s="19">
        <v>21020040</v>
      </c>
      <c r="BA654" s="18" t="s">
        <v>216</v>
      </c>
      <c r="BB654" s="20">
        <v>0</v>
      </c>
      <c r="BC654" s="28">
        <v>0</v>
      </c>
      <c r="BD654" s="28">
        <v>0</v>
      </c>
      <c r="BE654" s="186" t="str">
        <f t="shared" si="38"/>
        <v>对目标快速突击,所经过的直线区域造成375%伤害+4000点固定伤害并眩晕1秒,如果目标是怪物,则对其造成易伤状态,使其受到伤害额外提升20%,持续10秒</v>
      </c>
      <c r="BF654" s="186" t="s">
        <v>1603</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spans="3:75" ht="19.5" customHeight="1">
      <c r="C655" s="19">
        <v>61022406</v>
      </c>
      <c r="D655" s="20" t="s">
        <v>1598</v>
      </c>
      <c r="E655" s="20" t="s">
        <v>1558</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64" t="s">
        <v>1599</v>
      </c>
      <c r="AV655" s="17"/>
      <c r="AW655" s="18" t="s">
        <v>1590</v>
      </c>
      <c r="AX655" s="17" t="s">
        <v>215</v>
      </c>
      <c r="AY655" s="19">
        <v>10001007</v>
      </c>
      <c r="AZ655" s="19">
        <v>21020040</v>
      </c>
      <c r="BA655" s="18" t="s">
        <v>216</v>
      </c>
      <c r="BB655" s="20">
        <v>0</v>
      </c>
      <c r="BC655" s="28">
        <v>0</v>
      </c>
      <c r="BD655" s="28">
        <v>0</v>
      </c>
      <c r="BE655" s="186" t="str">
        <f t="shared" si="38"/>
        <v>对目标快速突击,所经过的直线区域造成400%伤害+5200点固定伤害并眩晕1秒,如果目标是怪物,则对其造成易伤状态,使其受到伤害额外提升20%,持续10秒</v>
      </c>
      <c r="BF655" s="186" t="s">
        <v>1604</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spans="3:75" ht="20.100000000000001" customHeight="1">
      <c r="C656" s="31">
        <v>61022501</v>
      </c>
      <c r="D656" s="39" t="s">
        <v>1605</v>
      </c>
      <c r="E656" s="39" t="s">
        <v>1606</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1607</v>
      </c>
      <c r="AU656" s="39" t="s">
        <v>198</v>
      </c>
      <c r="AV656" s="39"/>
      <c r="AW656" s="39" t="s">
        <v>1524</v>
      </c>
      <c r="AX656" s="31" t="s">
        <v>1591</v>
      </c>
      <c r="AY656" s="31">
        <v>10000009</v>
      </c>
      <c r="AZ656" s="31">
        <v>21020050</v>
      </c>
      <c r="BA656" s="39" t="s">
        <v>1608</v>
      </c>
      <c r="BB656" s="39">
        <v>0</v>
      </c>
      <c r="BC656" s="31">
        <v>0</v>
      </c>
      <c r="BD656" s="31">
        <v>0</v>
      </c>
      <c r="BE656" s="185" t="str">
        <f t="shared" ref="BE656:BE661" si="39">"立即对目标范围内的怪物造成"&amp;X656*100&amp;"%攻击伤害+"&amp;Z656&amp;"点固定伤害,并附带1秒眩晕效果"</f>
        <v>立即对目标范围内的怪物造成250%攻击伤害+1500点固定伤害,并附带1秒眩晕效果</v>
      </c>
      <c r="BF656" s="185" t="s">
        <v>1609</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61022502</v>
      </c>
      <c r="D657" s="39" t="s">
        <v>1605</v>
      </c>
      <c r="E657" s="39" t="s">
        <v>1606</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1607</v>
      </c>
      <c r="AU657" s="39" t="s">
        <v>198</v>
      </c>
      <c r="AV657" s="39"/>
      <c r="AW657" s="39" t="s">
        <v>1524</v>
      </c>
      <c r="AX657" s="31" t="s">
        <v>1591</v>
      </c>
      <c r="AY657" s="31">
        <v>10000009</v>
      </c>
      <c r="AZ657" s="31">
        <v>21020050</v>
      </c>
      <c r="BA657" s="39" t="s">
        <v>1608</v>
      </c>
      <c r="BB657" s="39">
        <v>0</v>
      </c>
      <c r="BC657" s="31">
        <v>0</v>
      </c>
      <c r="BD657" s="31">
        <v>0</v>
      </c>
      <c r="BE657" s="185" t="str">
        <f t="shared" si="39"/>
        <v>立即对目标范围内的怪物造成250%攻击伤害+1500点固定伤害,并附带1秒眩晕效果</v>
      </c>
      <c r="BF657" s="185" t="s">
        <v>1609</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61022503</v>
      </c>
      <c r="D658" s="39" t="s">
        <v>1605</v>
      </c>
      <c r="E658" s="39" t="s">
        <v>1606</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1607</v>
      </c>
      <c r="AU658" s="39" t="s">
        <v>198</v>
      </c>
      <c r="AV658" s="39"/>
      <c r="AW658" s="39" t="s">
        <v>1524</v>
      </c>
      <c r="AX658" s="31" t="s">
        <v>1591</v>
      </c>
      <c r="AY658" s="31">
        <v>10000009</v>
      </c>
      <c r="AZ658" s="31">
        <v>21020050</v>
      </c>
      <c r="BA658" s="39" t="s">
        <v>1608</v>
      </c>
      <c r="BB658" s="39">
        <v>0</v>
      </c>
      <c r="BC658" s="31">
        <v>0</v>
      </c>
      <c r="BD658" s="31">
        <v>0</v>
      </c>
      <c r="BE658" s="185" t="str">
        <f t="shared" si="39"/>
        <v>立即对目标范围内的怪物造成250%攻击伤害+2000点固定伤害,并附带1秒眩晕效果</v>
      </c>
      <c r="BF658" s="185" t="s">
        <v>1610</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31">
        <v>61022504</v>
      </c>
      <c r="D659" s="39" t="s">
        <v>1605</v>
      </c>
      <c r="E659" s="39" t="s">
        <v>1606</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1607</v>
      </c>
      <c r="AU659" s="39" t="s">
        <v>198</v>
      </c>
      <c r="AV659" s="39"/>
      <c r="AW659" s="39" t="s">
        <v>1524</v>
      </c>
      <c r="AX659" s="31" t="s">
        <v>1591</v>
      </c>
      <c r="AY659" s="31">
        <v>10000009</v>
      </c>
      <c r="AZ659" s="31">
        <v>21020050</v>
      </c>
      <c r="BA659" s="39" t="s">
        <v>1608</v>
      </c>
      <c r="BB659" s="39">
        <v>0</v>
      </c>
      <c r="BC659" s="31">
        <v>0</v>
      </c>
      <c r="BD659" s="31">
        <v>0</v>
      </c>
      <c r="BE659" s="185" t="str">
        <f t="shared" si="39"/>
        <v>立即对目标范围内的怪物造成250%攻击伤害+2500点固定伤害,并附带1秒眩晕效果</v>
      </c>
      <c r="BF659" s="185" t="s">
        <v>1611</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spans="3:75" ht="20.100000000000001" customHeight="1">
      <c r="C660" s="31">
        <v>61022505</v>
      </c>
      <c r="D660" s="39" t="s">
        <v>1605</v>
      </c>
      <c r="E660" s="39" t="s">
        <v>1606</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1607</v>
      </c>
      <c r="AU660" s="39" t="s">
        <v>198</v>
      </c>
      <c r="AV660" s="39"/>
      <c r="AW660" s="39" t="s">
        <v>1524</v>
      </c>
      <c r="AX660" s="31" t="s">
        <v>1591</v>
      </c>
      <c r="AY660" s="31">
        <v>10000009</v>
      </c>
      <c r="AZ660" s="31">
        <v>21020050</v>
      </c>
      <c r="BA660" s="39" t="s">
        <v>1608</v>
      </c>
      <c r="BB660" s="39">
        <v>0</v>
      </c>
      <c r="BC660" s="31">
        <v>0</v>
      </c>
      <c r="BD660" s="31">
        <v>0</v>
      </c>
      <c r="BE660" s="185" t="str">
        <f t="shared" si="39"/>
        <v>立即对目标范围内的怪物造成250%攻击伤害+3000点固定伤害,并附带1秒眩晕效果</v>
      </c>
      <c r="BF660" s="185" t="s">
        <v>1612</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spans="3:75" ht="20.100000000000001" customHeight="1">
      <c r="C661" s="31">
        <v>61022506</v>
      </c>
      <c r="D661" s="39" t="s">
        <v>1605</v>
      </c>
      <c r="E661" s="39" t="s">
        <v>1606</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1607</v>
      </c>
      <c r="AU661" s="39" t="s">
        <v>198</v>
      </c>
      <c r="AV661" s="39"/>
      <c r="AW661" s="39" t="s">
        <v>1524</v>
      </c>
      <c r="AX661" s="31" t="s">
        <v>1591</v>
      </c>
      <c r="AY661" s="31">
        <v>10000009</v>
      </c>
      <c r="AZ661" s="31">
        <v>21020050</v>
      </c>
      <c r="BA661" s="39" t="s">
        <v>1608</v>
      </c>
      <c r="BB661" s="39">
        <v>0</v>
      </c>
      <c r="BC661" s="31">
        <v>0</v>
      </c>
      <c r="BD661" s="31">
        <v>0</v>
      </c>
      <c r="BE661" s="185" t="str">
        <f t="shared" si="39"/>
        <v>立即对目标范围内的怪物造成250%攻击伤害+3500点固定伤害,并附带1秒眩晕效果</v>
      </c>
      <c r="BF661" s="185" t="s">
        <v>1613</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spans="3:75" ht="20.100000000000001" customHeight="1">
      <c r="C662" s="19">
        <v>61023101</v>
      </c>
      <c r="D662" s="20" t="s">
        <v>1614</v>
      </c>
      <c r="E662" s="20" t="s">
        <v>1615</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1616</v>
      </c>
      <c r="AV662" s="19"/>
      <c r="AW662" s="20" t="s">
        <v>1524</v>
      </c>
      <c r="AX662" s="19" t="s">
        <v>534</v>
      </c>
      <c r="AY662" s="19">
        <v>10000009</v>
      </c>
      <c r="AZ662" s="19">
        <v>21020050</v>
      </c>
      <c r="BA662" s="18" t="s">
        <v>1526</v>
      </c>
      <c r="BB662" s="20">
        <v>0</v>
      </c>
      <c r="BC662" s="28">
        <v>0</v>
      </c>
      <c r="BD662" s="28">
        <v>0</v>
      </c>
      <c r="BE662" s="186"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6" t="s">
        <v>1617</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61023102</v>
      </c>
      <c r="D663" s="20" t="s">
        <v>1614</v>
      </c>
      <c r="E663" s="20" t="s">
        <v>1615</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1616</v>
      </c>
      <c r="AV663" s="19"/>
      <c r="AW663" s="20" t="s">
        <v>1524</v>
      </c>
      <c r="AX663" s="19" t="s">
        <v>534</v>
      </c>
      <c r="AY663" s="19">
        <v>10000009</v>
      </c>
      <c r="AZ663" s="19">
        <v>21030010</v>
      </c>
      <c r="BA663" s="18" t="s">
        <v>1526</v>
      </c>
      <c r="BB663" s="20">
        <v>0</v>
      </c>
      <c r="BC663" s="28">
        <v>0</v>
      </c>
      <c r="BD663" s="28">
        <v>0</v>
      </c>
      <c r="BE663" s="186"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6" t="s">
        <v>1617</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61023103</v>
      </c>
      <c r="D664" s="20" t="s">
        <v>1614</v>
      </c>
      <c r="E664" s="20" t="s">
        <v>1615</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1616</v>
      </c>
      <c r="AV664" s="19"/>
      <c r="AW664" s="20" t="s">
        <v>1524</v>
      </c>
      <c r="AX664" s="19" t="s">
        <v>534</v>
      </c>
      <c r="AY664" s="19">
        <v>10000009</v>
      </c>
      <c r="AZ664" s="19">
        <v>21030010</v>
      </c>
      <c r="BA664" s="18" t="s">
        <v>1526</v>
      </c>
      <c r="BB664" s="20">
        <v>0</v>
      </c>
      <c r="BC664" s="28">
        <v>0</v>
      </c>
      <c r="BD664" s="28">
        <v>0</v>
      </c>
      <c r="BE664" s="186" t="str">
        <f t="shared" si="41"/>
        <v>立即对目标范围内的怪物造成275%攻击伤害+1800点固定伤害,并附带1秒眩晕效果,对怪物将怪立即拉近至自身攻击范围并将眩晕效果将提升至2秒</v>
      </c>
      <c r="BF664" s="186" t="s">
        <v>1618</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9">
        <v>61023104</v>
      </c>
      <c r="D665" s="20" t="s">
        <v>1614</v>
      </c>
      <c r="E665" s="20" t="s">
        <v>1615</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63" t="s">
        <v>1616</v>
      </c>
      <c r="AV665" s="19"/>
      <c r="AW665" s="20" t="s">
        <v>1524</v>
      </c>
      <c r="AX665" s="19" t="s">
        <v>534</v>
      </c>
      <c r="AY665" s="19">
        <v>10000009</v>
      </c>
      <c r="AZ665" s="19">
        <v>21030010</v>
      </c>
      <c r="BA665" s="18" t="s">
        <v>1526</v>
      </c>
      <c r="BB665" s="20">
        <v>0</v>
      </c>
      <c r="BC665" s="28">
        <v>0</v>
      </c>
      <c r="BD665" s="28">
        <v>0</v>
      </c>
      <c r="BE665" s="186" t="str">
        <f t="shared" si="41"/>
        <v>立即对目标范围内的怪物造成300%攻击伤害+2800点固定伤害,并附带1秒眩晕效果,对怪物将怪立即拉近至自身攻击范围并将眩晕效果将提升至2秒</v>
      </c>
      <c r="BF665" s="186" t="s">
        <v>1619</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spans="3:75" ht="20.100000000000001" customHeight="1">
      <c r="C666" s="19">
        <v>61023105</v>
      </c>
      <c r="D666" s="20" t="s">
        <v>1614</v>
      </c>
      <c r="E666" s="20" t="s">
        <v>1615</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63" t="s">
        <v>1616</v>
      </c>
      <c r="AV666" s="19"/>
      <c r="AW666" s="20" t="s">
        <v>1524</v>
      </c>
      <c r="AX666" s="19" t="s">
        <v>534</v>
      </c>
      <c r="AY666" s="19">
        <v>10000009</v>
      </c>
      <c r="AZ666" s="19">
        <v>21030010</v>
      </c>
      <c r="BA666" s="18" t="s">
        <v>1526</v>
      </c>
      <c r="BB666" s="20">
        <v>0</v>
      </c>
      <c r="BC666" s="28">
        <v>0</v>
      </c>
      <c r="BD666" s="28">
        <v>0</v>
      </c>
      <c r="BE666" s="186" t="str">
        <f t="shared" si="41"/>
        <v>立即对目标范围内的怪物造成325%攻击伤害+4000点固定伤害,并附带1秒眩晕效果,对怪物将怪立即拉近至自身攻击范围并将眩晕效果将提升至2秒</v>
      </c>
      <c r="BF666" s="186" t="s">
        <v>1620</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spans="3:75" ht="20.100000000000001" customHeight="1">
      <c r="C667" s="19">
        <v>61023106</v>
      </c>
      <c r="D667" s="20" t="s">
        <v>1614</v>
      </c>
      <c r="E667" s="20" t="s">
        <v>1615</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63" t="s">
        <v>1616</v>
      </c>
      <c r="AV667" s="19"/>
      <c r="AW667" s="20" t="s">
        <v>1524</v>
      </c>
      <c r="AX667" s="19" t="s">
        <v>534</v>
      </c>
      <c r="AY667" s="19">
        <v>10000009</v>
      </c>
      <c r="AZ667" s="19">
        <v>21030010</v>
      </c>
      <c r="BA667" s="18" t="s">
        <v>1526</v>
      </c>
      <c r="BB667" s="20">
        <v>0</v>
      </c>
      <c r="BC667" s="28">
        <v>0</v>
      </c>
      <c r="BD667" s="28">
        <v>0</v>
      </c>
      <c r="BE667" s="186" t="str">
        <f t="shared" si="41"/>
        <v>立即对目标范围内的怪物造成350%攻击伤害+5200点固定伤害,并附带1秒眩晕效果,对怪物将怪立即拉近至自身攻击范围并将眩晕效果将提升至2秒</v>
      </c>
      <c r="BF667" s="186" t="s">
        <v>1621</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spans="3:75" ht="20.100000000000001" customHeight="1">
      <c r="C668" s="13">
        <v>61023201</v>
      </c>
      <c r="D668" s="14" t="s">
        <v>1622</v>
      </c>
      <c r="E668" s="14" t="s">
        <v>1623</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1624</v>
      </c>
      <c r="AU668" s="13" t="s">
        <v>198</v>
      </c>
      <c r="AV668" s="13"/>
      <c r="AW668" s="14" t="s">
        <v>1625</v>
      </c>
      <c r="AX668" s="13" t="s">
        <v>1406</v>
      </c>
      <c r="AY668" s="13">
        <v>0</v>
      </c>
      <c r="AZ668" s="13">
        <v>21030020</v>
      </c>
      <c r="BA668" s="14" t="s">
        <v>200</v>
      </c>
      <c r="BB668" s="14" t="s">
        <v>198</v>
      </c>
      <c r="BC668" s="13">
        <v>0</v>
      </c>
      <c r="BD668" s="13">
        <v>0</v>
      </c>
      <c r="BE668" s="187" t="s">
        <v>1626</v>
      </c>
      <c r="BF668" s="187" t="s">
        <v>1627</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61023202</v>
      </c>
      <c r="D669" s="14" t="s">
        <v>1622</v>
      </c>
      <c r="E669" s="14" t="s">
        <v>1623</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1628</v>
      </c>
      <c r="AU669" s="13" t="s">
        <v>198</v>
      </c>
      <c r="AV669" s="13"/>
      <c r="AW669" s="14" t="s">
        <v>1625</v>
      </c>
      <c r="AX669" s="13" t="s">
        <v>1406</v>
      </c>
      <c r="AY669" s="13">
        <v>0</v>
      </c>
      <c r="AZ669" s="13">
        <v>21030020</v>
      </c>
      <c r="BA669" s="14" t="s">
        <v>200</v>
      </c>
      <c r="BB669" s="14" t="s">
        <v>198</v>
      </c>
      <c r="BC669" s="13">
        <v>0</v>
      </c>
      <c r="BD669" s="13">
        <v>0</v>
      </c>
      <c r="BE669" s="187" t="s">
        <v>1629</v>
      </c>
      <c r="BF669" s="187" t="s">
        <v>1630</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61023203</v>
      </c>
      <c r="D670" s="14" t="s">
        <v>1622</v>
      </c>
      <c r="E670" s="14" t="s">
        <v>1623</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1631</v>
      </c>
      <c r="AU670" s="13" t="s">
        <v>198</v>
      </c>
      <c r="AV670" s="13"/>
      <c r="AW670" s="14" t="s">
        <v>1625</v>
      </c>
      <c r="AX670" s="13" t="s">
        <v>1406</v>
      </c>
      <c r="AY670" s="13">
        <v>0</v>
      </c>
      <c r="AZ670" s="13">
        <v>21030020</v>
      </c>
      <c r="BA670" s="14" t="s">
        <v>200</v>
      </c>
      <c r="BB670" s="14" t="s">
        <v>198</v>
      </c>
      <c r="BC670" s="13">
        <v>0</v>
      </c>
      <c r="BD670" s="13">
        <v>0</v>
      </c>
      <c r="BE670" s="187" t="s">
        <v>1632</v>
      </c>
      <c r="BF670" s="187" t="s">
        <v>1633</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3">
        <v>61023204</v>
      </c>
      <c r="D671" s="14" t="s">
        <v>1622</v>
      </c>
      <c r="E671" s="14" t="s">
        <v>1623</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55" t="s">
        <v>1634</v>
      </c>
      <c r="AU671" s="13" t="s">
        <v>198</v>
      </c>
      <c r="AV671" s="13"/>
      <c r="AW671" s="14" t="s">
        <v>1625</v>
      </c>
      <c r="AX671" s="13" t="s">
        <v>1406</v>
      </c>
      <c r="AY671" s="13">
        <v>0</v>
      </c>
      <c r="AZ671" s="13">
        <v>21030020</v>
      </c>
      <c r="BA671" s="14" t="s">
        <v>200</v>
      </c>
      <c r="BB671" s="14" t="s">
        <v>198</v>
      </c>
      <c r="BC671" s="13">
        <v>0</v>
      </c>
      <c r="BD671" s="13">
        <v>0</v>
      </c>
      <c r="BE671" s="187" t="s">
        <v>1635</v>
      </c>
      <c r="BF671" s="187" t="s">
        <v>1636</v>
      </c>
      <c r="BG671" s="13">
        <v>0</v>
      </c>
      <c r="BH671" s="13">
        <v>0</v>
      </c>
      <c r="BI671" s="13">
        <v>0</v>
      </c>
      <c r="BJ671" s="13">
        <v>0</v>
      </c>
      <c r="BK671" s="13">
        <v>0</v>
      </c>
      <c r="BL671" s="13">
        <v>0</v>
      </c>
      <c r="BM671" s="188">
        <v>0</v>
      </c>
      <c r="BN671" s="13">
        <v>0</v>
      </c>
      <c r="BO671" s="13">
        <v>0</v>
      </c>
      <c r="BP671" s="13">
        <v>0</v>
      </c>
      <c r="BQ671" s="13">
        <v>0</v>
      </c>
      <c r="BR671" s="13">
        <v>0</v>
      </c>
      <c r="BS671" s="13">
        <v>0</v>
      </c>
      <c r="BT671" s="13">
        <v>0</v>
      </c>
      <c r="BU671" s="49">
        <v>0</v>
      </c>
      <c r="BV671" s="49"/>
      <c r="BW671" s="49"/>
    </row>
    <row r="672" spans="3:75" ht="20.100000000000001" customHeight="1">
      <c r="C672" s="13">
        <v>61023205</v>
      </c>
      <c r="D672" s="14" t="s">
        <v>1622</v>
      </c>
      <c r="E672" s="14" t="s">
        <v>1623</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55" t="s">
        <v>1637</v>
      </c>
      <c r="AU672" s="13" t="s">
        <v>198</v>
      </c>
      <c r="AV672" s="13"/>
      <c r="AW672" s="14" t="s">
        <v>1625</v>
      </c>
      <c r="AX672" s="13" t="s">
        <v>1406</v>
      </c>
      <c r="AY672" s="13">
        <v>0</v>
      </c>
      <c r="AZ672" s="13">
        <v>21030020</v>
      </c>
      <c r="BA672" s="14" t="s">
        <v>200</v>
      </c>
      <c r="BB672" s="14" t="s">
        <v>198</v>
      </c>
      <c r="BC672" s="13">
        <v>0</v>
      </c>
      <c r="BD672" s="13">
        <v>0</v>
      </c>
      <c r="BE672" s="187" t="s">
        <v>1638</v>
      </c>
      <c r="BF672" s="187" t="s">
        <v>1639</v>
      </c>
      <c r="BG672" s="13">
        <v>0</v>
      </c>
      <c r="BH672" s="13">
        <v>0</v>
      </c>
      <c r="BI672" s="13">
        <v>0</v>
      </c>
      <c r="BJ672" s="13">
        <v>0</v>
      </c>
      <c r="BK672" s="13">
        <v>0</v>
      </c>
      <c r="BL672" s="13">
        <v>0</v>
      </c>
      <c r="BM672" s="188">
        <v>0</v>
      </c>
      <c r="BN672" s="13">
        <v>0</v>
      </c>
      <c r="BO672" s="13">
        <v>0</v>
      </c>
      <c r="BP672" s="13">
        <v>0</v>
      </c>
      <c r="BQ672" s="13">
        <v>0</v>
      </c>
      <c r="BR672" s="13">
        <v>0</v>
      </c>
      <c r="BS672" s="13">
        <v>0</v>
      </c>
      <c r="BT672" s="13">
        <v>0</v>
      </c>
      <c r="BU672" s="49">
        <v>0</v>
      </c>
      <c r="BV672" s="49"/>
      <c r="BW672" s="49"/>
    </row>
    <row r="673" spans="3:75" ht="20.100000000000001" customHeight="1">
      <c r="C673" s="13">
        <v>61023206</v>
      </c>
      <c r="D673" s="14" t="s">
        <v>1622</v>
      </c>
      <c r="E673" s="14" t="s">
        <v>1623</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55" t="s">
        <v>1640</v>
      </c>
      <c r="AU673" s="13" t="s">
        <v>198</v>
      </c>
      <c r="AV673" s="13"/>
      <c r="AW673" s="14" t="s">
        <v>1625</v>
      </c>
      <c r="AX673" s="13" t="s">
        <v>1406</v>
      </c>
      <c r="AY673" s="13">
        <v>0</v>
      </c>
      <c r="AZ673" s="13">
        <v>21030020</v>
      </c>
      <c r="BA673" s="14" t="s">
        <v>200</v>
      </c>
      <c r="BB673" s="14" t="s">
        <v>198</v>
      </c>
      <c r="BC673" s="13">
        <v>0</v>
      </c>
      <c r="BD673" s="13">
        <v>0</v>
      </c>
      <c r="BE673" s="187" t="s">
        <v>1641</v>
      </c>
      <c r="BF673" s="187" t="s">
        <v>1642</v>
      </c>
      <c r="BG673" s="13">
        <v>0</v>
      </c>
      <c r="BH673" s="13">
        <v>0</v>
      </c>
      <c r="BI673" s="13">
        <v>0</v>
      </c>
      <c r="BJ673" s="13">
        <v>0</v>
      </c>
      <c r="BK673" s="13">
        <v>0</v>
      </c>
      <c r="BL673" s="13">
        <v>0</v>
      </c>
      <c r="BM673" s="188">
        <v>0</v>
      </c>
      <c r="BN673" s="13">
        <v>0</v>
      </c>
      <c r="BO673" s="13">
        <v>0</v>
      </c>
      <c r="BP673" s="13">
        <v>0</v>
      </c>
      <c r="BQ673" s="13">
        <v>0</v>
      </c>
      <c r="BR673" s="13">
        <v>0</v>
      </c>
      <c r="BS673" s="13">
        <v>0</v>
      </c>
      <c r="BT673" s="13">
        <v>0</v>
      </c>
      <c r="BU673" s="49">
        <v>0</v>
      </c>
      <c r="BV673" s="49"/>
      <c r="BW673" s="49"/>
    </row>
    <row r="674" spans="3:75" ht="20.100000000000001" customHeight="1">
      <c r="C674" s="19">
        <v>61023301</v>
      </c>
      <c r="D674" s="20" t="s">
        <v>1643</v>
      </c>
      <c r="E674" s="20" t="s">
        <v>1644</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1645</v>
      </c>
      <c r="AV674" s="19">
        <v>90001079</v>
      </c>
      <c r="AW674" s="20" t="s">
        <v>199</v>
      </c>
      <c r="AX674" s="19" t="s">
        <v>1041</v>
      </c>
      <c r="AY674" s="19">
        <v>10004004</v>
      </c>
      <c r="AZ674" s="19">
        <v>21030030</v>
      </c>
      <c r="BA674" s="20" t="s">
        <v>1646</v>
      </c>
      <c r="BB674" s="20" t="s">
        <v>861</v>
      </c>
      <c r="BC674" s="28">
        <v>0</v>
      </c>
      <c r="BD674" s="28">
        <v>0</v>
      </c>
      <c r="BE674" s="186"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6" t="s">
        <v>1647</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61023302</v>
      </c>
      <c r="D675" s="20" t="s">
        <v>1643</v>
      </c>
      <c r="E675" s="20" t="s">
        <v>1644</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1645</v>
      </c>
      <c r="AV675" s="19">
        <v>90001079</v>
      </c>
      <c r="AW675" s="20" t="s">
        <v>199</v>
      </c>
      <c r="AX675" s="19" t="s">
        <v>1041</v>
      </c>
      <c r="AY675" s="19">
        <v>10004004</v>
      </c>
      <c r="AZ675" s="19">
        <v>21030030</v>
      </c>
      <c r="BA675" s="20" t="s">
        <v>1646</v>
      </c>
      <c r="BB675" s="20" t="s">
        <v>861</v>
      </c>
      <c r="BC675" s="28">
        <v>0</v>
      </c>
      <c r="BD675" s="28">
        <v>0</v>
      </c>
      <c r="BE675" s="186"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6" t="s">
        <v>1647</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61023303</v>
      </c>
      <c r="D676" s="20" t="s">
        <v>1643</v>
      </c>
      <c r="E676" s="20" t="s">
        <v>1644</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1645</v>
      </c>
      <c r="AV676" s="19">
        <v>90001079</v>
      </c>
      <c r="AW676" s="20" t="s">
        <v>199</v>
      </c>
      <c r="AX676" s="19" t="s">
        <v>1041</v>
      </c>
      <c r="AY676" s="19">
        <v>10004004</v>
      </c>
      <c r="AZ676" s="19">
        <v>21030030</v>
      </c>
      <c r="BA676" s="20" t="s">
        <v>1646</v>
      </c>
      <c r="BB676" s="20" t="s">
        <v>861</v>
      </c>
      <c r="BC676" s="28">
        <v>0</v>
      </c>
      <c r="BD676" s="28">
        <v>0</v>
      </c>
      <c r="BE676"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6" t="s">
        <v>1648</v>
      </c>
      <c r="BG676" s="19">
        <v>0</v>
      </c>
      <c r="BH676" s="17">
        <v>0</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61023304</v>
      </c>
      <c r="D677" s="20" t="s">
        <v>1643</v>
      </c>
      <c r="E677" s="20" t="s">
        <v>1644</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63" t="s">
        <v>1645</v>
      </c>
      <c r="AV677" s="19">
        <v>90001079</v>
      </c>
      <c r="AW677" s="20" t="s">
        <v>199</v>
      </c>
      <c r="AX677" s="19" t="s">
        <v>1041</v>
      </c>
      <c r="AY677" s="19">
        <v>10004004</v>
      </c>
      <c r="AZ677" s="19">
        <v>21030030</v>
      </c>
      <c r="BA677" s="20" t="s">
        <v>1646</v>
      </c>
      <c r="BB677" s="20" t="s">
        <v>861</v>
      </c>
      <c r="BC677" s="28">
        <v>0</v>
      </c>
      <c r="BD677" s="28">
        <v>0</v>
      </c>
      <c r="BE677"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6" t="s">
        <v>1649</v>
      </c>
      <c r="BG677" s="19">
        <v>0</v>
      </c>
      <c r="BH677" s="17">
        <v>0</v>
      </c>
      <c r="BI677" s="19">
        <v>0</v>
      </c>
      <c r="BJ677" s="19">
        <v>0</v>
      </c>
      <c r="BK677" s="19">
        <v>0</v>
      </c>
      <c r="BL677" s="19">
        <v>0</v>
      </c>
      <c r="BM677" s="188">
        <v>61023311</v>
      </c>
      <c r="BN677" s="13">
        <v>0</v>
      </c>
      <c r="BO677" s="13">
        <v>0</v>
      </c>
      <c r="BP677" s="13">
        <v>0</v>
      </c>
      <c r="BQ677" s="13">
        <v>0</v>
      </c>
      <c r="BR677" s="13">
        <v>0</v>
      </c>
      <c r="BS677" s="13">
        <v>0</v>
      </c>
      <c r="BT677" s="13">
        <v>0</v>
      </c>
      <c r="BU677" s="49">
        <v>0</v>
      </c>
      <c r="BV677" s="49"/>
      <c r="BW677" s="49"/>
    </row>
    <row r="678" spans="3:75" ht="20.100000000000001" customHeight="1">
      <c r="C678" s="19">
        <v>61023305</v>
      </c>
      <c r="D678" s="20" t="s">
        <v>1643</v>
      </c>
      <c r="E678" s="20" t="s">
        <v>1644</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63" t="s">
        <v>1645</v>
      </c>
      <c r="AV678" s="19">
        <v>90001079</v>
      </c>
      <c r="AW678" s="20" t="s">
        <v>199</v>
      </c>
      <c r="AX678" s="19" t="s">
        <v>1041</v>
      </c>
      <c r="AY678" s="19">
        <v>10004004</v>
      </c>
      <c r="AZ678" s="19">
        <v>21030030</v>
      </c>
      <c r="BA678" s="20" t="s">
        <v>1646</v>
      </c>
      <c r="BB678" s="20" t="s">
        <v>861</v>
      </c>
      <c r="BC678" s="28">
        <v>0</v>
      </c>
      <c r="BD678" s="28">
        <v>0</v>
      </c>
      <c r="BE678"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6" t="s">
        <v>1650</v>
      </c>
      <c r="BG678" s="19">
        <v>0</v>
      </c>
      <c r="BH678" s="17">
        <v>0</v>
      </c>
      <c r="BI678" s="19">
        <v>0</v>
      </c>
      <c r="BJ678" s="19">
        <v>0</v>
      </c>
      <c r="BK678" s="19">
        <v>0</v>
      </c>
      <c r="BL678" s="19">
        <v>0</v>
      </c>
      <c r="BM678" s="188">
        <v>61023311</v>
      </c>
      <c r="BN678" s="13">
        <v>0</v>
      </c>
      <c r="BO678" s="13">
        <v>0</v>
      </c>
      <c r="BP678" s="13">
        <v>0</v>
      </c>
      <c r="BQ678" s="13">
        <v>0</v>
      </c>
      <c r="BR678" s="13">
        <v>0</v>
      </c>
      <c r="BS678" s="13">
        <v>0</v>
      </c>
      <c r="BT678" s="13">
        <v>0</v>
      </c>
      <c r="BU678" s="49">
        <v>0</v>
      </c>
      <c r="BV678" s="49"/>
      <c r="BW678" s="49"/>
    </row>
    <row r="679" spans="3:75" ht="20.100000000000001" customHeight="1">
      <c r="C679" s="19">
        <v>61023306</v>
      </c>
      <c r="D679" s="20" t="s">
        <v>1643</v>
      </c>
      <c r="E679" s="20" t="s">
        <v>1644</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63" t="s">
        <v>1645</v>
      </c>
      <c r="AV679" s="19">
        <v>90001079</v>
      </c>
      <c r="AW679" s="20" t="s">
        <v>199</v>
      </c>
      <c r="AX679" s="19" t="s">
        <v>1041</v>
      </c>
      <c r="AY679" s="19">
        <v>10004004</v>
      </c>
      <c r="AZ679" s="19">
        <v>21030030</v>
      </c>
      <c r="BA679" s="20" t="s">
        <v>1646</v>
      </c>
      <c r="BB679" s="20" t="s">
        <v>861</v>
      </c>
      <c r="BC679" s="28">
        <v>0</v>
      </c>
      <c r="BD679" s="28">
        <v>0</v>
      </c>
      <c r="BE679"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6" t="s">
        <v>1651</v>
      </c>
      <c r="BG679" s="19">
        <v>0</v>
      </c>
      <c r="BH679" s="17">
        <v>61023501</v>
      </c>
      <c r="BI679" s="19">
        <v>0</v>
      </c>
      <c r="BJ679" s="19">
        <v>0</v>
      </c>
      <c r="BK679" s="19">
        <v>0</v>
      </c>
      <c r="BL679" s="19">
        <v>0</v>
      </c>
      <c r="BM679" s="188">
        <v>61023311</v>
      </c>
      <c r="BN679" s="13">
        <v>0</v>
      </c>
      <c r="BO679" s="13">
        <v>0</v>
      </c>
      <c r="BP679" s="13">
        <v>0</v>
      </c>
      <c r="BQ679" s="13">
        <v>0</v>
      </c>
      <c r="BR679" s="13">
        <v>0</v>
      </c>
      <c r="BS679" s="13">
        <v>0</v>
      </c>
      <c r="BT679" s="13">
        <v>0</v>
      </c>
      <c r="BU679" s="49">
        <v>0</v>
      </c>
      <c r="BV679" s="49"/>
      <c r="BW679" s="49"/>
    </row>
    <row r="680" spans="3:75" ht="20.100000000000001" customHeight="1">
      <c r="C680" s="19">
        <v>61023311</v>
      </c>
      <c r="D680" s="20" t="s">
        <v>1614</v>
      </c>
      <c r="E680" s="20" t="s">
        <v>1615</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63" t="s">
        <v>1652</v>
      </c>
      <c r="AV680" s="19"/>
      <c r="AW680" s="20" t="s">
        <v>198</v>
      </c>
      <c r="AX680" s="19">
        <v>0</v>
      </c>
      <c r="AY680" s="19">
        <v>0</v>
      </c>
      <c r="AZ680" s="19">
        <v>0</v>
      </c>
      <c r="BA680" s="20" t="s">
        <v>200</v>
      </c>
      <c r="BB680" s="20">
        <v>0</v>
      </c>
      <c r="BC680" s="28">
        <v>0</v>
      </c>
      <c r="BD680" s="28">
        <v>0</v>
      </c>
      <c r="BE680" s="186" t="s">
        <v>1653</v>
      </c>
      <c r="BF680" s="186" t="s">
        <v>1654</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spans="3:75" ht="20.100000000000001" customHeight="1">
      <c r="C681" s="19">
        <v>61023401</v>
      </c>
      <c r="D681" s="20" t="s">
        <v>1655</v>
      </c>
      <c r="E681" s="20" t="s">
        <v>1656</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1657</v>
      </c>
      <c r="AV681" s="19"/>
      <c r="AW681" s="20" t="s">
        <v>1534</v>
      </c>
      <c r="AX681" s="19" t="s">
        <v>1406</v>
      </c>
      <c r="AY681" s="19">
        <v>10002001</v>
      </c>
      <c r="AZ681" s="19">
        <v>21030040</v>
      </c>
      <c r="BA681" s="20" t="s">
        <v>315</v>
      </c>
      <c r="BB681" s="20" t="s">
        <v>371</v>
      </c>
      <c r="BC681" s="28">
        <v>0</v>
      </c>
      <c r="BD681" s="28">
        <v>0</v>
      </c>
      <c r="BE681" s="186"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6" t="s">
        <v>1658</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61023402</v>
      </c>
      <c r="D682" s="20" t="s">
        <v>1655</v>
      </c>
      <c r="E682" s="20" t="s">
        <v>1656</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1657</v>
      </c>
      <c r="AV682" s="19"/>
      <c r="AW682" s="20" t="s">
        <v>1534</v>
      </c>
      <c r="AX682" s="19" t="s">
        <v>1406</v>
      </c>
      <c r="AY682" s="19">
        <v>10002001</v>
      </c>
      <c r="AZ682" s="19">
        <v>21030040</v>
      </c>
      <c r="BA682" s="20" t="s">
        <v>315</v>
      </c>
      <c r="BB682" s="20" t="s">
        <v>371</v>
      </c>
      <c r="BC682" s="28">
        <v>0</v>
      </c>
      <c r="BD682" s="28">
        <v>0</v>
      </c>
      <c r="BE682" s="186"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6" t="s">
        <v>1658</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61023403</v>
      </c>
      <c r="D683" s="20" t="s">
        <v>1655</v>
      </c>
      <c r="E683" s="20" t="s">
        <v>1656</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1.1499999999999999</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1659</v>
      </c>
      <c r="AV683" s="19"/>
      <c r="AW683" s="20" t="s">
        <v>1534</v>
      </c>
      <c r="AX683" s="19" t="s">
        <v>1406</v>
      </c>
      <c r="AY683" s="19">
        <v>10002001</v>
      </c>
      <c r="AZ683" s="19">
        <v>21030040</v>
      </c>
      <c r="BA683" s="20" t="s">
        <v>315</v>
      </c>
      <c r="BB683" s="20" t="s">
        <v>371</v>
      </c>
      <c r="BC683" s="28">
        <v>0</v>
      </c>
      <c r="BD683" s="28">
        <v>0</v>
      </c>
      <c r="BE683"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6" t="s">
        <v>1660</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61023404</v>
      </c>
      <c r="D684" s="20" t="s">
        <v>1655</v>
      </c>
      <c r="E684" s="20" t="s">
        <v>1656</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63" t="s">
        <v>1661</v>
      </c>
      <c r="AV684" s="19"/>
      <c r="AW684" s="20" t="s">
        <v>1534</v>
      </c>
      <c r="AX684" s="19" t="s">
        <v>1406</v>
      </c>
      <c r="AY684" s="19">
        <v>10002001</v>
      </c>
      <c r="AZ684" s="19">
        <v>21030040</v>
      </c>
      <c r="BA684" s="20" t="s">
        <v>315</v>
      </c>
      <c r="BB684" s="20" t="s">
        <v>371</v>
      </c>
      <c r="BC684" s="28">
        <v>0</v>
      </c>
      <c r="BD684" s="28">
        <v>0</v>
      </c>
      <c r="BE684"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6" t="s">
        <v>1662</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20.100000000000001" customHeight="1">
      <c r="C685" s="19">
        <v>61023405</v>
      </c>
      <c r="D685" s="20" t="s">
        <v>1655</v>
      </c>
      <c r="E685" s="20" t="s">
        <v>1656</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63" t="s">
        <v>1663</v>
      </c>
      <c r="AV685" s="19"/>
      <c r="AW685" s="20" t="s">
        <v>1534</v>
      </c>
      <c r="AX685" s="19" t="s">
        <v>1406</v>
      </c>
      <c r="AY685" s="19">
        <v>10002001</v>
      </c>
      <c r="AZ685" s="19">
        <v>21030040</v>
      </c>
      <c r="BA685" s="20" t="s">
        <v>315</v>
      </c>
      <c r="BB685" s="20" t="s">
        <v>371</v>
      </c>
      <c r="BC685" s="28">
        <v>0</v>
      </c>
      <c r="BD685" s="28">
        <v>0</v>
      </c>
      <c r="BE685"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6" t="s">
        <v>1664</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20.100000000000001" customHeight="1">
      <c r="C686" s="19">
        <v>61023406</v>
      </c>
      <c r="D686" s="20" t="s">
        <v>1655</v>
      </c>
      <c r="E686" s="20" t="s">
        <v>1656</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63" t="s">
        <v>1665</v>
      </c>
      <c r="AV686" s="19"/>
      <c r="AW686" s="20" t="s">
        <v>1534</v>
      </c>
      <c r="AX686" s="19" t="s">
        <v>1406</v>
      </c>
      <c r="AY686" s="19">
        <v>10002001</v>
      </c>
      <c r="AZ686" s="19">
        <v>21030040</v>
      </c>
      <c r="BA686" s="20" t="s">
        <v>315</v>
      </c>
      <c r="BB686" s="20" t="s">
        <v>371</v>
      </c>
      <c r="BC686" s="28">
        <v>0</v>
      </c>
      <c r="BD686" s="28">
        <v>0</v>
      </c>
      <c r="BE686"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6" t="s">
        <v>1666</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20.100000000000001" customHeight="1">
      <c r="C687" s="19">
        <v>61023501</v>
      </c>
      <c r="D687" s="20" t="s">
        <v>1667</v>
      </c>
      <c r="E687" s="20" t="s">
        <v>1668</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6" t="s">
        <v>1669</v>
      </c>
      <c r="BF687" s="186" t="s">
        <v>1670</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62011101</v>
      </c>
      <c r="D688" s="20" t="s">
        <v>1375</v>
      </c>
      <c r="E688" s="20" t="s">
        <v>1671</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1672</v>
      </c>
      <c r="AY688" s="19">
        <v>10000006</v>
      </c>
      <c r="AZ688" s="19">
        <v>21100010</v>
      </c>
      <c r="BA688" s="20" t="s">
        <v>200</v>
      </c>
      <c r="BB688" s="20">
        <v>0</v>
      </c>
      <c r="BC688" s="28">
        <v>0</v>
      </c>
      <c r="BD688" s="28">
        <v>0</v>
      </c>
      <c r="BE688" s="186" t="str">
        <f>"立即对目标范围内的怪物造成"&amp;X688*100&amp;"%攻击伤害+"&amp;Z688&amp;"点固定伤害"</f>
        <v>立即对目标范围内的怪物造成225%攻击伤害+900点固定伤害</v>
      </c>
      <c r="BF688" s="186" t="s">
        <v>1673</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62011102</v>
      </c>
      <c r="D689" s="20" t="s">
        <v>1375</v>
      </c>
      <c r="E689" s="20" t="s">
        <v>1671</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1672</v>
      </c>
      <c r="AY689" s="19">
        <v>10000006</v>
      </c>
      <c r="AZ689" s="19">
        <v>21100010</v>
      </c>
      <c r="BA689" s="20" t="s">
        <v>200</v>
      </c>
      <c r="BB689" s="20">
        <v>0</v>
      </c>
      <c r="BC689" s="28">
        <v>0</v>
      </c>
      <c r="BD689" s="28">
        <v>0</v>
      </c>
      <c r="BE689" s="186" t="str">
        <f t="shared" ref="BE689:BE693" si="48">"立即对目标范围内的怪物造成"&amp;X689*100&amp;"%攻击伤害+"&amp;Z689&amp;"点固定伤害"</f>
        <v>立即对目标范围内的怪物造成225%攻击伤害+900点固定伤害</v>
      </c>
      <c r="BF689" s="186" t="s">
        <v>1673</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62011103</v>
      </c>
      <c r="D690" s="20" t="s">
        <v>1375</v>
      </c>
      <c r="E690" s="20" t="s">
        <v>1671</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1672</v>
      </c>
      <c r="AY690" s="19">
        <v>10000006</v>
      </c>
      <c r="AZ690" s="19">
        <v>21100010</v>
      </c>
      <c r="BA690" s="20" t="s">
        <v>200</v>
      </c>
      <c r="BB690" s="20">
        <v>0</v>
      </c>
      <c r="BC690" s="28">
        <v>0</v>
      </c>
      <c r="BD690" s="28">
        <v>0</v>
      </c>
      <c r="BE690" s="186" t="str">
        <f t="shared" si="48"/>
        <v>立即对目标范围内的怪物造成250%攻击伤害+1800点固定伤害</v>
      </c>
      <c r="BF690" s="186" t="s">
        <v>1674</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62011104</v>
      </c>
      <c r="D691" s="20" t="s">
        <v>1375</v>
      </c>
      <c r="E691" s="20" t="s">
        <v>1671</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1672</v>
      </c>
      <c r="AY691" s="19">
        <v>10000006</v>
      </c>
      <c r="AZ691" s="19">
        <v>21100010</v>
      </c>
      <c r="BA691" s="20" t="s">
        <v>200</v>
      </c>
      <c r="BB691" s="20">
        <v>0</v>
      </c>
      <c r="BC691" s="28">
        <v>0</v>
      </c>
      <c r="BD691" s="28">
        <v>0</v>
      </c>
      <c r="BE691" s="186" t="str">
        <f t="shared" si="48"/>
        <v>立即对目标范围内的怪物造成275%攻击伤害+2800点固定伤害</v>
      </c>
      <c r="BF691" s="186" t="s">
        <v>1675</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62011105</v>
      </c>
      <c r="D692" s="20" t="s">
        <v>1375</v>
      </c>
      <c r="E692" s="20" t="s">
        <v>1671</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1672</v>
      </c>
      <c r="AY692" s="19">
        <v>10000006</v>
      </c>
      <c r="AZ692" s="19">
        <v>21100010</v>
      </c>
      <c r="BA692" s="20" t="s">
        <v>200</v>
      </c>
      <c r="BB692" s="20">
        <v>0</v>
      </c>
      <c r="BC692" s="28">
        <v>0</v>
      </c>
      <c r="BD692" s="28">
        <v>0</v>
      </c>
      <c r="BE692" s="186" t="str">
        <f t="shared" si="48"/>
        <v>立即对目标范围内的怪物造成300%攻击伤害+4000点固定伤害</v>
      </c>
      <c r="BF692" s="186" t="s">
        <v>1676</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62011106</v>
      </c>
      <c r="D693" s="20" t="s">
        <v>1375</v>
      </c>
      <c r="E693" s="20" t="s">
        <v>1671</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1672</v>
      </c>
      <c r="AY693" s="19">
        <v>10000006</v>
      </c>
      <c r="AZ693" s="19">
        <v>21100010</v>
      </c>
      <c r="BA693" s="20" t="s">
        <v>200</v>
      </c>
      <c r="BB693" s="20">
        <v>0</v>
      </c>
      <c r="BC693" s="28">
        <v>0</v>
      </c>
      <c r="BD693" s="28">
        <v>0</v>
      </c>
      <c r="BE693" s="186" t="str">
        <f t="shared" si="48"/>
        <v>立即对目标范围内的怪物造成325%攻击伤害+5200点固定伤害</v>
      </c>
      <c r="BF693" s="186" t="s">
        <v>1677</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62011201</v>
      </c>
      <c r="D694" s="20" t="s">
        <v>1678</v>
      </c>
      <c r="E694" s="20" t="s">
        <v>1679</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1680</v>
      </c>
      <c r="AY694" s="19">
        <v>10003002</v>
      </c>
      <c r="AZ694" s="19">
        <v>21100020</v>
      </c>
      <c r="BA694" s="20" t="s">
        <v>586</v>
      </c>
      <c r="BB694" s="20">
        <v>0</v>
      </c>
      <c r="BC694" s="28">
        <v>0</v>
      </c>
      <c r="BD694" s="28">
        <v>0</v>
      </c>
      <c r="BE694" s="186" t="str">
        <f>"立即对目标范围内的怪物造成"&amp;X694*100&amp;"%攻击伤害+"&amp;Z694&amp;"点固定伤害"&amp;",并使目标移动速度降低50%,持续3秒"</f>
        <v>立即对目标范围内的怪物造成200%攻击伤害+750点固定伤害,并使目标移动速度降低50%,持续3秒</v>
      </c>
      <c r="BF694" s="186" t="s">
        <v>1681</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62011202</v>
      </c>
      <c r="D695" s="20" t="s">
        <v>1678</v>
      </c>
      <c r="E695" s="20" t="s">
        <v>1679</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1680</v>
      </c>
      <c r="AY695" s="19">
        <v>10003002</v>
      </c>
      <c r="AZ695" s="19">
        <v>21100020</v>
      </c>
      <c r="BA695" s="20" t="s">
        <v>586</v>
      </c>
      <c r="BB695" s="20">
        <v>0</v>
      </c>
      <c r="BC695" s="28">
        <v>0</v>
      </c>
      <c r="BD695" s="28">
        <v>0</v>
      </c>
      <c r="BE695" s="186"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6" t="s">
        <v>1681</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62011203</v>
      </c>
      <c r="D696" s="20" t="s">
        <v>1678</v>
      </c>
      <c r="E696" s="20" t="s">
        <v>1679</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2.2000000000000002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1680</v>
      </c>
      <c r="AY696" s="19">
        <v>10003002</v>
      </c>
      <c r="AZ696" s="19">
        <v>21100020</v>
      </c>
      <c r="BA696" s="20" t="s">
        <v>586</v>
      </c>
      <c r="BB696" s="20">
        <v>0</v>
      </c>
      <c r="BC696" s="28">
        <v>0</v>
      </c>
      <c r="BD696" s="28">
        <v>0</v>
      </c>
      <c r="BE696" s="186" t="str">
        <f t="shared" si="50"/>
        <v>立即对目标范围内的怪物造成220%攻击伤害+1500点固定伤害,并使目标移动速度降低50%,持续3秒</v>
      </c>
      <c r="BF696" s="186" t="s">
        <v>1682</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62011204</v>
      </c>
      <c r="D697" s="20" t="s">
        <v>1678</v>
      </c>
      <c r="E697" s="20" t="s">
        <v>1679</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1680</v>
      </c>
      <c r="AY697" s="19">
        <v>10003002</v>
      </c>
      <c r="AZ697" s="19">
        <v>21100020</v>
      </c>
      <c r="BA697" s="20" t="s">
        <v>586</v>
      </c>
      <c r="BB697" s="20">
        <v>0</v>
      </c>
      <c r="BC697" s="28">
        <v>0</v>
      </c>
      <c r="BD697" s="28">
        <v>0</v>
      </c>
      <c r="BE697" s="186" t="str">
        <f t="shared" si="50"/>
        <v>立即对目标范围内的怪物造成240%攻击伤害+2250点固定伤害,并使目标移动速度降低50%,持续3秒</v>
      </c>
      <c r="BF697" s="186" t="s">
        <v>1683</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62011205</v>
      </c>
      <c r="D698" s="20" t="s">
        <v>1678</v>
      </c>
      <c r="E698" s="20" t="s">
        <v>1679</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1680</v>
      </c>
      <c r="AY698" s="19">
        <v>10003002</v>
      </c>
      <c r="AZ698" s="19">
        <v>21100020</v>
      </c>
      <c r="BA698" s="20" t="s">
        <v>586</v>
      </c>
      <c r="BB698" s="20">
        <v>0</v>
      </c>
      <c r="BC698" s="28">
        <v>0</v>
      </c>
      <c r="BD698" s="28">
        <v>0</v>
      </c>
      <c r="BE698" s="186" t="str">
        <f t="shared" si="50"/>
        <v>立即对目标范围内的怪物造成260%攻击伤害+3250点固定伤害,并使目标移动速度降低50%,持续3秒</v>
      </c>
      <c r="BF698" s="186" t="s">
        <v>1684</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62011206</v>
      </c>
      <c r="D699" s="20" t="s">
        <v>1678</v>
      </c>
      <c r="E699" s="20" t="s">
        <v>1679</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1680</v>
      </c>
      <c r="AY699" s="19">
        <v>10003002</v>
      </c>
      <c r="AZ699" s="19">
        <v>21100020</v>
      </c>
      <c r="BA699" s="20" t="s">
        <v>586</v>
      </c>
      <c r="BB699" s="20">
        <v>0</v>
      </c>
      <c r="BC699" s="28">
        <v>0</v>
      </c>
      <c r="BD699" s="28">
        <v>0</v>
      </c>
      <c r="BE699" s="186" t="str">
        <f t="shared" si="50"/>
        <v>立即对目标范围内的怪物造成280%攻击伤害+4250点固定伤害,并使目标移动速度降低50%,持续3秒</v>
      </c>
      <c r="BF699" s="186" t="s">
        <v>1685</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62011301</v>
      </c>
      <c r="D700" s="20" t="s">
        <v>1382</v>
      </c>
      <c r="E700" s="20" t="s">
        <v>1686</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"立即对目标范围内的怪物造成"&amp;X700*100&amp;"%攻击伤害+"&amp;Z700&amp;"点固定伤害"&amp;",并造成1秒眩晕效果"</f>
        <v>立即对目标范围内的怪物造成200%攻击伤害+750点固定伤害,并造成1秒眩晕效果</v>
      </c>
      <c r="BF700" s="186" t="s">
        <v>1687</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62011302</v>
      </c>
      <c r="D701" s="20" t="s">
        <v>1382</v>
      </c>
      <c r="E701" s="20" t="s">
        <v>1686</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ref="BE701:BE705" si="52">"立即对目标范围内的怪物造成"&amp;X701*100&amp;"%攻击伤害+"&amp;Z701&amp;"点固定伤害"&amp;",并造成1秒眩晕效果"</f>
        <v>立即对目标范围内的怪物造成200%攻击伤害+750点固定伤害,并造成1秒眩晕效果</v>
      </c>
      <c r="BF701" s="186" t="s">
        <v>1687</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62011303</v>
      </c>
      <c r="D702" s="20" t="s">
        <v>1382</v>
      </c>
      <c r="E702" s="20" t="s">
        <v>1686</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2.2000000000000002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立即对目标范围内的怪物造成220%攻击伤害+1500点固定伤害,并造成1秒眩晕效果</v>
      </c>
      <c r="BF702" s="186" t="s">
        <v>1688</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19.5" customHeight="1">
      <c r="C703" s="17">
        <v>62011304</v>
      </c>
      <c r="D703" s="20" t="s">
        <v>1382</v>
      </c>
      <c r="E703" s="20" t="s">
        <v>1686</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6" t="str">
        <f t="shared" si="52"/>
        <v>立即对目标范围内的怪物造成240%攻击伤害+2250点固定伤害,并造成1秒眩晕效果</v>
      </c>
      <c r="BF703" s="186" t="s">
        <v>1689</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19.5" customHeight="1">
      <c r="C704" s="17">
        <v>62011305</v>
      </c>
      <c r="D704" s="20" t="s">
        <v>1382</v>
      </c>
      <c r="E704" s="20" t="s">
        <v>1686</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6" t="str">
        <f t="shared" si="52"/>
        <v>立即对目标范围内的怪物造成260%攻击伤害+3250点固定伤害,并造成1秒眩晕效果</v>
      </c>
      <c r="BF704" s="186" t="s">
        <v>1690</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19.5" customHeight="1">
      <c r="C705" s="17">
        <v>62011306</v>
      </c>
      <c r="D705" s="20" t="s">
        <v>1382</v>
      </c>
      <c r="E705" s="20" t="s">
        <v>1686</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6" t="str">
        <f t="shared" si="52"/>
        <v>立即对目标范围内的怪物造成280%攻击伤害+4250点固定伤害,并造成1秒眩晕效果</v>
      </c>
      <c r="BF705" s="186" t="s">
        <v>1691</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62012101</v>
      </c>
      <c r="D706" s="20" t="s">
        <v>1692</v>
      </c>
      <c r="E706" s="20" t="s">
        <v>1693</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1406</v>
      </c>
      <c r="AY706" s="19">
        <v>10002001</v>
      </c>
      <c r="AZ706" s="19">
        <v>21100040</v>
      </c>
      <c r="BA706" s="20" t="s">
        <v>315</v>
      </c>
      <c r="BB706" s="20" t="s">
        <v>371</v>
      </c>
      <c r="BC706" s="28">
        <v>0</v>
      </c>
      <c r="BD706" s="28">
        <v>0</v>
      </c>
      <c r="BE706" s="186" t="str">
        <f>"对目标区域释放法术,在此范围内的目标每秒造成"&amp;X706*100&amp;"%攻击伤害+"&amp;Z706&amp;"点固定伤害,持续6秒"</f>
        <v>对目标区域释放法术,在此范围内的目标每秒造成100%攻击伤害+500点固定伤害,持续6秒</v>
      </c>
      <c r="BF706" s="186" t="s">
        <v>1694</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62012102</v>
      </c>
      <c r="D707" s="20" t="s">
        <v>1692</v>
      </c>
      <c r="E707" s="20" t="s">
        <v>1693</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1406</v>
      </c>
      <c r="AY707" s="19">
        <v>10002001</v>
      </c>
      <c r="AZ707" s="19">
        <v>21100040</v>
      </c>
      <c r="BA707" s="20" t="s">
        <v>315</v>
      </c>
      <c r="BB707" s="20" t="s">
        <v>371</v>
      </c>
      <c r="BC707" s="28">
        <v>0</v>
      </c>
      <c r="BD707" s="28">
        <v>0</v>
      </c>
      <c r="BE707" s="186"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6" t="s">
        <v>1694</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62012103</v>
      </c>
      <c r="D708" s="20" t="s">
        <v>1692</v>
      </c>
      <c r="E708" s="20" t="s">
        <v>1693</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1.1000000000000001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1406</v>
      </c>
      <c r="AY708" s="19">
        <v>10002001</v>
      </c>
      <c r="AZ708" s="19">
        <v>21100040</v>
      </c>
      <c r="BA708" s="20" t="s">
        <v>315</v>
      </c>
      <c r="BB708" s="20" t="s">
        <v>371</v>
      </c>
      <c r="BC708" s="28">
        <v>0</v>
      </c>
      <c r="BD708" s="28">
        <v>0</v>
      </c>
      <c r="BE708" s="186" t="str">
        <f t="shared" si="54"/>
        <v>对目标区域释放法术,在此范围内的目标每秒造成110%攻击伤害+800点固定伤害,持续6秒</v>
      </c>
      <c r="BF708" s="186" t="s">
        <v>1695</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62012104</v>
      </c>
      <c r="D709" s="20" t="s">
        <v>1692</v>
      </c>
      <c r="E709" s="20" t="s">
        <v>1693</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1406</v>
      </c>
      <c r="AY709" s="19">
        <v>10002001</v>
      </c>
      <c r="AZ709" s="19">
        <v>21100040</v>
      </c>
      <c r="BA709" s="20" t="s">
        <v>315</v>
      </c>
      <c r="BB709" s="20" t="s">
        <v>371</v>
      </c>
      <c r="BC709" s="28">
        <v>0</v>
      </c>
      <c r="BD709" s="28">
        <v>0</v>
      </c>
      <c r="BE709" s="186" t="str">
        <f t="shared" si="54"/>
        <v>对目标区域释放法术,在此范围内的目标每秒造成120%攻击伤害+1150点固定伤害,持续6秒</v>
      </c>
      <c r="BF709" s="186" t="s">
        <v>1696</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62012105</v>
      </c>
      <c r="D710" s="20" t="s">
        <v>1692</v>
      </c>
      <c r="E710" s="20" t="s">
        <v>1693</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1406</v>
      </c>
      <c r="AY710" s="19">
        <v>10002001</v>
      </c>
      <c r="AZ710" s="19">
        <v>21100040</v>
      </c>
      <c r="BA710" s="20" t="s">
        <v>315</v>
      </c>
      <c r="BB710" s="20" t="s">
        <v>371</v>
      </c>
      <c r="BC710" s="28">
        <v>0</v>
      </c>
      <c r="BD710" s="28">
        <v>0</v>
      </c>
      <c r="BE710" s="186" t="str">
        <f t="shared" si="54"/>
        <v>对目标区域释放法术,在此范围内的目标每秒造成130%攻击伤害+1550点固定伤害,持续6秒</v>
      </c>
      <c r="BF710" s="186" t="s">
        <v>1697</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62012106</v>
      </c>
      <c r="D711" s="20" t="s">
        <v>1692</v>
      </c>
      <c r="E711" s="20" t="s">
        <v>1693</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1406</v>
      </c>
      <c r="AY711" s="19">
        <v>10002001</v>
      </c>
      <c r="AZ711" s="19">
        <v>21100040</v>
      </c>
      <c r="BA711" s="20" t="s">
        <v>315</v>
      </c>
      <c r="BB711" s="20" t="s">
        <v>371</v>
      </c>
      <c r="BC711" s="28">
        <v>0</v>
      </c>
      <c r="BD711" s="28">
        <v>0</v>
      </c>
      <c r="BE711" s="186" t="str">
        <f t="shared" si="54"/>
        <v>对目标区域释放法术,在此范围内的目标每秒造成140%攻击伤害+2050点固定伤害,持续6秒</v>
      </c>
      <c r="BF711" s="186" t="s">
        <v>1698</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62012201</v>
      </c>
      <c r="D712" s="20" t="s">
        <v>1389</v>
      </c>
      <c r="E712" s="20" t="s">
        <v>1390</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1699</v>
      </c>
      <c r="AV712" s="19"/>
      <c r="AW712" s="20" t="s">
        <v>199</v>
      </c>
      <c r="AX712" s="19" t="s">
        <v>534</v>
      </c>
      <c r="AY712" s="19">
        <v>10000009</v>
      </c>
      <c r="AZ712" s="19">
        <v>21100050</v>
      </c>
      <c r="BA712" s="20" t="s">
        <v>200</v>
      </c>
      <c r="BB712" s="20">
        <v>0</v>
      </c>
      <c r="BC712" s="28">
        <v>0</v>
      </c>
      <c r="BD712" s="28">
        <v>0</v>
      </c>
      <c r="BE712" s="186"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6" t="s">
        <v>1700</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62012202</v>
      </c>
      <c r="D713" s="20" t="s">
        <v>1389</v>
      </c>
      <c r="E713" s="20" t="s">
        <v>1390</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1699</v>
      </c>
      <c r="AV713" s="19"/>
      <c r="AW713" s="20" t="s">
        <v>199</v>
      </c>
      <c r="AX713" s="19" t="s">
        <v>534</v>
      </c>
      <c r="AY713" s="19">
        <v>10000009</v>
      </c>
      <c r="AZ713" s="19">
        <v>21100050</v>
      </c>
      <c r="BA713" s="20" t="s">
        <v>200</v>
      </c>
      <c r="BB713" s="20">
        <v>0</v>
      </c>
      <c r="BC713" s="28">
        <v>0</v>
      </c>
      <c r="BD713" s="28">
        <v>0</v>
      </c>
      <c r="BE713" s="186"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6" t="s">
        <v>1700</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62012203</v>
      </c>
      <c r="D714" s="20" t="s">
        <v>1389</v>
      </c>
      <c r="E714" s="20" t="s">
        <v>1390</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1699</v>
      </c>
      <c r="AV714" s="19"/>
      <c r="AW714" s="20" t="s">
        <v>199</v>
      </c>
      <c r="AX714" s="19" t="s">
        <v>534</v>
      </c>
      <c r="AY714" s="19">
        <v>10000009</v>
      </c>
      <c r="AZ714" s="19">
        <v>21100050</v>
      </c>
      <c r="BA714" s="20" t="s">
        <v>200</v>
      </c>
      <c r="BB714" s="20">
        <v>0</v>
      </c>
      <c r="BC714" s="28">
        <v>0</v>
      </c>
      <c r="BD714" s="28">
        <v>0</v>
      </c>
      <c r="BE714" s="186" t="str">
        <f t="shared" si="56"/>
        <v>立即对目标范围内的怪物造成350%攻击伤害+1500,并击退周围附近敌方目标,此技能为必中技能无视对方闪避属性,并使目标造成1秒眩晕效果</v>
      </c>
      <c r="BF714" s="186" t="s">
        <v>1701</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20.100000000000001" customHeight="1">
      <c r="C715" s="17">
        <v>62012204</v>
      </c>
      <c r="D715" s="20" t="s">
        <v>1389</v>
      </c>
      <c r="E715" s="20" t="s">
        <v>1390</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63" t="s">
        <v>1699</v>
      </c>
      <c r="AV715" s="19"/>
      <c r="AW715" s="20" t="s">
        <v>199</v>
      </c>
      <c r="AX715" s="19" t="s">
        <v>534</v>
      </c>
      <c r="AY715" s="19">
        <v>10000009</v>
      </c>
      <c r="AZ715" s="19">
        <v>21100050</v>
      </c>
      <c r="BA715" s="20" t="s">
        <v>200</v>
      </c>
      <c r="BB715" s="20">
        <v>0</v>
      </c>
      <c r="BC715" s="28">
        <v>0</v>
      </c>
      <c r="BD715" s="28">
        <v>0</v>
      </c>
      <c r="BE715" s="186" t="str">
        <f t="shared" si="56"/>
        <v>立即对目标范围内的怪物造成375%攻击伤害+2250,并击退周围附近敌方目标,此技能为必中技能无视对方闪避属性,并使目标造成1秒眩晕效果</v>
      </c>
      <c r="BF715" s="186" t="s">
        <v>1702</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20.100000000000001" customHeight="1">
      <c r="C716" s="17">
        <v>62012205</v>
      </c>
      <c r="D716" s="20" t="s">
        <v>1389</v>
      </c>
      <c r="E716" s="20" t="s">
        <v>1390</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63" t="s">
        <v>1699</v>
      </c>
      <c r="AV716" s="19"/>
      <c r="AW716" s="20" t="s">
        <v>199</v>
      </c>
      <c r="AX716" s="19" t="s">
        <v>534</v>
      </c>
      <c r="AY716" s="19">
        <v>10000009</v>
      </c>
      <c r="AZ716" s="19">
        <v>21100050</v>
      </c>
      <c r="BA716" s="20" t="s">
        <v>200</v>
      </c>
      <c r="BB716" s="20">
        <v>0</v>
      </c>
      <c r="BC716" s="28">
        <v>0</v>
      </c>
      <c r="BD716" s="28">
        <v>0</v>
      </c>
      <c r="BE716" s="186" t="str">
        <f t="shared" si="56"/>
        <v>立即对目标范围内的怪物造成400%攻击伤害+3250,并击退周围附近敌方目标,此技能为必中技能无视对方闪避属性,并使目标造成1秒眩晕效果</v>
      </c>
      <c r="BF716" s="186" t="s">
        <v>1703</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20.100000000000001" customHeight="1">
      <c r="C717" s="17">
        <v>62012206</v>
      </c>
      <c r="D717" s="20" t="s">
        <v>1389</v>
      </c>
      <c r="E717" s="20" t="s">
        <v>1390</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63" t="s">
        <v>1699</v>
      </c>
      <c r="AV717" s="19"/>
      <c r="AW717" s="20" t="s">
        <v>199</v>
      </c>
      <c r="AX717" s="19" t="s">
        <v>534</v>
      </c>
      <c r="AY717" s="19">
        <v>10000009</v>
      </c>
      <c r="AZ717" s="19">
        <v>21100050</v>
      </c>
      <c r="BA717" s="20" t="s">
        <v>200</v>
      </c>
      <c r="BB717" s="20">
        <v>0</v>
      </c>
      <c r="BC717" s="28">
        <v>0</v>
      </c>
      <c r="BD717" s="28">
        <v>0</v>
      </c>
      <c r="BE717" s="186" t="str">
        <f t="shared" si="56"/>
        <v>立即对目标范围内的怪物造成425%攻击伤害+4250,并击退周围附近敌方目标,此技能为必中技能无视对方闪避属性,并使目标造成1秒眩晕效果</v>
      </c>
      <c r="BF717" s="186" t="s">
        <v>1704</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62012301</v>
      </c>
      <c r="D718" s="20" t="s">
        <v>1705</v>
      </c>
      <c r="E718" s="20" t="s">
        <v>1706</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6" t="s">
        <v>1707</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62012302</v>
      </c>
      <c r="D719" s="20" t="s">
        <v>1705</v>
      </c>
      <c r="E719" s="20" t="s">
        <v>1706</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6" t="s">
        <v>1707</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62012303</v>
      </c>
      <c r="D720" s="20" t="s">
        <v>1705</v>
      </c>
      <c r="E720" s="20" t="s">
        <v>1706</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立即对目标范围内的怪物造成350%攻击伤害+2700点固定伤害,并使目标产生冰封效果,使其2秒内无法进行移动</v>
      </c>
      <c r="BF720" s="186" t="s">
        <v>1708</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19.5" customHeight="1">
      <c r="C721" s="17">
        <v>62012304</v>
      </c>
      <c r="D721" s="20" t="s">
        <v>1705</v>
      </c>
      <c r="E721" s="20" t="s">
        <v>1706</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6" t="str">
        <f t="shared" si="58"/>
        <v>立即对目标范围内的怪物造成375%攻击伤害+4200点固定伤害,并使目标产生冰封效果,使其2秒内无法进行移动</v>
      </c>
      <c r="BF721" s="186" t="s">
        <v>1709</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spans="3:75" ht="19.5" customHeight="1">
      <c r="C722" s="17">
        <v>62012305</v>
      </c>
      <c r="D722" s="20" t="s">
        <v>1705</v>
      </c>
      <c r="E722" s="20" t="s">
        <v>1706</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6" t="str">
        <f t="shared" si="58"/>
        <v>立即对目标范围内的怪物造成400%攻击伤害+6000点固定伤害,并使目标产生冰封效果,使其2秒内无法进行移动</v>
      </c>
      <c r="BF722" s="186" t="s">
        <v>1710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spans="3:75" ht="19.5" customHeight="1">
      <c r="C723" s="17">
        <v>62012306</v>
      </c>
      <c r="D723" s="20" t="s">
        <v>1705</v>
      </c>
      <c r="E723" s="20" t="s">
        <v>1706</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6" t="str">
        <f t="shared" si="58"/>
        <v>立即对目标范围内的怪物造成425%攻击伤害+7800点固定伤害,并使目标产生冰封效果,使其2秒内无法进行移动</v>
      </c>
      <c r="BF723" s="186" t="s">
        <v>1711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spans="3:75" ht="20.100000000000001" customHeight="1">
      <c r="C724" s="31">
        <v>620211011</v>
      </c>
      <c r="D724" s="39" t="s">
        <v>1514</v>
      </c>
      <c r="E724" s="39" t="s">
        <v>1515</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1460</v>
      </c>
      <c r="AV724" s="31"/>
      <c r="AW724" s="39" t="s">
        <v>762</v>
      </c>
      <c r="AX724" s="31" t="s">
        <v>215</v>
      </c>
      <c r="AY724" s="31">
        <v>10000015</v>
      </c>
      <c r="AZ724" s="31">
        <v>21101021</v>
      </c>
      <c r="BA724" s="39" t="s">
        <v>1369</v>
      </c>
      <c r="BB724" s="31">
        <v>1</v>
      </c>
      <c r="BC724" s="31">
        <v>0</v>
      </c>
      <c r="BD724" s="31">
        <v>0</v>
      </c>
      <c r="BE724" s="185"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5" t="s">
        <v>1516</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620211021</v>
      </c>
      <c r="D725" s="39" t="s">
        <v>1514</v>
      </c>
      <c r="E725" s="39" t="s">
        <v>1515</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1460</v>
      </c>
      <c r="AV725" s="31"/>
      <c r="AW725" s="39" t="s">
        <v>762</v>
      </c>
      <c r="AX725" s="31" t="s">
        <v>215</v>
      </c>
      <c r="AY725" s="31">
        <v>10000015</v>
      </c>
      <c r="AZ725" s="31">
        <v>21101021</v>
      </c>
      <c r="BA725" s="39" t="s">
        <v>1369</v>
      </c>
      <c r="BB725" s="31">
        <v>1</v>
      </c>
      <c r="BC725" s="31">
        <v>0</v>
      </c>
      <c r="BD725" s="31">
        <v>0</v>
      </c>
      <c r="BE725" s="185"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5" t="s">
        <v>1516</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620211031</v>
      </c>
      <c r="D726" s="39" t="s">
        <v>1514</v>
      </c>
      <c r="E726" s="39" t="s">
        <v>1515</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1460</v>
      </c>
      <c r="AV726" s="31"/>
      <c r="AW726" s="39" t="s">
        <v>762</v>
      </c>
      <c r="AX726" s="31" t="s">
        <v>215</v>
      </c>
      <c r="AY726" s="31">
        <v>10000015</v>
      </c>
      <c r="AZ726" s="31">
        <v>21101021</v>
      </c>
      <c r="BA726" s="39" t="s">
        <v>1369</v>
      </c>
      <c r="BB726" s="31">
        <v>1</v>
      </c>
      <c r="BC726" s="31">
        <v>0</v>
      </c>
      <c r="BD726" s="31">
        <v>0</v>
      </c>
      <c r="BE726" s="185" t="str">
        <f t="shared" si="59"/>
        <v>立即对当前脚下敌人目标造成200%攻击伤害+1400点固定伤害和使目标眩晕1秒,并迅速跳跃至目标区域</v>
      </c>
      <c r="BF726" s="185" t="s">
        <v>1517</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31">
        <v>620211041</v>
      </c>
      <c r="D727" s="39" t="s">
        <v>1514</v>
      </c>
      <c r="E727" s="39" t="s">
        <v>1515</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1460</v>
      </c>
      <c r="AV727" s="31"/>
      <c r="AW727" s="39" t="s">
        <v>762</v>
      </c>
      <c r="AX727" s="31" t="s">
        <v>215</v>
      </c>
      <c r="AY727" s="31">
        <v>10000015</v>
      </c>
      <c r="AZ727" s="31">
        <v>21101021</v>
      </c>
      <c r="BA727" s="39" t="s">
        <v>1369</v>
      </c>
      <c r="BB727" s="31">
        <v>1</v>
      </c>
      <c r="BC727" s="31">
        <v>0</v>
      </c>
      <c r="BD727" s="31">
        <v>0</v>
      </c>
      <c r="BE727" s="185" t="str">
        <f t="shared" si="59"/>
        <v>立即对当前脚下敌人目标造成200%攻击伤害+1750点固定伤害和使目标眩晕1秒,并迅速跳跃至目标区域</v>
      </c>
      <c r="BF727" s="185" t="s">
        <v>1518</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spans="3:75" ht="20.100000000000001" customHeight="1">
      <c r="C728" s="31">
        <v>620211051</v>
      </c>
      <c r="D728" s="39" t="s">
        <v>1514</v>
      </c>
      <c r="E728" s="39" t="s">
        <v>1515</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1460</v>
      </c>
      <c r="AV728" s="31"/>
      <c r="AW728" s="39" t="s">
        <v>762</v>
      </c>
      <c r="AX728" s="31" t="s">
        <v>215</v>
      </c>
      <c r="AY728" s="31">
        <v>10000015</v>
      </c>
      <c r="AZ728" s="31">
        <v>21101021</v>
      </c>
      <c r="BA728" s="39" t="s">
        <v>1369</v>
      </c>
      <c r="BB728" s="31">
        <v>1</v>
      </c>
      <c r="BC728" s="31">
        <v>0</v>
      </c>
      <c r="BD728" s="31">
        <v>0</v>
      </c>
      <c r="BE728" s="185" t="str">
        <f t="shared" si="59"/>
        <v>立即对当前脚下敌人目标造成200%攻击伤害+2100点固定伤害和使目标眩晕1秒,并迅速跳跃至目标区域</v>
      </c>
      <c r="BF728" s="185" t="s">
        <v>1519</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spans="3:75" ht="20.100000000000001" customHeight="1">
      <c r="C729" s="31">
        <v>620211061</v>
      </c>
      <c r="D729" s="39" t="s">
        <v>1514</v>
      </c>
      <c r="E729" s="39" t="s">
        <v>1515</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1460</v>
      </c>
      <c r="AV729" s="31"/>
      <c r="AW729" s="39" t="s">
        <v>762</v>
      </c>
      <c r="AX729" s="31" t="s">
        <v>215</v>
      </c>
      <c r="AY729" s="31">
        <v>10000015</v>
      </c>
      <c r="AZ729" s="31">
        <v>21101021</v>
      </c>
      <c r="BA729" s="39" t="s">
        <v>1369</v>
      </c>
      <c r="BB729" s="31">
        <v>1</v>
      </c>
      <c r="BC729" s="31">
        <v>0</v>
      </c>
      <c r="BD729" s="31">
        <v>0</v>
      </c>
      <c r="BE729" s="185" t="str">
        <f t="shared" si="59"/>
        <v>立即对当前脚下敌人目标造成200%攻击伤害+2450点固定伤害和使目标眩晕1秒,并迅速跳跃至目标区域</v>
      </c>
      <c r="BF729" s="185" t="s">
        <v>1520</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spans="3:75" ht="20.100000000000001" customHeight="1">
      <c r="C730" s="69">
        <v>620211111</v>
      </c>
      <c r="D730" s="69" t="s">
        <v>1712</v>
      </c>
      <c r="E730" s="69" t="s">
        <v>1713</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1714</v>
      </c>
      <c r="BF730" s="198" t="s">
        <v>1715</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620211121</v>
      </c>
      <c r="D731" s="69" t="s">
        <v>1712</v>
      </c>
      <c r="E731" s="69" t="s">
        <v>1713</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1714</v>
      </c>
      <c r="BF731" s="198" t="s">
        <v>1715</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620211131</v>
      </c>
      <c r="D732" s="69" t="s">
        <v>1712</v>
      </c>
      <c r="E732" s="69" t="s">
        <v>1713</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1716</v>
      </c>
      <c r="BF732" s="198" t="s">
        <v>1717</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20.100000000000001" customHeight="1">
      <c r="C733" s="69">
        <v>620211141</v>
      </c>
      <c r="D733" s="69" t="s">
        <v>1712</v>
      </c>
      <c r="E733" s="69" t="s">
        <v>1713</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1718</v>
      </c>
      <c r="BF733" s="198" t="s">
        <v>1719</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spans="3:75" ht="20.100000000000001" customHeight="1">
      <c r="C734" s="69">
        <v>620211151</v>
      </c>
      <c r="D734" s="69" t="s">
        <v>1712</v>
      </c>
      <c r="E734" s="69" t="s">
        <v>1713</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spans="3:75" ht="20.100000000000001" customHeight="1">
      <c r="C735" s="69">
        <v>620211161</v>
      </c>
      <c r="D735" s="69" t="s">
        <v>1712</v>
      </c>
      <c r="E735" s="69" t="s">
        <v>1713</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1720</v>
      </c>
      <c r="BF735" s="198" t="s">
        <v>1721</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spans="3:75" ht="19.5" customHeight="1">
      <c r="C736" s="17">
        <v>62021101</v>
      </c>
      <c r="D736" s="189" t="s">
        <v>1497</v>
      </c>
      <c r="E736" s="189" t="s">
        <v>1498</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1523</v>
      </c>
      <c r="AV736" s="194"/>
      <c r="AW736" s="189" t="s">
        <v>1524</v>
      </c>
      <c r="AX736" s="194" t="s">
        <v>1525</v>
      </c>
      <c r="AY736" s="194">
        <v>10000006</v>
      </c>
      <c r="AZ736" s="194">
        <v>21101022</v>
      </c>
      <c r="BA736" s="197" t="s">
        <v>1526</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1722</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62021102</v>
      </c>
      <c r="D737" s="189" t="s">
        <v>1497</v>
      </c>
      <c r="E737" s="189" t="s">
        <v>1498</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1523</v>
      </c>
      <c r="AV737" s="194"/>
      <c r="AW737" s="189" t="s">
        <v>1524</v>
      </c>
      <c r="AX737" s="194" t="s">
        <v>1525</v>
      </c>
      <c r="AY737" s="194">
        <v>10000006</v>
      </c>
      <c r="AZ737" s="194">
        <v>21101022</v>
      </c>
      <c r="BA737" s="197" t="s">
        <v>1526</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1722</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62021103</v>
      </c>
      <c r="D738" s="189" t="s">
        <v>1497</v>
      </c>
      <c r="E738" s="189" t="s">
        <v>1498</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1523</v>
      </c>
      <c r="AV738" s="194"/>
      <c r="AW738" s="189" t="s">
        <v>1524</v>
      </c>
      <c r="AX738" s="194" t="s">
        <v>1525</v>
      </c>
      <c r="AY738" s="194">
        <v>10000006</v>
      </c>
      <c r="AZ738" s="194">
        <v>21101022</v>
      </c>
      <c r="BA738" s="197" t="s">
        <v>1526</v>
      </c>
      <c r="BB738" s="189">
        <v>0</v>
      </c>
      <c r="BC738" s="193">
        <v>0</v>
      </c>
      <c r="BD738" s="193">
        <v>0</v>
      </c>
      <c r="BE738" s="199" t="str">
        <f t="shared" si="60"/>
        <v>立即将目标周围的怪物强制拉到技能范围中,并对目标范围内的怪物造成275%攻击伤害+1800点固定伤害</v>
      </c>
      <c r="BF738" s="199" t="s">
        <v>1723</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C739" s="17">
        <v>62021104</v>
      </c>
      <c r="D739" s="189" t="s">
        <v>1497</v>
      </c>
      <c r="E739" s="189" t="s">
        <v>1498</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65" t="s">
        <v>1523</v>
      </c>
      <c r="AV739" s="194"/>
      <c r="AW739" s="189" t="s">
        <v>1524</v>
      </c>
      <c r="AX739" s="194" t="s">
        <v>1525</v>
      </c>
      <c r="AY739" s="194">
        <v>10000006</v>
      </c>
      <c r="AZ739" s="194">
        <v>21101022</v>
      </c>
      <c r="BA739" s="197" t="s">
        <v>1526</v>
      </c>
      <c r="BB739" s="189">
        <v>0</v>
      </c>
      <c r="BC739" s="193">
        <v>0</v>
      </c>
      <c r="BD739" s="193">
        <v>0</v>
      </c>
      <c r="BE739" s="199" t="str">
        <f t="shared" si="60"/>
        <v>立即将目标周围的怪物强制拉到技能范围中,并对目标范围内的怪物造成300%攻击伤害+2800点固定伤害</v>
      </c>
      <c r="BF739" s="199" t="s">
        <v>1724</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spans="1:75" ht="19.5" customHeight="1">
      <c r="C740" s="17">
        <v>62021105</v>
      </c>
      <c r="D740" s="189" t="s">
        <v>1497</v>
      </c>
      <c r="E740" s="189" t="s">
        <v>1498</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65" t="s">
        <v>1523</v>
      </c>
      <c r="AV740" s="194"/>
      <c r="AW740" s="189" t="s">
        <v>1524</v>
      </c>
      <c r="AX740" s="194" t="s">
        <v>1525</v>
      </c>
      <c r="AY740" s="194">
        <v>10000006</v>
      </c>
      <c r="AZ740" s="194">
        <v>21101022</v>
      </c>
      <c r="BA740" s="197" t="s">
        <v>1526</v>
      </c>
      <c r="BB740" s="189">
        <v>0</v>
      </c>
      <c r="BC740" s="193">
        <v>0</v>
      </c>
      <c r="BD740" s="193">
        <v>0</v>
      </c>
      <c r="BE740" s="199" t="str">
        <f t="shared" si="60"/>
        <v>立即将目标周围的怪物强制拉到技能范围中,并对目标范围内的怪物造成325%攻击伤害+4000点固定伤害</v>
      </c>
      <c r="BF740" s="199" t="s">
        <v>1725</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spans="1:75" ht="19.5" customHeight="1">
      <c r="C741" s="17">
        <v>62021106</v>
      </c>
      <c r="D741" s="189" t="s">
        <v>1497</v>
      </c>
      <c r="E741" s="189" t="s">
        <v>1498</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65" t="s">
        <v>1523</v>
      </c>
      <c r="AV741" s="194"/>
      <c r="AW741" s="189" t="s">
        <v>1524</v>
      </c>
      <c r="AX741" s="194" t="s">
        <v>1525</v>
      </c>
      <c r="AY741" s="194">
        <v>10000006</v>
      </c>
      <c r="AZ741" s="194">
        <v>21101022</v>
      </c>
      <c r="BA741" s="197" t="s">
        <v>1526</v>
      </c>
      <c r="BB741" s="189">
        <v>0</v>
      </c>
      <c r="BC741" s="193">
        <v>0</v>
      </c>
      <c r="BD741" s="193">
        <v>0</v>
      </c>
      <c r="BE741" s="199" t="str">
        <f t="shared" si="60"/>
        <v>立即将目标周围的怪物强制拉到技能范围中,并对目标范围内的怪物造成350%攻击伤害+5200点固定伤害</v>
      </c>
      <c r="BF741" s="199" t="s">
        <v>1726</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spans="1:75" ht="19.5" customHeight="1">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1727</v>
      </c>
      <c r="AV742" s="19"/>
      <c r="AW742" s="20" t="s">
        <v>199</v>
      </c>
      <c r="AX742" s="19" t="s">
        <v>545</v>
      </c>
      <c r="AY742" s="19">
        <v>10003002</v>
      </c>
      <c r="AZ742" s="19">
        <v>21101030</v>
      </c>
      <c r="BA742" s="20" t="s">
        <v>586</v>
      </c>
      <c r="BB742" s="20">
        <v>0</v>
      </c>
      <c r="BC742" s="28">
        <v>0</v>
      </c>
      <c r="BD742" s="28">
        <v>0</v>
      </c>
      <c r="BE742" s="186"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6" t="s">
        <v>1728</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1727</v>
      </c>
      <c r="AV743" s="19"/>
      <c r="AW743" s="20" t="s">
        <v>199</v>
      </c>
      <c r="AX743" s="19" t="s">
        <v>545</v>
      </c>
      <c r="AY743" s="19">
        <v>10003002</v>
      </c>
      <c r="AZ743" s="19">
        <v>21101030</v>
      </c>
      <c r="BA743" s="20" t="s">
        <v>586</v>
      </c>
      <c r="BB743" s="20">
        <v>0</v>
      </c>
      <c r="BC743" s="28">
        <v>0</v>
      </c>
      <c r="BD743" s="28">
        <v>0</v>
      </c>
      <c r="BE743" s="186"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6" t="s">
        <v>1728</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1727</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立即对指定前方区域释放冲击波,冲击波对触碰的怪物造成275%攻击伤害+1800点固定伤害,并对触碰到的敌方目标附带2秒眩晕</v>
      </c>
      <c r="BF744" s="186" t="s">
        <v>1729</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19.5" customHeight="1">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63" t="s">
        <v>1727</v>
      </c>
      <c r="AV745" s="19"/>
      <c r="AW745" s="20" t="s">
        <v>199</v>
      </c>
      <c r="AX745" s="19" t="s">
        <v>545</v>
      </c>
      <c r="AY745" s="19">
        <v>10003002</v>
      </c>
      <c r="AZ745" s="19">
        <v>21101030</v>
      </c>
      <c r="BA745" s="20" t="s">
        <v>586</v>
      </c>
      <c r="BB745" s="20">
        <v>0</v>
      </c>
      <c r="BC745" s="28">
        <v>0</v>
      </c>
      <c r="BD745" s="28">
        <v>0</v>
      </c>
      <c r="BE745" s="186" t="str">
        <f t="shared" si="61"/>
        <v>立即对指定前方区域释放冲击波,冲击波对触碰的怪物造成300%攻击伤害+2800点固定伤害,并对触碰到的敌方目标附带2秒眩晕</v>
      </c>
      <c r="BF745" s="186" t="s">
        <v>1730</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19.5" customHeight="1">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63" t="s">
        <v>1727</v>
      </c>
      <c r="AV746" s="19"/>
      <c r="AW746" s="20" t="s">
        <v>199</v>
      </c>
      <c r="AX746" s="19" t="s">
        <v>545</v>
      </c>
      <c r="AY746" s="19">
        <v>10003002</v>
      </c>
      <c r="AZ746" s="19">
        <v>21101030</v>
      </c>
      <c r="BA746" s="20" t="s">
        <v>586</v>
      </c>
      <c r="BB746" s="20">
        <v>0</v>
      </c>
      <c r="BC746" s="28">
        <v>0</v>
      </c>
      <c r="BD746" s="28">
        <v>0</v>
      </c>
      <c r="BE746" s="186" t="str">
        <f t="shared" si="61"/>
        <v>立即对指定前方区域释放冲击波,冲击波对触碰的怪物造成325%攻击伤害+4000点固定伤害,并对触碰到的敌方目标附带2秒眩晕</v>
      </c>
      <c r="BF746" s="186" t="s">
        <v>1731</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19.5" customHeight="1">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63" t="s">
        <v>1727</v>
      </c>
      <c r="AV747" s="19"/>
      <c r="AW747" s="20" t="s">
        <v>199</v>
      </c>
      <c r="AX747" s="19" t="s">
        <v>545</v>
      </c>
      <c r="AY747" s="19">
        <v>10003002</v>
      </c>
      <c r="AZ747" s="19">
        <v>21101030</v>
      </c>
      <c r="BA747" s="20" t="s">
        <v>586</v>
      </c>
      <c r="BB747" s="20">
        <v>0</v>
      </c>
      <c r="BC747" s="28">
        <v>0</v>
      </c>
      <c r="BD747" s="28">
        <v>0</v>
      </c>
      <c r="BE747" s="186" t="str">
        <f t="shared" si="61"/>
        <v>立即对指定前方区域释放冲击波,冲击波对触碰的怪物造成350%攻击伤害+5200点固定伤害,并对触碰到的敌方目标附带2秒眩晕</v>
      </c>
      <c r="BF747" s="186" t="s">
        <v>1732</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1733</v>
      </c>
      <c r="BC748" s="28">
        <v>0</v>
      </c>
      <c r="BD748" s="28">
        <v>0</v>
      </c>
      <c r="BE748" s="186"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6" t="s">
        <v>1734</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1733</v>
      </c>
      <c r="BC749" s="28">
        <v>0</v>
      </c>
      <c r="BD749" s="28">
        <v>0</v>
      </c>
      <c r="BE749" s="186"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6" t="s">
        <v>1734</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1733</v>
      </c>
      <c r="BC750" s="28">
        <v>0</v>
      </c>
      <c r="BD750" s="28">
        <v>0</v>
      </c>
      <c r="BE750" s="186" t="str">
        <f t="shared" si="63"/>
        <v>对目标区域持续造成伤害,在此范围内的敌方目标每秒造成2次200%攻击伤害+1500点固定伤害,目标移动速度降低75%,持续6秒,当在施法过程中进行移动会中断此技能施放</v>
      </c>
      <c r="BF750" s="186" t="s">
        <v>1735</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2.2000000000000002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1733</v>
      </c>
      <c r="BC751" s="28">
        <v>0</v>
      </c>
      <c r="BD751" s="28">
        <v>0</v>
      </c>
      <c r="BE751" s="186" t="str">
        <f t="shared" si="63"/>
        <v>对目标区域持续造成伤害,在此范围内的敌方目标每秒造成2次220%攻击伤害+2000点固定伤害,目标移动速度降低75%,持续6秒,当在施法过程中进行移动会中断此技能施放</v>
      </c>
      <c r="BF751" s="186" t="s">
        <v>1736</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spans="1:75" ht="20.100000000000001" customHeight="1">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1733</v>
      </c>
      <c r="BC752" s="28">
        <v>0</v>
      </c>
      <c r="BD752" s="28">
        <v>0</v>
      </c>
      <c r="BE752" s="186" t="str">
        <f t="shared" si="63"/>
        <v>对目标区域持续造成伤害,在此范围内的敌方目标每秒造成2次240%攻击伤害+2750点固定伤害,目标移动速度降低75%,持续6秒,当在施法过程中进行移动会中断此技能施放</v>
      </c>
      <c r="BF752" s="186" t="s">
        <v>1737</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spans="3:75" ht="20.100000000000001" customHeight="1">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1733</v>
      </c>
      <c r="BC753" s="28">
        <v>0</v>
      </c>
      <c r="BD753" s="28">
        <v>0</v>
      </c>
      <c r="BE753" s="186" t="str">
        <f t="shared" si="63"/>
        <v>对目标区域持续造成伤害,在此范围内的敌方目标每秒造成2次260%攻击伤害+3500点固定伤害,目标移动速度降低75%,持续6秒,当在施法过程中进行移动会中断此技能施放</v>
      </c>
      <c r="BF753" s="186" t="s">
        <v>1738</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spans="3:75" ht="20.100000000000001" customHeight="1">
      <c r="C754" s="17">
        <v>62021401</v>
      </c>
      <c r="D754" s="18" t="s">
        <v>1739</v>
      </c>
      <c r="E754" s="18" t="s">
        <v>1740</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1741</v>
      </c>
      <c r="BC754" s="28">
        <v>0</v>
      </c>
      <c r="BD754" s="28">
        <v>0</v>
      </c>
      <c r="BE754" s="46" t="s">
        <v>1742</v>
      </c>
      <c r="BF754" s="46" t="s">
        <v>1743</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20.100000000000001" customHeight="1">
      <c r="C755" s="17">
        <v>62021402</v>
      </c>
      <c r="D755" s="18" t="s">
        <v>1739</v>
      </c>
      <c r="E755" s="18" t="s">
        <v>1740</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1741</v>
      </c>
      <c r="BC755" s="28">
        <v>0</v>
      </c>
      <c r="BD755" s="28">
        <v>0</v>
      </c>
      <c r="BE755" s="46" t="s">
        <v>1742</v>
      </c>
      <c r="BF755" s="46" t="s">
        <v>1743</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20.100000000000001" customHeight="1">
      <c r="C756" s="17">
        <v>62021403</v>
      </c>
      <c r="D756" s="18" t="s">
        <v>1739</v>
      </c>
      <c r="E756" s="18" t="s">
        <v>1740</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1744</v>
      </c>
      <c r="BC756" s="28">
        <v>0</v>
      </c>
      <c r="BD756" s="28">
        <v>0</v>
      </c>
      <c r="BE756" s="46" t="s">
        <v>1745</v>
      </c>
      <c r="BF756" s="46" t="s">
        <v>1746</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19.5" customHeight="1">
      <c r="C757" s="17">
        <v>62021404</v>
      </c>
      <c r="D757" s="18" t="s">
        <v>1739</v>
      </c>
      <c r="E757" s="18" t="s">
        <v>1740</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66" t="s">
        <v>1747</v>
      </c>
      <c r="BC757" s="28">
        <v>0</v>
      </c>
      <c r="BD757" s="28">
        <v>0</v>
      </c>
      <c r="BE757" s="46" t="s">
        <v>1748</v>
      </c>
      <c r="BF757" s="46" t="s">
        <v>1749</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spans="3:75" ht="19.5" customHeight="1">
      <c r="C758" s="17">
        <v>62021405</v>
      </c>
      <c r="D758" s="18" t="s">
        <v>1739</v>
      </c>
      <c r="E758" s="18" t="s">
        <v>1740</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66" t="s">
        <v>1750</v>
      </c>
      <c r="BC758" s="28">
        <v>0</v>
      </c>
      <c r="BD758" s="28">
        <v>0</v>
      </c>
      <c r="BE758" s="46" t="s">
        <v>1751</v>
      </c>
      <c r="BF758" s="46" t="s">
        <v>1752</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spans="3:75" ht="19.5" customHeight="1">
      <c r="C759" s="17">
        <v>62021406</v>
      </c>
      <c r="D759" s="18" t="s">
        <v>1739</v>
      </c>
      <c r="E759" s="18" t="s">
        <v>1740</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66" t="s">
        <v>1753</v>
      </c>
      <c r="BC759" s="28">
        <v>0</v>
      </c>
      <c r="BD759" s="28">
        <v>0</v>
      </c>
      <c r="BE759" s="46" t="s">
        <v>1754</v>
      </c>
      <c r="BF759" s="46" t="s">
        <v>1755</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62021511</v>
      </c>
      <c r="D760" s="20" t="s">
        <v>1756</v>
      </c>
      <c r="E760" s="20" t="s">
        <v>1757</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6" t="s">
        <v>349</v>
      </c>
      <c r="BF760" s="186"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spans="3:75" ht="19.5" customHeight="1">
      <c r="C761" s="17">
        <v>62021512</v>
      </c>
      <c r="D761" s="20" t="s">
        <v>1758</v>
      </c>
      <c r="E761" s="20" t="s">
        <v>1759</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6"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6" t="s">
        <v>1760</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spans="3:75" ht="19.5" customHeight="1">
      <c r="C762" s="17">
        <v>62021513</v>
      </c>
      <c r="D762" s="20" t="s">
        <v>1761</v>
      </c>
      <c r="E762" s="20" t="s">
        <v>1762</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1672</v>
      </c>
      <c r="AY762" s="19">
        <v>10000006</v>
      </c>
      <c r="AZ762" s="19">
        <v>21100010</v>
      </c>
      <c r="BA762" s="20" t="s">
        <v>200</v>
      </c>
      <c r="BB762" s="20">
        <v>0</v>
      </c>
      <c r="BC762" s="28">
        <v>0</v>
      </c>
      <c r="BD762" s="28">
        <v>0</v>
      </c>
      <c r="BE762" s="186" t="str">
        <f t="shared" ref="BE762" si="65">"立即对目标范围内的怪物造成"&amp;X762*100&amp;"%攻击伤害+"&amp;Z762&amp;"点固定伤害"</f>
        <v>立即对目标范围内的怪物造成250%攻击伤害+2000点固定伤害</v>
      </c>
      <c r="BF762" s="186" t="s">
        <v>1763</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spans="3:75" ht="20.100000000000001" customHeight="1">
      <c r="C763" s="17">
        <v>62021514</v>
      </c>
      <c r="D763" s="18" t="s">
        <v>1764</v>
      </c>
      <c r="E763" s="18" t="s">
        <v>1765</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1766</v>
      </c>
      <c r="BC763" s="28">
        <v>0</v>
      </c>
      <c r="BD763" s="28">
        <v>0</v>
      </c>
      <c r="BE763" s="46" t="s">
        <v>1767</v>
      </c>
      <c r="BF763" s="46" t="s">
        <v>1768</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spans="3:75" ht="20.100000000000001" customHeight="1">
      <c r="C764" s="17">
        <v>62021515</v>
      </c>
      <c r="D764" s="18" t="s">
        <v>1764</v>
      </c>
      <c r="E764" s="18" t="s">
        <v>1765</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1769</v>
      </c>
      <c r="BC764" s="28">
        <v>0</v>
      </c>
      <c r="BD764" s="28">
        <v>0</v>
      </c>
      <c r="BE764" s="46" t="s">
        <v>1770</v>
      </c>
      <c r="BF764" s="46" t="s">
        <v>1771</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spans="3:75" ht="20.100000000000001" customHeight="1">
      <c r="C765" s="19">
        <v>62022101</v>
      </c>
      <c r="D765" s="14" t="s">
        <v>1772</v>
      </c>
      <c r="E765" s="14" t="s">
        <v>1773</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1774</v>
      </c>
      <c r="AV765" s="13"/>
      <c r="AW765" s="14" t="s">
        <v>256</v>
      </c>
      <c r="AX765" s="13" t="s">
        <v>1672</v>
      </c>
      <c r="AY765" s="13">
        <v>21102010</v>
      </c>
      <c r="AZ765" s="13">
        <v>0</v>
      </c>
      <c r="BA765" s="14" t="s">
        <v>200</v>
      </c>
      <c r="BB765" s="13">
        <v>0</v>
      </c>
      <c r="BC765" s="28">
        <v>0</v>
      </c>
      <c r="BD765" s="28">
        <v>0</v>
      </c>
      <c r="BE765" s="186" t="str">
        <f>"立即对当前目标怪物造成"&amp;X765*100&amp;"%攻击伤害+"&amp;Z765&amp;"点固定伤害,并使目标眩晕1.5秒和双防降低50%,持续6秒"</f>
        <v>立即对当前目标怪物造成250%攻击伤害+750点固定伤害,并使目标眩晕1.5秒和双防降低50%,持续6秒</v>
      </c>
      <c r="BF765" s="186" t="s">
        <v>1775</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62022102</v>
      </c>
      <c r="D766" s="14" t="s">
        <v>1772</v>
      </c>
      <c r="E766" s="14" t="s">
        <v>1773</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1774</v>
      </c>
      <c r="AV766" s="13"/>
      <c r="AW766" s="14" t="s">
        <v>256</v>
      </c>
      <c r="AX766" s="13" t="s">
        <v>1672</v>
      </c>
      <c r="AY766" s="13">
        <v>21102010</v>
      </c>
      <c r="AZ766" s="13">
        <v>0</v>
      </c>
      <c r="BA766" s="14" t="s">
        <v>200</v>
      </c>
      <c r="BB766" s="13">
        <v>0</v>
      </c>
      <c r="BC766" s="28">
        <v>0</v>
      </c>
      <c r="BD766" s="28">
        <v>0</v>
      </c>
      <c r="BE766" s="186"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6" t="s">
        <v>1775</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62022103</v>
      </c>
      <c r="D767" s="14" t="s">
        <v>1772</v>
      </c>
      <c r="E767" s="14" t="s">
        <v>1773</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1774</v>
      </c>
      <c r="AV767" s="13"/>
      <c r="AW767" s="14" t="s">
        <v>256</v>
      </c>
      <c r="AX767" s="13" t="s">
        <v>1672</v>
      </c>
      <c r="AY767" s="13">
        <v>21102010</v>
      </c>
      <c r="AZ767" s="13">
        <v>0</v>
      </c>
      <c r="BA767" s="14" t="s">
        <v>200</v>
      </c>
      <c r="BB767" s="13">
        <v>0</v>
      </c>
      <c r="BC767" s="28">
        <v>0</v>
      </c>
      <c r="BD767" s="28">
        <v>0</v>
      </c>
      <c r="BE767" s="186" t="str">
        <f t="shared" si="66"/>
        <v>立即对当前目标怪物造成275%攻击伤害+1500点固定伤害,并使目标眩晕1.5秒和双防降低50%,持续6秒</v>
      </c>
      <c r="BF767" s="186" t="s">
        <v>1776</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62022104</v>
      </c>
      <c r="D768" s="14" t="s">
        <v>1772</v>
      </c>
      <c r="E768" s="14" t="s">
        <v>1773</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55" t="s">
        <v>1774</v>
      </c>
      <c r="AV768" s="13"/>
      <c r="AW768" s="14" t="s">
        <v>256</v>
      </c>
      <c r="AX768" s="13" t="s">
        <v>1672</v>
      </c>
      <c r="AY768" s="13">
        <v>21102010</v>
      </c>
      <c r="AZ768" s="13">
        <v>0</v>
      </c>
      <c r="BA768" s="14" t="s">
        <v>200</v>
      </c>
      <c r="BB768" s="13">
        <v>0</v>
      </c>
      <c r="BC768" s="28">
        <v>0</v>
      </c>
      <c r="BD768" s="28">
        <v>0</v>
      </c>
      <c r="BE768" s="186" t="str">
        <f t="shared" si="66"/>
        <v>立即对当前目标怪物造成300%攻击伤害+2250点固定伤害,并使目标眩晕1.5秒和双防降低50%,持续6秒</v>
      </c>
      <c r="BF768" s="186" t="s">
        <v>1777</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spans="3:75" ht="20.100000000000001" customHeight="1">
      <c r="C769" s="19">
        <v>62022105</v>
      </c>
      <c r="D769" s="14" t="s">
        <v>1772</v>
      </c>
      <c r="E769" s="14" t="s">
        <v>1773</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55" t="s">
        <v>1774</v>
      </c>
      <c r="AV769" s="13"/>
      <c r="AW769" s="14" t="s">
        <v>256</v>
      </c>
      <c r="AX769" s="13" t="s">
        <v>1672</v>
      </c>
      <c r="AY769" s="13">
        <v>21102010</v>
      </c>
      <c r="AZ769" s="13">
        <v>0</v>
      </c>
      <c r="BA769" s="14" t="s">
        <v>200</v>
      </c>
      <c r="BB769" s="13">
        <v>0</v>
      </c>
      <c r="BC769" s="28">
        <v>0</v>
      </c>
      <c r="BD769" s="28">
        <v>0</v>
      </c>
      <c r="BE769" s="186" t="str">
        <f t="shared" si="66"/>
        <v>立即对当前目标怪物造成325%攻击伤害+3250点固定伤害,并使目标眩晕1.5秒和双防降低50%,持续6秒</v>
      </c>
      <c r="BF769" s="186" t="s">
        <v>1778</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spans="3:75" ht="20.100000000000001" customHeight="1">
      <c r="C770" s="19">
        <v>62022106</v>
      </c>
      <c r="D770" s="14" t="s">
        <v>1772</v>
      </c>
      <c r="E770" s="14" t="s">
        <v>1773</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55" t="s">
        <v>1774</v>
      </c>
      <c r="AV770" s="13"/>
      <c r="AW770" s="14" t="s">
        <v>256</v>
      </c>
      <c r="AX770" s="13" t="s">
        <v>1672</v>
      </c>
      <c r="AY770" s="13">
        <v>21102010</v>
      </c>
      <c r="AZ770" s="13">
        <v>0</v>
      </c>
      <c r="BA770" s="14" t="s">
        <v>200</v>
      </c>
      <c r="BB770" s="13">
        <v>0</v>
      </c>
      <c r="BC770" s="28">
        <v>0</v>
      </c>
      <c r="BD770" s="28">
        <v>0</v>
      </c>
      <c r="BE770" s="186" t="str">
        <f t="shared" si="66"/>
        <v>立即对当前目标怪物造成350%攻击伤害+4250点固定伤害,并使目标眩晕1.5秒和双防降低50%,持续6秒</v>
      </c>
      <c r="BF770" s="186" t="s">
        <v>1779</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62022201</v>
      </c>
      <c r="D771" s="20" t="s">
        <v>1780</v>
      </c>
      <c r="E771" s="20" t="s">
        <v>1781</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1.1000000000000001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1406</v>
      </c>
      <c r="AY771" s="19">
        <v>10002001</v>
      </c>
      <c r="AZ771" s="19">
        <v>21102020</v>
      </c>
      <c r="BA771" s="20" t="s">
        <v>315</v>
      </c>
      <c r="BB771" s="20" t="s">
        <v>371</v>
      </c>
      <c r="BC771" s="28">
        <v>0</v>
      </c>
      <c r="BD771" s="28">
        <v>0</v>
      </c>
      <c r="BE771" s="186"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6" t="s">
        <v>1782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62022202</v>
      </c>
      <c r="D772" s="20" t="s">
        <v>1780</v>
      </c>
      <c r="E772" s="20" t="s">
        <v>1781</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1.1000000000000001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1406</v>
      </c>
      <c r="AY772" s="19">
        <v>10002001</v>
      </c>
      <c r="AZ772" s="19">
        <v>21102020</v>
      </c>
      <c r="BA772" s="20" t="s">
        <v>315</v>
      </c>
      <c r="BB772" s="20" t="s">
        <v>371</v>
      </c>
      <c r="BC772" s="28">
        <v>0</v>
      </c>
      <c r="BD772" s="28">
        <v>0</v>
      </c>
      <c r="BE772" s="186"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6" t="s">
        <v>1782</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62022203</v>
      </c>
      <c r="D773" s="20" t="s">
        <v>1780</v>
      </c>
      <c r="E773" s="20" t="s">
        <v>1781</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1406</v>
      </c>
      <c r="AY773" s="19">
        <v>10002001</v>
      </c>
      <c r="AZ773" s="19">
        <v>21102020</v>
      </c>
      <c r="BA773" s="20" t="s">
        <v>315</v>
      </c>
      <c r="BB773" s="20" t="s">
        <v>371</v>
      </c>
      <c r="BC773" s="28">
        <v>0</v>
      </c>
      <c r="BD773" s="28">
        <v>0</v>
      </c>
      <c r="BE773" s="186" t="str">
        <f t="shared" si="68"/>
        <v>对目标区域释放法术,在此范围内的目标每秒造成120%攻击伤害+1500点固定伤害,并将目标移动速度降低50%,持续6秒</v>
      </c>
      <c r="BF773" s="186" t="s">
        <v>1783</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62022204</v>
      </c>
      <c r="D774" s="20" t="s">
        <v>1780</v>
      </c>
      <c r="E774" s="20" t="s">
        <v>1781</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1406</v>
      </c>
      <c r="AY774" s="19">
        <v>10002001</v>
      </c>
      <c r="AZ774" s="19">
        <v>21102020</v>
      </c>
      <c r="BA774" s="20" t="s">
        <v>315</v>
      </c>
      <c r="BB774" s="20" t="s">
        <v>371</v>
      </c>
      <c r="BC774" s="28">
        <v>0</v>
      </c>
      <c r="BD774" s="28">
        <v>0</v>
      </c>
      <c r="BE774" s="186" t="str">
        <f t="shared" si="68"/>
        <v>对目标区域释放法术,在此范围内的目标每秒造成130%攻击伤害+2000点固定伤害,并将目标移动速度降低50%,持续6秒</v>
      </c>
      <c r="BF774" s="186" t="s">
        <v>1784</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spans="3:75" ht="20.100000000000001" customHeight="1">
      <c r="C775" s="19">
        <v>62022205</v>
      </c>
      <c r="D775" s="20" t="s">
        <v>1780</v>
      </c>
      <c r="E775" s="20" t="s">
        <v>1781</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1406</v>
      </c>
      <c r="AY775" s="19">
        <v>10002001</v>
      </c>
      <c r="AZ775" s="19">
        <v>21102020</v>
      </c>
      <c r="BA775" s="20" t="s">
        <v>315</v>
      </c>
      <c r="BB775" s="20" t="s">
        <v>371</v>
      </c>
      <c r="BC775" s="28">
        <v>0</v>
      </c>
      <c r="BD775" s="28">
        <v>0</v>
      </c>
      <c r="BE775" s="186" t="str">
        <f t="shared" si="68"/>
        <v>对目标区域释放法术,在此范围内的目标每秒造成140%攻击伤害+2750点固定伤害,并将目标移动速度降低50%,持续6秒</v>
      </c>
      <c r="BF775" s="186" t="s">
        <v>1785</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spans="3:75" ht="20.100000000000001" customHeight="1">
      <c r="C776" s="19">
        <v>62022206</v>
      </c>
      <c r="D776" s="20" t="s">
        <v>1780</v>
      </c>
      <c r="E776" s="20" t="s">
        <v>1781</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1406</v>
      </c>
      <c r="AY776" s="19">
        <v>10002001</v>
      </c>
      <c r="AZ776" s="19">
        <v>21102020</v>
      </c>
      <c r="BA776" s="20" t="s">
        <v>315</v>
      </c>
      <c r="BB776" s="20" t="s">
        <v>371</v>
      </c>
      <c r="BC776" s="28">
        <v>0</v>
      </c>
      <c r="BD776" s="28">
        <v>0</v>
      </c>
      <c r="BE776" s="186" t="str">
        <f t="shared" si="68"/>
        <v>对目标区域释放法术,在此范围内的目标每秒造成150%攻击伤害+3500点固定伤害,并将目标移动速度降低50%,持续6秒</v>
      </c>
      <c r="BF776" s="186" t="s">
        <v>1786</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62022301</v>
      </c>
      <c r="D777" s="14" t="s">
        <v>1787</v>
      </c>
      <c r="E777" s="14" t="s">
        <v>1788</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1789</v>
      </c>
      <c r="AV777" s="19"/>
      <c r="AW777" s="14" t="s">
        <v>256</v>
      </c>
      <c r="AX777" s="13" t="s">
        <v>1790</v>
      </c>
      <c r="AY777" s="13" t="s">
        <v>198</v>
      </c>
      <c r="AZ777" s="13">
        <v>0</v>
      </c>
      <c r="BA777" s="14" t="s">
        <v>200</v>
      </c>
      <c r="BB777" s="13">
        <v>0</v>
      </c>
      <c r="BC777" s="28">
        <v>0</v>
      </c>
      <c r="BD777" s="28">
        <v>0</v>
      </c>
      <c r="BE777" s="186"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6" t="s">
        <v>1791</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62022302</v>
      </c>
      <c r="D778" s="14" t="s">
        <v>1787</v>
      </c>
      <c r="E778" s="14" t="s">
        <v>1788</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1789</v>
      </c>
      <c r="AV778" s="19"/>
      <c r="AW778" s="14" t="s">
        <v>256</v>
      </c>
      <c r="AX778" s="13" t="s">
        <v>1790</v>
      </c>
      <c r="AY778" s="13" t="s">
        <v>198</v>
      </c>
      <c r="AZ778" s="13">
        <v>0</v>
      </c>
      <c r="BA778" s="14" t="s">
        <v>200</v>
      </c>
      <c r="BB778" s="13">
        <v>0</v>
      </c>
      <c r="BC778" s="28">
        <v>0</v>
      </c>
      <c r="BD778" s="28">
        <v>0</v>
      </c>
      <c r="BE778" s="186"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6" t="s">
        <v>1792</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62022303</v>
      </c>
      <c r="D779" s="14" t="s">
        <v>1787</v>
      </c>
      <c r="E779" s="14" t="s">
        <v>1788</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1793</v>
      </c>
      <c r="AV779" s="19"/>
      <c r="AW779" s="14" t="s">
        <v>256</v>
      </c>
      <c r="AX779" s="13" t="s">
        <v>1790</v>
      </c>
      <c r="AY779" s="13" t="s">
        <v>198</v>
      </c>
      <c r="AZ779" s="13">
        <v>0</v>
      </c>
      <c r="BA779" s="14" t="s">
        <v>200</v>
      </c>
      <c r="BB779" s="13">
        <v>0</v>
      </c>
      <c r="BC779" s="28">
        <v>0</v>
      </c>
      <c r="BD779" s="28">
        <v>0</v>
      </c>
      <c r="BE779" s="186"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6" t="s">
        <v>1794</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20.100000000000001" customHeight="1">
      <c r="C780" s="19">
        <v>62022304</v>
      </c>
      <c r="D780" s="14" t="s">
        <v>1787</v>
      </c>
      <c r="E780" s="14" t="s">
        <v>1788</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63" t="s">
        <v>1795</v>
      </c>
      <c r="AV780" s="19"/>
      <c r="AW780" s="14" t="s">
        <v>256</v>
      </c>
      <c r="AX780" s="13" t="s">
        <v>1790</v>
      </c>
      <c r="AY780" s="13" t="s">
        <v>198</v>
      </c>
      <c r="AZ780" s="13">
        <v>0</v>
      </c>
      <c r="BA780" s="14" t="s">
        <v>200</v>
      </c>
      <c r="BB780" s="13">
        <v>0</v>
      </c>
      <c r="BC780" s="28">
        <v>0</v>
      </c>
      <c r="BD780" s="28">
        <v>0</v>
      </c>
      <c r="BE780" s="186" t="str">
        <f t="shared" si="70"/>
        <v>给目标释放一个持续8秒的灼烧效果,此效果每2秒会自动释放一个范围伤害,对敌方目标造成250%攻击伤害+4000点固定伤害,如果目标为怪物,会对其额外造成50%的伤害</v>
      </c>
      <c r="BF780" s="186" t="s">
        <v>1796</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spans="3:75" ht="20.100000000000001" customHeight="1">
      <c r="C781" s="19">
        <v>62022305</v>
      </c>
      <c r="D781" s="14" t="s">
        <v>1787</v>
      </c>
      <c r="E781" s="14" t="s">
        <v>1788</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63" t="s">
        <v>1797</v>
      </c>
      <c r="AV781" s="19"/>
      <c r="AW781" s="14" t="s">
        <v>256</v>
      </c>
      <c r="AX781" s="13" t="s">
        <v>1790</v>
      </c>
      <c r="AY781" s="13" t="s">
        <v>198</v>
      </c>
      <c r="AZ781" s="13">
        <v>0</v>
      </c>
      <c r="BA781" s="14" t="s">
        <v>200</v>
      </c>
      <c r="BB781" s="13">
        <v>0</v>
      </c>
      <c r="BC781" s="28">
        <v>0</v>
      </c>
      <c r="BD781" s="28">
        <v>0</v>
      </c>
      <c r="BE781" s="186" t="str">
        <f t="shared" si="70"/>
        <v>给目标释放一个持续8秒的灼烧效果,此效果每2秒会自动释放一个范围伤害,对敌方目标造成275%攻击伤害+5200点固定伤害,如果目标为怪物,会对其额外造成50%的伤害</v>
      </c>
      <c r="BF781" s="186" t="s">
        <v>1798</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spans="3:75" ht="20.100000000000001" customHeight="1">
      <c r="C782" s="19">
        <v>62022306</v>
      </c>
      <c r="D782" s="14" t="s">
        <v>1787</v>
      </c>
      <c r="E782" s="14" t="s">
        <v>1788</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63" t="s">
        <v>1799</v>
      </c>
      <c r="AV782" s="19"/>
      <c r="AW782" s="14" t="s">
        <v>256</v>
      </c>
      <c r="AX782" s="13" t="s">
        <v>1790</v>
      </c>
      <c r="AY782" s="13" t="s">
        <v>198</v>
      </c>
      <c r="AZ782" s="13">
        <v>0</v>
      </c>
      <c r="BA782" s="14" t="s">
        <v>200</v>
      </c>
      <c r="BB782" s="13">
        <v>0</v>
      </c>
      <c r="BC782" s="28">
        <v>0</v>
      </c>
      <c r="BD782" s="28">
        <v>0</v>
      </c>
      <c r="BE782" s="186" t="str">
        <f t="shared" si="70"/>
        <v>给目标释放一个持续8秒的灼烧效果,此效果每2秒会自动释放一个范围伤害,对敌方目标造成300%攻击伤害+900点固定伤害,如果目标为怪物,会对其额外造成50%的伤害</v>
      </c>
      <c r="BF782" s="186" t="s">
        <v>1800</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spans="3:75" ht="19.5" customHeight="1">
      <c r="C783" s="19">
        <v>62022311</v>
      </c>
      <c r="D783" s="20" t="s">
        <v>1801</v>
      </c>
      <c r="E783" s="20" t="s">
        <v>1802</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1803</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62022312</v>
      </c>
      <c r="D784" s="20" t="s">
        <v>1801</v>
      </c>
      <c r="E784" s="20" t="s">
        <v>1802</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1803</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62022313</v>
      </c>
      <c r="D785" s="20" t="s">
        <v>1801</v>
      </c>
      <c r="E785" s="20" t="s">
        <v>1802</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1803</v>
      </c>
      <c r="AY785" s="19">
        <v>10003002</v>
      </c>
      <c r="AZ785" s="19">
        <v>21102031</v>
      </c>
      <c r="BA785" s="20" t="s">
        <v>200</v>
      </c>
      <c r="BB785" s="20">
        <v>0</v>
      </c>
      <c r="BC785" s="28">
        <v>0</v>
      </c>
      <c r="BD785" s="28">
        <v>0</v>
      </c>
      <c r="BE785" s="186"/>
      <c r="BF785" s="186"/>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62022314</v>
      </c>
      <c r="D786" s="20" t="s">
        <v>1801</v>
      </c>
      <c r="E786" s="20" t="s">
        <v>1802</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1803</v>
      </c>
      <c r="AY786" s="19">
        <v>10003002</v>
      </c>
      <c r="AZ786" s="19">
        <v>21102031</v>
      </c>
      <c r="BA786" s="20" t="s">
        <v>200</v>
      </c>
      <c r="BB786" s="20">
        <v>0</v>
      </c>
      <c r="BC786" s="28">
        <v>0</v>
      </c>
      <c r="BD786" s="28">
        <v>0</v>
      </c>
      <c r="BE786" s="186"/>
      <c r="BF786" s="186"/>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62022315</v>
      </c>
      <c r="D787" s="20" t="s">
        <v>1801</v>
      </c>
      <c r="E787" s="20" t="s">
        <v>1802</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1803</v>
      </c>
      <c r="AY787" s="19">
        <v>10003002</v>
      </c>
      <c r="AZ787" s="19">
        <v>21102031</v>
      </c>
      <c r="BA787" s="20" t="s">
        <v>200</v>
      </c>
      <c r="BB787" s="20">
        <v>0</v>
      </c>
      <c r="BC787" s="28">
        <v>0</v>
      </c>
      <c r="BD787" s="28">
        <v>0</v>
      </c>
      <c r="BE787" s="186"/>
      <c r="BF787" s="186"/>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62022401</v>
      </c>
      <c r="D788" s="20" t="s">
        <v>1804</v>
      </c>
      <c r="E788" s="20" t="s">
        <v>1805</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63" t="s">
        <v>1806</v>
      </c>
      <c r="AV788" s="19"/>
      <c r="AW788" s="20" t="s">
        <v>199</v>
      </c>
      <c r="AX788" s="19" t="s">
        <v>1803</v>
      </c>
      <c r="AY788" s="19">
        <v>10003002</v>
      </c>
      <c r="AZ788" s="19">
        <v>21102031</v>
      </c>
      <c r="BA788" s="20" t="s">
        <v>200</v>
      </c>
      <c r="BB788" s="20">
        <v>0</v>
      </c>
      <c r="BC788" s="28">
        <v>0</v>
      </c>
      <c r="BD788" s="28">
        <v>0</v>
      </c>
      <c r="BE788" s="186"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6" t="s">
        <v>1807</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62022402</v>
      </c>
      <c r="D789" s="20" t="s">
        <v>1804</v>
      </c>
      <c r="E789" s="20" t="s">
        <v>1805</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1806</v>
      </c>
      <c r="AV789" s="19"/>
      <c r="AW789" s="20" t="s">
        <v>199</v>
      </c>
      <c r="AX789" s="19" t="s">
        <v>1803</v>
      </c>
      <c r="AY789" s="19">
        <v>10003002</v>
      </c>
      <c r="AZ789" s="19">
        <v>21102040</v>
      </c>
      <c r="BA789" s="20" t="s">
        <v>200</v>
      </c>
      <c r="BB789" s="20">
        <v>0</v>
      </c>
      <c r="BC789" s="28">
        <v>0</v>
      </c>
      <c r="BD789" s="28">
        <v>0</v>
      </c>
      <c r="BE789" s="186"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6" t="s">
        <v>1807</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62022403</v>
      </c>
      <c r="D790" s="20" t="s">
        <v>1804</v>
      </c>
      <c r="E790" s="20" t="s">
        <v>1805</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1806</v>
      </c>
      <c r="AV790" s="19"/>
      <c r="AW790" s="20" t="s">
        <v>199</v>
      </c>
      <c r="AX790" s="19" t="s">
        <v>1803</v>
      </c>
      <c r="AY790" s="19">
        <v>10003002</v>
      </c>
      <c r="AZ790" s="19">
        <v>21102040</v>
      </c>
      <c r="BA790" s="20" t="s">
        <v>200</v>
      </c>
      <c r="BB790" s="20">
        <v>0</v>
      </c>
      <c r="BC790" s="28">
        <v>0</v>
      </c>
      <c r="BD790" s="28">
        <v>0</v>
      </c>
      <c r="BE790" s="186" t="str">
        <f t="shared" si="73"/>
        <v>吟唱0.5秒,立即对目标范围内的怪物造成375%攻击伤害+1800点固定伤害,并造成2秒眩晕,并使其受到暴击伤害额外提升30%</v>
      </c>
      <c r="BF790" s="186" t="s">
        <v>1808</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19.5" customHeight="1">
      <c r="C791" s="19">
        <v>62022404</v>
      </c>
      <c r="D791" s="20" t="s">
        <v>1804</v>
      </c>
      <c r="E791" s="20" t="s">
        <v>1805</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63" t="s">
        <v>1806</v>
      </c>
      <c r="AV791" s="19"/>
      <c r="AW791" s="20" t="s">
        <v>199</v>
      </c>
      <c r="AX791" s="19" t="s">
        <v>1803</v>
      </c>
      <c r="AY791" s="19">
        <v>10003002</v>
      </c>
      <c r="AZ791" s="19">
        <v>21102040</v>
      </c>
      <c r="BA791" s="20" t="s">
        <v>200</v>
      </c>
      <c r="BB791" s="20">
        <v>0</v>
      </c>
      <c r="BC791" s="28">
        <v>0</v>
      </c>
      <c r="BD791" s="28">
        <v>0</v>
      </c>
      <c r="BE791" s="186" t="str">
        <f t="shared" si="73"/>
        <v>吟唱0.5秒,立即对目标范围内的怪物造成400%攻击伤害+2800点固定伤害,并造成2秒眩晕,并使其受到暴击伤害额外提升30%</v>
      </c>
      <c r="BF791" s="186" t="s">
        <v>1809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spans="3:75" ht="19.5" customHeight="1">
      <c r="C792" s="19">
        <v>62022405</v>
      </c>
      <c r="D792" s="20" t="s">
        <v>1804</v>
      </c>
      <c r="E792" s="20" t="s">
        <v>1805</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63" t="s">
        <v>1806</v>
      </c>
      <c r="AV792" s="19"/>
      <c r="AW792" s="20" t="s">
        <v>199</v>
      </c>
      <c r="AX792" s="19" t="s">
        <v>1803</v>
      </c>
      <c r="AY792" s="19">
        <v>10003002</v>
      </c>
      <c r="AZ792" s="19">
        <v>21102040</v>
      </c>
      <c r="BA792" s="20" t="s">
        <v>200</v>
      </c>
      <c r="BB792" s="20">
        <v>0</v>
      </c>
      <c r="BC792" s="28">
        <v>0</v>
      </c>
      <c r="BD792" s="28">
        <v>0</v>
      </c>
      <c r="BE792" s="186" t="str">
        <f t="shared" si="73"/>
        <v>吟唱0.5秒,立即对目标范围内的怪物造成425%攻击伤害+4000点固定伤害,并造成2秒眩晕,并使其受到暴击伤害额外提升30%</v>
      </c>
      <c r="BF792" s="186" t="s">
        <v>1810</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spans="3:75" ht="19.5" customHeight="1">
      <c r="C793" s="19">
        <v>62022406</v>
      </c>
      <c r="D793" s="20" t="s">
        <v>1804</v>
      </c>
      <c r="E793" s="20" t="s">
        <v>1805</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63" t="s">
        <v>1806</v>
      </c>
      <c r="AV793" s="19"/>
      <c r="AW793" s="20" t="s">
        <v>199</v>
      </c>
      <c r="AX793" s="19" t="s">
        <v>1803</v>
      </c>
      <c r="AY793" s="19">
        <v>10003002</v>
      </c>
      <c r="AZ793" s="19">
        <v>21102040</v>
      </c>
      <c r="BA793" s="20" t="s">
        <v>200</v>
      </c>
      <c r="BB793" s="20">
        <v>0</v>
      </c>
      <c r="BC793" s="28">
        <v>0</v>
      </c>
      <c r="BD793" s="28">
        <v>0</v>
      </c>
      <c r="BE793" s="186" t="str">
        <f t="shared" si="73"/>
        <v>吟唱0.5秒,立即对目标范围内的怪物造成450%攻击伤害+5200点固定伤害,并造成2秒眩晕,并使其受到暴击伤害额外提升30%</v>
      </c>
      <c r="BF793" s="186" t="s">
        <v>1811</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620231011</v>
      </c>
      <c r="D794" s="39" t="s">
        <v>1812</v>
      </c>
      <c r="E794" s="39" t="s">
        <v>1813</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1814</v>
      </c>
      <c r="AY794" s="31">
        <v>0</v>
      </c>
      <c r="AZ794" s="31">
        <v>21103010</v>
      </c>
      <c r="BA794" s="39" t="s">
        <v>200</v>
      </c>
      <c r="BB794" s="39" t="s">
        <v>198</v>
      </c>
      <c r="BC794" s="31">
        <v>0</v>
      </c>
      <c r="BD794" s="31">
        <v>0</v>
      </c>
      <c r="BE794" s="185" t="s">
        <v>1815</v>
      </c>
      <c r="BF794" s="185" t="s">
        <v>1816</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620231021</v>
      </c>
      <c r="D795" s="39" t="s">
        <v>1812</v>
      </c>
      <c r="E795" s="39" t="s">
        <v>1813</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1814</v>
      </c>
      <c r="AY795" s="31">
        <v>0</v>
      </c>
      <c r="AZ795" s="31">
        <v>21103010</v>
      </c>
      <c r="BA795" s="39" t="s">
        <v>200</v>
      </c>
      <c r="BB795" s="39" t="s">
        <v>198</v>
      </c>
      <c r="BC795" s="31">
        <v>0</v>
      </c>
      <c r="BD795" s="31">
        <v>0</v>
      </c>
      <c r="BE795" s="185" t="s">
        <v>1815</v>
      </c>
      <c r="BF795" s="185" t="s">
        <v>1816</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620231031</v>
      </c>
      <c r="D796" s="39" t="s">
        <v>1812</v>
      </c>
      <c r="E796" s="39" t="s">
        <v>1813</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1814</v>
      </c>
      <c r="AY796" s="31">
        <v>0</v>
      </c>
      <c r="AZ796" s="31">
        <v>21103010</v>
      </c>
      <c r="BA796" s="39" t="s">
        <v>200</v>
      </c>
      <c r="BB796" s="39" t="s">
        <v>198</v>
      </c>
      <c r="BC796" s="31">
        <v>0</v>
      </c>
      <c r="BD796" s="31">
        <v>0</v>
      </c>
      <c r="BE796" s="185" t="s">
        <v>1817</v>
      </c>
      <c r="BF796" s="185" t="s">
        <v>1818</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31">
        <v>620231041</v>
      </c>
      <c r="D797" s="39" t="s">
        <v>1812</v>
      </c>
      <c r="E797" s="39" t="s">
        <v>1813</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1814</v>
      </c>
      <c r="AY797" s="31">
        <v>0</v>
      </c>
      <c r="AZ797" s="31">
        <v>21103010</v>
      </c>
      <c r="BA797" s="39" t="s">
        <v>200</v>
      </c>
      <c r="BB797" s="39" t="s">
        <v>198</v>
      </c>
      <c r="BC797" s="31">
        <v>0</v>
      </c>
      <c r="BD797" s="31">
        <v>0</v>
      </c>
      <c r="BE797" s="185" t="s">
        <v>1819</v>
      </c>
      <c r="BF797" s="185" t="s">
        <v>1820</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spans="3:75" ht="20.100000000000001" customHeight="1">
      <c r="C798" s="31">
        <v>620231051</v>
      </c>
      <c r="D798" s="39" t="s">
        <v>1812</v>
      </c>
      <c r="E798" s="39" t="s">
        <v>1813</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1814</v>
      </c>
      <c r="AY798" s="31">
        <v>0</v>
      </c>
      <c r="AZ798" s="31">
        <v>21103010</v>
      </c>
      <c r="BA798" s="39" t="s">
        <v>200</v>
      </c>
      <c r="BB798" s="39" t="s">
        <v>198</v>
      </c>
      <c r="BC798" s="31">
        <v>0</v>
      </c>
      <c r="BD798" s="31">
        <v>0</v>
      </c>
      <c r="BE798" s="185" t="s">
        <v>1821</v>
      </c>
      <c r="BF798" s="185" t="s">
        <v>1822</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spans="3:75" ht="20.100000000000001" customHeight="1">
      <c r="C799" s="31">
        <v>620231061</v>
      </c>
      <c r="D799" s="39" t="s">
        <v>1812</v>
      </c>
      <c r="E799" s="39" t="s">
        <v>1813</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1814</v>
      </c>
      <c r="AY799" s="31">
        <v>0</v>
      </c>
      <c r="AZ799" s="31">
        <v>21103010</v>
      </c>
      <c r="BA799" s="39" t="s">
        <v>200</v>
      </c>
      <c r="BB799" s="39" t="s">
        <v>198</v>
      </c>
      <c r="BC799" s="31">
        <v>0</v>
      </c>
      <c r="BD799" s="31">
        <v>0</v>
      </c>
      <c r="BE799" s="185" t="s">
        <v>1823</v>
      </c>
      <c r="BF799" s="185" t="s">
        <v>1824</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spans="3:75" ht="20.100000000000001" customHeight="1">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1825</v>
      </c>
      <c r="BF800" s="89" t="s">
        <v>1826</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3:75" ht="20.100000000000001" customHeight="1">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1825</v>
      </c>
      <c r="BF801" s="89" t="s">
        <v>1826</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3:75" ht="20.100000000000001" customHeight="1">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1827</v>
      </c>
      <c r="BF802" s="89" t="s">
        <v>1828</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3:75" ht="20.100000000000001" customHeight="1">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1829</v>
      </c>
      <c r="BF803" s="89" t="s">
        <v>1830</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spans="3:75" ht="20.100000000000001" customHeight="1">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1831</v>
      </c>
      <c r="BF804" s="89" t="s">
        <v>1832</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spans="3:75" ht="20.100000000000001" customHeight="1">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1833</v>
      </c>
      <c r="BF805" s="89" t="s">
        <v>1834</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spans="3:75" ht="20.100000000000001" customHeight="1">
      <c r="C806" s="19">
        <v>62023201</v>
      </c>
      <c r="D806" s="20" t="s">
        <v>1835</v>
      </c>
      <c r="E806" s="20" t="s">
        <v>1836</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1.1000000000000001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1837</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1838</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3:75" ht="20.100000000000001" customHeight="1">
      <c r="C807" s="19">
        <v>62023202</v>
      </c>
      <c r="D807" s="20" t="s">
        <v>1835</v>
      </c>
      <c r="E807" s="20" t="s">
        <v>1836</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1.1000000000000001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1837</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1838</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3:75" ht="20.100000000000001" customHeight="1">
      <c r="C808" s="19">
        <v>62023203</v>
      </c>
      <c r="D808" s="20" t="s">
        <v>1835</v>
      </c>
      <c r="E808" s="20" t="s">
        <v>1836</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1837</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1839</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3:75" ht="20.100000000000001" customHeight="1">
      <c r="C809" s="19">
        <v>62023204</v>
      </c>
      <c r="D809" s="20" t="s">
        <v>1835</v>
      </c>
      <c r="E809" s="20" t="s">
        <v>1836</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1837</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1840</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3:75" ht="20.100000000000001" customHeight="1">
      <c r="C810" s="19">
        <v>62023205</v>
      </c>
      <c r="D810" s="20" t="s">
        <v>1835</v>
      </c>
      <c r="E810" s="20" t="s">
        <v>1836</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1837</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1841</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3:75" ht="20.100000000000001" customHeight="1">
      <c r="C811" s="19">
        <v>62023206</v>
      </c>
      <c r="D811" s="20" t="s">
        <v>1835</v>
      </c>
      <c r="E811" s="20" t="s">
        <v>1836</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1837</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1842</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3:75" ht="19.5" customHeight="1">
      <c r="C812" s="19">
        <v>62023301</v>
      </c>
      <c r="D812" s="20" t="s">
        <v>1843</v>
      </c>
      <c r="E812" s="20" t="s">
        <v>1844</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1845</v>
      </c>
      <c r="AV812" s="13"/>
      <c r="AW812" s="20" t="s">
        <v>199</v>
      </c>
      <c r="AX812" s="19" t="s">
        <v>1846</v>
      </c>
      <c r="AY812" s="19">
        <v>10003002</v>
      </c>
      <c r="AZ812" s="19">
        <v>21103030</v>
      </c>
      <c r="BA812" s="20" t="s">
        <v>200</v>
      </c>
      <c r="BB812" s="20">
        <v>0</v>
      </c>
      <c r="BC812" s="28">
        <v>0</v>
      </c>
      <c r="BD812" s="28">
        <v>0</v>
      </c>
      <c r="BE812" s="186"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6" t="s">
        <v>1847</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3:75" ht="19.5" customHeight="1">
      <c r="C813" s="19">
        <v>62023302</v>
      </c>
      <c r="D813" s="20" t="s">
        <v>1843</v>
      </c>
      <c r="E813" s="20" t="s">
        <v>1844</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1845</v>
      </c>
      <c r="AV813" s="13"/>
      <c r="AW813" s="20" t="s">
        <v>199</v>
      </c>
      <c r="AX813" s="19" t="s">
        <v>1846</v>
      </c>
      <c r="AY813" s="19">
        <v>10003002</v>
      </c>
      <c r="AZ813" s="19">
        <v>21103030</v>
      </c>
      <c r="BA813" s="20" t="s">
        <v>200</v>
      </c>
      <c r="BB813" s="20">
        <v>0</v>
      </c>
      <c r="BC813" s="28">
        <v>0</v>
      </c>
      <c r="BD813" s="28">
        <v>0</v>
      </c>
      <c r="BE813" s="186"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6" t="s">
        <v>1847</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3:75" ht="19.5" customHeight="1">
      <c r="C814" s="19">
        <v>62023303</v>
      </c>
      <c r="D814" s="20" t="s">
        <v>1843</v>
      </c>
      <c r="E814" s="20" t="s">
        <v>1844</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1845</v>
      </c>
      <c r="AV814" s="13"/>
      <c r="AW814" s="20" t="s">
        <v>199</v>
      </c>
      <c r="AX814" s="19" t="s">
        <v>1846</v>
      </c>
      <c r="AY814" s="19">
        <v>10003002</v>
      </c>
      <c r="AZ814" s="19">
        <v>21103030</v>
      </c>
      <c r="BA814" s="20" t="s">
        <v>200</v>
      </c>
      <c r="BB814" s="20">
        <v>0</v>
      </c>
      <c r="BC814" s="28">
        <v>0</v>
      </c>
      <c r="BD814" s="28">
        <v>0</v>
      </c>
      <c r="BE814" s="186" t="str">
        <f t="shared" si="76"/>
        <v>立即对目标范围内的怪物造成225%攻击伤害+1500点固定伤害,并使目标受到伤害额外增加50%且眩晕2秒,此效果只对怪物有效,持续10秒</v>
      </c>
      <c r="BF814" s="186" t="s">
        <v>1848</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3:75" ht="19.5" customHeight="1">
      <c r="C815" s="19">
        <v>62023304</v>
      </c>
      <c r="D815" s="20" t="s">
        <v>1843</v>
      </c>
      <c r="E815" s="20" t="s">
        <v>1844</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55" t="s">
        <v>1845</v>
      </c>
      <c r="AV815" s="13"/>
      <c r="AW815" s="20" t="s">
        <v>199</v>
      </c>
      <c r="AX815" s="19" t="s">
        <v>1846</v>
      </c>
      <c r="AY815" s="19">
        <v>10003002</v>
      </c>
      <c r="AZ815" s="19">
        <v>21103030</v>
      </c>
      <c r="BA815" s="20" t="s">
        <v>200</v>
      </c>
      <c r="BB815" s="20">
        <v>0</v>
      </c>
      <c r="BC815" s="28">
        <v>0</v>
      </c>
      <c r="BD815" s="28">
        <v>0</v>
      </c>
      <c r="BE815" s="186" t="str">
        <f t="shared" si="76"/>
        <v>立即对目标范围内的怪物造成250%攻击伤害+2250点固定伤害,并使目标受到伤害额外增加50%且眩晕2秒,此效果只对怪物有效,持续10秒</v>
      </c>
      <c r="BF815" s="186" t="s">
        <v>1849</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spans="3:75" ht="19.5" customHeight="1">
      <c r="C816" s="19">
        <v>62023305</v>
      </c>
      <c r="D816" s="20" t="s">
        <v>1843</v>
      </c>
      <c r="E816" s="20" t="s">
        <v>1844</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55" t="s">
        <v>1845</v>
      </c>
      <c r="AV816" s="13"/>
      <c r="AW816" s="20" t="s">
        <v>199</v>
      </c>
      <c r="AX816" s="19" t="s">
        <v>1846</v>
      </c>
      <c r="AY816" s="19">
        <v>10003002</v>
      </c>
      <c r="AZ816" s="19">
        <v>21103030</v>
      </c>
      <c r="BA816" s="20" t="s">
        <v>200</v>
      </c>
      <c r="BB816" s="20">
        <v>0</v>
      </c>
      <c r="BC816" s="28">
        <v>0</v>
      </c>
      <c r="BD816" s="28">
        <v>0</v>
      </c>
      <c r="BE816" s="186" t="str">
        <f t="shared" si="76"/>
        <v>立即对目标范围内的怪物造成275%攻击伤害+3250点固定伤害,并使目标受到伤害额外增加50%且眩晕2秒,此效果只对怪物有效,持续10秒</v>
      </c>
      <c r="BF816" s="186" t="s">
        <v>1850</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spans="2:75" ht="19.5" customHeight="1">
      <c r="C817" s="19">
        <v>62023306</v>
      </c>
      <c r="D817" s="20" t="s">
        <v>1843</v>
      </c>
      <c r="E817" s="20" t="s">
        <v>1844</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55" t="s">
        <v>1845</v>
      </c>
      <c r="AV817" s="13"/>
      <c r="AW817" s="20" t="s">
        <v>199</v>
      </c>
      <c r="AX817" s="19" t="s">
        <v>1846</v>
      </c>
      <c r="AY817" s="19">
        <v>10003002</v>
      </c>
      <c r="AZ817" s="19">
        <v>21103030</v>
      </c>
      <c r="BA817" s="20" t="s">
        <v>200</v>
      </c>
      <c r="BB817" s="20">
        <v>0</v>
      </c>
      <c r="BC817" s="28">
        <v>0</v>
      </c>
      <c r="BD817" s="28">
        <v>0</v>
      </c>
      <c r="BE817" s="186" t="str">
        <f t="shared" si="76"/>
        <v>立即对目标范围内的怪物造成300%攻击伤害+4250点固定伤害,并使目标受到伤害额外增加50%且眩晕2秒,此效果只对怪物有效,持续10秒</v>
      </c>
      <c r="BF817" s="186" t="s">
        <v>1851</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spans="2:75" ht="20.100000000000001" customHeight="1">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1852</v>
      </c>
      <c r="AV818" s="13"/>
      <c r="AW818" s="14" t="s">
        <v>256</v>
      </c>
      <c r="AX818" s="13" t="s">
        <v>1853</v>
      </c>
      <c r="AY818" s="13" t="s">
        <v>198</v>
      </c>
      <c r="AZ818" s="13">
        <v>21103040</v>
      </c>
      <c r="BA818" s="14" t="s">
        <v>200</v>
      </c>
      <c r="BB818" s="13">
        <v>0</v>
      </c>
      <c r="BC818" s="13">
        <v>0</v>
      </c>
      <c r="BD818" s="13">
        <v>0</v>
      </c>
      <c r="BE818" s="44" t="s">
        <v>1854</v>
      </c>
      <c r="BF818" s="44" t="s">
        <v>1855</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1852</v>
      </c>
      <c r="AV819" s="13"/>
      <c r="AW819" s="14" t="s">
        <v>256</v>
      </c>
      <c r="AX819" s="13" t="s">
        <v>1853</v>
      </c>
      <c r="AY819" s="13" t="s">
        <v>198</v>
      </c>
      <c r="AZ819" s="13">
        <v>21103040</v>
      </c>
      <c r="BA819" s="14" t="s">
        <v>200</v>
      </c>
      <c r="BB819" s="13">
        <v>0</v>
      </c>
      <c r="BC819" s="13">
        <v>0</v>
      </c>
      <c r="BD819" s="13">
        <v>0</v>
      </c>
      <c r="BE819" s="44" t="s">
        <v>1854</v>
      </c>
      <c r="BF819" s="44" t="s">
        <v>1855</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1856</v>
      </c>
      <c r="AV820" s="13"/>
      <c r="AW820" s="14" t="s">
        <v>256</v>
      </c>
      <c r="AX820" s="13" t="s">
        <v>1853</v>
      </c>
      <c r="AY820" s="13" t="s">
        <v>198</v>
      </c>
      <c r="AZ820" s="13">
        <v>21103040</v>
      </c>
      <c r="BA820" s="14" t="s">
        <v>200</v>
      </c>
      <c r="BB820" s="13">
        <v>0</v>
      </c>
      <c r="BC820" s="13">
        <v>0</v>
      </c>
      <c r="BD820" s="13">
        <v>0</v>
      </c>
      <c r="BE820" s="44" t="s">
        <v>1857</v>
      </c>
      <c r="BF820" s="44" t="s">
        <v>1858</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20.100000000000001" customHeight="1">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55" t="s">
        <v>1859</v>
      </c>
      <c r="AV821" s="13"/>
      <c r="AW821" s="14" t="s">
        <v>256</v>
      </c>
      <c r="AX821" s="13" t="s">
        <v>1853</v>
      </c>
      <c r="AY821" s="13" t="s">
        <v>198</v>
      </c>
      <c r="AZ821" s="13">
        <v>21103040</v>
      </c>
      <c r="BA821" s="14" t="s">
        <v>200</v>
      </c>
      <c r="BB821" s="13">
        <v>0</v>
      </c>
      <c r="BC821" s="13">
        <v>0</v>
      </c>
      <c r="BD821" s="13">
        <v>0</v>
      </c>
      <c r="BE821" s="44" t="s">
        <v>1860</v>
      </c>
      <c r="BF821" s="44" t="s">
        <v>1861</v>
      </c>
      <c r="BG821" s="13">
        <v>0</v>
      </c>
      <c r="BH821" s="13">
        <v>0</v>
      </c>
      <c r="BI821" s="13">
        <v>0</v>
      </c>
      <c r="BJ821" s="13">
        <v>0</v>
      </c>
      <c r="BK821" s="13">
        <v>0</v>
      </c>
      <c r="BL821" s="13">
        <v>0</v>
      </c>
      <c r="BM821" s="188">
        <v>0</v>
      </c>
      <c r="BN821" s="13">
        <v>0</v>
      </c>
      <c r="BO821" s="13">
        <v>0</v>
      </c>
      <c r="BP821" s="13">
        <v>0</v>
      </c>
      <c r="BQ821" s="13">
        <v>0</v>
      </c>
      <c r="BR821" s="13">
        <v>0</v>
      </c>
      <c r="BS821" s="13">
        <v>0</v>
      </c>
      <c r="BT821" s="13">
        <v>0</v>
      </c>
      <c r="BU821" s="49">
        <v>0</v>
      </c>
      <c r="BV821" s="49"/>
      <c r="BW821" s="49"/>
    </row>
    <row r="822" spans="2:75" ht="20.100000000000001" customHeight="1">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55" t="s">
        <v>1862</v>
      </c>
      <c r="AV822" s="13"/>
      <c r="AW822" s="14" t="s">
        <v>256</v>
      </c>
      <c r="AX822" s="13" t="s">
        <v>1853</v>
      </c>
      <c r="AY822" s="13" t="s">
        <v>198</v>
      </c>
      <c r="AZ822" s="13">
        <v>21103040</v>
      </c>
      <c r="BA822" s="14" t="s">
        <v>200</v>
      </c>
      <c r="BB822" s="13">
        <v>0</v>
      </c>
      <c r="BC822" s="13">
        <v>0</v>
      </c>
      <c r="BD822" s="13">
        <v>0</v>
      </c>
      <c r="BE822" s="44" t="s">
        <v>1863</v>
      </c>
      <c r="BF822" s="44" t="s">
        <v>1864</v>
      </c>
      <c r="BG822" s="13">
        <v>0</v>
      </c>
      <c r="BH822" s="13">
        <v>0</v>
      </c>
      <c r="BI822" s="13">
        <v>0</v>
      </c>
      <c r="BJ822" s="13">
        <v>0</v>
      </c>
      <c r="BK822" s="13">
        <v>0</v>
      </c>
      <c r="BL822" s="13">
        <v>0</v>
      </c>
      <c r="BM822" s="188">
        <v>0</v>
      </c>
      <c r="BN822" s="13">
        <v>0</v>
      </c>
      <c r="BO822" s="13">
        <v>0</v>
      </c>
      <c r="BP822" s="13">
        <v>0</v>
      </c>
      <c r="BQ822" s="13">
        <v>0</v>
      </c>
      <c r="BR822" s="13">
        <v>0</v>
      </c>
      <c r="BS822" s="13">
        <v>0</v>
      </c>
      <c r="BT822" s="13">
        <v>0</v>
      </c>
      <c r="BU822" s="49">
        <v>0</v>
      </c>
      <c r="BV822" s="49"/>
      <c r="BW822" s="49"/>
    </row>
    <row r="823" spans="2:75" ht="20.100000000000001" customHeight="1">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55" t="s">
        <v>1865</v>
      </c>
      <c r="AV823" s="13"/>
      <c r="AW823" s="14" t="s">
        <v>256</v>
      </c>
      <c r="AX823" s="13" t="s">
        <v>1853</v>
      </c>
      <c r="AY823" s="13" t="s">
        <v>198</v>
      </c>
      <c r="AZ823" s="13">
        <v>21103040</v>
      </c>
      <c r="BA823" s="14" t="s">
        <v>200</v>
      </c>
      <c r="BB823" s="13">
        <v>0</v>
      </c>
      <c r="BC823" s="13">
        <v>0</v>
      </c>
      <c r="BD823" s="13">
        <v>0</v>
      </c>
      <c r="BE823" s="44" t="s">
        <v>1866</v>
      </c>
      <c r="BF823" s="44" t="s">
        <v>1867</v>
      </c>
      <c r="BG823" s="13">
        <v>0</v>
      </c>
      <c r="BH823" s="13">
        <v>0</v>
      </c>
      <c r="BI823" s="13">
        <v>0</v>
      </c>
      <c r="BJ823" s="13">
        <v>0</v>
      </c>
      <c r="BK823" s="13">
        <v>0</v>
      </c>
      <c r="BL823" s="13">
        <v>0</v>
      </c>
      <c r="BM823" s="188">
        <v>0</v>
      </c>
      <c r="BN823" s="13">
        <v>0</v>
      </c>
      <c r="BO823" s="13">
        <v>0</v>
      </c>
      <c r="BP823" s="13">
        <v>0</v>
      </c>
      <c r="BQ823" s="13">
        <v>0</v>
      </c>
      <c r="BR823" s="13">
        <v>0</v>
      </c>
      <c r="BS823" s="13">
        <v>0</v>
      </c>
      <c r="BT823" s="13">
        <v>0</v>
      </c>
      <c r="BU823" s="49">
        <v>0</v>
      </c>
      <c r="BV823" s="49"/>
      <c r="BW823" s="49"/>
    </row>
    <row r="824" spans="2:75" ht="19.5" customHeight="1">
      <c r="C824" s="177">
        <v>63011101</v>
      </c>
      <c r="D824" s="202" t="s">
        <v>1396</v>
      </c>
      <c r="E824" s="202" t="s">
        <v>1868</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1398</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1869</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63011102</v>
      </c>
      <c r="D825" s="202" t="s">
        <v>1396</v>
      </c>
      <c r="E825" s="202" t="s">
        <v>1868</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1398</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1869</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63011103</v>
      </c>
      <c r="D826" s="202" t="s">
        <v>1396</v>
      </c>
      <c r="E826" s="202" t="s">
        <v>1868</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1398</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1870</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7">
        <v>63011104</v>
      </c>
      <c r="D827" s="202" t="s">
        <v>1396</v>
      </c>
      <c r="E827" s="202" t="s">
        <v>1868</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1398</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1871</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spans="2:75" ht="19.5" customHeight="1">
      <c r="C828" s="177">
        <v>63011105</v>
      </c>
      <c r="D828" s="202" t="s">
        <v>1396</v>
      </c>
      <c r="E828" s="202" t="s">
        <v>1868</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1398</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1872</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spans="2:75" ht="19.5" customHeight="1">
      <c r="C829" s="177">
        <v>63011106</v>
      </c>
      <c r="D829" s="202" t="s">
        <v>1396</v>
      </c>
      <c r="E829" s="202" t="s">
        <v>1868</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1398</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1873</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spans="2:75" ht="19.5" customHeight="1">
      <c r="C830" s="174">
        <v>63011201</v>
      </c>
      <c r="D830" s="203" t="s">
        <v>1874</v>
      </c>
      <c r="E830" s="203" t="s">
        <v>1875</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1524</v>
      </c>
      <c r="AX830" s="178" t="s">
        <v>1680</v>
      </c>
      <c r="AY830" s="178">
        <v>10003002</v>
      </c>
      <c r="AZ830" s="178">
        <v>21200110</v>
      </c>
      <c r="BA830" s="203" t="s">
        <v>1876</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1877</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63011202</v>
      </c>
      <c r="D831" s="203" t="s">
        <v>1874</v>
      </c>
      <c r="E831" s="203" t="s">
        <v>1875</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1524</v>
      </c>
      <c r="AX831" s="178" t="s">
        <v>1680</v>
      </c>
      <c r="AY831" s="178">
        <v>10003002</v>
      </c>
      <c r="AZ831" s="178">
        <v>21200110</v>
      </c>
      <c r="BA831" s="203" t="s">
        <v>1876</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1877</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63011203</v>
      </c>
      <c r="D832" s="203" t="s">
        <v>1874</v>
      </c>
      <c r="E832" s="203" t="s">
        <v>1875</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1524</v>
      </c>
      <c r="AX832" s="178" t="s">
        <v>1680</v>
      </c>
      <c r="AY832" s="178">
        <v>10003002</v>
      </c>
      <c r="AZ832" s="178">
        <v>21200110</v>
      </c>
      <c r="BA832" s="203" t="s">
        <v>1876</v>
      </c>
      <c r="BB832" s="203">
        <v>0</v>
      </c>
      <c r="BC832" s="177">
        <v>0</v>
      </c>
      <c r="BD832" s="177">
        <v>0</v>
      </c>
      <c r="BE832" s="205" t="str">
        <f t="shared" si="81"/>
        <v>对目标方向投掷2个光球,对触碰的单位造成造成135%攻击伤害+950点固定伤害,此光球再移动到一定位置后会再原始路径返回</v>
      </c>
      <c r="BF832" s="205" t="s">
        <v>1878</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19.5" customHeight="1">
      <c r="C833" s="174">
        <v>63011204</v>
      </c>
      <c r="D833" s="203" t="s">
        <v>1874</v>
      </c>
      <c r="E833" s="203" t="s">
        <v>1875</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1524</v>
      </c>
      <c r="AX833" s="178" t="s">
        <v>1680</v>
      </c>
      <c r="AY833" s="178">
        <v>10003002</v>
      </c>
      <c r="AZ833" s="178">
        <v>21200110</v>
      </c>
      <c r="BA833" s="203" t="s">
        <v>1876</v>
      </c>
      <c r="BB833" s="203">
        <v>0</v>
      </c>
      <c r="BC833" s="177">
        <v>0</v>
      </c>
      <c r="BD833" s="177">
        <v>0</v>
      </c>
      <c r="BE833" s="205" t="str">
        <f t="shared" si="81"/>
        <v>对目标方向投掷2个光球,对触碰的单位造成造成150%攻击伤害+1500点固定伤害,此光球再移动到一定位置后会再原始路径返回</v>
      </c>
      <c r="BF833" s="205" t="s">
        <v>1879</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spans="3:75" ht="19.5" customHeight="1">
      <c r="C834" s="174">
        <v>63011205</v>
      </c>
      <c r="D834" s="203" t="s">
        <v>1874</v>
      </c>
      <c r="E834" s="203" t="s">
        <v>1875</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1524</v>
      </c>
      <c r="AX834" s="178" t="s">
        <v>1680</v>
      </c>
      <c r="AY834" s="178">
        <v>10003002</v>
      </c>
      <c r="AZ834" s="178">
        <v>21200110</v>
      </c>
      <c r="BA834" s="203" t="s">
        <v>1876</v>
      </c>
      <c r="BB834" s="203">
        <v>0</v>
      </c>
      <c r="BC834" s="177">
        <v>0</v>
      </c>
      <c r="BD834" s="177">
        <v>0</v>
      </c>
      <c r="BE834" s="205" t="str">
        <f t="shared" si="81"/>
        <v>对目标方向投掷2个光球,对触碰的单位造成造成165%攻击伤害+2250点固定伤害,此光球再移动到一定位置后会再原始路径返回</v>
      </c>
      <c r="BF834" s="205" t="s">
        <v>1880</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spans="3:75" ht="19.5" customHeight="1">
      <c r="C835" s="174">
        <v>63011206</v>
      </c>
      <c r="D835" s="203" t="s">
        <v>1874</v>
      </c>
      <c r="E835" s="203" t="s">
        <v>1875</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1524</v>
      </c>
      <c r="AX835" s="178" t="s">
        <v>1680</v>
      </c>
      <c r="AY835" s="178">
        <v>10003002</v>
      </c>
      <c r="AZ835" s="178">
        <v>21200110</v>
      </c>
      <c r="BA835" s="203" t="s">
        <v>1876</v>
      </c>
      <c r="BB835" s="203">
        <v>0</v>
      </c>
      <c r="BC835" s="177">
        <v>0</v>
      </c>
      <c r="BD835" s="177">
        <v>0</v>
      </c>
      <c r="BE835" s="205" t="str">
        <f t="shared" si="81"/>
        <v>对目标方向投掷2个光球,对触碰的单位造成造成180%攻击伤害+3000点固定伤害,此光球再移动到一定位置后会再原始路径返回</v>
      </c>
      <c r="BF835" s="205" t="s">
        <v>1881</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spans="3:75" ht="20.100000000000001" customHeight="1">
      <c r="C836" s="174">
        <v>63011301</v>
      </c>
      <c r="D836" s="175" t="s">
        <v>1404</v>
      </c>
      <c r="E836" s="175" t="s">
        <v>1882</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1625</v>
      </c>
      <c r="AX836" s="174" t="s">
        <v>1883</v>
      </c>
      <c r="AY836" s="178">
        <v>0</v>
      </c>
      <c r="AZ836" s="178">
        <v>21101051</v>
      </c>
      <c r="BA836" s="175" t="s">
        <v>1174</v>
      </c>
      <c r="BB836" s="367" t="s">
        <v>1884</v>
      </c>
      <c r="BC836" s="177">
        <v>0</v>
      </c>
      <c r="BD836" s="177">
        <v>0</v>
      </c>
      <c r="BE836" s="208" t="s">
        <v>1885</v>
      </c>
      <c r="BF836" s="208" t="s">
        <v>1886</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20.100000000000001" customHeight="1">
      <c r="C837" s="174">
        <v>63011302</v>
      </c>
      <c r="D837" s="175" t="s">
        <v>1404</v>
      </c>
      <c r="E837" s="175" t="s">
        <v>1882</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1625</v>
      </c>
      <c r="AX837" s="174" t="s">
        <v>1883</v>
      </c>
      <c r="AY837" s="178">
        <v>0</v>
      </c>
      <c r="AZ837" s="178">
        <v>21101051</v>
      </c>
      <c r="BA837" s="175" t="s">
        <v>1174</v>
      </c>
      <c r="BB837" s="367" t="s">
        <v>1884</v>
      </c>
      <c r="BC837" s="177">
        <v>0</v>
      </c>
      <c r="BD837" s="177">
        <v>0</v>
      </c>
      <c r="BE837" s="208" t="s">
        <v>1885</v>
      </c>
      <c r="BF837" s="208" t="s">
        <v>1886</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20.100000000000001" customHeight="1">
      <c r="C838" s="174">
        <v>63011303</v>
      </c>
      <c r="D838" s="175" t="s">
        <v>1404</v>
      </c>
      <c r="E838" s="175" t="s">
        <v>1882</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1625</v>
      </c>
      <c r="AX838" s="174" t="s">
        <v>1883</v>
      </c>
      <c r="AY838" s="178">
        <v>0</v>
      </c>
      <c r="AZ838" s="178">
        <v>21101051</v>
      </c>
      <c r="BA838" s="175" t="s">
        <v>1174</v>
      </c>
      <c r="BB838" s="367" t="s">
        <v>1887</v>
      </c>
      <c r="BC838" s="177">
        <v>0</v>
      </c>
      <c r="BD838" s="177">
        <v>0</v>
      </c>
      <c r="BE838" s="208" t="s">
        <v>1888</v>
      </c>
      <c r="BF838" s="208" t="s">
        <v>1889</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19.5" customHeight="1">
      <c r="C839" s="174">
        <v>63011304</v>
      </c>
      <c r="D839" s="175" t="s">
        <v>1404</v>
      </c>
      <c r="E839" s="175" t="s">
        <v>1882</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1625</v>
      </c>
      <c r="AX839" s="174" t="s">
        <v>1883</v>
      </c>
      <c r="AY839" s="178">
        <v>0</v>
      </c>
      <c r="AZ839" s="178">
        <v>21101051</v>
      </c>
      <c r="BA839" s="175" t="s">
        <v>1174</v>
      </c>
      <c r="BB839" s="367" t="s">
        <v>1890</v>
      </c>
      <c r="BC839" s="177">
        <v>0</v>
      </c>
      <c r="BD839" s="177">
        <v>0</v>
      </c>
      <c r="BE839" s="208" t="s">
        <v>1891</v>
      </c>
      <c r="BF839" s="208" t="s">
        <v>1892</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spans="3:75" ht="19.5" customHeight="1">
      <c r="C840" s="174">
        <v>63011305</v>
      </c>
      <c r="D840" s="175" t="s">
        <v>1404</v>
      </c>
      <c r="E840" s="175" t="s">
        <v>1882</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1625</v>
      </c>
      <c r="AX840" s="174" t="s">
        <v>1883</v>
      </c>
      <c r="AY840" s="178">
        <v>0</v>
      </c>
      <c r="AZ840" s="178">
        <v>21101051</v>
      </c>
      <c r="BA840" s="175" t="s">
        <v>1174</v>
      </c>
      <c r="BB840" s="367" t="s">
        <v>1893</v>
      </c>
      <c r="BC840" s="177">
        <v>0</v>
      </c>
      <c r="BD840" s="177">
        <v>0</v>
      </c>
      <c r="BE840" s="208" t="s">
        <v>1894</v>
      </c>
      <c r="BF840" s="208" t="s">
        <v>1895</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spans="3:75" ht="19.5" customHeight="1">
      <c r="C841" s="174">
        <v>63011306</v>
      </c>
      <c r="D841" s="175" t="s">
        <v>1404</v>
      </c>
      <c r="E841" s="175" t="s">
        <v>1882</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1625</v>
      </c>
      <c r="AX841" s="174" t="s">
        <v>1883</v>
      </c>
      <c r="AY841" s="178">
        <v>0</v>
      </c>
      <c r="AZ841" s="178">
        <v>21101051</v>
      </c>
      <c r="BA841" s="175" t="s">
        <v>1174</v>
      </c>
      <c r="BB841" s="367" t="s">
        <v>1896</v>
      </c>
      <c r="BC841" s="177">
        <v>0</v>
      </c>
      <c r="BD841" s="177">
        <v>0</v>
      </c>
      <c r="BE841" s="208" t="s">
        <v>1897</v>
      </c>
      <c r="BF841" s="208" t="s">
        <v>1898</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spans="3:75" ht="20.100000000000001" customHeight="1">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1899</v>
      </c>
      <c r="BF842" s="46" t="s">
        <v>1900</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63011312</v>
      </c>
      <c r="D843" s="18" t="s">
        <v>1901</v>
      </c>
      <c r="E843" s="18" t="s">
        <v>1902</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1903</v>
      </c>
      <c r="BF843" s="46" t="s">
        <v>1904</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spans="3:75" ht="20.100000000000001" customHeight="1">
      <c r="C844" s="174">
        <v>63011313</v>
      </c>
      <c r="D844" s="18" t="s">
        <v>1905</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1672</v>
      </c>
      <c r="AY844" s="13" t="s">
        <v>198</v>
      </c>
      <c r="AZ844" s="13" t="s">
        <v>1906</v>
      </c>
      <c r="BA844" s="14" t="s">
        <v>200</v>
      </c>
      <c r="BB844" s="13">
        <v>0</v>
      </c>
      <c r="BC844" s="28">
        <v>0</v>
      </c>
      <c r="BD844" s="28">
        <v>0</v>
      </c>
      <c r="BE844" s="44" t="s">
        <v>1907</v>
      </c>
      <c r="BF844" s="44" t="s">
        <v>1908</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spans="3:75" ht="20.100000000000001" customHeight="1">
      <c r="C845" s="174">
        <v>63011314</v>
      </c>
      <c r="D845" s="18" t="s">
        <v>1909</v>
      </c>
      <c r="E845" s="18" t="s">
        <v>1910</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1911</v>
      </c>
      <c r="BC845" s="28">
        <v>0</v>
      </c>
      <c r="BD845" s="28">
        <v>0</v>
      </c>
      <c r="BE845" s="46" t="s">
        <v>1912</v>
      </c>
      <c r="BF845" s="46" t="s">
        <v>1913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1406</v>
      </c>
      <c r="AY846" s="66">
        <v>10000009</v>
      </c>
      <c r="AZ846" s="66">
        <v>70405005</v>
      </c>
      <c r="BA846" s="65" t="s">
        <v>315</v>
      </c>
      <c r="BB846" s="65" t="s">
        <v>371</v>
      </c>
      <c r="BC846" s="68">
        <v>0</v>
      </c>
      <c r="BD846" s="68">
        <v>0</v>
      </c>
      <c r="BE846" s="209" t="s">
        <v>1914</v>
      </c>
      <c r="BF846" s="209" t="s">
        <v>1915</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spans="3:75" ht="20.100000000000001" customHeight="1">
      <c r="C847" s="174">
        <v>63011316</v>
      </c>
      <c r="D847" s="18" t="s">
        <v>1764</v>
      </c>
      <c r="E847" s="18" t="s">
        <v>1765</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1916</v>
      </c>
      <c r="BC847" s="28">
        <v>0</v>
      </c>
      <c r="BD847" s="28">
        <v>0</v>
      </c>
      <c r="BE847" s="46" t="s">
        <v>1917</v>
      </c>
      <c r="BF847" s="46" t="s">
        <v>1918</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spans="3:75" ht="20.100000000000001" customHeight="1">
      <c r="C848" s="174">
        <v>63011317</v>
      </c>
      <c r="D848" s="18" t="s">
        <v>1764</v>
      </c>
      <c r="E848" s="18" t="s">
        <v>1765</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1919</v>
      </c>
      <c r="BC848" s="28">
        <v>0</v>
      </c>
      <c r="BD848" s="28">
        <v>0</v>
      </c>
      <c r="BE848" s="46" t="s">
        <v>1920</v>
      </c>
      <c r="BF848" s="46" t="s">
        <v>1921</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spans="3:75" ht="20.100000000000001" customHeight="1">
      <c r="C849" s="174">
        <v>63011321</v>
      </c>
      <c r="D849" s="175" t="s">
        <v>1404</v>
      </c>
      <c r="E849" s="175" t="s">
        <v>1882</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1883</v>
      </c>
      <c r="AY849" s="178">
        <v>0</v>
      </c>
      <c r="AZ849" s="178">
        <v>21101051</v>
      </c>
      <c r="BA849" s="175" t="s">
        <v>1174</v>
      </c>
      <c r="BB849" s="367" t="s">
        <v>1922</v>
      </c>
      <c r="BC849" s="177">
        <v>0</v>
      </c>
      <c r="BD849" s="177">
        <v>0</v>
      </c>
      <c r="BE849" s="208" t="s">
        <v>1923</v>
      </c>
      <c r="BF849" s="208" t="s">
        <v>1924</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20.100000000000001" customHeight="1">
      <c r="C850" s="174">
        <v>63011322</v>
      </c>
      <c r="D850" s="175" t="s">
        <v>1404</v>
      </c>
      <c r="E850" s="175" t="s">
        <v>1882</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1883</v>
      </c>
      <c r="AY850" s="178">
        <v>0</v>
      </c>
      <c r="AZ850" s="178">
        <v>21101051</v>
      </c>
      <c r="BA850" s="175" t="s">
        <v>1174</v>
      </c>
      <c r="BB850" s="367" t="s">
        <v>1922</v>
      </c>
      <c r="BC850" s="177">
        <v>0</v>
      </c>
      <c r="BD850" s="177">
        <v>0</v>
      </c>
      <c r="BE850" s="208" t="s">
        <v>1923</v>
      </c>
      <c r="BF850" s="208" t="s">
        <v>1924</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20.100000000000001" customHeight="1">
      <c r="C851" s="174">
        <v>63011323</v>
      </c>
      <c r="D851" s="175" t="s">
        <v>1404</v>
      </c>
      <c r="E851" s="175" t="s">
        <v>1882</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1883</v>
      </c>
      <c r="AY851" s="178">
        <v>0</v>
      </c>
      <c r="AZ851" s="178">
        <v>21101051</v>
      </c>
      <c r="BA851" s="175" t="s">
        <v>1174</v>
      </c>
      <c r="BB851" s="367" t="s">
        <v>1925</v>
      </c>
      <c r="BC851" s="177">
        <v>0</v>
      </c>
      <c r="BD851" s="177">
        <v>0</v>
      </c>
      <c r="BE851" s="208" t="s">
        <v>1926</v>
      </c>
      <c r="BF851" s="208" t="s">
        <v>1927</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19.5" customHeight="1">
      <c r="C852" s="174">
        <v>63011324</v>
      </c>
      <c r="D852" s="175" t="s">
        <v>1404</v>
      </c>
      <c r="E852" s="175" t="s">
        <v>1882</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1883</v>
      </c>
      <c r="AY852" s="178">
        <v>0</v>
      </c>
      <c r="AZ852" s="178">
        <v>21101051</v>
      </c>
      <c r="BA852" s="175" t="s">
        <v>1174</v>
      </c>
      <c r="BB852" s="367" t="s">
        <v>1928</v>
      </c>
      <c r="BC852" s="177">
        <v>0</v>
      </c>
      <c r="BD852" s="177">
        <v>0</v>
      </c>
      <c r="BE852" s="208" t="s">
        <v>1929</v>
      </c>
      <c r="BF852" s="208" t="s">
        <v>1930</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spans="3:75" ht="19.5" customHeight="1">
      <c r="C853" s="174">
        <v>63011325</v>
      </c>
      <c r="D853" s="175" t="s">
        <v>1404</v>
      </c>
      <c r="E853" s="175" t="s">
        <v>1882</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1883</v>
      </c>
      <c r="AY853" s="178">
        <v>0</v>
      </c>
      <c r="AZ853" s="178">
        <v>21101051</v>
      </c>
      <c r="BA853" s="175" t="s">
        <v>1174</v>
      </c>
      <c r="BB853" s="367" t="s">
        <v>1931</v>
      </c>
      <c r="BC853" s="177">
        <v>0</v>
      </c>
      <c r="BD853" s="177">
        <v>0</v>
      </c>
      <c r="BE853" s="208" t="s">
        <v>1932</v>
      </c>
      <c r="BF853" s="208" t="s">
        <v>1933</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spans="3:75" ht="19.5" customHeight="1">
      <c r="C854" s="174">
        <v>63011326</v>
      </c>
      <c r="D854" s="175" t="s">
        <v>1404</v>
      </c>
      <c r="E854" s="175" t="s">
        <v>1882</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1883</v>
      </c>
      <c r="AY854" s="178">
        <v>0</v>
      </c>
      <c r="AZ854" s="178">
        <v>21101051</v>
      </c>
      <c r="BA854" s="175" t="s">
        <v>1174</v>
      </c>
      <c r="BB854" s="367" t="s">
        <v>1934</v>
      </c>
      <c r="BC854" s="177">
        <v>0</v>
      </c>
      <c r="BD854" s="177">
        <v>0</v>
      </c>
      <c r="BE854" s="208" t="s">
        <v>1935</v>
      </c>
      <c r="BF854" s="208" t="s">
        <v>1936</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spans="3:75" ht="20.100000000000001" customHeight="1">
      <c r="C855" s="174">
        <v>63012101</v>
      </c>
      <c r="D855" s="203" t="s">
        <v>1937</v>
      </c>
      <c r="E855" s="203" t="s">
        <v>1938</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1939</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63012102</v>
      </c>
      <c r="D856" s="203" t="s">
        <v>1937</v>
      </c>
      <c r="E856" s="203" t="s">
        <v>1938</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1939</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63012103</v>
      </c>
      <c r="D857" s="203" t="s">
        <v>1937</v>
      </c>
      <c r="E857" s="203" t="s">
        <v>1938</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1940</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63012104</v>
      </c>
      <c r="D858" s="203" t="s">
        <v>1937</v>
      </c>
      <c r="E858" s="203" t="s">
        <v>1938</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1941</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spans="3:75" ht="20.100000000000001" customHeight="1">
      <c r="C859" s="174">
        <v>63012105</v>
      </c>
      <c r="D859" s="203" t="s">
        <v>1937</v>
      </c>
      <c r="E859" s="203" t="s">
        <v>1938</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1942</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spans="3:75" ht="20.100000000000001" customHeight="1">
      <c r="C860" s="174">
        <v>63012106</v>
      </c>
      <c r="D860" s="203" t="s">
        <v>1937</v>
      </c>
      <c r="E860" s="203" t="s">
        <v>1938</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1943</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spans="3:75" ht="20.100000000000001" customHeight="1">
      <c r="C861" s="174">
        <v>63012201</v>
      </c>
      <c r="D861" s="202" t="s">
        <v>1412</v>
      </c>
      <c r="E861" s="202" t="s">
        <v>1944</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1945</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1398</v>
      </c>
      <c r="AY861" s="178">
        <v>21200031</v>
      </c>
      <c r="AZ861" s="178">
        <v>21200030</v>
      </c>
      <c r="BA861" s="203" t="s">
        <v>586</v>
      </c>
      <c r="BB861" s="177" t="s">
        <v>1946</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1947</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63012202</v>
      </c>
      <c r="D862" s="202" t="s">
        <v>1412</v>
      </c>
      <c r="E862" s="202" t="s">
        <v>1944</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1945</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1398</v>
      </c>
      <c r="AY862" s="178">
        <v>21200031</v>
      </c>
      <c r="AZ862" s="178">
        <v>21200030</v>
      </c>
      <c r="BA862" s="203" t="s">
        <v>586</v>
      </c>
      <c r="BB862" s="177" t="s">
        <v>1946</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1947</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63012203</v>
      </c>
      <c r="D863" s="202" t="s">
        <v>1412</v>
      </c>
      <c r="E863" s="202" t="s">
        <v>1944</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1945</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1398</v>
      </c>
      <c r="AY863" s="178">
        <v>21200031</v>
      </c>
      <c r="AZ863" s="178">
        <v>21200030</v>
      </c>
      <c r="BA863" s="203" t="s">
        <v>586</v>
      </c>
      <c r="BB863" s="177" t="s">
        <v>1946</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1948</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20.100000000000001" customHeight="1">
      <c r="C864" s="174">
        <v>63012204</v>
      </c>
      <c r="D864" s="202" t="s">
        <v>1412</v>
      </c>
      <c r="E864" s="202" t="s">
        <v>1944</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1945</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1398</v>
      </c>
      <c r="AY864" s="178">
        <v>21200031</v>
      </c>
      <c r="AZ864" s="178">
        <v>21200030</v>
      </c>
      <c r="BA864" s="203" t="s">
        <v>586</v>
      </c>
      <c r="BB864" s="177" t="s">
        <v>1946</v>
      </c>
      <c r="BC864" s="177">
        <v>0</v>
      </c>
      <c r="BD864" s="177">
        <v>0</v>
      </c>
      <c r="BE864" s="205" t="str">
        <f t="shared" si="87"/>
        <v>对前方扇形范围进行散射,造成225%攻击伤害+2250点固定伤害,并对目标触发1秒眩晕</v>
      </c>
      <c r="BF864" s="205" t="s">
        <v>1949</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spans="3:75" ht="20.100000000000001" customHeight="1">
      <c r="C865" s="174">
        <v>63012205</v>
      </c>
      <c r="D865" s="202" t="s">
        <v>1412</v>
      </c>
      <c r="E865" s="202" t="s">
        <v>1944</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1945</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1398</v>
      </c>
      <c r="AY865" s="178">
        <v>21200031</v>
      </c>
      <c r="AZ865" s="178">
        <v>21200030</v>
      </c>
      <c r="BA865" s="203" t="s">
        <v>586</v>
      </c>
      <c r="BB865" s="177" t="s">
        <v>1946</v>
      </c>
      <c r="BC865" s="177">
        <v>0</v>
      </c>
      <c r="BD865" s="177">
        <v>0</v>
      </c>
      <c r="BE865" s="205" t="str">
        <f t="shared" si="87"/>
        <v>对前方扇形范围进行散射,造成250%攻击伤害+3250点固定伤害,并对目标触发1秒眩晕</v>
      </c>
      <c r="BF865" s="205" t="s">
        <v>1950</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spans="3:75" ht="20.100000000000001" customHeight="1">
      <c r="C866" s="174">
        <v>63012206</v>
      </c>
      <c r="D866" s="202" t="s">
        <v>1412</v>
      </c>
      <c r="E866" s="202" t="s">
        <v>1944</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1945</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1398</v>
      </c>
      <c r="AY866" s="178">
        <v>21200031</v>
      </c>
      <c r="AZ866" s="178">
        <v>21200030</v>
      </c>
      <c r="BA866" s="203" t="s">
        <v>586</v>
      </c>
      <c r="BB866" s="177" t="s">
        <v>1946</v>
      </c>
      <c r="BC866" s="177">
        <v>0</v>
      </c>
      <c r="BD866" s="177">
        <v>0</v>
      </c>
      <c r="BE866" s="205" t="str">
        <f t="shared" si="87"/>
        <v>对前方扇形范围进行散射,造成275%攻击伤害+4250点固定伤害,并对目标触发1秒眩晕</v>
      </c>
      <c r="BF866" s="205" t="s">
        <v>1951</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spans="3:75" ht="19.5" customHeight="1">
      <c r="C867" s="174">
        <v>63012301</v>
      </c>
      <c r="D867" s="203" t="s">
        <v>1952</v>
      </c>
      <c r="E867" s="203" t="s">
        <v>1953</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1414</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1954</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63012302</v>
      </c>
      <c r="D868" s="203" t="s">
        <v>1952</v>
      </c>
      <c r="E868" s="203" t="s">
        <v>1953</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1414</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1954</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63012303</v>
      </c>
      <c r="D869" s="203" t="s">
        <v>1952</v>
      </c>
      <c r="E869" s="203" t="s">
        <v>1953</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1414</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1955</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19.5" customHeight="1">
      <c r="C870" s="174">
        <v>63012304</v>
      </c>
      <c r="D870" s="203" t="s">
        <v>1952</v>
      </c>
      <c r="E870" s="203" t="s">
        <v>1953</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1414</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1956</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19.5" customHeight="1">
      <c r="C871" s="174">
        <v>63012305</v>
      </c>
      <c r="D871" s="203" t="s">
        <v>1952</v>
      </c>
      <c r="E871" s="203" t="s">
        <v>1953</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1414</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1957</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19.5" customHeight="1">
      <c r="C872" s="174">
        <v>63012306</v>
      </c>
      <c r="D872" s="203" t="s">
        <v>1952</v>
      </c>
      <c r="E872" s="203" t="s">
        <v>1953</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1414</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1958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63021101</v>
      </c>
      <c r="D873" s="203" t="s">
        <v>1959</v>
      </c>
      <c r="E873" s="203" t="s">
        <v>1960</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1524</v>
      </c>
      <c r="AX873" s="178" t="s">
        <v>1846</v>
      </c>
      <c r="AY873" s="178">
        <v>10002001</v>
      </c>
      <c r="AZ873" s="178">
        <v>21201010</v>
      </c>
      <c r="BA873" s="203" t="s">
        <v>1174</v>
      </c>
      <c r="BB873" s="203" t="s">
        <v>1961</v>
      </c>
      <c r="BC873" s="176">
        <v>0</v>
      </c>
      <c r="BD873" s="176">
        <v>0</v>
      </c>
      <c r="BE873" s="211" t="s">
        <v>1962</v>
      </c>
      <c r="BF873" s="211" t="s">
        <v>1963</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63021102</v>
      </c>
      <c r="D874" s="203" t="s">
        <v>1959</v>
      </c>
      <c r="E874" s="203" t="s">
        <v>1960</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1524</v>
      </c>
      <c r="AX874" s="178" t="s">
        <v>1846</v>
      </c>
      <c r="AY874" s="178">
        <v>10002001</v>
      </c>
      <c r="AZ874" s="178">
        <v>21201010</v>
      </c>
      <c r="BA874" s="203" t="s">
        <v>1174</v>
      </c>
      <c r="BB874" s="203" t="s">
        <v>1961</v>
      </c>
      <c r="BC874" s="176">
        <v>0</v>
      </c>
      <c r="BD874" s="176">
        <v>0</v>
      </c>
      <c r="BE874" s="211" t="s">
        <v>1962</v>
      </c>
      <c r="BF874" s="211" t="s">
        <v>1963</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63021103</v>
      </c>
      <c r="D875" s="203" t="s">
        <v>1959</v>
      </c>
      <c r="E875" s="203" t="s">
        <v>1960</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1524</v>
      </c>
      <c r="AX875" s="178" t="s">
        <v>1846</v>
      </c>
      <c r="AY875" s="178">
        <v>10002001</v>
      </c>
      <c r="AZ875" s="178">
        <v>21201010</v>
      </c>
      <c r="BA875" s="203" t="s">
        <v>1174</v>
      </c>
      <c r="BB875" s="203" t="s">
        <v>1964</v>
      </c>
      <c r="BC875" s="176">
        <v>0</v>
      </c>
      <c r="BD875" s="176">
        <v>0</v>
      </c>
      <c r="BE875" s="211" t="s">
        <v>1965</v>
      </c>
      <c r="BF875" s="211" t="s">
        <v>1966</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20.100000000000001" customHeight="1">
      <c r="C876" s="174">
        <v>63021104</v>
      </c>
      <c r="D876" s="203" t="s">
        <v>1959</v>
      </c>
      <c r="E876" s="203" t="s">
        <v>1960</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1524</v>
      </c>
      <c r="AX876" s="178" t="s">
        <v>1846</v>
      </c>
      <c r="AY876" s="178">
        <v>10002001</v>
      </c>
      <c r="AZ876" s="178">
        <v>21201010</v>
      </c>
      <c r="BA876" s="203" t="s">
        <v>1174</v>
      </c>
      <c r="BB876" s="203" t="s">
        <v>1967</v>
      </c>
      <c r="BC876" s="176">
        <v>0</v>
      </c>
      <c r="BD876" s="176">
        <v>0</v>
      </c>
      <c r="BE876" s="211" t="s">
        <v>1968</v>
      </c>
      <c r="BF876" s="211" t="s">
        <v>1969</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spans="3:75" ht="20.100000000000001" customHeight="1">
      <c r="C877" s="174">
        <v>63021105</v>
      </c>
      <c r="D877" s="203" t="s">
        <v>1959</v>
      </c>
      <c r="E877" s="203" t="s">
        <v>1960</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1524</v>
      </c>
      <c r="AX877" s="178" t="s">
        <v>1846</v>
      </c>
      <c r="AY877" s="178">
        <v>10002001</v>
      </c>
      <c r="AZ877" s="178">
        <v>21201010</v>
      </c>
      <c r="BA877" s="203" t="s">
        <v>1174</v>
      </c>
      <c r="BB877" s="203" t="s">
        <v>1970</v>
      </c>
      <c r="BC877" s="176">
        <v>0</v>
      </c>
      <c r="BD877" s="176">
        <v>0</v>
      </c>
      <c r="BE877" s="211" t="s">
        <v>1971</v>
      </c>
      <c r="BF877" s="211" t="s">
        <v>1972</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spans="3:75" ht="20.100000000000001" customHeight="1">
      <c r="C878" s="174">
        <v>63021106</v>
      </c>
      <c r="D878" s="203" t="s">
        <v>1959</v>
      </c>
      <c r="E878" s="203" t="s">
        <v>1960</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1524</v>
      </c>
      <c r="AX878" s="178" t="s">
        <v>1846</v>
      </c>
      <c r="AY878" s="178">
        <v>10002001</v>
      </c>
      <c r="AZ878" s="178">
        <v>21201010</v>
      </c>
      <c r="BA878" s="203" t="s">
        <v>1174</v>
      </c>
      <c r="BB878" s="203" t="s">
        <v>1973</v>
      </c>
      <c r="BC878" s="176">
        <v>0</v>
      </c>
      <c r="BD878" s="176">
        <v>0</v>
      </c>
      <c r="BE878" s="211" t="s">
        <v>1974</v>
      </c>
      <c r="BF878" s="211" t="s">
        <v>1975</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spans="3:75" ht="19.5" customHeight="1">
      <c r="C879" s="17">
        <v>63021111</v>
      </c>
      <c r="D879" s="20" t="s">
        <v>1976</v>
      </c>
      <c r="E879" s="20" t="s">
        <v>1977</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1672</v>
      </c>
      <c r="AY879" s="178">
        <v>10002001</v>
      </c>
      <c r="AZ879" s="178">
        <v>21201010</v>
      </c>
      <c r="BA879" s="20" t="s">
        <v>200</v>
      </c>
      <c r="BB879" s="20">
        <v>0</v>
      </c>
      <c r="BC879" s="28">
        <v>0</v>
      </c>
      <c r="BD879" s="28">
        <v>0</v>
      </c>
      <c r="BE879" s="186"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6" t="s">
        <v>1978</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63021112</v>
      </c>
      <c r="D880" s="20" t="s">
        <v>1976</v>
      </c>
      <c r="E880" s="20" t="s">
        <v>1977</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1672</v>
      </c>
      <c r="AY880" s="178">
        <v>10002001</v>
      </c>
      <c r="AZ880" s="178">
        <v>21201010</v>
      </c>
      <c r="BA880" s="20" t="s">
        <v>200</v>
      </c>
      <c r="BB880" s="20">
        <v>0</v>
      </c>
      <c r="BC880" s="28">
        <v>0</v>
      </c>
      <c r="BD880" s="28">
        <v>0</v>
      </c>
      <c r="BE880" s="186"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6" t="s">
        <v>1979</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19.5" customHeight="1">
      <c r="C881" s="17">
        <v>63021113</v>
      </c>
      <c r="D881" s="20" t="s">
        <v>1976</v>
      </c>
      <c r="E881" s="20" t="s">
        <v>1977</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1672</v>
      </c>
      <c r="AY881" s="178">
        <v>10002001</v>
      </c>
      <c r="AZ881" s="178">
        <v>21201010</v>
      </c>
      <c r="BA881" s="20" t="s">
        <v>200</v>
      </c>
      <c r="BB881" s="20">
        <v>0</v>
      </c>
      <c r="BC881" s="28">
        <v>0</v>
      </c>
      <c r="BD881" s="28">
        <v>0</v>
      </c>
      <c r="BE881" s="186" t="str">
        <f t="shared" si="91"/>
        <v>在指定区域释放一个冰封陷阱,2秒后陷阱开启触发机制,对触碰的敌人造成320%攻击伤害+2250点固定伤害,并使其减速50%,持续5秒</v>
      </c>
      <c r="BF881" s="186" t="s">
        <v>1980</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spans="3:75" ht="19.5" customHeight="1">
      <c r="C882" s="17">
        <v>63021114</v>
      </c>
      <c r="D882" s="20" t="s">
        <v>1976</v>
      </c>
      <c r="E882" s="20" t="s">
        <v>1977</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1672</v>
      </c>
      <c r="AY882" s="178">
        <v>10002001</v>
      </c>
      <c r="AZ882" s="178">
        <v>21201010</v>
      </c>
      <c r="BA882" s="20" t="s">
        <v>200</v>
      </c>
      <c r="BB882" s="20">
        <v>0</v>
      </c>
      <c r="BC882" s="28">
        <v>0</v>
      </c>
      <c r="BD882" s="28">
        <v>0</v>
      </c>
      <c r="BE882" s="186" t="str">
        <f t="shared" si="91"/>
        <v>在指定区域释放一个冰封陷阱,2秒后陷阱开启触发机制,对触碰的敌人造成350%攻击伤害+3250点固定伤害,并使其减速50%,持续5秒</v>
      </c>
      <c r="BF882" s="186" t="s">
        <v>1981</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spans="3:75" ht="19.5" customHeight="1">
      <c r="C883" s="17">
        <v>63021115</v>
      </c>
      <c r="D883" s="20" t="s">
        <v>1976</v>
      </c>
      <c r="E883" s="20" t="s">
        <v>1977</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1672</v>
      </c>
      <c r="AY883" s="178">
        <v>10002001</v>
      </c>
      <c r="AZ883" s="178">
        <v>21201010</v>
      </c>
      <c r="BA883" s="20" t="s">
        <v>200</v>
      </c>
      <c r="BB883" s="20">
        <v>0</v>
      </c>
      <c r="BC883" s="28">
        <v>0</v>
      </c>
      <c r="BD883" s="28">
        <v>0</v>
      </c>
      <c r="BE883" s="186" t="str">
        <f t="shared" si="91"/>
        <v>在指定区域释放一个冰封陷阱,2秒后陷阱开启触发机制,对触碰的敌人造成380%攻击伤害+4250点固定伤害,并使其减速50%,持续5秒</v>
      </c>
      <c r="BF883" s="186" t="s">
        <v>1982</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spans="3:75" ht="20.100000000000001" customHeight="1">
      <c r="C884" s="174">
        <v>63021201</v>
      </c>
      <c r="D884" s="203" t="s">
        <v>1983</v>
      </c>
      <c r="E884" s="203" t="s">
        <v>1984</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1524</v>
      </c>
      <c r="AX884" s="178" t="s">
        <v>1846</v>
      </c>
      <c r="AY884" s="178">
        <v>10002001</v>
      </c>
      <c r="AZ884" s="178">
        <v>21201020</v>
      </c>
      <c r="BA884" s="203" t="s">
        <v>1174</v>
      </c>
      <c r="BB884" s="203" t="s">
        <v>1985</v>
      </c>
      <c r="BC884" s="176">
        <v>0</v>
      </c>
      <c r="BD884" s="176">
        <v>0</v>
      </c>
      <c r="BE884" s="211" t="s">
        <v>1986</v>
      </c>
      <c r="BF884" s="211" t="s">
        <v>1987</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63021202</v>
      </c>
      <c r="D885" s="203" t="s">
        <v>1983</v>
      </c>
      <c r="E885" s="203" t="s">
        <v>1984</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1524</v>
      </c>
      <c r="AX885" s="178" t="s">
        <v>1846</v>
      </c>
      <c r="AY885" s="178">
        <v>10002001</v>
      </c>
      <c r="AZ885" s="178">
        <v>21201020</v>
      </c>
      <c r="BA885" s="203" t="s">
        <v>1174</v>
      </c>
      <c r="BB885" s="203" t="s">
        <v>1985</v>
      </c>
      <c r="BC885" s="176">
        <v>0</v>
      </c>
      <c r="BD885" s="176">
        <v>0</v>
      </c>
      <c r="BE885" s="211" t="s">
        <v>1986</v>
      </c>
      <c r="BF885" s="211" t="s">
        <v>1987</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63021203</v>
      </c>
      <c r="D886" s="203" t="s">
        <v>1983</v>
      </c>
      <c r="E886" s="203" t="s">
        <v>1984</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1524</v>
      </c>
      <c r="AX886" s="178" t="s">
        <v>1846</v>
      </c>
      <c r="AY886" s="178">
        <v>10002001</v>
      </c>
      <c r="AZ886" s="178">
        <v>21201020</v>
      </c>
      <c r="BA886" s="203" t="s">
        <v>1174</v>
      </c>
      <c r="BB886" s="203" t="s">
        <v>1988</v>
      </c>
      <c r="BC886" s="176">
        <v>0</v>
      </c>
      <c r="BD886" s="176">
        <v>0</v>
      </c>
      <c r="BE886" s="211" t="s">
        <v>1989</v>
      </c>
      <c r="BF886" s="211" t="s">
        <v>1990</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20.100000000000001" customHeight="1">
      <c r="C887" s="174">
        <v>63021204</v>
      </c>
      <c r="D887" s="203" t="s">
        <v>1983</v>
      </c>
      <c r="E887" s="203" t="s">
        <v>1984</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1524</v>
      </c>
      <c r="AX887" s="178" t="s">
        <v>1846</v>
      </c>
      <c r="AY887" s="178">
        <v>10002001</v>
      </c>
      <c r="AZ887" s="178">
        <v>21201020</v>
      </c>
      <c r="BA887" s="203" t="s">
        <v>1174</v>
      </c>
      <c r="BB887" s="203" t="s">
        <v>1991</v>
      </c>
      <c r="BC887" s="176">
        <v>0</v>
      </c>
      <c r="BD887" s="176">
        <v>0</v>
      </c>
      <c r="BE887" s="211" t="s">
        <v>1992</v>
      </c>
      <c r="BF887" s="211" t="s">
        <v>1993</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spans="3:75" ht="20.100000000000001" customHeight="1">
      <c r="C888" s="174">
        <v>63021205</v>
      </c>
      <c r="D888" s="203" t="s">
        <v>1983</v>
      </c>
      <c r="E888" s="203" t="s">
        <v>1984</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1524</v>
      </c>
      <c r="AX888" s="178" t="s">
        <v>1846</v>
      </c>
      <c r="AY888" s="178">
        <v>10002001</v>
      </c>
      <c r="AZ888" s="178">
        <v>21201020</v>
      </c>
      <c r="BA888" s="203" t="s">
        <v>1174</v>
      </c>
      <c r="BB888" s="203" t="s">
        <v>1994</v>
      </c>
      <c r="BC888" s="176">
        <v>0</v>
      </c>
      <c r="BD888" s="176">
        <v>0</v>
      </c>
      <c r="BE888" s="211" t="s">
        <v>1995</v>
      </c>
      <c r="BF888" s="211" t="s">
        <v>1996</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spans="3:75" ht="20.100000000000001" customHeight="1">
      <c r="C889" s="174">
        <v>63021206</v>
      </c>
      <c r="D889" s="203" t="s">
        <v>1983</v>
      </c>
      <c r="E889" s="203" t="s">
        <v>1984</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1524</v>
      </c>
      <c r="AX889" s="178" t="s">
        <v>1846</v>
      </c>
      <c r="AY889" s="178">
        <v>10002001</v>
      </c>
      <c r="AZ889" s="178">
        <v>21201020</v>
      </c>
      <c r="BA889" s="203" t="s">
        <v>1174</v>
      </c>
      <c r="BB889" s="203" t="s">
        <v>1997</v>
      </c>
      <c r="BC889" s="176">
        <v>0</v>
      </c>
      <c r="BD889" s="176">
        <v>0</v>
      </c>
      <c r="BE889" s="211" t="s">
        <v>1998</v>
      </c>
      <c r="BF889" s="211" t="s">
        <v>1999</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spans="3:75" ht="19.5" customHeight="1">
      <c r="C890" s="174">
        <v>63021211</v>
      </c>
      <c r="D890" s="20" t="s">
        <v>2000</v>
      </c>
      <c r="E890" s="20" t="s">
        <v>2001</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1672</v>
      </c>
      <c r="AY890" s="178">
        <v>10002001</v>
      </c>
      <c r="AZ890" s="178">
        <v>21201020</v>
      </c>
      <c r="BA890" s="20" t="s">
        <v>200</v>
      </c>
      <c r="BB890" s="20">
        <v>0</v>
      </c>
      <c r="BC890" s="28">
        <v>0</v>
      </c>
      <c r="BD890" s="28">
        <v>0</v>
      </c>
      <c r="BE890" s="186"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6" t="s">
        <v>2002</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63021212</v>
      </c>
      <c r="D891" s="20" t="s">
        <v>2000</v>
      </c>
      <c r="E891" s="20" t="s">
        <v>2001</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1672</v>
      </c>
      <c r="AY891" s="178">
        <v>10002001</v>
      </c>
      <c r="AZ891" s="178">
        <v>21201020</v>
      </c>
      <c r="BA891" s="20" t="s">
        <v>200</v>
      </c>
      <c r="BB891" s="20">
        <v>0</v>
      </c>
      <c r="BC891" s="28">
        <v>0</v>
      </c>
      <c r="BD891" s="28">
        <v>0</v>
      </c>
      <c r="BE891" s="186" t="str">
        <f t="shared" si="93"/>
        <v>在指定区域释放一个爆炸陷阱,2秒后陷阱开启触发机制,对触碰的敌人造成290%攻击伤害+1500点固定伤害,并使其眩晕1秒</v>
      </c>
      <c r="BF891" s="186" t="s">
        <v>2003</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19.5" customHeight="1">
      <c r="C892" s="174">
        <v>63021213</v>
      </c>
      <c r="D892" s="20" t="s">
        <v>2000</v>
      </c>
      <c r="E892" s="20" t="s">
        <v>2001</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1672</v>
      </c>
      <c r="AY892" s="178">
        <v>10002001</v>
      </c>
      <c r="AZ892" s="178">
        <v>21201020</v>
      </c>
      <c r="BA892" s="20" t="s">
        <v>200</v>
      </c>
      <c r="BB892" s="20">
        <v>0</v>
      </c>
      <c r="BC892" s="28">
        <v>0</v>
      </c>
      <c r="BD892" s="28">
        <v>0</v>
      </c>
      <c r="BE892" s="186" t="str">
        <f t="shared" si="93"/>
        <v>在指定区域释放一个爆炸陷阱,2秒后陷阱开启触发机制,对触碰的敌人造成320%攻击伤害+2250点固定伤害,并使其眩晕1秒</v>
      </c>
      <c r="BF892" s="186" t="s">
        <v>2004</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spans="3:75" ht="19.5" customHeight="1">
      <c r="C893" s="174">
        <v>63021214</v>
      </c>
      <c r="D893" s="20" t="s">
        <v>2000</v>
      </c>
      <c r="E893" s="20" t="s">
        <v>2001</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1672</v>
      </c>
      <c r="AY893" s="178">
        <v>10002001</v>
      </c>
      <c r="AZ893" s="178">
        <v>21201020</v>
      </c>
      <c r="BA893" s="20" t="s">
        <v>200</v>
      </c>
      <c r="BB893" s="20">
        <v>0</v>
      </c>
      <c r="BC893" s="28">
        <v>0</v>
      </c>
      <c r="BD893" s="28">
        <v>0</v>
      </c>
      <c r="BE893" s="186" t="str">
        <f t="shared" si="93"/>
        <v>在指定区域释放一个爆炸陷阱,2秒后陷阱开启触发机制,对触碰的敌人造成350%攻击伤害+3250点固定伤害,并使其眩晕1秒</v>
      </c>
      <c r="BF893" s="186" t="s">
        <v>2005</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spans="3:75" ht="19.5" customHeight="1">
      <c r="C894" s="174">
        <v>63021215</v>
      </c>
      <c r="D894" s="20" t="s">
        <v>2000</v>
      </c>
      <c r="E894" s="20" t="s">
        <v>2001</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1672</v>
      </c>
      <c r="AY894" s="178">
        <v>10002001</v>
      </c>
      <c r="AZ894" s="178">
        <v>21201020</v>
      </c>
      <c r="BA894" s="20" t="s">
        <v>200</v>
      </c>
      <c r="BB894" s="20">
        <v>0</v>
      </c>
      <c r="BC894" s="28">
        <v>0</v>
      </c>
      <c r="BD894" s="28">
        <v>0</v>
      </c>
      <c r="BE894" s="186" t="str">
        <f t="shared" si="93"/>
        <v>在指定区域释放一个爆炸陷阱,2秒后陷阱开启触发机制,对触碰的敌人造成380%攻击伤害+4250点固定伤害,并使其眩晕1秒</v>
      </c>
      <c r="BF894" s="186" t="s">
        <v>2006</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spans="3:75" ht="20.100000000000001" customHeight="1">
      <c r="C895" s="174">
        <v>63021301</v>
      </c>
      <c r="D895" s="203" t="s">
        <v>2007</v>
      </c>
      <c r="E895" s="203" t="s">
        <v>2008</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1534</v>
      </c>
      <c r="AX895" s="178" t="s">
        <v>1406</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2009</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63021302</v>
      </c>
      <c r="D896" s="203" t="s">
        <v>2007</v>
      </c>
      <c r="E896" s="203" t="s">
        <v>2008</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1534</v>
      </c>
      <c r="AX896" s="178" t="s">
        <v>1406</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2009</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63021303</v>
      </c>
      <c r="D897" s="203" t="s">
        <v>2007</v>
      </c>
      <c r="E897" s="203" t="s">
        <v>2008</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1534</v>
      </c>
      <c r="AX897" s="178" t="s">
        <v>1406</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2010</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20.100000000000001" customHeight="1">
      <c r="C898" s="174">
        <v>63021304</v>
      </c>
      <c r="D898" s="203" t="s">
        <v>2007</v>
      </c>
      <c r="E898" s="203" t="s">
        <v>2008</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1534</v>
      </c>
      <c r="AX898" s="178" t="s">
        <v>1406</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20.100000000000001" customHeight="1">
      <c r="C899" s="174">
        <v>63021305</v>
      </c>
      <c r="D899" s="203" t="s">
        <v>2007</v>
      </c>
      <c r="E899" s="203" t="s">
        <v>2008</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1.1000000000000001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1534</v>
      </c>
      <c r="AX899" s="178" t="s">
        <v>1406</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2012</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20.100000000000001" customHeight="1">
      <c r="C900" s="174">
        <v>63021306</v>
      </c>
      <c r="D900" s="203" t="s">
        <v>2007</v>
      </c>
      <c r="E900" s="203" t="s">
        <v>2008</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1534</v>
      </c>
      <c r="AX900" s="178" t="s">
        <v>1406</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2013</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63021401</v>
      </c>
      <c r="D901" s="203" t="s">
        <v>2014</v>
      </c>
      <c r="E901" s="203" t="s">
        <v>2015</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1625</v>
      </c>
      <c r="AX901" s="178" t="s">
        <v>1041</v>
      </c>
      <c r="AY901" s="178">
        <v>0</v>
      </c>
      <c r="AZ901" s="178">
        <v>21201040</v>
      </c>
      <c r="BA901" s="203" t="s">
        <v>2016</v>
      </c>
      <c r="BB901" s="368" t="s">
        <v>2017</v>
      </c>
      <c r="BC901" s="176">
        <v>0</v>
      </c>
      <c r="BD901" s="176">
        <v>0</v>
      </c>
      <c r="BE901" s="211" t="s">
        <v>2018</v>
      </c>
      <c r="BF901" s="211" t="s">
        <v>2019</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63021402</v>
      </c>
      <c r="D902" s="203" t="s">
        <v>2014</v>
      </c>
      <c r="E902" s="203" t="s">
        <v>2015</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1625</v>
      </c>
      <c r="AX902" s="178" t="s">
        <v>1041</v>
      </c>
      <c r="AY902" s="178">
        <v>0</v>
      </c>
      <c r="AZ902" s="178">
        <v>21201040</v>
      </c>
      <c r="BA902" s="203" t="s">
        <v>2016</v>
      </c>
      <c r="BB902" s="368" t="s">
        <v>2017</v>
      </c>
      <c r="BC902" s="176">
        <v>0</v>
      </c>
      <c r="BD902" s="176">
        <v>0</v>
      </c>
      <c r="BE902" s="211" t="s">
        <v>2018</v>
      </c>
      <c r="BF902" s="211" t="s">
        <v>2019</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63021403</v>
      </c>
      <c r="D903" s="203" t="s">
        <v>2014</v>
      </c>
      <c r="E903" s="203" t="s">
        <v>2015</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1625</v>
      </c>
      <c r="AX903" s="178" t="s">
        <v>1041</v>
      </c>
      <c r="AY903" s="178">
        <v>0</v>
      </c>
      <c r="AZ903" s="178">
        <v>21201040</v>
      </c>
      <c r="BA903" s="203" t="s">
        <v>2016</v>
      </c>
      <c r="BB903" s="368" t="s">
        <v>2020</v>
      </c>
      <c r="BC903" s="176">
        <v>0</v>
      </c>
      <c r="BD903" s="176">
        <v>0</v>
      </c>
      <c r="BE903" s="211" t="s">
        <v>2021</v>
      </c>
      <c r="BF903" s="211" t="s">
        <v>2022</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19.5" customHeight="1">
      <c r="C904" s="174">
        <v>63021404</v>
      </c>
      <c r="D904" s="203" t="s">
        <v>2014</v>
      </c>
      <c r="E904" s="203" t="s">
        <v>2015</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1625</v>
      </c>
      <c r="AX904" s="178" t="s">
        <v>1041</v>
      </c>
      <c r="AY904" s="178">
        <v>0</v>
      </c>
      <c r="AZ904" s="178">
        <v>21201040</v>
      </c>
      <c r="BA904" s="203" t="s">
        <v>2016</v>
      </c>
      <c r="BB904" s="368" t="s">
        <v>2023</v>
      </c>
      <c r="BC904" s="176">
        <v>0</v>
      </c>
      <c r="BD904" s="176">
        <v>0</v>
      </c>
      <c r="BE904" s="211" t="s">
        <v>2024</v>
      </c>
      <c r="BF904" s="211" t="s">
        <v>2025</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spans="3:75" ht="19.5" customHeight="1">
      <c r="C905" s="174">
        <v>63021405</v>
      </c>
      <c r="D905" s="203" t="s">
        <v>2014</v>
      </c>
      <c r="E905" s="203" t="s">
        <v>2015</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1625</v>
      </c>
      <c r="AX905" s="178" t="s">
        <v>1041</v>
      </c>
      <c r="AY905" s="178">
        <v>0</v>
      </c>
      <c r="AZ905" s="178">
        <v>21201040</v>
      </c>
      <c r="BA905" s="203" t="s">
        <v>2016</v>
      </c>
      <c r="BB905" s="368" t="s">
        <v>2026</v>
      </c>
      <c r="BC905" s="176">
        <v>0</v>
      </c>
      <c r="BD905" s="176">
        <v>0</v>
      </c>
      <c r="BE905" s="211" t="s">
        <v>2027</v>
      </c>
      <c r="BF905" s="211" t="s">
        <v>2028</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spans="3:75" ht="19.5" customHeight="1">
      <c r="C906" s="174">
        <v>63021406</v>
      </c>
      <c r="D906" s="203" t="s">
        <v>2014</v>
      </c>
      <c r="E906" s="203" t="s">
        <v>2015</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1625</v>
      </c>
      <c r="AX906" s="178" t="s">
        <v>1041</v>
      </c>
      <c r="AY906" s="178">
        <v>0</v>
      </c>
      <c r="AZ906" s="178">
        <v>21201040</v>
      </c>
      <c r="BA906" s="203" t="s">
        <v>2016</v>
      </c>
      <c r="BB906" s="368" t="s">
        <v>2029</v>
      </c>
      <c r="BC906" s="176">
        <v>0</v>
      </c>
      <c r="BD906" s="176">
        <v>0</v>
      </c>
      <c r="BE906" s="211" t="s">
        <v>2030</v>
      </c>
      <c r="BF906" s="211" t="s">
        <v>2031</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spans="3:75" ht="20.100000000000001" customHeight="1">
      <c r="C907" s="174">
        <v>63021411</v>
      </c>
      <c r="D907" s="18" t="s">
        <v>2032</v>
      </c>
      <c r="E907" s="18" t="s">
        <v>2033</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2034</v>
      </c>
      <c r="BC907" s="28">
        <v>0</v>
      </c>
      <c r="BD907" s="28">
        <v>0</v>
      </c>
      <c r="BE907" s="46" t="s">
        <v>2035</v>
      </c>
      <c r="BF907" s="46" t="s">
        <v>2036</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spans="3:75" ht="20.100000000000001" customHeight="1">
      <c r="C908" s="174">
        <v>63021412</v>
      </c>
      <c r="D908" s="18" t="s">
        <v>2037</v>
      </c>
      <c r="E908" s="18" t="s">
        <v>2038</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2039</v>
      </c>
      <c r="BC908" s="28">
        <v>0</v>
      </c>
      <c r="BD908" s="28">
        <v>0</v>
      </c>
      <c r="BE908" s="46" t="s">
        <v>2040</v>
      </c>
      <c r="BF908" s="46" t="s">
        <v>2041</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spans="3:75" ht="20.100000000000001" customHeight="1">
      <c r="C909" s="174">
        <v>63021413</v>
      </c>
      <c r="D909" s="18" t="s">
        <v>2042</v>
      </c>
      <c r="E909" s="18" t="s">
        <v>2043</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2044</v>
      </c>
      <c r="BC909" s="28">
        <v>0</v>
      </c>
      <c r="BD909" s="28">
        <v>0</v>
      </c>
      <c r="BE909" s="46" t="s">
        <v>2045</v>
      </c>
      <c r="BF909" s="46" t="s">
        <v>2046</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spans="3:75" ht="19.5" customHeight="1">
      <c r="C910" s="174">
        <v>63022101</v>
      </c>
      <c r="D910" s="212" t="s">
        <v>2047</v>
      </c>
      <c r="E910" s="212" t="s">
        <v>2048</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1398</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2049</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63022102</v>
      </c>
      <c r="D911" s="212" t="s">
        <v>2047</v>
      </c>
      <c r="E911" s="212" t="s">
        <v>2048</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1398</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2049</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63022103</v>
      </c>
      <c r="D912" s="212" t="s">
        <v>2047</v>
      </c>
      <c r="E912" s="212" t="s">
        <v>2048</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1398</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2050</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19.5" customHeight="1">
      <c r="C913" s="174">
        <v>63022104</v>
      </c>
      <c r="D913" s="212" t="s">
        <v>2047</v>
      </c>
      <c r="E913" s="212" t="s">
        <v>2048</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1398</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2051</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spans="3:75" ht="19.5" customHeight="1">
      <c r="C914" s="174">
        <v>63022105</v>
      </c>
      <c r="D914" s="212" t="s">
        <v>2047</v>
      </c>
      <c r="E914" s="212" t="s">
        <v>2048</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1398</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2052</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spans="3:75" ht="19.5" customHeight="1">
      <c r="C915" s="174">
        <v>63022106</v>
      </c>
      <c r="D915" s="212" t="s">
        <v>2047</v>
      </c>
      <c r="E915" s="212" t="s">
        <v>2048</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1398</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2053</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spans="3:75" ht="20.100000000000001" customHeight="1">
      <c r="C916" s="174">
        <v>63022201</v>
      </c>
      <c r="D916" s="202" t="s">
        <v>2054</v>
      </c>
      <c r="E916" s="202" t="s">
        <v>2055</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2056</v>
      </c>
      <c r="AY916" s="178">
        <v>10000007</v>
      </c>
      <c r="AZ916" s="178">
        <v>21202020</v>
      </c>
      <c r="BA916" s="203" t="s">
        <v>586</v>
      </c>
      <c r="BB916" s="177" t="s">
        <v>1946</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2057</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63022202</v>
      </c>
      <c r="D917" s="202" t="s">
        <v>2054</v>
      </c>
      <c r="E917" s="202" t="s">
        <v>2055</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2056</v>
      </c>
      <c r="AY917" s="178">
        <v>10000007</v>
      </c>
      <c r="AZ917" s="178">
        <v>21202020</v>
      </c>
      <c r="BA917" s="203" t="s">
        <v>586</v>
      </c>
      <c r="BB917" s="177" t="s">
        <v>1946</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2057</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63022203</v>
      </c>
      <c r="D918" s="202" t="s">
        <v>2054</v>
      </c>
      <c r="E918" s="202" t="s">
        <v>2055</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2056</v>
      </c>
      <c r="AY918" s="178">
        <v>10000007</v>
      </c>
      <c r="AZ918" s="178">
        <v>21202020</v>
      </c>
      <c r="BA918" s="203" t="s">
        <v>586</v>
      </c>
      <c r="BB918" s="177" t="s">
        <v>1946</v>
      </c>
      <c r="BC918" s="176">
        <v>0</v>
      </c>
      <c r="BD918" s="176">
        <v>0</v>
      </c>
      <c r="BE918" s="214" t="str">
        <f t="shared" si="100"/>
        <v>每次向前方释放5个烈焰飓风，每个飓风可以对目标造成225%攻击伤害+1500点固定伤害,并使目标造成眩晕效果,持续1秒</v>
      </c>
      <c r="BF918" s="214" t="s">
        <v>2058</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20.100000000000001" customHeight="1">
      <c r="C919" s="174">
        <v>63022204</v>
      </c>
      <c r="D919" s="202" t="s">
        <v>2054</v>
      </c>
      <c r="E919" s="202" t="s">
        <v>2055</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2056</v>
      </c>
      <c r="AY919" s="178">
        <v>10000007</v>
      </c>
      <c r="AZ919" s="178">
        <v>21202020</v>
      </c>
      <c r="BA919" s="203" t="s">
        <v>586</v>
      </c>
      <c r="BB919" s="177" t="s">
        <v>1946</v>
      </c>
      <c r="BC919" s="176">
        <v>0</v>
      </c>
      <c r="BD919" s="176">
        <v>0</v>
      </c>
      <c r="BE919" s="214" t="str">
        <f t="shared" si="100"/>
        <v>每次向前方释放5个烈焰飓风，每个飓风可以对目标造成250%攻击伤害+2250点固定伤害,并使目标造成眩晕效果,持续1秒</v>
      </c>
      <c r="BF919" s="214" t="s">
        <v>2059</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spans="3:75" ht="20.100000000000001" customHeight="1">
      <c r="C920" s="174">
        <v>63022205</v>
      </c>
      <c r="D920" s="202" t="s">
        <v>2054</v>
      </c>
      <c r="E920" s="202" t="s">
        <v>2055</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2056</v>
      </c>
      <c r="AY920" s="178">
        <v>10000007</v>
      </c>
      <c r="AZ920" s="178">
        <v>21202020</v>
      </c>
      <c r="BA920" s="203" t="s">
        <v>586</v>
      </c>
      <c r="BB920" s="177" t="s">
        <v>1946</v>
      </c>
      <c r="BC920" s="176">
        <v>0</v>
      </c>
      <c r="BD920" s="176">
        <v>0</v>
      </c>
      <c r="BE920" s="214" t="str">
        <f t="shared" si="100"/>
        <v>每次向前方释放5个烈焰飓风，每个飓风可以对目标造成275%攻击伤害+3250点固定伤害,并使目标造成眩晕效果,持续1秒</v>
      </c>
      <c r="BF920" s="214" t="s">
        <v>2060</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spans="3:75" ht="20.100000000000001" customHeight="1">
      <c r="C921" s="174">
        <v>63022206</v>
      </c>
      <c r="D921" s="202" t="s">
        <v>2054</v>
      </c>
      <c r="E921" s="202" t="s">
        <v>2055</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2056</v>
      </c>
      <c r="AY921" s="178">
        <v>10000007</v>
      </c>
      <c r="AZ921" s="178">
        <v>21202020</v>
      </c>
      <c r="BA921" s="203" t="s">
        <v>586</v>
      </c>
      <c r="BB921" s="177" t="s">
        <v>1946</v>
      </c>
      <c r="BC921" s="176">
        <v>0</v>
      </c>
      <c r="BD921" s="176">
        <v>0</v>
      </c>
      <c r="BE921" s="214" t="str">
        <f t="shared" si="100"/>
        <v>每次向前方释放5个烈焰飓风，每个飓风可以对目标造成300%攻击伤害+4250点固定伤害,并使目标造成眩晕效果,持续1秒</v>
      </c>
      <c r="BF921" s="214" t="s">
        <v>2061</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spans="3:75" ht="19.5" customHeight="1">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1398</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2062</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1398</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2062</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1398</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2063</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19.5" customHeight="1">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1398</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2064</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spans="3:75" ht="19.5" customHeight="1">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1398</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2065</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spans="3:75" ht="19.5" customHeight="1">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1398</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2066</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spans="3:75" ht="20.100000000000001" customHeight="1">
      <c r="C928" s="174">
        <v>63022401</v>
      </c>
      <c r="D928" s="203" t="s">
        <v>2067</v>
      </c>
      <c r="E928" s="203" t="s">
        <v>2068</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2069</v>
      </c>
      <c r="AV928" s="203"/>
      <c r="AW928" s="203" t="s">
        <v>617</v>
      </c>
      <c r="AX928" s="178" t="s">
        <v>1803</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2070</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63022402</v>
      </c>
      <c r="D929" s="203" t="s">
        <v>2067</v>
      </c>
      <c r="E929" s="203" t="s">
        <v>2068</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2069</v>
      </c>
      <c r="AV929" s="203"/>
      <c r="AW929" s="203" t="s">
        <v>617</v>
      </c>
      <c r="AX929" s="178" t="s">
        <v>1803</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2070</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63022403</v>
      </c>
      <c r="D930" s="203" t="s">
        <v>2067</v>
      </c>
      <c r="E930" s="203" t="s">
        <v>2068</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2069</v>
      </c>
      <c r="AV930" s="203"/>
      <c r="AW930" s="203" t="s">
        <v>617</v>
      </c>
      <c r="AX930" s="178" t="s">
        <v>1803</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2071</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63022404</v>
      </c>
      <c r="D931" s="203" t="s">
        <v>2067</v>
      </c>
      <c r="E931" s="203" t="s">
        <v>2068</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2069</v>
      </c>
      <c r="AV931" s="203"/>
      <c r="AW931" s="203" t="s">
        <v>617</v>
      </c>
      <c r="AX931" s="178" t="s">
        <v>1803</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2072</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63022405</v>
      </c>
      <c r="D932" s="203" t="s">
        <v>2067</v>
      </c>
      <c r="E932" s="203" t="s">
        <v>2068</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2069</v>
      </c>
      <c r="AV932" s="203"/>
      <c r="AW932" s="203" t="s">
        <v>617</v>
      </c>
      <c r="AX932" s="178" t="s">
        <v>1803</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2073</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63022406</v>
      </c>
      <c r="D933" s="203" t="s">
        <v>2067</v>
      </c>
      <c r="E933" s="203" t="s">
        <v>2068</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2069</v>
      </c>
      <c r="AV933" s="203"/>
      <c r="AW933" s="203" t="s">
        <v>617</v>
      </c>
      <c r="AX933" s="178" t="s">
        <v>1803</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2074</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63023101</v>
      </c>
      <c r="D934" s="202" t="s">
        <v>2075</v>
      </c>
      <c r="E934" s="202" t="s">
        <v>2076</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2077</v>
      </c>
      <c r="AU934" s="368" t="s">
        <v>2078</v>
      </c>
      <c r="AV934" s="203"/>
      <c r="AW934" s="203" t="s">
        <v>1524</v>
      </c>
      <c r="AX934" s="177" t="s">
        <v>2079</v>
      </c>
      <c r="AY934" s="177" t="s">
        <v>198</v>
      </c>
      <c r="AZ934" s="177">
        <v>21203010</v>
      </c>
      <c r="BA934" s="202" t="s">
        <v>200</v>
      </c>
      <c r="BB934" s="177">
        <v>0</v>
      </c>
      <c r="BC934" s="177">
        <v>0</v>
      </c>
      <c r="BD934" s="177">
        <v>0</v>
      </c>
      <c r="BE934" s="215" t="s">
        <v>2080</v>
      </c>
      <c r="BF934" s="215" t="s">
        <v>2081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63023102</v>
      </c>
      <c r="D935" s="202" t="s">
        <v>2075</v>
      </c>
      <c r="E935" s="202" t="s">
        <v>2076</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2077</v>
      </c>
      <c r="AU935" s="368" t="s">
        <v>2078</v>
      </c>
      <c r="AV935" s="203"/>
      <c r="AW935" s="203" t="s">
        <v>1524</v>
      </c>
      <c r="AX935" s="177" t="s">
        <v>2079</v>
      </c>
      <c r="AY935" s="177" t="s">
        <v>198</v>
      </c>
      <c r="AZ935" s="177">
        <v>21203010</v>
      </c>
      <c r="BA935" s="202" t="s">
        <v>200</v>
      </c>
      <c r="BB935" s="177">
        <v>0</v>
      </c>
      <c r="BC935" s="177">
        <v>0</v>
      </c>
      <c r="BD935" s="177">
        <v>0</v>
      </c>
      <c r="BE935" s="215" t="s">
        <v>2080</v>
      </c>
      <c r="BF935" s="215" t="s">
        <v>2081</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63023103</v>
      </c>
      <c r="D936" s="202" t="s">
        <v>2075</v>
      </c>
      <c r="E936" s="202" t="s">
        <v>2076</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2082</v>
      </c>
      <c r="AU936" s="368" t="s">
        <v>2083</v>
      </c>
      <c r="AV936" s="203"/>
      <c r="AW936" s="203" t="s">
        <v>1524</v>
      </c>
      <c r="AX936" s="177" t="s">
        <v>2079</v>
      </c>
      <c r="AY936" s="177" t="s">
        <v>198</v>
      </c>
      <c r="AZ936" s="177">
        <v>21203010</v>
      </c>
      <c r="BA936" s="202" t="s">
        <v>200</v>
      </c>
      <c r="BB936" s="177">
        <v>0</v>
      </c>
      <c r="BC936" s="177">
        <v>0</v>
      </c>
      <c r="BD936" s="177">
        <v>0</v>
      </c>
      <c r="BE936" s="215" t="s">
        <v>2084</v>
      </c>
      <c r="BF936" s="215" t="s">
        <v>2085</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63023104</v>
      </c>
      <c r="D937" s="202" t="s">
        <v>2075</v>
      </c>
      <c r="E937" s="202" t="s">
        <v>2076</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68" t="s">
        <v>2086</v>
      </c>
      <c r="AU937" s="368" t="s">
        <v>2087</v>
      </c>
      <c r="AV937" s="203"/>
      <c r="AW937" s="203" t="s">
        <v>1524</v>
      </c>
      <c r="AX937" s="177" t="s">
        <v>2079</v>
      </c>
      <c r="AY937" s="177" t="s">
        <v>198</v>
      </c>
      <c r="AZ937" s="177">
        <v>21203010</v>
      </c>
      <c r="BA937" s="202" t="s">
        <v>200</v>
      </c>
      <c r="BB937" s="177">
        <v>0</v>
      </c>
      <c r="BC937" s="177">
        <v>0</v>
      </c>
      <c r="BD937" s="177">
        <v>0</v>
      </c>
      <c r="BE937" s="215" t="s">
        <v>2088</v>
      </c>
      <c r="BF937" s="215" t="s">
        <v>2089</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63023105</v>
      </c>
      <c r="D938" s="202" t="s">
        <v>2075</v>
      </c>
      <c r="E938" s="202" t="s">
        <v>2076</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2090</v>
      </c>
      <c r="AU938" s="368" t="s">
        <v>2091</v>
      </c>
      <c r="AV938" s="203"/>
      <c r="AW938" s="203" t="s">
        <v>1524</v>
      </c>
      <c r="AX938" s="177" t="s">
        <v>2079</v>
      </c>
      <c r="AY938" s="177" t="s">
        <v>198</v>
      </c>
      <c r="AZ938" s="177">
        <v>21203010</v>
      </c>
      <c r="BA938" s="202" t="s">
        <v>200</v>
      </c>
      <c r="BB938" s="177">
        <v>0</v>
      </c>
      <c r="BC938" s="177">
        <v>0</v>
      </c>
      <c r="BD938" s="177">
        <v>0</v>
      </c>
      <c r="BE938" s="215" t="s">
        <v>2092</v>
      </c>
      <c r="BF938" s="215" t="s">
        <v>2093</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63023106</v>
      </c>
      <c r="D939" s="202" t="s">
        <v>2075</v>
      </c>
      <c r="E939" s="202" t="s">
        <v>2076</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2094</v>
      </c>
      <c r="AU939" s="368" t="s">
        <v>2095</v>
      </c>
      <c r="AV939" s="203"/>
      <c r="AW939" s="203" t="s">
        <v>1524</v>
      </c>
      <c r="AX939" s="177" t="s">
        <v>2079</v>
      </c>
      <c r="AY939" s="177" t="s">
        <v>198</v>
      </c>
      <c r="AZ939" s="177">
        <v>21203010</v>
      </c>
      <c r="BA939" s="202" t="s">
        <v>200</v>
      </c>
      <c r="BB939" s="177">
        <v>0</v>
      </c>
      <c r="BC939" s="177">
        <v>0</v>
      </c>
      <c r="BD939" s="177">
        <v>0</v>
      </c>
      <c r="BE939" s="215" t="s">
        <v>2096</v>
      </c>
      <c r="BF939" s="215" t="s">
        <v>2097</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63023201</v>
      </c>
      <c r="D940" s="202" t="s">
        <v>2098</v>
      </c>
      <c r="E940" s="202" t="s">
        <v>2099</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1524</v>
      </c>
      <c r="AX940" s="177" t="s">
        <v>1672</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2100</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63023202</v>
      </c>
      <c r="D941" s="202" t="s">
        <v>2098</v>
      </c>
      <c r="E941" s="202" t="s">
        <v>2099</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1524</v>
      </c>
      <c r="AX941" s="177" t="s">
        <v>1672</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2100</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63023203</v>
      </c>
      <c r="D942" s="202" t="s">
        <v>2098</v>
      </c>
      <c r="E942" s="202" t="s">
        <v>2099</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1524</v>
      </c>
      <c r="AX942" s="177" t="s">
        <v>1672</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2101</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20.100000000000001" customHeight="1">
      <c r="C943" s="174">
        <v>63023204</v>
      </c>
      <c r="D943" s="202" t="s">
        <v>2098</v>
      </c>
      <c r="E943" s="202" t="s">
        <v>2099</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1524</v>
      </c>
      <c r="AX943" s="177" t="s">
        <v>1672</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2102</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spans="3:75" ht="20.100000000000001" customHeight="1">
      <c r="C944" s="174">
        <v>63023205</v>
      </c>
      <c r="D944" s="202" t="s">
        <v>2098</v>
      </c>
      <c r="E944" s="202" t="s">
        <v>2099</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1524</v>
      </c>
      <c r="AX944" s="177" t="s">
        <v>1672</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2103</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spans="3:75" ht="20.100000000000001" customHeight="1">
      <c r="C945" s="174">
        <v>63023206</v>
      </c>
      <c r="D945" s="202" t="s">
        <v>2098</v>
      </c>
      <c r="E945" s="202" t="s">
        <v>2099</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1524</v>
      </c>
      <c r="AX945" s="177" t="s">
        <v>1672</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2104</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spans="3:75" ht="19.5" customHeight="1">
      <c r="C946" s="174">
        <v>63023301</v>
      </c>
      <c r="D946" s="20" t="s">
        <v>2105</v>
      </c>
      <c r="E946" s="20" t="s">
        <v>2106</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"野兽怒吼发出的烈焰,对指定区域内的目标造成"&amp;X946*100&amp;"%攻击伤害+"&amp;Z946&amp;"点固定伤害,并眩晕目标2秒"</f>
        <v>野兽怒吼发出的烈焰,对指定区域内的目标造成200%攻击伤害+900点固定伤害,并眩晕目标2秒</v>
      </c>
      <c r="BF946" s="186" t="s">
        <v>2107</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63023302</v>
      </c>
      <c r="D947" s="20" t="s">
        <v>2105</v>
      </c>
      <c r="E947" s="20" t="s">
        <v>2106</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6" t="s">
        <v>2107</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63023303</v>
      </c>
      <c r="D948" s="20" t="s">
        <v>2105</v>
      </c>
      <c r="E948" s="20" t="s">
        <v>2106</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野兽怒吼发出的烈焰,对指定区域内的目标造成225%攻击伤害+1800点固定伤害,并眩晕目标2秒</v>
      </c>
      <c r="BF948" s="186" t="s">
        <v>2108</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19.5" customHeight="1">
      <c r="C949" s="174">
        <v>63023304</v>
      </c>
      <c r="D949" s="20" t="s">
        <v>2105</v>
      </c>
      <c r="E949" s="20" t="s">
        <v>2106</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6" t="str">
        <f t="shared" si="109"/>
        <v>野兽怒吼发出的烈焰,对指定区域内的目标造成250%攻击伤害+2800点固定伤害,并眩晕目标2秒</v>
      </c>
      <c r="BF949" s="186" t="s">
        <v>2109</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spans="3:75" ht="19.5" customHeight="1">
      <c r="C950" s="174">
        <v>63023305</v>
      </c>
      <c r="D950" s="20" t="s">
        <v>2105</v>
      </c>
      <c r="E950" s="20" t="s">
        <v>2106</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6" t="str">
        <f t="shared" si="109"/>
        <v>野兽怒吼发出的烈焰,对指定区域内的目标造成275%攻击伤害+4000点固定伤害,并眩晕目标2秒</v>
      </c>
      <c r="BF950" s="186" t="s">
        <v>2110</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spans="3:75" ht="19.5" customHeight="1">
      <c r="C951" s="174">
        <v>63023306</v>
      </c>
      <c r="D951" s="20" t="s">
        <v>2105</v>
      </c>
      <c r="E951" s="20" t="s">
        <v>2106</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6" t="str">
        <f t="shared" si="109"/>
        <v>野兽怒吼发出的烈焰,对指定区域内的目标造成300%攻击伤害+5200点固定伤害,并眩晕目标2秒</v>
      </c>
      <c r="BF951" s="186" t="s">
        <v>2111</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spans="3:75" ht="20.100000000000001" customHeight="1">
      <c r="C952" s="174">
        <v>63023401</v>
      </c>
      <c r="D952" s="175" t="s">
        <v>2112</v>
      </c>
      <c r="E952" s="175" t="s">
        <v>2113</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1625</v>
      </c>
      <c r="AX952" s="174" t="s">
        <v>1041</v>
      </c>
      <c r="AY952" s="178">
        <v>0</v>
      </c>
      <c r="AZ952" s="178">
        <v>21201040</v>
      </c>
      <c r="BA952" s="175" t="s">
        <v>1174</v>
      </c>
      <c r="BB952" s="203" t="s">
        <v>2114</v>
      </c>
      <c r="BC952" s="176">
        <v>0</v>
      </c>
      <c r="BD952" s="176">
        <v>0</v>
      </c>
      <c r="BE952" s="208" t="s">
        <v>2115</v>
      </c>
      <c r="BF952" s="208" t="s">
        <v>2116</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20.100000000000001" customHeight="1">
      <c r="C953" s="174">
        <v>63023402</v>
      </c>
      <c r="D953" s="175" t="s">
        <v>2112</v>
      </c>
      <c r="E953" s="175" t="s">
        <v>2113</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1625</v>
      </c>
      <c r="AX953" s="174" t="s">
        <v>1041</v>
      </c>
      <c r="AY953" s="178">
        <v>0</v>
      </c>
      <c r="AZ953" s="178">
        <v>21201040</v>
      </c>
      <c r="BA953" s="175" t="s">
        <v>1174</v>
      </c>
      <c r="BB953" s="203" t="s">
        <v>2117</v>
      </c>
      <c r="BC953" s="176">
        <v>0</v>
      </c>
      <c r="BD953" s="176">
        <v>0</v>
      </c>
      <c r="BE953" s="208" t="s">
        <v>2115</v>
      </c>
      <c r="BF953" s="208" t="s">
        <v>2116</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20.100000000000001" customHeight="1">
      <c r="C954" s="174">
        <v>63023403</v>
      </c>
      <c r="D954" s="175" t="s">
        <v>2112</v>
      </c>
      <c r="E954" s="175" t="s">
        <v>2113</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1625</v>
      </c>
      <c r="AX954" s="174" t="s">
        <v>1041</v>
      </c>
      <c r="AY954" s="178">
        <v>0</v>
      </c>
      <c r="AZ954" s="178">
        <v>21201040</v>
      </c>
      <c r="BA954" s="175" t="s">
        <v>1174</v>
      </c>
      <c r="BB954" s="203" t="s">
        <v>2118</v>
      </c>
      <c r="BC954" s="176">
        <v>0</v>
      </c>
      <c r="BD954" s="176">
        <v>0</v>
      </c>
      <c r="BE954" s="208" t="s">
        <v>2119</v>
      </c>
      <c r="BF954" s="208" t="s">
        <v>2120</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19.5" customHeight="1">
      <c r="C955" s="174">
        <v>63023404</v>
      </c>
      <c r="D955" s="175" t="s">
        <v>2112</v>
      </c>
      <c r="E955" s="175" t="s">
        <v>2113</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1625</v>
      </c>
      <c r="AX955" s="174" t="s">
        <v>1041</v>
      </c>
      <c r="AY955" s="178">
        <v>0</v>
      </c>
      <c r="AZ955" s="178">
        <v>21201040</v>
      </c>
      <c r="BA955" s="175" t="s">
        <v>1174</v>
      </c>
      <c r="BB955" s="203" t="s">
        <v>2121</v>
      </c>
      <c r="BC955" s="176">
        <v>0</v>
      </c>
      <c r="BD955" s="176">
        <v>0</v>
      </c>
      <c r="BE955" s="208" t="s">
        <v>2122</v>
      </c>
      <c r="BF955" s="208" t="s">
        <v>2123</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spans="3:75" ht="19.5" customHeight="1">
      <c r="C956" s="174">
        <v>63023405</v>
      </c>
      <c r="D956" s="175" t="s">
        <v>2112</v>
      </c>
      <c r="E956" s="175" t="s">
        <v>2113</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1625</v>
      </c>
      <c r="AX956" s="174" t="s">
        <v>1041</v>
      </c>
      <c r="AY956" s="178">
        <v>0</v>
      </c>
      <c r="AZ956" s="178">
        <v>21201040</v>
      </c>
      <c r="BA956" s="175" t="s">
        <v>1174</v>
      </c>
      <c r="BB956" s="203" t="s">
        <v>2124</v>
      </c>
      <c r="BC956" s="176">
        <v>0</v>
      </c>
      <c r="BD956" s="176">
        <v>0</v>
      </c>
      <c r="BE956" s="208" t="s">
        <v>2125</v>
      </c>
      <c r="BF956" s="208" t="s">
        <v>2126</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spans="3:75" ht="19.5" customHeight="1">
      <c r="C957" s="174">
        <v>63023406</v>
      </c>
      <c r="D957" s="175" t="s">
        <v>2112</v>
      </c>
      <c r="E957" s="175" t="s">
        <v>2113</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1625</v>
      </c>
      <c r="AX957" s="174" t="s">
        <v>1041</v>
      </c>
      <c r="AY957" s="178">
        <v>0</v>
      </c>
      <c r="AZ957" s="178">
        <v>21201040</v>
      </c>
      <c r="BA957" s="175" t="s">
        <v>1174</v>
      </c>
      <c r="BB957" s="203" t="s">
        <v>2127</v>
      </c>
      <c r="BC957" s="176">
        <v>0</v>
      </c>
      <c r="BD957" s="176">
        <v>0</v>
      </c>
      <c r="BE957" s="208" t="s">
        <v>2128</v>
      </c>
      <c r="BF957" s="208" t="s">
        <v>2129</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spans="3:75" ht="20.100000000000001" customHeight="1">
      <c r="C958" s="174">
        <v>63023411</v>
      </c>
      <c r="D958" s="20" t="s">
        <v>1582</v>
      </c>
      <c r="E958" s="20" t="s">
        <v>1583</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1586</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spans="3:75" ht="20.100000000000001" customHeight="1">
      <c r="C959" s="213">
        <v>63023412</v>
      </c>
      <c r="D959" s="39" t="s">
        <v>2130</v>
      </c>
      <c r="E959" s="39" t="s">
        <v>2131</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2132</v>
      </c>
      <c r="BC959" s="31">
        <v>0</v>
      </c>
      <c r="BD959" s="31">
        <v>0</v>
      </c>
      <c r="BE959" s="216" t="s">
        <v>2133</v>
      </c>
      <c r="BF959" s="216" t="s">
        <v>2134</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spans="3:75" ht="20.25" customHeight="1">
      <c r="C960" s="174">
        <v>63023413</v>
      </c>
      <c r="D960" s="18" t="s">
        <v>2135</v>
      </c>
      <c r="E960" s="18" t="s">
        <v>2136</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1672</v>
      </c>
      <c r="AY960" s="19">
        <v>10000007</v>
      </c>
      <c r="AZ960" s="19">
        <v>23000080</v>
      </c>
      <c r="BA960" s="18" t="s">
        <v>200</v>
      </c>
      <c r="BB960" s="20" t="s">
        <v>198</v>
      </c>
      <c r="BC960" s="28">
        <v>0</v>
      </c>
      <c r="BD960" s="28">
        <v>0</v>
      </c>
      <c r="BE960" s="46" t="s">
        <v>2137</v>
      </c>
      <c r="BF960" s="46" t="s">
        <v>2138</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spans="1:75" ht="20.100000000000001" customHeight="1">
      <c r="C961" s="174">
        <v>63023414</v>
      </c>
      <c r="D961" s="18" t="s">
        <v>2139</v>
      </c>
      <c r="E961" s="18" t="s">
        <v>2140</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55" t="s">
        <v>2141</v>
      </c>
      <c r="AV961" s="13"/>
      <c r="AW961" s="18" t="s">
        <v>199</v>
      </c>
      <c r="AX961" s="13" t="s">
        <v>1672</v>
      </c>
      <c r="AY961" s="13" t="s">
        <v>198</v>
      </c>
      <c r="AZ961" s="13">
        <v>0</v>
      </c>
      <c r="BA961" s="14" t="s">
        <v>200</v>
      </c>
      <c r="BB961" s="13">
        <v>0</v>
      </c>
      <c r="BC961" s="28">
        <v>0</v>
      </c>
      <c r="BD961" s="28">
        <v>0</v>
      </c>
      <c r="BE961" s="46" t="s">
        <v>2142</v>
      </c>
      <c r="BF961" s="46" t="s">
        <v>2143</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spans="1:75" ht="20.100000000000001" customHeight="1">
      <c r="C962" s="174">
        <v>63023415</v>
      </c>
      <c r="D962" s="61" t="s">
        <v>2144</v>
      </c>
      <c r="E962" s="61" t="s">
        <v>2145</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2146</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2147</v>
      </c>
      <c r="BF962" s="92" t="s">
        <v>2148</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spans="1:75" ht="20.100000000000001" customHeight="1">
      <c r="C963" s="174">
        <v>63023416</v>
      </c>
      <c r="D963" s="18" t="s">
        <v>1764</v>
      </c>
      <c r="E963" s="18" t="s">
        <v>1765</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1916</v>
      </c>
      <c r="BC963" s="28">
        <v>0</v>
      </c>
      <c r="BD963" s="28">
        <v>0</v>
      </c>
      <c r="BE963" s="46" t="s">
        <v>1917</v>
      </c>
      <c r="BF963" s="46" t="s">
        <v>1918</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spans="1:75" ht="20.100000000000001" customHeight="1">
      <c r="C964" s="174">
        <v>63023417</v>
      </c>
      <c r="D964" s="18" t="s">
        <v>1764</v>
      </c>
      <c r="E964" s="18" t="s">
        <v>1765</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2149</v>
      </c>
      <c r="BC964" s="28">
        <v>0</v>
      </c>
      <c r="BD964" s="28">
        <v>0</v>
      </c>
      <c r="BE964" s="46" t="s">
        <v>2150</v>
      </c>
      <c r="BF964" s="46" t="s">
        <v>2151</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pans="1:75" s="1" customFormat="1" ht="19.5" customHeight="1">
      <c r="A965" s="218"/>
      <c r="B965" s="218"/>
      <c r="C965" s="66">
        <v>64011101</v>
      </c>
      <c r="D965" s="61" t="s">
        <v>1420</v>
      </c>
      <c r="E965" s="61" t="s">
        <v>2152</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1945</v>
      </c>
      <c r="AI965" s="70">
        <v>0</v>
      </c>
      <c r="AJ965" s="70">
        <v>3</v>
      </c>
      <c r="AK965" s="70">
        <v>0</v>
      </c>
      <c r="AL965" s="70">
        <v>2</v>
      </c>
      <c r="AM965" s="62">
        <v>0</v>
      </c>
      <c r="AN965" s="62">
        <v>0</v>
      </c>
      <c r="AO965" s="62">
        <v>0</v>
      </c>
      <c r="AP965" s="62">
        <v>0.2</v>
      </c>
      <c r="AQ965" s="62">
        <v>1000</v>
      </c>
      <c r="AR965" s="62">
        <v>0.2</v>
      </c>
      <c r="AS965" s="62">
        <v>15</v>
      </c>
      <c r="AT965" s="70">
        <v>0</v>
      </c>
      <c r="AU965" s="62"/>
      <c r="AV965" s="369" t="s">
        <v>2153</v>
      </c>
      <c r="AW965" s="20" t="s">
        <v>199</v>
      </c>
      <c r="AX965" s="62" t="s">
        <v>534</v>
      </c>
      <c r="AY965" s="66">
        <v>10000001</v>
      </c>
      <c r="AZ965" s="66">
        <v>21300010</v>
      </c>
      <c r="BA965" s="61" t="s">
        <v>586</v>
      </c>
      <c r="BB965" s="62" t="s">
        <v>2154</v>
      </c>
      <c r="BC965" s="70">
        <v>0</v>
      </c>
      <c r="BD965" s="70">
        <v>0</v>
      </c>
      <c r="BE965" s="186"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6" t="s">
        <v>2155</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64011102</v>
      </c>
      <c r="D966" s="61" t="s">
        <v>1420</v>
      </c>
      <c r="E966" s="61" t="s">
        <v>2152</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1945</v>
      </c>
      <c r="AI966" s="70">
        <v>0</v>
      </c>
      <c r="AJ966" s="70">
        <v>3</v>
      </c>
      <c r="AK966" s="70">
        <v>0</v>
      </c>
      <c r="AL966" s="70">
        <v>2</v>
      </c>
      <c r="AM966" s="62">
        <v>0</v>
      </c>
      <c r="AN966" s="62">
        <v>0</v>
      </c>
      <c r="AO966" s="62">
        <v>0</v>
      </c>
      <c r="AP966" s="62">
        <v>0.2</v>
      </c>
      <c r="AQ966" s="62">
        <v>1000</v>
      </c>
      <c r="AR966" s="62">
        <v>0.2</v>
      </c>
      <c r="AS966" s="62">
        <v>15</v>
      </c>
      <c r="AT966" s="70">
        <v>0</v>
      </c>
      <c r="AU966" s="62"/>
      <c r="AV966" s="369" t="s">
        <v>2153</v>
      </c>
      <c r="AW966" s="20" t="s">
        <v>199</v>
      </c>
      <c r="AX966" s="62" t="s">
        <v>534</v>
      </c>
      <c r="AY966" s="66">
        <v>10000001</v>
      </c>
      <c r="AZ966" s="66">
        <v>21300010</v>
      </c>
      <c r="BA966" s="61" t="s">
        <v>586</v>
      </c>
      <c r="BB966" s="62" t="s">
        <v>2154</v>
      </c>
      <c r="BC966" s="70">
        <v>0</v>
      </c>
      <c r="BD966" s="70">
        <v>0</v>
      </c>
      <c r="BE966" s="186"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6" t="s">
        <v>2155</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64011103</v>
      </c>
      <c r="D967" s="61" t="s">
        <v>1420</v>
      </c>
      <c r="E967" s="61" t="s">
        <v>2152</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2.2000000000000002</v>
      </c>
      <c r="Y967" s="13">
        <v>0</v>
      </c>
      <c r="Z967" s="62">
        <v>1500</v>
      </c>
      <c r="AA967" s="62">
        <v>0</v>
      </c>
      <c r="AB967" s="62">
        <v>0</v>
      </c>
      <c r="AC967" s="62">
        <v>0</v>
      </c>
      <c r="AD967" s="62">
        <v>0</v>
      </c>
      <c r="AE967" s="62">
        <v>0</v>
      </c>
      <c r="AF967" s="62">
        <v>7</v>
      </c>
      <c r="AG967" s="62">
        <v>2</v>
      </c>
      <c r="AH967" s="81" t="s">
        <v>1945</v>
      </c>
      <c r="AI967" s="70">
        <v>0</v>
      </c>
      <c r="AJ967" s="70">
        <v>3</v>
      </c>
      <c r="AK967" s="70">
        <v>0</v>
      </c>
      <c r="AL967" s="70">
        <v>2</v>
      </c>
      <c r="AM967" s="62">
        <v>0</v>
      </c>
      <c r="AN967" s="62">
        <v>0</v>
      </c>
      <c r="AO967" s="62">
        <v>0</v>
      </c>
      <c r="AP967" s="62">
        <v>0.2</v>
      </c>
      <c r="AQ967" s="62">
        <v>1000</v>
      </c>
      <c r="AR967" s="62">
        <v>0.2</v>
      </c>
      <c r="AS967" s="62">
        <v>15</v>
      </c>
      <c r="AT967" s="70">
        <v>0</v>
      </c>
      <c r="AU967" s="62"/>
      <c r="AV967" s="369" t="s">
        <v>2153</v>
      </c>
      <c r="AW967" s="20" t="s">
        <v>199</v>
      </c>
      <c r="AX967" s="62" t="s">
        <v>534</v>
      </c>
      <c r="AY967" s="66">
        <v>10000001</v>
      </c>
      <c r="AZ967" s="66">
        <v>21300010</v>
      </c>
      <c r="BA967" s="61" t="s">
        <v>586</v>
      </c>
      <c r="BB967" s="62" t="s">
        <v>2154</v>
      </c>
      <c r="BC967" s="70">
        <v>0</v>
      </c>
      <c r="BD967" s="70">
        <v>0</v>
      </c>
      <c r="BE967" s="186" t="str">
        <f t="shared" si="111"/>
        <v>将手中的武器幻化成魔法,对指定前方区域内的目标造成220%攻击伤害+1500点固定伤害,并附带魔法印记,其状态每秒会对目标造成30%伤害,持续6秒.此印记可以叠加</v>
      </c>
      <c r="BF967" s="186" t="s">
        <v>2156</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1" customFormat="1" ht="19.5" customHeight="1">
      <c r="A968" s="218"/>
      <c r="B968" s="218"/>
      <c r="C968" s="66">
        <v>64011104</v>
      </c>
      <c r="D968" s="61" t="s">
        <v>1420</v>
      </c>
      <c r="E968" s="61" t="s">
        <v>2152</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1945</v>
      </c>
      <c r="AI968" s="70">
        <v>0</v>
      </c>
      <c r="AJ968" s="70">
        <v>3</v>
      </c>
      <c r="AK968" s="70">
        <v>0</v>
      </c>
      <c r="AL968" s="70">
        <v>2</v>
      </c>
      <c r="AM968" s="62">
        <v>0</v>
      </c>
      <c r="AN968" s="62">
        <v>0</v>
      </c>
      <c r="AO968" s="62">
        <v>0</v>
      </c>
      <c r="AP968" s="62">
        <v>0.2</v>
      </c>
      <c r="AQ968" s="62">
        <v>1000</v>
      </c>
      <c r="AR968" s="62">
        <v>0.2</v>
      </c>
      <c r="AS968" s="62">
        <v>15</v>
      </c>
      <c r="AT968" s="70">
        <v>0</v>
      </c>
      <c r="AU968" s="62"/>
      <c r="AV968" s="369" t="s">
        <v>2153</v>
      </c>
      <c r="AW968" s="20" t="s">
        <v>199</v>
      </c>
      <c r="AX968" s="62" t="s">
        <v>534</v>
      </c>
      <c r="AY968" s="66">
        <v>10000001</v>
      </c>
      <c r="AZ968" s="66">
        <v>21300010</v>
      </c>
      <c r="BA968" s="61" t="s">
        <v>586</v>
      </c>
      <c r="BB968" s="62" t="s">
        <v>2154</v>
      </c>
      <c r="BC968" s="70">
        <v>0</v>
      </c>
      <c r="BD968" s="70">
        <v>0</v>
      </c>
      <c r="BE968" s="186" t="str">
        <f t="shared" si="111"/>
        <v>将手中的武器幻化成魔法,对指定前方区域内的目标造成240%攻击伤害+2250点固定伤害,并附带魔法印记,其状态每秒会对目标造成30%伤害,持续6秒.此印记可以叠加</v>
      </c>
      <c r="BF968" s="186" t="s">
        <v>2157</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pans="1:75" s="1" customFormat="1" ht="19.5" customHeight="1">
      <c r="A969" s="218"/>
      <c r="B969" s="218"/>
      <c r="C969" s="66">
        <v>64011105</v>
      </c>
      <c r="D969" s="61" t="s">
        <v>1420</v>
      </c>
      <c r="E969" s="61" t="s">
        <v>2152</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1945</v>
      </c>
      <c r="AI969" s="70">
        <v>0</v>
      </c>
      <c r="AJ969" s="70">
        <v>3</v>
      </c>
      <c r="AK969" s="70">
        <v>0</v>
      </c>
      <c r="AL969" s="70">
        <v>2</v>
      </c>
      <c r="AM969" s="62">
        <v>0</v>
      </c>
      <c r="AN969" s="62">
        <v>0</v>
      </c>
      <c r="AO969" s="62">
        <v>0</v>
      </c>
      <c r="AP969" s="62">
        <v>0.2</v>
      </c>
      <c r="AQ969" s="62">
        <v>1000</v>
      </c>
      <c r="AR969" s="62">
        <v>0.2</v>
      </c>
      <c r="AS969" s="62">
        <v>15</v>
      </c>
      <c r="AT969" s="70">
        <v>0</v>
      </c>
      <c r="AU969" s="62"/>
      <c r="AV969" s="369" t="s">
        <v>2153</v>
      </c>
      <c r="AW969" s="20" t="s">
        <v>199</v>
      </c>
      <c r="AX969" s="62" t="s">
        <v>534</v>
      </c>
      <c r="AY969" s="66">
        <v>10000001</v>
      </c>
      <c r="AZ969" s="66">
        <v>21300010</v>
      </c>
      <c r="BA969" s="61" t="s">
        <v>586</v>
      </c>
      <c r="BB969" s="62" t="s">
        <v>2154</v>
      </c>
      <c r="BC969" s="70">
        <v>0</v>
      </c>
      <c r="BD969" s="70">
        <v>0</v>
      </c>
      <c r="BE969" s="186" t="str">
        <f t="shared" si="111"/>
        <v>将手中的武器幻化成魔法,对指定前方区域内的目标造成260%攻击伤害+3250点固定伤害,并附带魔法印记,其状态每秒会对目标造成30%伤害,持续6秒.此印记可以叠加</v>
      </c>
      <c r="BF969" s="186" t="s">
        <v>2158</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pans="1:75" s="1" customFormat="1" ht="19.5" customHeight="1">
      <c r="A970" s="218"/>
      <c r="B970" s="218"/>
      <c r="C970" s="66">
        <v>64011106</v>
      </c>
      <c r="D970" s="61" t="s">
        <v>1420</v>
      </c>
      <c r="E970" s="61" t="s">
        <v>2152</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1945</v>
      </c>
      <c r="AI970" s="70">
        <v>0</v>
      </c>
      <c r="AJ970" s="70">
        <v>3</v>
      </c>
      <c r="AK970" s="70">
        <v>0</v>
      </c>
      <c r="AL970" s="70">
        <v>2</v>
      </c>
      <c r="AM970" s="62">
        <v>0</v>
      </c>
      <c r="AN970" s="62">
        <v>0</v>
      </c>
      <c r="AO970" s="62">
        <v>0</v>
      </c>
      <c r="AP970" s="62">
        <v>0.2</v>
      </c>
      <c r="AQ970" s="62">
        <v>1000</v>
      </c>
      <c r="AR970" s="62">
        <v>0.2</v>
      </c>
      <c r="AS970" s="62">
        <v>15</v>
      </c>
      <c r="AT970" s="70">
        <v>0</v>
      </c>
      <c r="AU970" s="62"/>
      <c r="AV970" s="369" t="s">
        <v>2153</v>
      </c>
      <c r="AW970" s="20" t="s">
        <v>199</v>
      </c>
      <c r="AX970" s="62" t="s">
        <v>534</v>
      </c>
      <c r="AY970" s="66">
        <v>10000001</v>
      </c>
      <c r="AZ970" s="66">
        <v>21300010</v>
      </c>
      <c r="BA970" s="61" t="s">
        <v>586</v>
      </c>
      <c r="BB970" s="62" t="s">
        <v>2154</v>
      </c>
      <c r="BC970" s="70">
        <v>0</v>
      </c>
      <c r="BD970" s="70">
        <v>0</v>
      </c>
      <c r="BE970" s="186" t="str">
        <f t="shared" si="111"/>
        <v>将手中的武器幻化成魔法,对指定前方区域内的目标造成280%攻击伤害+4250点固定伤害,并附带魔法印记,其状态每秒会对目标造成30%伤害,持续6秒.此印记可以叠加</v>
      </c>
      <c r="BF970" s="186" t="s">
        <v>2159</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pans="1:75" s="2" customFormat="1" ht="19.5" customHeight="1">
      <c r="A971" s="219"/>
      <c r="B971" s="219"/>
      <c r="C971" s="102">
        <v>64011201</v>
      </c>
      <c r="D971" s="101" t="s">
        <v>1427</v>
      </c>
      <c r="E971" s="101" t="s">
        <v>1428</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2160</v>
      </c>
      <c r="AV971" s="116"/>
      <c r="AW971" s="20" t="s">
        <v>199</v>
      </c>
      <c r="AX971" s="103" t="s">
        <v>545</v>
      </c>
      <c r="AY971" s="102">
        <v>10000001</v>
      </c>
      <c r="AZ971" s="66">
        <v>21300020</v>
      </c>
      <c r="BA971" s="20" t="s">
        <v>200</v>
      </c>
      <c r="BB971" s="103">
        <v>0</v>
      </c>
      <c r="BC971" s="107">
        <v>0</v>
      </c>
      <c r="BD971" s="107">
        <v>0</v>
      </c>
      <c r="BE971" s="186"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6" t="s">
        <v>2161</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2162</v>
      </c>
      <c r="BV971" s="49"/>
      <c r="BW971" s="49"/>
    </row>
    <row r="972" spans="1:75" s="2" customFormat="1" ht="19.5" customHeight="1">
      <c r="A972" s="219"/>
      <c r="B972" s="219"/>
      <c r="C972" s="102">
        <v>64011202</v>
      </c>
      <c r="D972" s="101" t="s">
        <v>1427</v>
      </c>
      <c r="E972" s="101" t="s">
        <v>1428</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2160</v>
      </c>
      <c r="AV972" s="116"/>
      <c r="AW972" s="20" t="s">
        <v>199</v>
      </c>
      <c r="AX972" s="103" t="s">
        <v>545</v>
      </c>
      <c r="AY972" s="102">
        <v>10000001</v>
      </c>
      <c r="AZ972" s="66">
        <v>21300020</v>
      </c>
      <c r="BA972" s="20" t="s">
        <v>200</v>
      </c>
      <c r="BB972" s="103">
        <v>0</v>
      </c>
      <c r="BC972" s="107">
        <v>0</v>
      </c>
      <c r="BD972" s="107">
        <v>0</v>
      </c>
      <c r="BE972" s="186"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6" t="s">
        <v>2161</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2162</v>
      </c>
      <c r="BV972" s="49"/>
      <c r="BW972" s="49"/>
    </row>
    <row r="973" spans="1:75" s="2" customFormat="1" ht="19.5" customHeight="1">
      <c r="A973" s="219"/>
      <c r="B973" s="219"/>
      <c r="C973" s="102">
        <v>64011203</v>
      </c>
      <c r="D973" s="101" t="s">
        <v>1427</v>
      </c>
      <c r="E973" s="101" t="s">
        <v>1428</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2160</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运用自己擅长的魔法,立即对附近区域内的目标造成225%攻击伤害+1500点固定伤害,并使其眩晕1秒.如果目标有魔法印记状态则对目标额外造成30%*层数的伤害</v>
      </c>
      <c r="BF973" s="186" t="s">
        <v>2163</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2162</v>
      </c>
      <c r="BV973" s="49"/>
      <c r="BW973" s="49"/>
    </row>
    <row r="974" spans="1:75" s="2" customFormat="1" ht="19.5" customHeight="1">
      <c r="A974" s="219"/>
      <c r="B974" s="219"/>
      <c r="C974" s="102">
        <v>64011204</v>
      </c>
      <c r="D974" s="101" t="s">
        <v>1427</v>
      </c>
      <c r="E974" s="101" t="s">
        <v>1428</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53" t="s">
        <v>2160</v>
      </c>
      <c r="AV974" s="116"/>
      <c r="AW974" s="20" t="s">
        <v>199</v>
      </c>
      <c r="AX974" s="103" t="s">
        <v>545</v>
      </c>
      <c r="AY974" s="102">
        <v>10000001</v>
      </c>
      <c r="AZ974" s="66">
        <v>21300020</v>
      </c>
      <c r="BA974" s="20" t="s">
        <v>200</v>
      </c>
      <c r="BB974" s="103">
        <v>0</v>
      </c>
      <c r="BC974" s="107">
        <v>0</v>
      </c>
      <c r="BD974" s="107">
        <v>0</v>
      </c>
      <c r="BE974" s="186" t="str">
        <f t="shared" si="112"/>
        <v>运用自己擅长的魔法,立即对附近区域内的目标造成250%攻击伤害+2250点固定伤害,并使其眩晕1秒.如果目标有魔法印记状态则对目标额外造成30%*层数的伤害</v>
      </c>
      <c r="BF974" s="186" t="s">
        <v>2164</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49" t="s">
        <v>2162</v>
      </c>
      <c r="BV974" s="49"/>
      <c r="BW974" s="49"/>
    </row>
    <row r="975" spans="1:75" s="2" customFormat="1" ht="19.5" customHeight="1">
      <c r="A975" s="219"/>
      <c r="B975" s="219"/>
      <c r="C975" s="102">
        <v>64011205</v>
      </c>
      <c r="D975" s="101" t="s">
        <v>1427</v>
      </c>
      <c r="E975" s="101" t="s">
        <v>1428</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53" t="s">
        <v>2160</v>
      </c>
      <c r="AV975" s="116"/>
      <c r="AW975" s="20" t="s">
        <v>199</v>
      </c>
      <c r="AX975" s="103" t="s">
        <v>545</v>
      </c>
      <c r="AY975" s="102">
        <v>10000001</v>
      </c>
      <c r="AZ975" s="66">
        <v>21300020</v>
      </c>
      <c r="BA975" s="20" t="s">
        <v>200</v>
      </c>
      <c r="BB975" s="103">
        <v>0</v>
      </c>
      <c r="BC975" s="107">
        <v>0</v>
      </c>
      <c r="BD975" s="107">
        <v>0</v>
      </c>
      <c r="BE975" s="186" t="str">
        <f t="shared" si="112"/>
        <v>运用自己擅长的魔法,立即对附近区域内的目标造成275%攻击伤害+3250点固定伤害,并使其眩晕1秒.如果目标有魔法印记状态则对目标额外造成30%*层数的伤害</v>
      </c>
      <c r="BF975" s="186" t="s">
        <v>2165</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49" t="s">
        <v>2162</v>
      </c>
      <c r="BV975" s="49"/>
      <c r="BW975" s="49"/>
    </row>
    <row r="976" spans="1:75" s="2" customFormat="1" ht="19.5" customHeight="1">
      <c r="A976" s="219"/>
      <c r="B976" s="219"/>
      <c r="C976" s="102">
        <v>64011206</v>
      </c>
      <c r="D976" s="101" t="s">
        <v>1427</v>
      </c>
      <c r="E976" s="101" t="s">
        <v>1428</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53" t="s">
        <v>2160</v>
      </c>
      <c r="AV976" s="116"/>
      <c r="AW976" s="20" t="s">
        <v>199</v>
      </c>
      <c r="AX976" s="103" t="s">
        <v>545</v>
      </c>
      <c r="AY976" s="102">
        <v>10000001</v>
      </c>
      <c r="AZ976" s="66">
        <v>21300020</v>
      </c>
      <c r="BA976" s="20" t="s">
        <v>200</v>
      </c>
      <c r="BB976" s="103">
        <v>0</v>
      </c>
      <c r="BC976" s="107">
        <v>0</v>
      </c>
      <c r="BD976" s="107">
        <v>0</v>
      </c>
      <c r="BE976" s="186" t="str">
        <f t="shared" si="112"/>
        <v>运用自己擅长的魔法,立即对附近区域内的目标造成300%攻击伤害+4250点固定伤害,并使其眩晕1秒.如果目标有魔法印记状态则对目标额外造成30%*层数的伤害</v>
      </c>
      <c r="BF976" s="186" t="s">
        <v>2166</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49" t="s">
        <v>2162</v>
      </c>
      <c r="BV976" s="49"/>
      <c r="BW976" s="49"/>
    </row>
    <row r="977" spans="1:75" s="1" customFormat="1" ht="19.5" customHeight="1">
      <c r="A977" s="218"/>
      <c r="B977" s="218"/>
      <c r="C977" s="66">
        <v>64011301</v>
      </c>
      <c r="D977" s="61" t="s">
        <v>2167</v>
      </c>
      <c r="E977" s="61" t="s">
        <v>2168</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2169</v>
      </c>
      <c r="BC977" s="68">
        <v>0</v>
      </c>
      <c r="BD977" s="68">
        <v>0</v>
      </c>
      <c r="BE977" s="92" t="s">
        <v>2170</v>
      </c>
      <c r="BF977" s="92" t="s">
        <v>2171</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64011302</v>
      </c>
      <c r="D978" s="61" t="s">
        <v>2167</v>
      </c>
      <c r="E978" s="61" t="s">
        <v>2168</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2169</v>
      </c>
      <c r="BC978" s="68">
        <v>0</v>
      </c>
      <c r="BD978" s="68">
        <v>0</v>
      </c>
      <c r="BE978" s="92" t="s">
        <v>2170</v>
      </c>
      <c r="BF978" s="92" t="s">
        <v>2171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64011303</v>
      </c>
      <c r="D979" s="61" t="s">
        <v>2167</v>
      </c>
      <c r="E979" s="61" t="s">
        <v>2168</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2172</v>
      </c>
      <c r="BC979" s="68">
        <v>0</v>
      </c>
      <c r="BD979" s="68">
        <v>0</v>
      </c>
      <c r="BE979" s="92" t="s">
        <v>2173</v>
      </c>
      <c r="BF979" s="92" t="s">
        <v>2174</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1" customFormat="1" ht="19.5" customHeight="1">
      <c r="A980" s="218"/>
      <c r="B980" s="218"/>
      <c r="C980" s="66">
        <v>64011304</v>
      </c>
      <c r="D980" s="61" t="s">
        <v>2167</v>
      </c>
      <c r="E980" s="61" t="s">
        <v>2168</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69" t="s">
        <v>2175</v>
      </c>
      <c r="BC980" s="68">
        <v>0</v>
      </c>
      <c r="BD980" s="68">
        <v>0</v>
      </c>
      <c r="BE980" s="92" t="s">
        <v>2176</v>
      </c>
      <c r="BF980" s="92" t="s">
        <v>2177</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pans="1:75" s="1" customFormat="1" ht="19.5" customHeight="1">
      <c r="A981" s="218"/>
      <c r="B981" s="218"/>
      <c r="C981" s="66">
        <v>64011305</v>
      </c>
      <c r="D981" s="61" t="s">
        <v>2167</v>
      </c>
      <c r="E981" s="61" t="s">
        <v>2168</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69" t="s">
        <v>2178</v>
      </c>
      <c r="BC981" s="68">
        <v>0</v>
      </c>
      <c r="BD981" s="68">
        <v>0</v>
      </c>
      <c r="BE981" s="92" t="s">
        <v>2179</v>
      </c>
      <c r="BF981" s="92" t="s">
        <v>2180</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pans="1:75" s="1" customFormat="1" ht="19.5" customHeight="1">
      <c r="A982" s="218"/>
      <c r="B982" s="218"/>
      <c r="C982" s="66">
        <v>64011306</v>
      </c>
      <c r="D982" s="61" t="s">
        <v>2167</v>
      </c>
      <c r="E982" s="61" t="s">
        <v>2168</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69" t="s">
        <v>2181</v>
      </c>
      <c r="BC982" s="68">
        <v>0</v>
      </c>
      <c r="BD982" s="68">
        <v>0</v>
      </c>
      <c r="BE982" s="92" t="s">
        <v>2182</v>
      </c>
      <c r="BF982" s="92" t="s">
        <v>2183</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pans="1:75" s="3" customFormat="1" ht="20.100000000000001" customHeight="1">
      <c r="A983" s="220"/>
      <c r="B983" s="220"/>
      <c r="C983" s="221">
        <v>64011401</v>
      </c>
      <c r="D983" s="222" t="s">
        <v>2184</v>
      </c>
      <c r="E983" s="223" t="s">
        <v>2185</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70" t="s">
        <v>2160</v>
      </c>
      <c r="AV983" s="228"/>
      <c r="AW983" s="229" t="s">
        <v>198</v>
      </c>
      <c r="AX983" s="225" t="s">
        <v>545</v>
      </c>
      <c r="AY983" s="221">
        <v>10000001</v>
      </c>
      <c r="AZ983" s="66">
        <v>77005002</v>
      </c>
      <c r="BA983" s="222" t="s">
        <v>200</v>
      </c>
      <c r="BB983" s="225">
        <v>0</v>
      </c>
      <c r="BC983" s="226">
        <v>0</v>
      </c>
      <c r="BD983" s="226">
        <v>0</v>
      </c>
      <c r="BE983" s="230" t="s">
        <v>2186</v>
      </c>
      <c r="BF983" s="230" t="s">
        <v>2187</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pans="1:75" s="3" customFormat="1" ht="20.100000000000001" customHeight="1">
      <c r="C984" s="221">
        <v>64011501</v>
      </c>
      <c r="D984" s="222" t="s">
        <v>2188</v>
      </c>
      <c r="E984" s="223" t="s">
        <v>2189</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2190</v>
      </c>
      <c r="BF984" s="230" t="s">
        <v>2191</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pans="1:75" s="3" customFormat="1" ht="20.100000000000001" customHeight="1">
      <c r="A985" s="220"/>
      <c r="B985" s="220"/>
      <c r="C985" s="221">
        <v>64011502</v>
      </c>
      <c r="D985" s="222" t="s">
        <v>2192</v>
      </c>
      <c r="E985" s="223" t="s">
        <v>2193</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70" t="s">
        <v>2160</v>
      </c>
      <c r="AV985" s="228"/>
      <c r="AW985" s="229" t="s">
        <v>198</v>
      </c>
      <c r="AX985" s="225" t="s">
        <v>545</v>
      </c>
      <c r="AY985" s="221">
        <v>10000001</v>
      </c>
      <c r="AZ985" s="66">
        <v>77005002</v>
      </c>
      <c r="BA985" s="222" t="s">
        <v>200</v>
      </c>
      <c r="BB985" s="225">
        <v>0</v>
      </c>
      <c r="BC985" s="226">
        <v>0</v>
      </c>
      <c r="BD985" s="226">
        <v>0</v>
      </c>
      <c r="BE985" s="230" t="s">
        <v>2186</v>
      </c>
      <c r="BF985" s="230" t="s">
        <v>2187</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pans="1:75" s="3" customFormat="1" ht="20.100000000000001" customHeight="1">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2190</v>
      </c>
      <c r="BF986" s="230" t="s">
        <v>2191</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pans="1:75" s="3" customFormat="1" ht="20.100000000000001" customHeight="1">
      <c r="A987" s="220"/>
      <c r="B987" s="220"/>
      <c r="C987" s="221">
        <v>64011504</v>
      </c>
      <c r="D987" s="222" t="s">
        <v>2192</v>
      </c>
      <c r="E987" s="223" t="s">
        <v>2193</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70" t="s">
        <v>2160</v>
      </c>
      <c r="AV987" s="228"/>
      <c r="AW987" s="229" t="s">
        <v>198</v>
      </c>
      <c r="AX987" s="225" t="s">
        <v>545</v>
      </c>
      <c r="AY987" s="221">
        <v>10000001</v>
      </c>
      <c r="AZ987" s="66">
        <v>77005002</v>
      </c>
      <c r="BA987" s="222" t="s">
        <v>200</v>
      </c>
      <c r="BB987" s="225">
        <v>0</v>
      </c>
      <c r="BC987" s="226">
        <v>0</v>
      </c>
      <c r="BD987" s="226">
        <v>0</v>
      </c>
      <c r="BE987" s="230" t="s">
        <v>2186</v>
      </c>
      <c r="BF987" s="230" t="s">
        <v>2187</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pans="1:75" s="3" customFormat="1" ht="20.100000000000001" customHeight="1">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2190</v>
      </c>
      <c r="BF988" s="230" t="s">
        <v>2191</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pans="1:75" s="3" customFormat="1" ht="20.100000000000001" customHeight="1">
      <c r="A989" s="220"/>
      <c r="B989" s="220"/>
      <c r="C989" s="221">
        <v>64011506</v>
      </c>
      <c r="D989" s="222" t="s">
        <v>2192</v>
      </c>
      <c r="E989" s="223" t="s">
        <v>2193</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70" t="s">
        <v>2160</v>
      </c>
      <c r="AV989" s="228"/>
      <c r="AW989" s="229" t="s">
        <v>198</v>
      </c>
      <c r="AX989" s="225" t="s">
        <v>545</v>
      </c>
      <c r="AY989" s="221">
        <v>10000001</v>
      </c>
      <c r="AZ989" s="66">
        <v>77005002</v>
      </c>
      <c r="BA989" s="222" t="s">
        <v>200</v>
      </c>
      <c r="BB989" s="225">
        <v>0</v>
      </c>
      <c r="BC989" s="226">
        <v>0</v>
      </c>
      <c r="BD989" s="226">
        <v>0</v>
      </c>
      <c r="BE989" s="230" t="s">
        <v>2186</v>
      </c>
      <c r="BF989" s="230" t="s">
        <v>2187</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pans="1:75" s="1" customFormat="1" ht="19.5" customHeight="1">
      <c r="A990" s="218"/>
      <c r="B990" s="218"/>
      <c r="C990" s="221">
        <v>64011507</v>
      </c>
      <c r="D990" s="61" t="s">
        <v>2194</v>
      </c>
      <c r="E990" s="61" t="s">
        <v>2195</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1945</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2154</v>
      </c>
      <c r="BC990" s="70">
        <v>0</v>
      </c>
      <c r="BD990" s="70">
        <v>0</v>
      </c>
      <c r="BE990" s="186"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6" t="s">
        <v>2155</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pans="1:75" s="2" customFormat="1" ht="19.5" customHeight="1">
      <c r="A991" s="219"/>
      <c r="B991" s="219"/>
      <c r="C991" s="102">
        <v>64012101</v>
      </c>
      <c r="D991" s="101" t="s">
        <v>2196</v>
      </c>
      <c r="E991" s="101" t="s">
        <v>2197</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2198</v>
      </c>
      <c r="AV991" s="369" t="s">
        <v>2153</v>
      </c>
      <c r="AW991" s="20" t="s">
        <v>199</v>
      </c>
      <c r="AX991" s="103" t="s">
        <v>534</v>
      </c>
      <c r="AY991" s="102">
        <v>10000001</v>
      </c>
      <c r="AZ991" s="66">
        <v>21300110</v>
      </c>
      <c r="BA991" s="101" t="s">
        <v>2199</v>
      </c>
      <c r="BB991" s="103" t="s">
        <v>2200</v>
      </c>
      <c r="BC991" s="108">
        <v>0</v>
      </c>
      <c r="BD991" s="108">
        <v>0</v>
      </c>
      <c r="BE991" s="186"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6" t="s">
        <v>2201</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64012102</v>
      </c>
      <c r="D992" s="101" t="s">
        <v>2196</v>
      </c>
      <c r="E992" s="101" t="s">
        <v>2197</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2198</v>
      </c>
      <c r="AV992" s="369" t="s">
        <v>2153</v>
      </c>
      <c r="AW992" s="20" t="s">
        <v>199</v>
      </c>
      <c r="AX992" s="103" t="s">
        <v>534</v>
      </c>
      <c r="AY992" s="102">
        <v>10000001</v>
      </c>
      <c r="AZ992" s="66">
        <v>21300110</v>
      </c>
      <c r="BA992" s="101" t="s">
        <v>2199</v>
      </c>
      <c r="BB992" s="103" t="s">
        <v>2200</v>
      </c>
      <c r="BC992" s="108">
        <v>0</v>
      </c>
      <c r="BD992" s="108">
        <v>0</v>
      </c>
      <c r="BE992" s="186"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6" t="s">
        <v>2201</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64012103</v>
      </c>
      <c r="D993" s="101" t="s">
        <v>2196</v>
      </c>
      <c r="E993" s="101" t="s">
        <v>2197</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2.2000000000000002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2198</v>
      </c>
      <c r="AV993" s="369" t="s">
        <v>2153</v>
      </c>
      <c r="AW993" s="20" t="s">
        <v>199</v>
      </c>
      <c r="AX993" s="103" t="s">
        <v>534</v>
      </c>
      <c r="AY993" s="102">
        <v>10000001</v>
      </c>
      <c r="AZ993" s="66">
        <v>21300110</v>
      </c>
      <c r="BA993" s="101" t="s">
        <v>2199</v>
      </c>
      <c r="BB993" s="103" t="s">
        <v>2200</v>
      </c>
      <c r="BC993" s="108">
        <v>0</v>
      </c>
      <c r="BD993" s="108">
        <v>0</v>
      </c>
      <c r="BE993" s="186" t="str">
        <f t="shared" si="114"/>
        <v>向前方投掷一个冰魔球,魔球会向前方推进且对附近区域内的目标造成220%攻击伤害+1500点固定伤害,且给目标附加一层魔法印记,并使移动速度降低50%,持续5秒</v>
      </c>
      <c r="BF993" s="186" t="s">
        <v>2202</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2" customFormat="1" ht="19.5" customHeight="1">
      <c r="A994" s="219"/>
      <c r="B994" s="219"/>
      <c r="C994" s="102">
        <v>64012104</v>
      </c>
      <c r="D994" s="101" t="s">
        <v>2196</v>
      </c>
      <c r="E994" s="101" t="s">
        <v>2197</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54" t="s">
        <v>2198</v>
      </c>
      <c r="AV994" s="369" t="s">
        <v>2153</v>
      </c>
      <c r="AW994" s="20" t="s">
        <v>199</v>
      </c>
      <c r="AX994" s="103" t="s">
        <v>534</v>
      </c>
      <c r="AY994" s="102">
        <v>10000001</v>
      </c>
      <c r="AZ994" s="66">
        <v>21300110</v>
      </c>
      <c r="BA994" s="101" t="s">
        <v>2199</v>
      </c>
      <c r="BB994" s="103" t="s">
        <v>2200</v>
      </c>
      <c r="BC994" s="108">
        <v>0</v>
      </c>
      <c r="BD994" s="108">
        <v>0</v>
      </c>
      <c r="BE994" s="186" t="str">
        <f t="shared" si="114"/>
        <v>向前方投掷一个冰魔球,魔球会向前方推进且对附近区域内的目标造成240%攻击伤害+2250点固定伤害,且给目标附加一层魔法印记,并使移动速度降低50%,持续5秒</v>
      </c>
      <c r="BF994" s="186" t="s">
        <v>2203</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pans="1:75" s="2" customFormat="1" ht="19.5" customHeight="1">
      <c r="A995" s="219"/>
      <c r="B995" s="219"/>
      <c r="C995" s="102">
        <v>64012105</v>
      </c>
      <c r="D995" s="101" t="s">
        <v>2196</v>
      </c>
      <c r="E995" s="101" t="s">
        <v>2197</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54" t="s">
        <v>2198</v>
      </c>
      <c r="AV995" s="369" t="s">
        <v>2153</v>
      </c>
      <c r="AW995" s="20" t="s">
        <v>199</v>
      </c>
      <c r="AX995" s="103" t="s">
        <v>534</v>
      </c>
      <c r="AY995" s="102">
        <v>10000001</v>
      </c>
      <c r="AZ995" s="66">
        <v>21300110</v>
      </c>
      <c r="BA995" s="101" t="s">
        <v>2199</v>
      </c>
      <c r="BB995" s="103" t="s">
        <v>2200</v>
      </c>
      <c r="BC995" s="108">
        <v>0</v>
      </c>
      <c r="BD995" s="108">
        <v>0</v>
      </c>
      <c r="BE995" s="186" t="str">
        <f t="shared" si="114"/>
        <v>向前方投掷一个冰魔球,魔球会向前方推进且对附近区域内的目标造成260%攻击伤害+3250点固定伤害,且给目标附加一层魔法印记,并使移动速度降低50%,持续5秒</v>
      </c>
      <c r="BF995" s="186" t="s">
        <v>2204</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pans="1:75" s="2" customFormat="1" ht="19.5" customHeight="1">
      <c r="A996" s="219"/>
      <c r="B996" s="219"/>
      <c r="C996" s="102">
        <v>64012106</v>
      </c>
      <c r="D996" s="101" t="s">
        <v>2196</v>
      </c>
      <c r="E996" s="101" t="s">
        <v>2197</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54" t="s">
        <v>2198</v>
      </c>
      <c r="AV996" s="369" t="s">
        <v>2153</v>
      </c>
      <c r="AW996" s="20" t="s">
        <v>199</v>
      </c>
      <c r="AX996" s="103" t="s">
        <v>534</v>
      </c>
      <c r="AY996" s="102">
        <v>10000001</v>
      </c>
      <c r="AZ996" s="66">
        <v>21300110</v>
      </c>
      <c r="BA996" s="101" t="s">
        <v>2199</v>
      </c>
      <c r="BB996" s="103" t="s">
        <v>2200</v>
      </c>
      <c r="BC996" s="108">
        <v>0</v>
      </c>
      <c r="BD996" s="108">
        <v>0</v>
      </c>
      <c r="BE996" s="186" t="str">
        <f t="shared" si="114"/>
        <v>向前方投掷一个冰魔球,魔球会向前方推进且对附近区域内的目标造成280%攻击伤害+4250点固定伤害,且给目标附加一层魔法印记,并使移动速度降低50%,持续5秒</v>
      </c>
      <c r="BF996" s="186" t="s">
        <v>2205</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pans="1:75" s="1" customFormat="1" ht="20.100000000000001" customHeight="1">
      <c r="A997" s="218"/>
      <c r="B997" s="218"/>
      <c r="C997" s="66">
        <v>64012201</v>
      </c>
      <c r="D997" s="61" t="s">
        <v>2206</v>
      </c>
      <c r="E997" s="61" t="s">
        <v>2207</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6" t="s">
        <v>2208</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2162</v>
      </c>
      <c r="BV997" s="49"/>
      <c r="BW997" s="49"/>
    </row>
    <row r="998" spans="1:75" s="1" customFormat="1" ht="20.100000000000001" customHeight="1">
      <c r="A998" s="218"/>
      <c r="B998" s="218"/>
      <c r="C998" s="66">
        <v>64012202</v>
      </c>
      <c r="D998" s="61" t="s">
        <v>2206</v>
      </c>
      <c r="E998" s="61" t="s">
        <v>2207</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6" t="s">
        <v>2208</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2162</v>
      </c>
      <c r="BV998" s="49"/>
      <c r="BW998" s="49"/>
    </row>
    <row r="999" spans="1:75" s="1" customFormat="1" ht="20.100000000000001" customHeight="1">
      <c r="A999" s="218"/>
      <c r="B999" s="218"/>
      <c r="C999" s="66">
        <v>64012203</v>
      </c>
      <c r="D999" s="61" t="s">
        <v>2206</v>
      </c>
      <c r="E999" s="61" t="s">
        <v>2207</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运用自己擅长的魔法,立即对目标区域内的目标造成225%攻击伤害+1500点固定伤害,并使其眩晕1秒.如果目标有魔法印记状态则对目标额外造成30%*层数的伤害</v>
      </c>
      <c r="BF999" s="186" t="s">
        <v>2209</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2162</v>
      </c>
      <c r="BV999" s="49"/>
      <c r="BW999" s="49"/>
    </row>
    <row r="1000" spans="1:75" s="1" customFormat="1" ht="20.100000000000001" customHeight="1">
      <c r="A1000" s="218"/>
      <c r="B1000" s="218"/>
      <c r="C1000" s="66">
        <v>64012204</v>
      </c>
      <c r="D1000" s="61" t="s">
        <v>2206</v>
      </c>
      <c r="E1000" s="61" t="s">
        <v>2207</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6" t="str">
        <f t="shared" si="115"/>
        <v>运用自己擅长的魔法,立即对目标区域内的目标造成250%攻击伤害+2250点固定伤害,并使其眩晕1秒.如果目标有魔法印记状态则对目标额外造成30%*层数的伤害</v>
      </c>
      <c r="BF1000" s="186" t="s">
        <v>2210</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49" t="s">
        <v>2162</v>
      </c>
      <c r="BV1000" s="49"/>
      <c r="BW1000" s="49"/>
    </row>
    <row r="1001" spans="1:75" s="1" customFormat="1" ht="20.100000000000001" customHeight="1">
      <c r="A1001" s="218"/>
      <c r="B1001" s="218"/>
      <c r="C1001" s="66">
        <v>64012205</v>
      </c>
      <c r="D1001" s="61" t="s">
        <v>2206</v>
      </c>
      <c r="E1001" s="61" t="s">
        <v>2207</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6" t="str">
        <f t="shared" si="115"/>
        <v>运用自己擅长的魔法,立即对目标区域内的目标造成275%攻击伤害+3250点固定伤害,并使其眩晕1秒.如果目标有魔法印记状态则对目标额外造成30%*层数的伤害</v>
      </c>
      <c r="BF1001" s="186" t="s">
        <v>2211</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49" t="s">
        <v>2162</v>
      </c>
      <c r="BV1001" s="49"/>
      <c r="BW1001" s="49"/>
    </row>
    <row r="1002" spans="1:75" s="1" customFormat="1" ht="20.100000000000001" customHeight="1">
      <c r="A1002" s="218"/>
      <c r="B1002" s="218"/>
      <c r="C1002" s="66">
        <v>64012206</v>
      </c>
      <c r="D1002" s="61" t="s">
        <v>2206</v>
      </c>
      <c r="E1002" s="61" t="s">
        <v>2207</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6" t="str">
        <f t="shared" si="115"/>
        <v>运用自己擅长的魔法,立即对目标区域内的目标造成300%攻击伤害+4250点固定伤害,并使其眩晕1秒.如果目标有魔法印记状态则对目标额外造成30%*层数的伤害</v>
      </c>
      <c r="BF1002" s="186" t="s">
        <v>2212</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49" t="s">
        <v>2162</v>
      </c>
      <c r="BV1002" s="49"/>
      <c r="BW1002" s="49"/>
    </row>
    <row r="1003" spans="1:75" s="2" customFormat="1" ht="20.100000000000001" customHeight="1">
      <c r="A1003" s="219"/>
      <c r="B1003" s="219"/>
      <c r="C1003" s="102">
        <v>64012301</v>
      </c>
      <c r="D1003" s="101" t="s">
        <v>2213</v>
      </c>
      <c r="E1003" s="101" t="s">
        <v>2214</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2153</v>
      </c>
      <c r="AW1003" s="20" t="s">
        <v>199</v>
      </c>
      <c r="AX1003" s="103" t="s">
        <v>545</v>
      </c>
      <c r="AY1003" s="102">
        <v>0</v>
      </c>
      <c r="AZ1003" s="66">
        <v>21300130</v>
      </c>
      <c r="BA1003" s="101" t="s">
        <v>2215</v>
      </c>
      <c r="BB1003" s="103" t="s">
        <v>2216</v>
      </c>
      <c r="BC1003" s="107">
        <v>0</v>
      </c>
      <c r="BD1003" s="107">
        <v>0</v>
      </c>
      <c r="BE1003" s="186"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6" t="s">
        <v>2217</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64012302</v>
      </c>
      <c r="D1004" s="101" t="s">
        <v>2213</v>
      </c>
      <c r="E1004" s="101" t="s">
        <v>2214</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2153</v>
      </c>
      <c r="AW1004" s="20" t="s">
        <v>199</v>
      </c>
      <c r="AX1004" s="103" t="s">
        <v>545</v>
      </c>
      <c r="AY1004" s="102">
        <v>0</v>
      </c>
      <c r="AZ1004" s="66">
        <v>21300130</v>
      </c>
      <c r="BA1004" s="101" t="s">
        <v>2215</v>
      </c>
      <c r="BB1004" s="103" t="s">
        <v>2216</v>
      </c>
      <c r="BC1004" s="107">
        <v>0</v>
      </c>
      <c r="BD1004" s="107">
        <v>0</v>
      </c>
      <c r="BE1004" s="186"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6" t="s">
        <v>2217</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64012303</v>
      </c>
      <c r="D1005" s="101" t="s">
        <v>2213</v>
      </c>
      <c r="E1005" s="101" t="s">
        <v>2214</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2153</v>
      </c>
      <c r="AW1005" s="20" t="s">
        <v>199</v>
      </c>
      <c r="AX1005" s="103" t="s">
        <v>545</v>
      </c>
      <c r="AY1005" s="102">
        <v>0</v>
      </c>
      <c r="AZ1005" s="66">
        <v>21300130</v>
      </c>
      <c r="BA1005" s="101" t="s">
        <v>2215</v>
      </c>
      <c r="BB1005" s="103" t="s">
        <v>2216</v>
      </c>
      <c r="BC1005" s="107">
        <v>0</v>
      </c>
      <c r="BD1005" s="107">
        <v>0</v>
      </c>
      <c r="BE1005" s="186" t="str">
        <f t="shared" si="116"/>
        <v>向前方投掷一个火魔球,魔球会向前方推进且遇到敌方目标会自动停止移动,对附近区域内的目标造成225%攻击伤害+1500点固定伤害,且给目标附加一层魔法印记,并触发灼烧效果</v>
      </c>
      <c r="BF1005" s="186" t="s">
        <v>2218</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2" customFormat="1" ht="20.100000000000001" customHeight="1">
      <c r="A1006" s="219"/>
      <c r="B1006" s="219"/>
      <c r="C1006" s="102">
        <v>64012304</v>
      </c>
      <c r="D1006" s="101" t="s">
        <v>2213</v>
      </c>
      <c r="E1006" s="101" t="s">
        <v>2214</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69" t="s">
        <v>2153</v>
      </c>
      <c r="AW1006" s="20" t="s">
        <v>199</v>
      </c>
      <c r="AX1006" s="103" t="s">
        <v>545</v>
      </c>
      <c r="AY1006" s="102">
        <v>0</v>
      </c>
      <c r="AZ1006" s="66">
        <v>21300130</v>
      </c>
      <c r="BA1006" s="101" t="s">
        <v>2215</v>
      </c>
      <c r="BB1006" s="103" t="s">
        <v>2216</v>
      </c>
      <c r="BC1006" s="107">
        <v>0</v>
      </c>
      <c r="BD1006" s="107">
        <v>0</v>
      </c>
      <c r="BE1006" s="186" t="str">
        <f t="shared" si="116"/>
        <v>向前方投掷一个火魔球,魔球会向前方推进且遇到敌方目标会自动停止移动,对附近区域内的目标造成250%攻击伤害+2250点固定伤害,且给目标附加一层魔法印记,并触发灼烧效果</v>
      </c>
      <c r="BF1006" s="186" t="s">
        <v>2219</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pans="1:75" s="2" customFormat="1" ht="20.100000000000001" customHeight="1">
      <c r="A1007" s="219"/>
      <c r="B1007" s="219"/>
      <c r="C1007" s="102">
        <v>64012305</v>
      </c>
      <c r="D1007" s="101" t="s">
        <v>2213</v>
      </c>
      <c r="E1007" s="101" t="s">
        <v>2214</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69" t="s">
        <v>2153</v>
      </c>
      <c r="AW1007" s="20" t="s">
        <v>199</v>
      </c>
      <c r="AX1007" s="103" t="s">
        <v>545</v>
      </c>
      <c r="AY1007" s="102">
        <v>0</v>
      </c>
      <c r="AZ1007" s="66">
        <v>21300130</v>
      </c>
      <c r="BA1007" s="101" t="s">
        <v>2215</v>
      </c>
      <c r="BB1007" s="103" t="s">
        <v>2216</v>
      </c>
      <c r="BC1007" s="107">
        <v>0</v>
      </c>
      <c r="BD1007" s="107">
        <v>0</v>
      </c>
      <c r="BE1007" s="186" t="str">
        <f t="shared" si="116"/>
        <v>向前方投掷一个火魔球,魔球会向前方推进且遇到敌方目标会自动停止移动,对附近区域内的目标造成275%攻击伤害+3250点固定伤害,且给目标附加一层魔法印记,并触发灼烧效果</v>
      </c>
      <c r="BF1007" s="186" t="s">
        <v>2220</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pans="1:75" s="2" customFormat="1" ht="20.100000000000001" customHeight="1">
      <c r="A1008" s="219"/>
      <c r="B1008" s="219"/>
      <c r="C1008" s="102">
        <v>64012306</v>
      </c>
      <c r="D1008" s="101" t="s">
        <v>2213</v>
      </c>
      <c r="E1008" s="101" t="s">
        <v>2214</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69" t="s">
        <v>2153</v>
      </c>
      <c r="AW1008" s="20" t="s">
        <v>199</v>
      </c>
      <c r="AX1008" s="103" t="s">
        <v>545</v>
      </c>
      <c r="AY1008" s="102">
        <v>0</v>
      </c>
      <c r="AZ1008" s="66">
        <v>21300130</v>
      </c>
      <c r="BA1008" s="101" t="s">
        <v>2215</v>
      </c>
      <c r="BB1008" s="103" t="s">
        <v>2216</v>
      </c>
      <c r="BC1008" s="107">
        <v>0</v>
      </c>
      <c r="BD1008" s="107">
        <v>0</v>
      </c>
      <c r="BE1008" s="186" t="str">
        <f t="shared" si="116"/>
        <v>向前方投掷一个火魔球,魔球会向前方推进且遇到敌方目标会自动停止移动,对附近区域内的目标造成300%攻击伤害+4250点固定伤害,且给目标附加一层魔法印记,并触发灼烧效果</v>
      </c>
      <c r="BF1008" s="186" t="s">
        <v>2221</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pans="1:75" s="3" customFormat="1" ht="19.5" customHeight="1">
      <c r="A1009" s="220"/>
      <c r="B1009" s="220"/>
      <c r="C1009" s="221">
        <v>64012401</v>
      </c>
      <c r="D1009" s="222" t="s">
        <v>2222</v>
      </c>
      <c r="E1009" s="222" t="s">
        <v>2223</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2224</v>
      </c>
      <c r="BF1009" s="230" t="s">
        <v>2225</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64012402</v>
      </c>
      <c r="D1010" s="222" t="s">
        <v>2222</v>
      </c>
      <c r="E1010" s="222" t="s">
        <v>2223</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2224</v>
      </c>
      <c r="BF1010" s="230" t="s">
        <v>2225</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64012403</v>
      </c>
      <c r="D1011" s="222" t="s">
        <v>2222</v>
      </c>
      <c r="E1011" s="222" t="s">
        <v>2223</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2224</v>
      </c>
      <c r="BF1011" s="230" t="s">
        <v>2225</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3" customFormat="1" ht="19.5" customHeight="1">
      <c r="A1012" s="220"/>
      <c r="B1012" s="220"/>
      <c r="C1012" s="221">
        <v>64012404</v>
      </c>
      <c r="D1012" s="222" t="s">
        <v>2222</v>
      </c>
      <c r="E1012" s="222" t="s">
        <v>2223</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2224</v>
      </c>
      <c r="BF1012" s="230" t="s">
        <v>2225</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pans="1:75" s="3" customFormat="1" ht="19.5" customHeight="1">
      <c r="A1013" s="220"/>
      <c r="B1013" s="220"/>
      <c r="C1013" s="221">
        <v>64012405</v>
      </c>
      <c r="D1013" s="222" t="s">
        <v>2222</v>
      </c>
      <c r="E1013" s="222" t="s">
        <v>2223</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2224</v>
      </c>
      <c r="BF1013" s="230" t="s">
        <v>2225</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pans="1:75" s="3" customFormat="1" ht="19.5" customHeight="1">
      <c r="A1014" s="220"/>
      <c r="B1014" s="220"/>
      <c r="C1014" s="221">
        <v>64012406</v>
      </c>
      <c r="D1014" s="222" t="s">
        <v>2222</v>
      </c>
      <c r="E1014" s="222" t="s">
        <v>2223</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2224</v>
      </c>
      <c r="BF1014" s="230" t="s">
        <v>2225</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pans="1:75" s="1" customFormat="1" ht="19.5" customHeight="1">
      <c r="A1015" s="218"/>
      <c r="B1015" s="218"/>
      <c r="C1015" s="66">
        <v>64013101</v>
      </c>
      <c r="D1015" s="61" t="s">
        <v>2226</v>
      </c>
      <c r="E1015" s="61" t="s">
        <v>2227</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1369</v>
      </c>
      <c r="BB1015" s="62">
        <v>0</v>
      </c>
      <c r="BC1015" s="70">
        <v>0</v>
      </c>
      <c r="BD1015" s="70">
        <v>0</v>
      </c>
      <c r="BE1015" s="186" t="str">
        <f>"积蓄全身的力气,瞬移到目标区域并造成"&amp;X1015*100&amp;"%攻击伤害+"&amp;Z1015&amp;"点固定伤害,并附加1秒眩晕"</f>
        <v>积蓄全身的力气,瞬移到目标区域并造成250%攻击伤害+900点固定伤害,并附加1秒眩晕</v>
      </c>
      <c r="BF1015" s="186" t="s">
        <v>2228</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64013102</v>
      </c>
      <c r="D1016" s="61" t="s">
        <v>2226</v>
      </c>
      <c r="E1016" s="61" t="s">
        <v>2227</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1369</v>
      </c>
      <c r="BB1016" s="62">
        <v>0</v>
      </c>
      <c r="BC1016" s="70">
        <v>0</v>
      </c>
      <c r="BD1016" s="70">
        <v>0</v>
      </c>
      <c r="BE1016" s="186"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6" t="s">
        <v>2228</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64013103</v>
      </c>
      <c r="D1017" s="61" t="s">
        <v>2226</v>
      </c>
      <c r="E1017" s="61" t="s">
        <v>2227</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1369</v>
      </c>
      <c r="BB1017" s="62">
        <v>0</v>
      </c>
      <c r="BC1017" s="70">
        <v>0</v>
      </c>
      <c r="BD1017" s="70">
        <v>0</v>
      </c>
      <c r="BE1017" s="186" t="str">
        <f t="shared" si="117"/>
        <v>积蓄全身的力气,瞬移到目标区域并造成275%攻击伤害+1800点固定伤害,并附加1秒眩晕</v>
      </c>
      <c r="BF1017" s="186" t="s">
        <v>2229</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1" customFormat="1" ht="19.5" customHeight="1">
      <c r="A1018" s="218"/>
      <c r="B1018" s="218"/>
      <c r="C1018" s="66">
        <v>64013104</v>
      </c>
      <c r="D1018" s="61" t="s">
        <v>2226</v>
      </c>
      <c r="E1018" s="61" t="s">
        <v>2227</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1369</v>
      </c>
      <c r="BB1018" s="62">
        <v>0</v>
      </c>
      <c r="BC1018" s="70">
        <v>0</v>
      </c>
      <c r="BD1018" s="70">
        <v>0</v>
      </c>
      <c r="BE1018" s="186" t="str">
        <f t="shared" si="117"/>
        <v>积蓄全身的力气,瞬移到目标区域并造成300%攻击伤害+2800点固定伤害,并附加1秒眩晕</v>
      </c>
      <c r="BF1018" s="186" t="s">
        <v>2230</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pans="1:75" s="1" customFormat="1" ht="19.5" customHeight="1">
      <c r="A1019" s="218"/>
      <c r="B1019" s="218"/>
      <c r="C1019" s="66">
        <v>64013105</v>
      </c>
      <c r="D1019" s="61" t="s">
        <v>2226</v>
      </c>
      <c r="E1019" s="61" t="s">
        <v>2227</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1369</v>
      </c>
      <c r="BB1019" s="62">
        <v>0</v>
      </c>
      <c r="BC1019" s="70">
        <v>0</v>
      </c>
      <c r="BD1019" s="70">
        <v>0</v>
      </c>
      <c r="BE1019" s="186" t="str">
        <f t="shared" si="117"/>
        <v>积蓄全身的力气,瞬移到目标区域并造成325%攻击伤害+4000点固定伤害,并附加1秒眩晕</v>
      </c>
      <c r="BF1019" s="186" t="s">
        <v>2231</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pans="1:75" s="1" customFormat="1" ht="19.5" customHeight="1">
      <c r="A1020" s="218"/>
      <c r="B1020" s="218"/>
      <c r="C1020" s="66">
        <v>64013106</v>
      </c>
      <c r="D1020" s="61" t="s">
        <v>2226</v>
      </c>
      <c r="E1020" s="61" t="s">
        <v>2227</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1369</v>
      </c>
      <c r="BB1020" s="62">
        <v>0</v>
      </c>
      <c r="BC1020" s="70">
        <v>0</v>
      </c>
      <c r="BD1020" s="70">
        <v>0</v>
      </c>
      <c r="BE1020" s="186" t="str">
        <f t="shared" si="117"/>
        <v>积蓄全身的力气,瞬移到目标区域并造成350%攻击伤害+5200点固定伤害,并附加1秒眩晕</v>
      </c>
      <c r="BF1020" s="186" t="s">
        <v>2232</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pans="1:75" s="2" customFormat="1" ht="19.5" customHeight="1">
      <c r="A1021" s="219"/>
      <c r="B1021" s="219"/>
      <c r="C1021" s="102">
        <v>64013201</v>
      </c>
      <c r="D1021" s="101" t="s">
        <v>2233</v>
      </c>
      <c r="E1021" s="101" t="s">
        <v>2234</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2153</v>
      </c>
      <c r="AW1021" s="20" t="s">
        <v>199</v>
      </c>
      <c r="AX1021" s="103" t="s">
        <v>534</v>
      </c>
      <c r="AY1021" s="102">
        <v>10000001</v>
      </c>
      <c r="AZ1021" s="102">
        <v>77005102</v>
      </c>
      <c r="BA1021" s="101" t="s">
        <v>200</v>
      </c>
      <c r="BB1021" s="103">
        <v>0</v>
      </c>
      <c r="BC1021" s="108">
        <v>0</v>
      </c>
      <c r="BD1021" s="108">
        <v>0</v>
      </c>
      <c r="BE1021" s="186" t="str">
        <f>"对前方扇形区域的敌人造成"&amp;X1021*100&amp;"%攻击伤害+"&amp;Z1021&amp;"点固定伤害,并附带一层魔法印记"</f>
        <v>对前方扇形区域的敌人造成300%攻击伤害+900点固定伤害,并附带一层魔法印记</v>
      </c>
      <c r="BF1021" s="186" t="s">
        <v>2235</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64013202</v>
      </c>
      <c r="D1022" s="101" t="s">
        <v>2233</v>
      </c>
      <c r="E1022" s="101" t="s">
        <v>2234</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2153</v>
      </c>
      <c r="AW1022" s="20" t="s">
        <v>199</v>
      </c>
      <c r="AX1022" s="103" t="s">
        <v>534</v>
      </c>
      <c r="AY1022" s="102">
        <v>10000001</v>
      </c>
      <c r="AZ1022" s="102">
        <v>77005102</v>
      </c>
      <c r="BA1022" s="101" t="s">
        <v>200</v>
      </c>
      <c r="BB1022" s="103">
        <v>0</v>
      </c>
      <c r="BC1022" s="108">
        <v>0</v>
      </c>
      <c r="BD1022" s="108">
        <v>0</v>
      </c>
      <c r="BE1022" s="186" t="str">
        <f t="shared" ref="BE1022:BE1026" si="118">"对前方扇形区域的敌人造成"&amp;X1022*100&amp;"%攻击伤害+"&amp;Z1022&amp;"点固定伤害,并附带一层魔法印记"</f>
        <v>对前方扇形区域的敌人造成300%攻击伤害+900点固定伤害,并附带一层魔法印记</v>
      </c>
      <c r="BF1022" s="186" t="s">
        <v>2235</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64013203</v>
      </c>
      <c r="D1023" s="101" t="s">
        <v>2233</v>
      </c>
      <c r="E1023" s="101" t="s">
        <v>2234</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2153</v>
      </c>
      <c r="AW1023" s="20" t="s">
        <v>199</v>
      </c>
      <c r="AX1023" s="103" t="s">
        <v>534</v>
      </c>
      <c r="AY1023" s="102">
        <v>10000001</v>
      </c>
      <c r="AZ1023" s="102">
        <v>77005102</v>
      </c>
      <c r="BA1023" s="101" t="s">
        <v>200</v>
      </c>
      <c r="BB1023" s="103">
        <v>0</v>
      </c>
      <c r="BC1023" s="108">
        <v>0</v>
      </c>
      <c r="BD1023" s="108">
        <v>0</v>
      </c>
      <c r="BE1023" s="186" t="str">
        <f t="shared" si="118"/>
        <v>对前方扇形区域的敌人造成325%攻击伤害+1800点固定伤害,并附带一层魔法印记</v>
      </c>
      <c r="BF1023" s="186" t="s">
        <v>2236</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2" customFormat="1" ht="19.5" customHeight="1">
      <c r="A1024" s="219"/>
      <c r="B1024" s="219"/>
      <c r="C1024" s="102">
        <v>64013204</v>
      </c>
      <c r="D1024" s="101" t="s">
        <v>2233</v>
      </c>
      <c r="E1024" s="101" t="s">
        <v>2234</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69" t="s">
        <v>2153</v>
      </c>
      <c r="AW1024" s="20" t="s">
        <v>199</v>
      </c>
      <c r="AX1024" s="103" t="s">
        <v>534</v>
      </c>
      <c r="AY1024" s="102">
        <v>10000001</v>
      </c>
      <c r="AZ1024" s="102">
        <v>77005102</v>
      </c>
      <c r="BA1024" s="101" t="s">
        <v>200</v>
      </c>
      <c r="BB1024" s="103">
        <v>0</v>
      </c>
      <c r="BC1024" s="108">
        <v>0</v>
      </c>
      <c r="BD1024" s="108">
        <v>0</v>
      </c>
      <c r="BE1024" s="186" t="str">
        <f t="shared" si="118"/>
        <v>对前方扇形区域的敌人造成350%攻击伤害+2800点固定伤害,并附带一层魔法印记</v>
      </c>
      <c r="BF1024" s="186" t="s">
        <v>2237</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pans="1:75" s="2" customFormat="1" ht="19.5" customHeight="1">
      <c r="A1025" s="219"/>
      <c r="B1025" s="219"/>
      <c r="C1025" s="102">
        <v>64013205</v>
      </c>
      <c r="D1025" s="101" t="s">
        <v>2233</v>
      </c>
      <c r="E1025" s="101" t="s">
        <v>2234</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69" t="s">
        <v>2153</v>
      </c>
      <c r="AW1025" s="20" t="s">
        <v>199</v>
      </c>
      <c r="AX1025" s="103" t="s">
        <v>534</v>
      </c>
      <c r="AY1025" s="102">
        <v>10000001</v>
      </c>
      <c r="AZ1025" s="102">
        <v>77005102</v>
      </c>
      <c r="BA1025" s="101" t="s">
        <v>200</v>
      </c>
      <c r="BB1025" s="103">
        <v>0</v>
      </c>
      <c r="BC1025" s="108">
        <v>0</v>
      </c>
      <c r="BD1025" s="108">
        <v>0</v>
      </c>
      <c r="BE1025" s="186" t="str">
        <f t="shared" si="118"/>
        <v>对前方扇形区域的敌人造成375%攻击伤害+4000点固定伤害,并附带一层魔法印记</v>
      </c>
      <c r="BF1025" s="186" t="s">
        <v>2238</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pans="1:75" s="2" customFormat="1" ht="19.5" customHeight="1">
      <c r="A1026" s="219"/>
      <c r="B1026" s="219"/>
      <c r="C1026" s="102">
        <v>64013206</v>
      </c>
      <c r="D1026" s="101" t="s">
        <v>2233</v>
      </c>
      <c r="E1026" s="101" t="s">
        <v>2234</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69" t="s">
        <v>2153</v>
      </c>
      <c r="AW1026" s="20" t="s">
        <v>199</v>
      </c>
      <c r="AX1026" s="103" t="s">
        <v>534</v>
      </c>
      <c r="AY1026" s="102">
        <v>10000001</v>
      </c>
      <c r="AZ1026" s="102">
        <v>77005102</v>
      </c>
      <c r="BA1026" s="101" t="s">
        <v>200</v>
      </c>
      <c r="BB1026" s="103">
        <v>0</v>
      </c>
      <c r="BC1026" s="108">
        <v>0</v>
      </c>
      <c r="BD1026" s="108">
        <v>0</v>
      </c>
      <c r="BE1026" s="186" t="str">
        <f t="shared" si="118"/>
        <v>对前方扇形区域的敌人造成400%攻击伤害+5200点固定伤害,并附带一层魔法印记</v>
      </c>
      <c r="BF1026" s="186" t="s">
        <v>2239</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pans="1:75" s="1" customFormat="1" ht="20.100000000000001" customHeight="1">
      <c r="A1027" s="218"/>
      <c r="B1027" s="218"/>
      <c r="C1027" s="66">
        <v>64013301</v>
      </c>
      <c r="D1027" s="61" t="s">
        <v>2240</v>
      </c>
      <c r="E1027" s="61" t="s">
        <v>2241</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2242</v>
      </c>
      <c r="AV1027" s="369" t="s">
        <v>2153</v>
      </c>
      <c r="AW1027" s="20" t="s">
        <v>199</v>
      </c>
      <c r="AX1027" s="62" t="s">
        <v>545</v>
      </c>
      <c r="AY1027" s="66">
        <v>10000001</v>
      </c>
      <c r="AZ1027" s="50">
        <v>77005103</v>
      </c>
      <c r="BA1027" s="202" t="s">
        <v>315</v>
      </c>
      <c r="BB1027" s="62">
        <v>1</v>
      </c>
      <c r="BC1027" s="68">
        <v>0</v>
      </c>
      <c r="BD1027" s="68">
        <v>0</v>
      </c>
      <c r="BE1027" s="186" t="str">
        <f>"对目标区域的敌人造成"&amp;X1027*100&amp;"%攻击伤害+"&amp;Z1027&amp;"点固定伤害,并附加1秒眩晕和魔法印记"</f>
        <v>对目标区域的敌人造成250%攻击伤害+900点固定伤害,并附加1秒眩晕和魔法印记</v>
      </c>
      <c r="BF1027" s="186" t="s">
        <v>2243</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2244</v>
      </c>
      <c r="BV1027" s="49"/>
      <c r="BW1027" s="49"/>
    </row>
    <row r="1028" spans="1:75" s="1" customFormat="1" ht="20.100000000000001" customHeight="1">
      <c r="A1028" s="218"/>
      <c r="B1028" s="218"/>
      <c r="C1028" s="66">
        <v>64013302</v>
      </c>
      <c r="D1028" s="61" t="s">
        <v>2240</v>
      </c>
      <c r="E1028" s="61" t="s">
        <v>2241</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2242</v>
      </c>
      <c r="AV1028" s="369" t="s">
        <v>2153</v>
      </c>
      <c r="AW1028" s="20" t="s">
        <v>199</v>
      </c>
      <c r="AX1028" s="62" t="s">
        <v>545</v>
      </c>
      <c r="AY1028" s="66">
        <v>10000001</v>
      </c>
      <c r="AZ1028" s="50">
        <v>77005103</v>
      </c>
      <c r="BA1028" s="202" t="s">
        <v>315</v>
      </c>
      <c r="BB1028" s="62">
        <v>1</v>
      </c>
      <c r="BC1028" s="68">
        <v>0</v>
      </c>
      <c r="BD1028" s="68">
        <v>0</v>
      </c>
      <c r="BE1028" s="186" t="str">
        <f t="shared" ref="BE1028:BE1032" si="119">"对目标区域的敌人造成"&amp;X1028*100&amp;"%攻击伤害+"&amp;Z1028&amp;"点固定伤害,并附加1秒眩晕和魔法印记"</f>
        <v>对目标区域的敌人造成250%攻击伤害+900点固定伤害,并附加1秒眩晕和魔法印记</v>
      </c>
      <c r="BF1028" s="186" t="s">
        <v>2243</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2245</v>
      </c>
      <c r="BV1028" s="49"/>
      <c r="BW1028" s="49"/>
    </row>
    <row r="1029" spans="1:75" s="1" customFormat="1" ht="20.100000000000001" customHeight="1">
      <c r="A1029" s="218"/>
      <c r="B1029" s="218"/>
      <c r="C1029" s="66">
        <v>64013303</v>
      </c>
      <c r="D1029" s="61" t="s">
        <v>2240</v>
      </c>
      <c r="E1029" s="61" t="s">
        <v>2241</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2242</v>
      </c>
      <c r="AV1029" s="369" t="s">
        <v>2153</v>
      </c>
      <c r="AW1029" s="20" t="s">
        <v>199</v>
      </c>
      <c r="AX1029" s="62" t="s">
        <v>545</v>
      </c>
      <c r="AY1029" s="66">
        <v>10000001</v>
      </c>
      <c r="AZ1029" s="50">
        <v>77005103</v>
      </c>
      <c r="BA1029" s="202" t="s">
        <v>315</v>
      </c>
      <c r="BB1029" s="62">
        <v>1</v>
      </c>
      <c r="BC1029" s="68">
        <v>0</v>
      </c>
      <c r="BD1029" s="68">
        <v>0</v>
      </c>
      <c r="BE1029" s="186" t="str">
        <f t="shared" si="119"/>
        <v>对目标区域的敌人造成275%攻击伤害+1800点固定伤害,并附加1秒眩晕和魔法印记</v>
      </c>
      <c r="BF1029" s="186" t="s">
        <v>2246</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2247</v>
      </c>
      <c r="BV1029" s="49"/>
      <c r="BW1029" s="49"/>
    </row>
    <row r="1030" spans="1:75" s="1" customFormat="1" ht="20.100000000000001" customHeight="1">
      <c r="A1030" s="218"/>
      <c r="B1030" s="218"/>
      <c r="C1030" s="66">
        <v>64013304</v>
      </c>
      <c r="D1030" s="61" t="s">
        <v>2240</v>
      </c>
      <c r="E1030" s="61" t="s">
        <v>2241</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69" t="s">
        <v>2242</v>
      </c>
      <c r="AV1030" s="369" t="s">
        <v>2153</v>
      </c>
      <c r="AW1030" s="20" t="s">
        <v>199</v>
      </c>
      <c r="AX1030" s="62" t="s">
        <v>545</v>
      </c>
      <c r="AY1030" s="66">
        <v>10000001</v>
      </c>
      <c r="AZ1030" s="50">
        <v>77005103</v>
      </c>
      <c r="BA1030" s="202" t="s">
        <v>315</v>
      </c>
      <c r="BB1030" s="62">
        <v>1</v>
      </c>
      <c r="BC1030" s="68">
        <v>0</v>
      </c>
      <c r="BD1030" s="68">
        <v>0</v>
      </c>
      <c r="BE1030" s="186" t="str">
        <f t="shared" si="119"/>
        <v>对目标区域的敌人造成300%攻击伤害+2800点固定伤害,并附加1秒眩晕和魔法印记</v>
      </c>
      <c r="BF1030" s="186" t="s">
        <v>2248</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56" t="s">
        <v>2249</v>
      </c>
      <c r="BV1030" s="49"/>
      <c r="BW1030" s="49"/>
    </row>
    <row r="1031" spans="1:75" s="1" customFormat="1" ht="20.100000000000001" customHeight="1">
      <c r="A1031" s="218"/>
      <c r="B1031" s="218"/>
      <c r="C1031" s="66">
        <v>64013305</v>
      </c>
      <c r="D1031" s="61" t="s">
        <v>2240</v>
      </c>
      <c r="E1031" s="61" t="s">
        <v>2241</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69" t="s">
        <v>2242</v>
      </c>
      <c r="AV1031" s="369" t="s">
        <v>2153</v>
      </c>
      <c r="AW1031" s="20" t="s">
        <v>199</v>
      </c>
      <c r="AX1031" s="62" t="s">
        <v>545</v>
      </c>
      <c r="AY1031" s="66">
        <v>10000001</v>
      </c>
      <c r="AZ1031" s="50">
        <v>77005103</v>
      </c>
      <c r="BA1031" s="202" t="s">
        <v>315</v>
      </c>
      <c r="BB1031" s="62">
        <v>1</v>
      </c>
      <c r="BC1031" s="68">
        <v>0</v>
      </c>
      <c r="BD1031" s="68">
        <v>0</v>
      </c>
      <c r="BE1031" s="186" t="str">
        <f t="shared" si="119"/>
        <v>对目标区域的敌人造成325%攻击伤害+4000点固定伤害,并附加1秒眩晕和魔法印记</v>
      </c>
      <c r="BF1031" s="186" t="s">
        <v>2250</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56" t="s">
        <v>2251</v>
      </c>
      <c r="BV1031" s="49"/>
      <c r="BW1031" s="49"/>
    </row>
    <row r="1032" spans="1:75" s="1" customFormat="1" ht="20.100000000000001" customHeight="1">
      <c r="A1032" s="218"/>
      <c r="B1032" s="218"/>
      <c r="C1032" s="66">
        <v>64013306</v>
      </c>
      <c r="D1032" s="61" t="s">
        <v>2240</v>
      </c>
      <c r="E1032" s="61" t="s">
        <v>2241</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69" t="s">
        <v>2242</v>
      </c>
      <c r="AV1032" s="369" t="s">
        <v>2153</v>
      </c>
      <c r="AW1032" s="20" t="s">
        <v>199</v>
      </c>
      <c r="AX1032" s="62" t="s">
        <v>545</v>
      </c>
      <c r="AY1032" s="66">
        <v>10000001</v>
      </c>
      <c r="AZ1032" s="50">
        <v>77005103</v>
      </c>
      <c r="BA1032" s="202" t="s">
        <v>315</v>
      </c>
      <c r="BB1032" s="62">
        <v>1</v>
      </c>
      <c r="BC1032" s="68">
        <v>0</v>
      </c>
      <c r="BD1032" s="68">
        <v>0</v>
      </c>
      <c r="BE1032" s="186" t="str">
        <f t="shared" si="119"/>
        <v>对目标区域的敌人造成350%攻击伤害+5200点固定伤害,并附加1秒眩晕和魔法印记</v>
      </c>
      <c r="BF1032" s="186" t="s">
        <v>2252</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56" t="s">
        <v>2253</v>
      </c>
      <c r="BV1032" s="49"/>
      <c r="BW1032" s="49"/>
    </row>
    <row r="1033" spans="1:75" s="4" customFormat="1" ht="20.100000000000001" customHeight="1">
      <c r="A1033" s="231"/>
      <c r="B1033" s="231"/>
      <c r="C1033" s="50">
        <v>64013311</v>
      </c>
      <c r="D1033" s="51" t="s">
        <v>2254</v>
      </c>
      <c r="E1033" s="51" t="s">
        <v>2255</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2256</v>
      </c>
      <c r="AU1033" s="50">
        <v>0</v>
      </c>
      <c r="AV1033" s="50"/>
      <c r="AW1033" s="51" t="s">
        <v>198</v>
      </c>
      <c r="AX1033" s="50" t="s">
        <v>545</v>
      </c>
      <c r="AY1033" s="50">
        <v>0</v>
      </c>
      <c r="AZ1033" s="50">
        <v>77005103</v>
      </c>
      <c r="BA1033" s="51" t="s">
        <v>1174</v>
      </c>
      <c r="BB1033" s="371" t="s">
        <v>2257</v>
      </c>
      <c r="BC1033" s="50">
        <v>0</v>
      </c>
      <c r="BD1033" s="50">
        <v>0</v>
      </c>
      <c r="BE1033" s="55" t="s">
        <v>2258</v>
      </c>
      <c r="BF1033" s="55" t="s">
        <v>2259</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64013312</v>
      </c>
      <c r="D1034" s="51" t="s">
        <v>2254</v>
      </c>
      <c r="E1034" s="51" t="s">
        <v>2255</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2256</v>
      </c>
      <c r="AU1034" s="50">
        <v>0</v>
      </c>
      <c r="AV1034" s="50"/>
      <c r="AW1034" s="51" t="s">
        <v>198</v>
      </c>
      <c r="AX1034" s="50" t="s">
        <v>545</v>
      </c>
      <c r="AY1034" s="50">
        <v>0</v>
      </c>
      <c r="AZ1034" s="50">
        <v>77005103</v>
      </c>
      <c r="BA1034" s="51" t="s">
        <v>1174</v>
      </c>
      <c r="BB1034" s="371" t="s">
        <v>2257</v>
      </c>
      <c r="BC1034" s="50">
        <v>0</v>
      </c>
      <c r="BD1034" s="50">
        <v>0</v>
      </c>
      <c r="BE1034" s="55" t="s">
        <v>2258</v>
      </c>
      <c r="BF1034" s="55" t="s">
        <v>2259</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64013313</v>
      </c>
      <c r="D1035" s="51" t="s">
        <v>2254</v>
      </c>
      <c r="E1035" s="51" t="s">
        <v>2255</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2256</v>
      </c>
      <c r="AU1035" s="50">
        <v>0</v>
      </c>
      <c r="AV1035" s="50"/>
      <c r="AW1035" s="51" t="s">
        <v>198</v>
      </c>
      <c r="AX1035" s="50" t="s">
        <v>545</v>
      </c>
      <c r="AY1035" s="50">
        <v>0</v>
      </c>
      <c r="AZ1035" s="50">
        <v>77005103</v>
      </c>
      <c r="BA1035" s="51" t="s">
        <v>1174</v>
      </c>
      <c r="BB1035" s="371" t="s">
        <v>2257</v>
      </c>
      <c r="BC1035" s="50">
        <v>0</v>
      </c>
      <c r="BD1035" s="50">
        <v>0</v>
      </c>
      <c r="BE1035" s="55" t="s">
        <v>2258</v>
      </c>
      <c r="BF1035" s="55" t="s">
        <v>2259</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4" customFormat="1" ht="20.100000000000001" customHeight="1">
      <c r="A1036" s="231"/>
      <c r="B1036" s="231"/>
      <c r="C1036" s="50">
        <v>64013314</v>
      </c>
      <c r="D1036" s="51" t="s">
        <v>2254</v>
      </c>
      <c r="E1036" s="51" t="s">
        <v>2255</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71" t="s">
        <v>2256</v>
      </c>
      <c r="AU1036" s="50">
        <v>0</v>
      </c>
      <c r="AV1036" s="50"/>
      <c r="AW1036" s="51" t="s">
        <v>198</v>
      </c>
      <c r="AX1036" s="50" t="s">
        <v>545</v>
      </c>
      <c r="AY1036" s="50">
        <v>0</v>
      </c>
      <c r="AZ1036" s="50">
        <v>77005103</v>
      </c>
      <c r="BA1036" s="51" t="s">
        <v>1174</v>
      </c>
      <c r="BB1036" s="371" t="s">
        <v>2257</v>
      </c>
      <c r="BC1036" s="50">
        <v>0</v>
      </c>
      <c r="BD1036" s="50">
        <v>0</v>
      </c>
      <c r="BE1036" s="55" t="s">
        <v>2258</v>
      </c>
      <c r="BF1036" s="55" t="s">
        <v>2259</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pans="1:75" s="4" customFormat="1" ht="20.100000000000001" customHeight="1">
      <c r="A1037" s="231"/>
      <c r="B1037" s="231"/>
      <c r="C1037" s="50">
        <v>64013315</v>
      </c>
      <c r="D1037" s="51" t="s">
        <v>2254</v>
      </c>
      <c r="E1037" s="51" t="s">
        <v>2255</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71" t="s">
        <v>2256</v>
      </c>
      <c r="AU1037" s="50">
        <v>0</v>
      </c>
      <c r="AV1037" s="50"/>
      <c r="AW1037" s="51" t="s">
        <v>198</v>
      </c>
      <c r="AX1037" s="50" t="s">
        <v>545</v>
      </c>
      <c r="AY1037" s="50">
        <v>0</v>
      </c>
      <c r="AZ1037" s="50">
        <v>77005103</v>
      </c>
      <c r="BA1037" s="51" t="s">
        <v>1174</v>
      </c>
      <c r="BB1037" s="371" t="s">
        <v>2257</v>
      </c>
      <c r="BC1037" s="50">
        <v>0</v>
      </c>
      <c r="BD1037" s="50">
        <v>0</v>
      </c>
      <c r="BE1037" s="55" t="s">
        <v>2258</v>
      </c>
      <c r="BF1037" s="55" t="s">
        <v>2259</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pans="1:75" s="4" customFormat="1" ht="20.100000000000001" customHeight="1">
      <c r="A1038" s="231"/>
      <c r="B1038" s="231"/>
      <c r="C1038" s="50">
        <v>64013316</v>
      </c>
      <c r="D1038" s="51" t="s">
        <v>2254</v>
      </c>
      <c r="E1038" s="51" t="s">
        <v>2255</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71" t="s">
        <v>2256</v>
      </c>
      <c r="AU1038" s="50">
        <v>0</v>
      </c>
      <c r="AV1038" s="50"/>
      <c r="AW1038" s="51" t="s">
        <v>198</v>
      </c>
      <c r="AX1038" s="50" t="s">
        <v>545</v>
      </c>
      <c r="AY1038" s="50">
        <v>0</v>
      </c>
      <c r="AZ1038" s="50">
        <v>77005103</v>
      </c>
      <c r="BA1038" s="51" t="s">
        <v>1174</v>
      </c>
      <c r="BB1038" s="371" t="s">
        <v>2257</v>
      </c>
      <c r="BC1038" s="50">
        <v>0</v>
      </c>
      <c r="BD1038" s="50">
        <v>0</v>
      </c>
      <c r="BE1038" s="55" t="s">
        <v>2258</v>
      </c>
      <c r="BF1038" s="55" t="s">
        <v>2259</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pans="1:75" s="2" customFormat="1" ht="20.100000000000001" customHeight="1">
      <c r="A1039" s="219"/>
      <c r="B1039" s="219"/>
      <c r="C1039" s="102">
        <v>64013401</v>
      </c>
      <c r="D1039" s="101" t="s">
        <v>2260</v>
      </c>
      <c r="E1039" s="101" t="s">
        <v>2261</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2262</v>
      </c>
      <c r="AU1039" s="103" t="s">
        <v>198</v>
      </c>
      <c r="AV1039" s="369" t="s">
        <v>2153</v>
      </c>
      <c r="AW1039" s="101" t="s">
        <v>198</v>
      </c>
      <c r="AX1039" s="103" t="s">
        <v>545</v>
      </c>
      <c r="AY1039" s="102">
        <v>0</v>
      </c>
      <c r="AZ1039" s="102">
        <v>77005104</v>
      </c>
      <c r="BA1039" s="101" t="s">
        <v>1165</v>
      </c>
      <c r="BB1039" s="103">
        <v>0</v>
      </c>
      <c r="BC1039" s="107">
        <v>0</v>
      </c>
      <c r="BD1039" s="107">
        <v>0</v>
      </c>
      <c r="BE1039" s="186"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6" t="s">
        <v>2263</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64013402</v>
      </c>
      <c r="D1040" s="101" t="s">
        <v>2260</v>
      </c>
      <c r="E1040" s="101" t="s">
        <v>2261</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2262</v>
      </c>
      <c r="AU1040" s="103" t="s">
        <v>198</v>
      </c>
      <c r="AV1040" s="369" t="s">
        <v>2153</v>
      </c>
      <c r="AW1040" s="101" t="s">
        <v>198</v>
      </c>
      <c r="AX1040" s="103" t="s">
        <v>545</v>
      </c>
      <c r="AY1040" s="102">
        <v>0</v>
      </c>
      <c r="AZ1040" s="102">
        <v>77005104</v>
      </c>
      <c r="BA1040" s="101" t="s">
        <v>1165</v>
      </c>
      <c r="BB1040" s="103">
        <v>0</v>
      </c>
      <c r="BC1040" s="107">
        <v>0</v>
      </c>
      <c r="BD1040" s="107">
        <v>0</v>
      </c>
      <c r="BE1040" s="186"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6" t="s">
        <v>2263</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64013403</v>
      </c>
      <c r="D1041" s="101" t="s">
        <v>2260</v>
      </c>
      <c r="E1041" s="101" t="s">
        <v>2261</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2262</v>
      </c>
      <c r="AU1041" s="103" t="s">
        <v>198</v>
      </c>
      <c r="AV1041" s="369" t="s">
        <v>2153</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自身变成燃烧的烈风,移动速度降低25%,旋风状态中无法选并且无法释放其他技能，对附近的单位每270%攻击伤害+1800点固定伤害,并附加1秒眩晕和魔法印记</v>
      </c>
      <c r="BF1041" s="186" t="s">
        <v>2264</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2" customFormat="1" ht="20.100000000000001" customHeight="1">
      <c r="A1042" s="219"/>
      <c r="B1042" s="219"/>
      <c r="C1042" s="102">
        <v>64013404</v>
      </c>
      <c r="D1042" s="101" t="s">
        <v>2260</v>
      </c>
      <c r="E1042" s="101" t="s">
        <v>2261</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49" t="s">
        <v>2262</v>
      </c>
      <c r="AU1042" s="103" t="s">
        <v>198</v>
      </c>
      <c r="AV1042" s="369" t="s">
        <v>2153</v>
      </c>
      <c r="AW1042" s="101" t="s">
        <v>198</v>
      </c>
      <c r="AX1042" s="103" t="s">
        <v>545</v>
      </c>
      <c r="AY1042" s="102">
        <v>0</v>
      </c>
      <c r="AZ1042" s="102">
        <v>77005104</v>
      </c>
      <c r="BA1042" s="101" t="s">
        <v>1165</v>
      </c>
      <c r="BB1042" s="103">
        <v>0</v>
      </c>
      <c r="BC1042" s="107">
        <v>0</v>
      </c>
      <c r="BD1042" s="107">
        <v>0</v>
      </c>
      <c r="BE1042" s="186" t="str">
        <f t="shared" si="120"/>
        <v>自身变成燃烧的烈风,移动速度降低25%,旋风状态中无法选并且无法释放其他技能，对附近的单位每300%攻击伤害+2800点固定伤害,并附加1秒眩晕和魔法印记</v>
      </c>
      <c r="BF1042" s="186" t="s">
        <v>2265</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pans="1:75" s="2" customFormat="1" ht="20.100000000000001" customHeight="1">
      <c r="A1043" s="219"/>
      <c r="B1043" s="219"/>
      <c r="C1043" s="102">
        <v>64013405</v>
      </c>
      <c r="D1043" s="101" t="s">
        <v>2260</v>
      </c>
      <c r="E1043" s="101" t="s">
        <v>2261</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49" t="s">
        <v>2262</v>
      </c>
      <c r="AU1043" s="103" t="s">
        <v>198</v>
      </c>
      <c r="AV1043" s="369" t="s">
        <v>2153</v>
      </c>
      <c r="AW1043" s="101" t="s">
        <v>198</v>
      </c>
      <c r="AX1043" s="103" t="s">
        <v>545</v>
      </c>
      <c r="AY1043" s="102">
        <v>0</v>
      </c>
      <c r="AZ1043" s="102">
        <v>77005104</v>
      </c>
      <c r="BA1043" s="101" t="s">
        <v>1165</v>
      </c>
      <c r="BB1043" s="103">
        <v>0</v>
      </c>
      <c r="BC1043" s="107">
        <v>0</v>
      </c>
      <c r="BD1043" s="107">
        <v>0</v>
      </c>
      <c r="BE1043" s="186" t="str">
        <f t="shared" si="120"/>
        <v>自身变成燃烧的烈风,移动速度降低25%,旋风状态中无法选并且无法释放其他技能，对附近的单位每330%攻击伤害+4000点固定伤害,并附加1秒眩晕和魔法印记</v>
      </c>
      <c r="BF1043" s="186" t="s">
        <v>2266</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pans="1:75" s="2" customFormat="1" ht="20.100000000000001" customHeight="1">
      <c r="A1044" s="219"/>
      <c r="B1044" s="219"/>
      <c r="C1044" s="102">
        <v>64013406</v>
      </c>
      <c r="D1044" s="101" t="s">
        <v>2260</v>
      </c>
      <c r="E1044" s="101" t="s">
        <v>2261</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49" t="s">
        <v>2262</v>
      </c>
      <c r="AU1044" s="103" t="s">
        <v>198</v>
      </c>
      <c r="AV1044" s="369" t="s">
        <v>2153</v>
      </c>
      <c r="AW1044" s="101" t="s">
        <v>198</v>
      </c>
      <c r="AX1044" s="103" t="s">
        <v>545</v>
      </c>
      <c r="AY1044" s="102">
        <v>0</v>
      </c>
      <c r="AZ1044" s="102">
        <v>77005104</v>
      </c>
      <c r="BA1044" s="101" t="s">
        <v>1165</v>
      </c>
      <c r="BB1044" s="103">
        <v>0</v>
      </c>
      <c r="BC1044" s="107">
        <v>0</v>
      </c>
      <c r="BD1044" s="107">
        <v>0</v>
      </c>
      <c r="BE1044" s="186" t="str">
        <f t="shared" si="120"/>
        <v>自身变成燃烧的烈风,移动速度降低25%,旋风状态中无法选并且无法释放其他技能，对附近的单位每360%攻击伤害+5200点固定伤害,并附加1秒眩晕和魔法印记</v>
      </c>
      <c r="BF1044" s="186" t="s">
        <v>2267</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pans="1:75" s="3" customFormat="1" ht="19.5" customHeight="1">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70" t="s">
        <v>2268</v>
      </c>
      <c r="AV1045" s="228"/>
      <c r="AW1045" s="222" t="s">
        <v>199</v>
      </c>
      <c r="AX1045" s="225" t="s">
        <v>215</v>
      </c>
      <c r="AY1045" s="221">
        <v>0</v>
      </c>
      <c r="AZ1045" s="221">
        <v>0</v>
      </c>
      <c r="BA1045" s="234" t="s">
        <v>216</v>
      </c>
      <c r="BB1045" s="225">
        <v>0</v>
      </c>
      <c r="BC1045" s="226">
        <v>0</v>
      </c>
      <c r="BD1045" s="226">
        <v>0</v>
      </c>
      <c r="BE1045" s="230" t="s">
        <v>2269</v>
      </c>
      <c r="BF1045" s="230" t="s">
        <v>2270</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64013601</v>
      </c>
      <c r="D1046" s="222" t="s">
        <v>2271</v>
      </c>
      <c r="E1046" s="222" t="s">
        <v>2272</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2273</v>
      </c>
      <c r="BF1046" s="230" t="s">
        <v>2274</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64013602</v>
      </c>
      <c r="D1047" s="222" t="s">
        <v>2271</v>
      </c>
      <c r="E1047" s="222" t="s">
        <v>2272</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2273</v>
      </c>
      <c r="BF1047" s="230" t="s">
        <v>2274</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64013603</v>
      </c>
      <c r="D1048" s="222" t="s">
        <v>2271</v>
      </c>
      <c r="E1048" s="222" t="s">
        <v>2272</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2273</v>
      </c>
      <c r="BF1048" s="230" t="s">
        <v>2274</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3" customFormat="1" ht="19.5" customHeight="1">
      <c r="A1049" s="220"/>
      <c r="B1049" s="220"/>
      <c r="C1049" s="221">
        <v>64013604</v>
      </c>
      <c r="D1049" s="222" t="s">
        <v>2271</v>
      </c>
      <c r="E1049" s="222" t="s">
        <v>2272</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2273</v>
      </c>
      <c r="BF1049" s="230" t="s">
        <v>2274</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pans="1:75" s="3" customFormat="1" ht="19.5" customHeight="1">
      <c r="A1050" s="220"/>
      <c r="B1050" s="220"/>
      <c r="C1050" s="221">
        <v>64013605</v>
      </c>
      <c r="D1050" s="222" t="s">
        <v>2271</v>
      </c>
      <c r="E1050" s="222" t="s">
        <v>2272</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2273</v>
      </c>
      <c r="BF1050" s="230" t="s">
        <v>2274</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pans="1:75" s="3" customFormat="1" ht="19.5" customHeight="1">
      <c r="A1051" s="220"/>
      <c r="B1051" s="220"/>
      <c r="C1051" s="221">
        <v>64013606</v>
      </c>
      <c r="D1051" s="222" t="s">
        <v>2271</v>
      </c>
      <c r="E1051" s="222" t="s">
        <v>2272</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2273</v>
      </c>
      <c r="BF1051" s="230" t="s">
        <v>2274</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pans="1:75" s="1" customFormat="1" ht="20.100000000000001" customHeight="1">
      <c r="A1052" s="218"/>
      <c r="B1052" s="218"/>
      <c r="C1052" s="102">
        <v>64014101</v>
      </c>
      <c r="D1052" s="61" t="s">
        <v>2275</v>
      </c>
      <c r="E1052" s="61" t="s">
        <v>2276</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2153</v>
      </c>
      <c r="AW1052" s="20" t="s">
        <v>199</v>
      </c>
      <c r="AX1052" s="62" t="s">
        <v>545</v>
      </c>
      <c r="AY1052" s="66">
        <v>10000001</v>
      </c>
      <c r="AZ1052" s="66">
        <v>77005203</v>
      </c>
      <c r="BA1052" s="61" t="s">
        <v>315</v>
      </c>
      <c r="BB1052" s="62">
        <v>1</v>
      </c>
      <c r="BC1052" s="68">
        <v>0</v>
      </c>
      <c r="BD1052" s="68">
        <v>0</v>
      </c>
      <c r="BE1052" s="186"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6" t="s">
        <v>2277</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64014102</v>
      </c>
      <c r="D1053" s="61" t="s">
        <v>2275</v>
      </c>
      <c r="E1053" s="61" t="s">
        <v>2276</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2153</v>
      </c>
      <c r="AW1053" s="20" t="s">
        <v>199</v>
      </c>
      <c r="AX1053" s="62" t="s">
        <v>545</v>
      </c>
      <c r="AY1053" s="66">
        <v>10000001</v>
      </c>
      <c r="AZ1053" s="66">
        <v>77005203</v>
      </c>
      <c r="BA1053" s="61" t="s">
        <v>315</v>
      </c>
      <c r="BB1053" s="62">
        <v>1</v>
      </c>
      <c r="BC1053" s="68">
        <v>0</v>
      </c>
      <c r="BD1053" s="68">
        <v>0</v>
      </c>
      <c r="BE1053" s="186"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6" t="s">
        <v>2277</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64014103</v>
      </c>
      <c r="D1054" s="61" t="s">
        <v>2275</v>
      </c>
      <c r="E1054" s="61" t="s">
        <v>2276</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2153</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对目标区域释放一个疾风深渊，每秒造成120%攻击伤害+450点固定伤害,持续6秒,并附加1层魔法印记</v>
      </c>
      <c r="BF1054" s="186" t="s">
        <v>2278</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1" customFormat="1" ht="20.100000000000001" customHeight="1">
      <c r="A1055" s="218"/>
      <c r="B1055" s="218"/>
      <c r="C1055" s="102">
        <v>64014104</v>
      </c>
      <c r="D1055" s="61" t="s">
        <v>2275</v>
      </c>
      <c r="E1055" s="61" t="s">
        <v>2276</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69" t="s">
        <v>2153</v>
      </c>
      <c r="AW1055" s="20" t="s">
        <v>199</v>
      </c>
      <c r="AX1055" s="62" t="s">
        <v>545</v>
      </c>
      <c r="AY1055" s="66">
        <v>10000001</v>
      </c>
      <c r="AZ1055" s="66">
        <v>77005203</v>
      </c>
      <c r="BA1055" s="61" t="s">
        <v>315</v>
      </c>
      <c r="BB1055" s="62">
        <v>1</v>
      </c>
      <c r="BC1055" s="68">
        <v>0</v>
      </c>
      <c r="BD1055" s="68">
        <v>0</v>
      </c>
      <c r="BE1055" s="186" t="str">
        <f t="shared" si="121"/>
        <v>对目标区域释放一个疾风深渊，每秒造成140%攻击伤害+700点固定伤害,持续6秒,并附加1层魔法印记</v>
      </c>
      <c r="BF1055" s="186" t="s">
        <v>2279</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pans="1:75" s="1" customFormat="1" ht="20.100000000000001" customHeight="1">
      <c r="A1056" s="218"/>
      <c r="B1056" s="218"/>
      <c r="C1056" s="102">
        <v>64014105</v>
      </c>
      <c r="D1056" s="61" t="s">
        <v>2275</v>
      </c>
      <c r="E1056" s="61" t="s">
        <v>2276</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69" t="s">
        <v>2153</v>
      </c>
      <c r="AW1056" s="20" t="s">
        <v>199</v>
      </c>
      <c r="AX1056" s="62" t="s">
        <v>545</v>
      </c>
      <c r="AY1056" s="66">
        <v>10000001</v>
      </c>
      <c r="AZ1056" s="66">
        <v>77005203</v>
      </c>
      <c r="BA1056" s="61" t="s">
        <v>315</v>
      </c>
      <c r="BB1056" s="62">
        <v>1</v>
      </c>
      <c r="BC1056" s="68">
        <v>0</v>
      </c>
      <c r="BD1056" s="68">
        <v>0</v>
      </c>
      <c r="BE1056" s="186" t="str">
        <f t="shared" si="121"/>
        <v>对目标区域释放一个疾风深渊，每秒造成160%攻击伤害+1000点固定伤害,持续6秒,并附加1层魔法印记</v>
      </c>
      <c r="BF1056" s="186" t="s">
        <v>2280</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pans="1:75" s="1" customFormat="1" ht="20.100000000000001" customHeight="1">
      <c r="A1057" s="218"/>
      <c r="B1057" s="218"/>
      <c r="C1057" s="102">
        <v>64014106</v>
      </c>
      <c r="D1057" s="61" t="s">
        <v>2275</v>
      </c>
      <c r="E1057" s="61" t="s">
        <v>2276</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69" t="s">
        <v>2153</v>
      </c>
      <c r="AW1057" s="20" t="s">
        <v>199</v>
      </c>
      <c r="AX1057" s="62" t="s">
        <v>545</v>
      </c>
      <c r="AY1057" s="66">
        <v>10000001</v>
      </c>
      <c r="AZ1057" s="66">
        <v>77005203</v>
      </c>
      <c r="BA1057" s="61" t="s">
        <v>315</v>
      </c>
      <c r="BB1057" s="62">
        <v>1</v>
      </c>
      <c r="BC1057" s="68">
        <v>0</v>
      </c>
      <c r="BD1057" s="68">
        <v>0</v>
      </c>
      <c r="BE1057" s="186" t="str">
        <f t="shared" si="121"/>
        <v>对目标区域释放一个疾风深渊，每秒造成180%攻击伤害+1300点固定伤害,持续6秒,并附加1层魔法印记</v>
      </c>
      <c r="BF1057" s="186" t="s">
        <v>2281</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pans="1:75" s="2" customFormat="1" ht="19.5" customHeight="1">
      <c r="A1058" s="219"/>
      <c r="B1058" s="218"/>
      <c r="C1058" s="66">
        <v>64014201</v>
      </c>
      <c r="D1058" s="101" t="s">
        <v>2282</v>
      </c>
      <c r="E1058" s="101" t="s">
        <v>2283</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2284</v>
      </c>
      <c r="AV1058" s="369" t="s">
        <v>2153</v>
      </c>
      <c r="AW1058" s="20" t="s">
        <v>199</v>
      </c>
      <c r="AX1058" s="103" t="s">
        <v>534</v>
      </c>
      <c r="AY1058" s="102">
        <v>10000001</v>
      </c>
      <c r="AZ1058" s="102">
        <v>77005201</v>
      </c>
      <c r="BA1058" s="101" t="s">
        <v>586</v>
      </c>
      <c r="BB1058" s="62" t="s">
        <v>2285</v>
      </c>
      <c r="BC1058" s="108">
        <v>0</v>
      </c>
      <c r="BD1058" s="108">
        <v>0</v>
      </c>
      <c r="BE1058" s="186" t="str">
        <f>"对目标区域释放移动的魔球，对敌方单位造成"&amp;X1058*100&amp;"%攻击伤害+"&amp;Z1058&amp;"点固定伤害,并附加1层魔法印记"</f>
        <v>对目标区域释放移动的魔球，对敌方单位造成280%攻击伤害+900点固定伤害,并附加1层魔法印记</v>
      </c>
      <c r="BF1058" s="186" t="s">
        <v>2286</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8"/>
      <c r="C1059" s="66">
        <v>64014202</v>
      </c>
      <c r="D1059" s="101" t="s">
        <v>2282</v>
      </c>
      <c r="E1059" s="101" t="s">
        <v>2283</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2284</v>
      </c>
      <c r="AV1059" s="369" t="s">
        <v>2153</v>
      </c>
      <c r="AW1059" s="20" t="s">
        <v>199</v>
      </c>
      <c r="AX1059" s="103" t="s">
        <v>534</v>
      </c>
      <c r="AY1059" s="102">
        <v>10000001</v>
      </c>
      <c r="AZ1059" s="102">
        <v>77005201</v>
      </c>
      <c r="BA1059" s="101" t="s">
        <v>586</v>
      </c>
      <c r="BB1059" s="62" t="s">
        <v>2285</v>
      </c>
      <c r="BC1059" s="108">
        <v>0</v>
      </c>
      <c r="BD1059" s="108">
        <v>0</v>
      </c>
      <c r="BE1059" s="186"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6" t="s">
        <v>2286</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64014203</v>
      </c>
      <c r="D1060" s="101" t="s">
        <v>2282</v>
      </c>
      <c r="E1060" s="101" t="s">
        <v>2283</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2284</v>
      </c>
      <c r="AV1060" s="369" t="s">
        <v>2153</v>
      </c>
      <c r="AW1060" s="20" t="s">
        <v>199</v>
      </c>
      <c r="AX1060" s="103" t="s">
        <v>534</v>
      </c>
      <c r="AY1060" s="102">
        <v>10000001</v>
      </c>
      <c r="AZ1060" s="102">
        <v>77005201</v>
      </c>
      <c r="BA1060" s="101" t="s">
        <v>586</v>
      </c>
      <c r="BB1060" s="62" t="s">
        <v>2285</v>
      </c>
      <c r="BC1060" s="108">
        <v>0</v>
      </c>
      <c r="BD1060" s="108">
        <v>0</v>
      </c>
      <c r="BE1060" s="186" t="str">
        <f t="shared" si="122"/>
        <v>对目标区域释放移动的魔球，对敌方单位造成300%攻击伤害+1800点固定伤害,并附加1层魔法印记</v>
      </c>
      <c r="BF1060" s="186" t="s">
        <v>2287</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19.5" customHeight="1">
      <c r="A1061" s="219"/>
      <c r="B1061" s="219"/>
      <c r="C1061" s="66">
        <v>64014204</v>
      </c>
      <c r="D1061" s="101" t="s">
        <v>2282</v>
      </c>
      <c r="E1061" s="101" t="s">
        <v>2283</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54" t="s">
        <v>2284</v>
      </c>
      <c r="AV1061" s="369" t="s">
        <v>2153</v>
      </c>
      <c r="AW1061" s="20" t="s">
        <v>199</v>
      </c>
      <c r="AX1061" s="103" t="s">
        <v>534</v>
      </c>
      <c r="AY1061" s="102">
        <v>10000001</v>
      </c>
      <c r="AZ1061" s="102">
        <v>77005201</v>
      </c>
      <c r="BA1061" s="101" t="s">
        <v>586</v>
      </c>
      <c r="BB1061" s="62" t="s">
        <v>2285</v>
      </c>
      <c r="BC1061" s="108">
        <v>0</v>
      </c>
      <c r="BD1061" s="108">
        <v>0</v>
      </c>
      <c r="BE1061" s="186" t="str">
        <f t="shared" si="122"/>
        <v>对目标区域释放移动的魔球，对敌方单位造成330%攻击伤害+2800点固定伤害,并附加1层魔法印记</v>
      </c>
      <c r="BF1061" s="186" t="s">
        <v>2288</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pans="1:75" s="2" customFormat="1" ht="19.5" customHeight="1">
      <c r="A1062" s="219"/>
      <c r="B1062" s="219"/>
      <c r="C1062" s="66">
        <v>64014205</v>
      </c>
      <c r="D1062" s="101" t="s">
        <v>2282</v>
      </c>
      <c r="E1062" s="101" t="s">
        <v>2283</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54" t="s">
        <v>2284</v>
      </c>
      <c r="AV1062" s="369" t="s">
        <v>2153</v>
      </c>
      <c r="AW1062" s="20" t="s">
        <v>199</v>
      </c>
      <c r="AX1062" s="103" t="s">
        <v>534</v>
      </c>
      <c r="AY1062" s="102">
        <v>10000001</v>
      </c>
      <c r="AZ1062" s="102">
        <v>77005201</v>
      </c>
      <c r="BA1062" s="101" t="s">
        <v>586</v>
      </c>
      <c r="BB1062" s="62" t="s">
        <v>2285</v>
      </c>
      <c r="BC1062" s="108">
        <v>0</v>
      </c>
      <c r="BD1062" s="108">
        <v>0</v>
      </c>
      <c r="BE1062" s="186" t="str">
        <f t="shared" si="122"/>
        <v>对目标区域释放移动的魔球，对敌方单位造成360%攻击伤害+4000点固定伤害,并附加1层魔法印记</v>
      </c>
      <c r="BF1062" s="186" t="s">
        <v>2289</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pans="1:75" s="2" customFormat="1" ht="19.5" customHeight="1">
      <c r="A1063" s="219"/>
      <c r="B1063" s="219"/>
      <c r="C1063" s="66">
        <v>64014206</v>
      </c>
      <c r="D1063" s="101" t="s">
        <v>2282</v>
      </c>
      <c r="E1063" s="101" t="s">
        <v>2283</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54" t="s">
        <v>2284</v>
      </c>
      <c r="AV1063" s="369" t="s">
        <v>2153</v>
      </c>
      <c r="AW1063" s="20" t="s">
        <v>199</v>
      </c>
      <c r="AX1063" s="103" t="s">
        <v>534</v>
      </c>
      <c r="AY1063" s="102">
        <v>10000001</v>
      </c>
      <c r="AZ1063" s="102">
        <v>77005201</v>
      </c>
      <c r="BA1063" s="101" t="s">
        <v>586</v>
      </c>
      <c r="BB1063" s="62" t="s">
        <v>2285</v>
      </c>
      <c r="BC1063" s="108">
        <v>0</v>
      </c>
      <c r="BD1063" s="108">
        <v>0</v>
      </c>
      <c r="BE1063" s="186" t="str">
        <f t="shared" si="122"/>
        <v>对目标区域释放移动的魔球，对敌方单位造成400%攻击伤害+5200点固定伤害,并附加1层魔法印记</v>
      </c>
      <c r="BF1063" s="186" t="s">
        <v>2290</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pans="1:75" s="2" customFormat="1" ht="20.100000000000001" customHeight="1">
      <c r="A1064" s="219"/>
      <c r="B1064" s="219"/>
      <c r="C1064" s="102">
        <v>64014301</v>
      </c>
      <c r="D1064" s="101" t="s">
        <v>2291</v>
      </c>
      <c r="E1064" s="101" t="s">
        <v>2292</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2293</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2294</v>
      </c>
      <c r="BV1064" s="49"/>
      <c r="BW1064" s="49"/>
    </row>
    <row r="1065" spans="1:75" s="2" customFormat="1" ht="20.100000000000001" customHeight="1">
      <c r="A1065" s="219"/>
      <c r="B1065" s="219"/>
      <c r="C1065" s="102">
        <v>64014302</v>
      </c>
      <c r="D1065" s="101" t="s">
        <v>2291</v>
      </c>
      <c r="E1065" s="101" t="s">
        <v>2292</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2293</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2295</v>
      </c>
      <c r="BV1065" s="49"/>
      <c r="BW1065" s="49"/>
    </row>
    <row r="1066" spans="1:75" s="2" customFormat="1" ht="20.100000000000001" customHeight="1">
      <c r="A1066" s="219"/>
      <c r="B1066" s="219"/>
      <c r="C1066" s="102">
        <v>64014303</v>
      </c>
      <c r="D1066" s="101" t="s">
        <v>2291</v>
      </c>
      <c r="E1066" s="101" t="s">
        <v>2292</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2296</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2297</v>
      </c>
      <c r="BV1066" s="49"/>
      <c r="BW1066" s="49"/>
    </row>
    <row r="1067" spans="1:75" s="2" customFormat="1" ht="20.100000000000001" customHeight="1">
      <c r="A1067" s="219"/>
      <c r="B1067" s="219"/>
      <c r="C1067" s="102">
        <v>64014304</v>
      </c>
      <c r="D1067" s="101" t="s">
        <v>2291</v>
      </c>
      <c r="E1067" s="101" t="s">
        <v>2292</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2298</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49" t="s">
        <v>2299</v>
      </c>
      <c r="BV1067" s="49"/>
      <c r="BW1067" s="49"/>
    </row>
    <row r="1068" spans="1:75" s="2" customFormat="1" ht="20.100000000000001" customHeight="1">
      <c r="A1068" s="219"/>
      <c r="B1068" s="219"/>
      <c r="C1068" s="102">
        <v>64014305</v>
      </c>
      <c r="D1068" s="101" t="s">
        <v>2291</v>
      </c>
      <c r="E1068" s="101" t="s">
        <v>2292</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2300</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49" t="s">
        <v>2301</v>
      </c>
      <c r="BV1068" s="49"/>
      <c r="BW1068" s="49"/>
    </row>
    <row r="1069" spans="1:75" s="2" customFormat="1" ht="20.100000000000001" customHeight="1">
      <c r="A1069" s="219"/>
      <c r="B1069" s="219"/>
      <c r="C1069" s="102">
        <v>64014306</v>
      </c>
      <c r="D1069" s="101" t="s">
        <v>2291</v>
      </c>
      <c r="E1069" s="101" t="s">
        <v>2292</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2302</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49" t="s">
        <v>2303</v>
      </c>
      <c r="BV1069" s="49"/>
      <c r="BW1069" s="49"/>
    </row>
    <row r="1070" spans="1:75" s="1" customFormat="1" ht="20.100000000000001" customHeight="1">
      <c r="A1070" s="218"/>
      <c r="B1070" s="218"/>
      <c r="C1070" s="66">
        <v>64014401</v>
      </c>
      <c r="D1070" s="61" t="s">
        <v>2304</v>
      </c>
      <c r="E1070" s="61" t="s">
        <v>2305</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2306</v>
      </c>
      <c r="AU1070" s="369" t="s">
        <v>198</v>
      </c>
      <c r="AV1070" s="62"/>
      <c r="AW1070" s="20" t="s">
        <v>199</v>
      </c>
      <c r="AX1070" s="62" t="s">
        <v>545</v>
      </c>
      <c r="AY1070" s="66">
        <v>0</v>
      </c>
      <c r="AZ1070" s="66">
        <v>77005204</v>
      </c>
      <c r="BA1070" s="61" t="s">
        <v>200</v>
      </c>
      <c r="BB1070" s="62">
        <v>0</v>
      </c>
      <c r="BC1070" s="68">
        <v>0</v>
      </c>
      <c r="BD1070" s="68">
        <v>0</v>
      </c>
      <c r="BE1070"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6" t="s">
        <v>2307</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64014402</v>
      </c>
      <c r="D1071" s="61" t="s">
        <v>2304</v>
      </c>
      <c r="E1071" s="61" t="s">
        <v>2305</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2306</v>
      </c>
      <c r="AU1071" s="369" t="s">
        <v>198</v>
      </c>
      <c r="AV1071" s="62"/>
      <c r="AW1071" s="20" t="s">
        <v>199</v>
      </c>
      <c r="AX1071" s="62" t="s">
        <v>545</v>
      </c>
      <c r="AY1071" s="66">
        <v>0</v>
      </c>
      <c r="AZ1071" s="66">
        <v>77005204</v>
      </c>
      <c r="BA1071" s="61" t="s">
        <v>200</v>
      </c>
      <c r="BB1071" s="62">
        <v>0</v>
      </c>
      <c r="BC1071" s="68">
        <v>0</v>
      </c>
      <c r="BD1071" s="68">
        <v>0</v>
      </c>
      <c r="BE1071"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6" t="s">
        <v>2307</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64014403</v>
      </c>
      <c r="D1072" s="61" t="s">
        <v>2304</v>
      </c>
      <c r="E1072" s="61" t="s">
        <v>2305</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2306</v>
      </c>
      <c r="AU1072" s="369" t="s">
        <v>198</v>
      </c>
      <c r="AV1072" s="62"/>
      <c r="AW1072" s="20" t="s">
        <v>199</v>
      </c>
      <c r="AX1072" s="62" t="s">
        <v>545</v>
      </c>
      <c r="AY1072" s="66">
        <v>0</v>
      </c>
      <c r="AZ1072" s="66">
        <v>77005204</v>
      </c>
      <c r="BA1072" s="61" t="s">
        <v>200</v>
      </c>
      <c r="BB1072" s="62">
        <v>0</v>
      </c>
      <c r="BC1072" s="68">
        <v>0</v>
      </c>
      <c r="BD1072" s="68">
        <v>0</v>
      </c>
      <c r="BE1072" s="186"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6" t="s">
        <v>2308</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1" customFormat="1" ht="20.100000000000001" customHeight="1">
      <c r="A1073" s="218"/>
      <c r="B1073" s="218"/>
      <c r="C1073" s="66">
        <v>64014404</v>
      </c>
      <c r="D1073" s="61" t="s">
        <v>2304</v>
      </c>
      <c r="E1073" s="61" t="s">
        <v>2305</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56" t="s">
        <v>2306</v>
      </c>
      <c r="AU1073" s="369" t="s">
        <v>198</v>
      </c>
      <c r="AV1073" s="62"/>
      <c r="AW1073" s="20" t="s">
        <v>199</v>
      </c>
      <c r="AX1073" s="62" t="s">
        <v>545</v>
      </c>
      <c r="AY1073" s="66">
        <v>0</v>
      </c>
      <c r="AZ1073" s="66">
        <v>77005204</v>
      </c>
      <c r="BA1073" s="61" t="s">
        <v>200</v>
      </c>
      <c r="BB1073" s="62">
        <v>0</v>
      </c>
      <c r="BC1073" s="68">
        <v>0</v>
      </c>
      <c r="BD1073" s="68">
        <v>0</v>
      </c>
      <c r="BE1073" s="186" t="str">
        <f t="shared" si="124"/>
        <v>自身变成风神之女，每次攻击附带龙卷风,龙卷风每次攻击造成115%攻击伤害+2800点固定伤害,如果目标血量低于35%,则普攻技能提升50%,变身效果持续12秒,命中目标后造成范围爆炸,造成100%伤害</v>
      </c>
      <c r="BF1073" s="186" t="s">
        <v>2309</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pans="1:75" s="1" customFormat="1" ht="20.100000000000001" customHeight="1">
      <c r="A1074" s="218"/>
      <c r="B1074" s="218"/>
      <c r="C1074" s="66">
        <v>64014405</v>
      </c>
      <c r="D1074" s="61" t="s">
        <v>2304</v>
      </c>
      <c r="E1074" s="61" t="s">
        <v>2305</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56" t="s">
        <v>2306</v>
      </c>
      <c r="AU1074" s="369" t="s">
        <v>198</v>
      </c>
      <c r="AV1074" s="62"/>
      <c r="AW1074" s="20" t="s">
        <v>199</v>
      </c>
      <c r="AX1074" s="62" t="s">
        <v>545</v>
      </c>
      <c r="AY1074" s="66">
        <v>0</v>
      </c>
      <c r="AZ1074" s="66">
        <v>77005204</v>
      </c>
      <c r="BA1074" s="61" t="s">
        <v>200</v>
      </c>
      <c r="BB1074" s="62">
        <v>0</v>
      </c>
      <c r="BC1074" s="68">
        <v>0</v>
      </c>
      <c r="BD1074" s="68">
        <v>0</v>
      </c>
      <c r="BE1074" s="186" t="str">
        <f t="shared" si="124"/>
        <v>自身变成风神之女，每次攻击附带龙卷风,龙卷风每次攻击造成122.5%攻击伤害+4000点固定伤害,如果目标血量低于35%,则普攻技能提升50%,变身效果持续12秒,命中目标后造成范围爆炸,造成100%伤害</v>
      </c>
      <c r="BF1074" s="186" t="s">
        <v>2310</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pans="1:75" s="1" customFormat="1" ht="20.100000000000001" customHeight="1">
      <c r="A1075" s="218"/>
      <c r="B1075" s="218"/>
      <c r="C1075" s="66">
        <v>64014406</v>
      </c>
      <c r="D1075" s="61" t="s">
        <v>2304</v>
      </c>
      <c r="E1075" s="61" t="s">
        <v>2305</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56" t="s">
        <v>2306</v>
      </c>
      <c r="AU1075" s="369" t="s">
        <v>198</v>
      </c>
      <c r="AV1075" s="62"/>
      <c r="AW1075" s="20" t="s">
        <v>199</v>
      </c>
      <c r="AX1075" s="62" t="s">
        <v>545</v>
      </c>
      <c r="AY1075" s="66">
        <v>0</v>
      </c>
      <c r="AZ1075" s="66">
        <v>77005204</v>
      </c>
      <c r="BA1075" s="61" t="s">
        <v>200</v>
      </c>
      <c r="BB1075" s="62">
        <v>0</v>
      </c>
      <c r="BC1075" s="68">
        <v>0</v>
      </c>
      <c r="BD1075" s="68">
        <v>0</v>
      </c>
      <c r="BE1075" s="186" t="str">
        <f t="shared" si="124"/>
        <v>自身变成风神之女，每次攻击附带龙卷风,龙卷风每次攻击造成130%攻击伤害+5200点固定伤害,如果目标血量低于35%,则普攻技能提升50%,变身效果持续12秒,命中目标后造成范围爆炸,造成100%伤害</v>
      </c>
      <c r="BF1075" s="186" t="s">
        <v>2311</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pans="1:75" s="2" customFormat="1" ht="19.5" customHeight="1">
      <c r="A1076" s="219"/>
      <c r="B1076" s="219"/>
      <c r="C1076" s="102">
        <v>64014451</v>
      </c>
      <c r="D1076" s="101" t="s">
        <v>2312</v>
      </c>
      <c r="E1076" s="101" t="s">
        <v>2313</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2284</v>
      </c>
      <c r="AV1076" s="369" t="s">
        <v>2268</v>
      </c>
      <c r="AW1076" s="20" t="s">
        <v>199</v>
      </c>
      <c r="AX1076" s="103" t="s">
        <v>534</v>
      </c>
      <c r="AY1076" s="102">
        <v>10000001</v>
      </c>
      <c r="AZ1076" s="102">
        <v>77005205</v>
      </c>
      <c r="BA1076" s="101" t="s">
        <v>586</v>
      </c>
      <c r="BB1076" s="62" t="s">
        <v>2154</v>
      </c>
      <c r="BC1076" s="108">
        <v>0</v>
      </c>
      <c r="BD1076" s="108">
        <v>0</v>
      </c>
      <c r="BE1076" s="139" t="s">
        <v>2314</v>
      </c>
      <c r="BF1076" s="139" t="s">
        <v>2315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2316</v>
      </c>
      <c r="BW1076" s="49"/>
    </row>
    <row r="1077" spans="1:75" s="2" customFormat="1" ht="19.5" customHeight="1">
      <c r="A1077" s="219"/>
      <c r="B1077" s="219"/>
      <c r="C1077" s="102">
        <v>64014452</v>
      </c>
      <c r="D1077" s="101" t="s">
        <v>2312</v>
      </c>
      <c r="E1077" s="101" t="s">
        <v>2313</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1.2250000000000001</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2284</v>
      </c>
      <c r="AV1077" s="369" t="s">
        <v>2268</v>
      </c>
      <c r="AW1077" s="20" t="s">
        <v>199</v>
      </c>
      <c r="AX1077" s="103" t="s">
        <v>534</v>
      </c>
      <c r="AY1077" s="102">
        <v>10000001</v>
      </c>
      <c r="AZ1077" s="102">
        <v>77005205</v>
      </c>
      <c r="BA1077" s="101" t="s">
        <v>586</v>
      </c>
      <c r="BB1077" s="62" t="s">
        <v>2154</v>
      </c>
      <c r="BC1077" s="108">
        <v>0</v>
      </c>
      <c r="BD1077" s="108">
        <v>0</v>
      </c>
      <c r="BE1077" s="139" t="s">
        <v>2314</v>
      </c>
      <c r="BF1077" s="139" t="s">
        <v>2315</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2316</v>
      </c>
      <c r="BW1077" s="49"/>
    </row>
    <row r="1078" spans="1:75" s="2" customFormat="1" ht="19.5" customHeight="1">
      <c r="A1078" s="219"/>
      <c r="B1078" s="219"/>
      <c r="C1078" s="102">
        <v>64014453</v>
      </c>
      <c r="D1078" s="101" t="s">
        <v>2312</v>
      </c>
      <c r="E1078" s="101" t="s">
        <v>2313</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1.1499999999999999</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54" t="s">
        <v>2284</v>
      </c>
      <c r="AV1078" s="369" t="s">
        <v>2268</v>
      </c>
      <c r="AW1078" s="20" t="s">
        <v>199</v>
      </c>
      <c r="AX1078" s="103" t="s">
        <v>534</v>
      </c>
      <c r="AY1078" s="102">
        <v>10000001</v>
      </c>
      <c r="AZ1078" s="102">
        <v>77005205</v>
      </c>
      <c r="BA1078" s="101" t="s">
        <v>586</v>
      </c>
      <c r="BB1078" s="62" t="s">
        <v>2154</v>
      </c>
      <c r="BC1078" s="108">
        <v>0</v>
      </c>
      <c r="BD1078" s="108">
        <v>0</v>
      </c>
      <c r="BE1078" s="139" t="s">
        <v>2314</v>
      </c>
      <c r="BF1078" s="139" t="s">
        <v>2315</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2316</v>
      </c>
      <c r="BW1078" s="49"/>
    </row>
    <row r="1079" spans="1:75" s="2" customFormat="1" ht="19.5" customHeight="1">
      <c r="A1079" s="219"/>
      <c r="B1079" s="219"/>
      <c r="C1079" s="102">
        <v>64014454</v>
      </c>
      <c r="D1079" s="101" t="s">
        <v>2312</v>
      </c>
      <c r="E1079" s="101" t="s">
        <v>2313</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1.2250000000000001</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54" t="s">
        <v>2284</v>
      </c>
      <c r="AV1079" s="369" t="s">
        <v>2268</v>
      </c>
      <c r="AW1079" s="20" t="s">
        <v>199</v>
      </c>
      <c r="AX1079" s="103" t="s">
        <v>534</v>
      </c>
      <c r="AY1079" s="102">
        <v>10000001</v>
      </c>
      <c r="AZ1079" s="102">
        <v>77005205</v>
      </c>
      <c r="BA1079" s="101" t="s">
        <v>586</v>
      </c>
      <c r="BB1079" s="62" t="s">
        <v>2154</v>
      </c>
      <c r="BC1079" s="108">
        <v>0</v>
      </c>
      <c r="BD1079" s="108">
        <v>0</v>
      </c>
      <c r="BE1079" s="139" t="s">
        <v>2314</v>
      </c>
      <c r="BF1079" s="139" t="s">
        <v>2315</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2316</v>
      </c>
      <c r="BW1079" s="49"/>
    </row>
    <row r="1080" spans="1:75" s="2" customFormat="1" ht="19.5" customHeight="1">
      <c r="A1080" s="219"/>
      <c r="B1080" s="219"/>
      <c r="C1080" s="102">
        <v>64014455</v>
      </c>
      <c r="D1080" s="101" t="s">
        <v>2312</v>
      </c>
      <c r="E1080" s="101" t="s">
        <v>2313</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54" t="s">
        <v>2284</v>
      </c>
      <c r="AV1080" s="369" t="s">
        <v>2268</v>
      </c>
      <c r="AW1080" s="20" t="s">
        <v>199</v>
      </c>
      <c r="AX1080" s="103" t="s">
        <v>534</v>
      </c>
      <c r="AY1080" s="102">
        <v>10000001</v>
      </c>
      <c r="AZ1080" s="102">
        <v>77005205</v>
      </c>
      <c r="BA1080" s="101" t="s">
        <v>586</v>
      </c>
      <c r="BB1080" s="62" t="s">
        <v>2154</v>
      </c>
      <c r="BC1080" s="108">
        <v>0</v>
      </c>
      <c r="BD1080" s="108">
        <v>0</v>
      </c>
      <c r="BE1080" s="139" t="s">
        <v>2314</v>
      </c>
      <c r="BF1080" s="139" t="s">
        <v>2315</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2316</v>
      </c>
      <c r="BW1080" s="49"/>
    </row>
    <row r="1081" spans="1:75" s="3" customFormat="1" ht="19.5" customHeight="1">
      <c r="A1081" s="220"/>
      <c r="B1081" s="220"/>
      <c r="C1081" s="221">
        <v>64014501</v>
      </c>
      <c r="D1081" s="222" t="s">
        <v>2222</v>
      </c>
      <c r="E1081" s="222" t="s">
        <v>2223</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70" t="s">
        <v>2268</v>
      </c>
      <c r="AV1081" s="228"/>
      <c r="AW1081" s="229" t="s">
        <v>198</v>
      </c>
      <c r="AX1081" s="225" t="s">
        <v>534</v>
      </c>
      <c r="AY1081" s="221">
        <v>0</v>
      </c>
      <c r="AZ1081" s="221">
        <v>77005207</v>
      </c>
      <c r="BA1081" s="222" t="s">
        <v>200</v>
      </c>
      <c r="BB1081" s="225">
        <v>0</v>
      </c>
      <c r="BC1081" s="226">
        <v>0</v>
      </c>
      <c r="BD1081" s="226">
        <v>0</v>
      </c>
      <c r="BE1081" s="230" t="s">
        <v>2317</v>
      </c>
      <c r="BF1081" s="230" t="s">
        <v>2318</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pans="1:75" s="3" customFormat="1" ht="19.5" customHeight="1">
      <c r="A1082" s="220"/>
      <c r="B1082" s="220"/>
      <c r="C1082" s="221">
        <v>64014601</v>
      </c>
      <c r="D1082" s="222" t="s">
        <v>2319</v>
      </c>
      <c r="E1082" s="222" t="s">
        <v>2320</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2268</v>
      </c>
      <c r="AV1082" s="228"/>
      <c r="AW1082" s="222" t="s">
        <v>198</v>
      </c>
      <c r="AX1082" s="225" t="s">
        <v>534</v>
      </c>
      <c r="AY1082" s="221">
        <v>10000007</v>
      </c>
      <c r="AZ1082" s="221">
        <v>77005205</v>
      </c>
      <c r="BA1082" s="222" t="s">
        <v>586</v>
      </c>
      <c r="BB1082" s="225" t="s">
        <v>2321</v>
      </c>
      <c r="BC1082" s="226">
        <v>0</v>
      </c>
      <c r="BD1082" s="226">
        <v>1</v>
      </c>
      <c r="BE1082" s="230" t="s">
        <v>2322</v>
      </c>
      <c r="BF1082" s="230" t="s">
        <v>2323</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64014602</v>
      </c>
      <c r="D1083" s="222" t="s">
        <v>2319</v>
      </c>
      <c r="E1083" s="222" t="s">
        <v>2320</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2268</v>
      </c>
      <c r="AV1083" s="228"/>
      <c r="AW1083" s="222" t="s">
        <v>198</v>
      </c>
      <c r="AX1083" s="225" t="s">
        <v>534</v>
      </c>
      <c r="AY1083" s="221">
        <v>10000007</v>
      </c>
      <c r="AZ1083" s="221">
        <v>77005205</v>
      </c>
      <c r="BA1083" s="222" t="s">
        <v>586</v>
      </c>
      <c r="BB1083" s="225" t="s">
        <v>2321</v>
      </c>
      <c r="BC1083" s="226">
        <v>0</v>
      </c>
      <c r="BD1083" s="226">
        <v>1</v>
      </c>
      <c r="BE1083" s="230" t="s">
        <v>2322</v>
      </c>
      <c r="BF1083" s="230" t="s">
        <v>2323</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64014603</v>
      </c>
      <c r="D1084" s="222" t="s">
        <v>2319</v>
      </c>
      <c r="E1084" s="222" t="s">
        <v>2320</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2268</v>
      </c>
      <c r="AV1084" s="228"/>
      <c r="AW1084" s="222" t="s">
        <v>198</v>
      </c>
      <c r="AX1084" s="225" t="s">
        <v>534</v>
      </c>
      <c r="AY1084" s="221">
        <v>10000007</v>
      </c>
      <c r="AZ1084" s="221">
        <v>77005205</v>
      </c>
      <c r="BA1084" s="222" t="s">
        <v>586</v>
      </c>
      <c r="BB1084" s="225" t="s">
        <v>2321</v>
      </c>
      <c r="BC1084" s="226">
        <v>0</v>
      </c>
      <c r="BD1084" s="226">
        <v>1</v>
      </c>
      <c r="BE1084" s="230" t="s">
        <v>2322</v>
      </c>
      <c r="BF1084" s="230" t="s">
        <v>2323</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64014604</v>
      </c>
      <c r="D1085" s="222" t="s">
        <v>2319</v>
      </c>
      <c r="E1085" s="222" t="s">
        <v>2320</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70" t="s">
        <v>2268</v>
      </c>
      <c r="AV1085" s="228"/>
      <c r="AW1085" s="222" t="s">
        <v>198</v>
      </c>
      <c r="AX1085" s="225" t="s">
        <v>534</v>
      </c>
      <c r="AY1085" s="221">
        <v>10000007</v>
      </c>
      <c r="AZ1085" s="221">
        <v>77005205</v>
      </c>
      <c r="BA1085" s="222" t="s">
        <v>586</v>
      </c>
      <c r="BB1085" s="225" t="s">
        <v>2321</v>
      </c>
      <c r="BC1085" s="226">
        <v>0</v>
      </c>
      <c r="BD1085" s="226">
        <v>1</v>
      </c>
      <c r="BE1085" s="230" t="s">
        <v>2322</v>
      </c>
      <c r="BF1085" s="230" t="s">
        <v>2323</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64014605</v>
      </c>
      <c r="D1086" s="222" t="s">
        <v>2319</v>
      </c>
      <c r="E1086" s="222" t="s">
        <v>2320</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70" t="s">
        <v>2268</v>
      </c>
      <c r="AV1086" s="228"/>
      <c r="AW1086" s="222" t="s">
        <v>198</v>
      </c>
      <c r="AX1086" s="225" t="s">
        <v>534</v>
      </c>
      <c r="AY1086" s="221">
        <v>10000007</v>
      </c>
      <c r="AZ1086" s="221">
        <v>77005205</v>
      </c>
      <c r="BA1086" s="222" t="s">
        <v>586</v>
      </c>
      <c r="BB1086" s="225" t="s">
        <v>2321</v>
      </c>
      <c r="BC1086" s="226">
        <v>0</v>
      </c>
      <c r="BD1086" s="226">
        <v>1</v>
      </c>
      <c r="BE1086" s="230" t="s">
        <v>2322</v>
      </c>
      <c r="BF1086" s="230" t="s">
        <v>2323</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64014606</v>
      </c>
      <c r="D1087" s="222" t="s">
        <v>2319</v>
      </c>
      <c r="E1087" s="222" t="s">
        <v>2320</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70" t="s">
        <v>2268</v>
      </c>
      <c r="AV1087" s="228"/>
      <c r="AW1087" s="222" t="s">
        <v>198</v>
      </c>
      <c r="AX1087" s="225" t="s">
        <v>534</v>
      </c>
      <c r="AY1087" s="221">
        <v>10000007</v>
      </c>
      <c r="AZ1087" s="221">
        <v>77005205</v>
      </c>
      <c r="BA1087" s="222" t="s">
        <v>586</v>
      </c>
      <c r="BB1087" s="225" t="s">
        <v>2321</v>
      </c>
      <c r="BC1087" s="226">
        <v>0</v>
      </c>
      <c r="BD1087" s="226">
        <v>1</v>
      </c>
      <c r="BE1087" s="230" t="s">
        <v>2322</v>
      </c>
      <c r="BF1087" s="230" t="s">
        <v>2323</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64014701</v>
      </c>
      <c r="D1088" s="222" t="s">
        <v>2324</v>
      </c>
      <c r="E1088" s="222" t="s">
        <v>2325</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2326</v>
      </c>
      <c r="AV1088" s="228"/>
      <c r="AW1088" s="229" t="s">
        <v>198</v>
      </c>
      <c r="AX1088" s="225" t="s">
        <v>534</v>
      </c>
      <c r="AY1088" s="221">
        <v>0</v>
      </c>
      <c r="AZ1088" s="221">
        <v>77005202</v>
      </c>
      <c r="BA1088" s="222" t="s">
        <v>200</v>
      </c>
      <c r="BB1088" s="225">
        <v>0</v>
      </c>
      <c r="BC1088" s="226">
        <v>0</v>
      </c>
      <c r="BD1088" s="226">
        <v>0</v>
      </c>
      <c r="BE1088" s="230" t="s">
        <v>2224</v>
      </c>
      <c r="BF1088" s="230" t="s">
        <v>2225</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64014702</v>
      </c>
      <c r="D1089" s="222" t="s">
        <v>2324</v>
      </c>
      <c r="E1089" s="222" t="s">
        <v>2325</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2326</v>
      </c>
      <c r="AV1089" s="228"/>
      <c r="AW1089" s="229" t="s">
        <v>198</v>
      </c>
      <c r="AX1089" s="225" t="s">
        <v>534</v>
      </c>
      <c r="AY1089" s="221">
        <v>0</v>
      </c>
      <c r="AZ1089" s="221">
        <v>77005202</v>
      </c>
      <c r="BA1089" s="222" t="s">
        <v>200</v>
      </c>
      <c r="BB1089" s="225">
        <v>0</v>
      </c>
      <c r="BC1089" s="226">
        <v>0</v>
      </c>
      <c r="BD1089" s="226">
        <v>0</v>
      </c>
      <c r="BE1089" s="230" t="s">
        <v>2224</v>
      </c>
      <c r="BF1089" s="230" t="s">
        <v>2225</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64014703</v>
      </c>
      <c r="D1090" s="222" t="s">
        <v>2324</v>
      </c>
      <c r="E1090" s="222" t="s">
        <v>2325</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0.55000000000000004</v>
      </c>
      <c r="Y1090" s="225">
        <v>0.55000000000000004</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2326</v>
      </c>
      <c r="AV1090" s="228"/>
      <c r="AW1090" s="229" t="s">
        <v>198</v>
      </c>
      <c r="AX1090" s="225" t="s">
        <v>534</v>
      </c>
      <c r="AY1090" s="221">
        <v>0</v>
      </c>
      <c r="AZ1090" s="221">
        <v>77005202</v>
      </c>
      <c r="BA1090" s="222" t="s">
        <v>200</v>
      </c>
      <c r="BB1090" s="225">
        <v>0</v>
      </c>
      <c r="BC1090" s="226">
        <v>0</v>
      </c>
      <c r="BD1090" s="226">
        <v>0</v>
      </c>
      <c r="BE1090" s="230" t="s">
        <v>2224</v>
      </c>
      <c r="BF1090" s="230" t="s">
        <v>2225</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3" customFormat="1" ht="19.5" customHeight="1">
      <c r="A1091" s="220"/>
      <c r="B1091" s="220"/>
      <c r="C1091" s="221">
        <v>64014704</v>
      </c>
      <c r="D1091" s="222" t="s">
        <v>2324</v>
      </c>
      <c r="E1091" s="222" t="s">
        <v>2325</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70" t="s">
        <v>2326</v>
      </c>
      <c r="AV1091" s="228"/>
      <c r="AW1091" s="229" t="s">
        <v>198</v>
      </c>
      <c r="AX1091" s="225" t="s">
        <v>534</v>
      </c>
      <c r="AY1091" s="221">
        <v>0</v>
      </c>
      <c r="AZ1091" s="221">
        <v>77005202</v>
      </c>
      <c r="BA1091" s="222" t="s">
        <v>200</v>
      </c>
      <c r="BB1091" s="225">
        <v>0</v>
      </c>
      <c r="BC1091" s="226">
        <v>0</v>
      </c>
      <c r="BD1091" s="226">
        <v>0</v>
      </c>
      <c r="BE1091" s="230" t="s">
        <v>2224</v>
      </c>
      <c r="BF1091" s="230" t="s">
        <v>2225</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pans="1:75" s="3" customFormat="1" ht="19.5" customHeight="1">
      <c r="A1092" s="220"/>
      <c r="B1092" s="220"/>
      <c r="C1092" s="221">
        <v>64014705</v>
      </c>
      <c r="D1092" s="222" t="s">
        <v>2324</v>
      </c>
      <c r="E1092" s="222" t="s">
        <v>2325</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70" t="s">
        <v>2326</v>
      </c>
      <c r="AV1092" s="228"/>
      <c r="AW1092" s="229" t="s">
        <v>198</v>
      </c>
      <c r="AX1092" s="225" t="s">
        <v>534</v>
      </c>
      <c r="AY1092" s="221">
        <v>0</v>
      </c>
      <c r="AZ1092" s="221">
        <v>77005202</v>
      </c>
      <c r="BA1092" s="222" t="s">
        <v>200</v>
      </c>
      <c r="BB1092" s="225">
        <v>0</v>
      </c>
      <c r="BC1092" s="226">
        <v>0</v>
      </c>
      <c r="BD1092" s="226">
        <v>0</v>
      </c>
      <c r="BE1092" s="230" t="s">
        <v>2224</v>
      </c>
      <c r="BF1092" s="230" t="s">
        <v>2225</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pans="1:75" s="3" customFormat="1" ht="19.5" customHeight="1">
      <c r="A1093" s="220"/>
      <c r="B1093" s="220"/>
      <c r="C1093" s="221">
        <v>64014706</v>
      </c>
      <c r="D1093" s="222" t="s">
        <v>2324</v>
      </c>
      <c r="E1093" s="222" t="s">
        <v>2325</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70" t="s">
        <v>2326</v>
      </c>
      <c r="AV1093" s="228"/>
      <c r="AW1093" s="229" t="s">
        <v>198</v>
      </c>
      <c r="AX1093" s="225" t="s">
        <v>534</v>
      </c>
      <c r="AY1093" s="221">
        <v>0</v>
      </c>
      <c r="AZ1093" s="221">
        <v>77005202</v>
      </c>
      <c r="BA1093" s="222" t="s">
        <v>200</v>
      </c>
      <c r="BB1093" s="225">
        <v>0</v>
      </c>
      <c r="BC1093" s="226">
        <v>0</v>
      </c>
      <c r="BD1093" s="226">
        <v>0</v>
      </c>
      <c r="BE1093" s="230" t="s">
        <v>2224</v>
      </c>
      <c r="BF1093" s="230" t="s">
        <v>2225</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pans="1:75" s="2" customFormat="1" ht="19.5" customHeight="1">
      <c r="A1094" s="219"/>
      <c r="B1094" s="219"/>
      <c r="C1094" s="102">
        <v>64015101</v>
      </c>
      <c r="D1094" s="101" t="s">
        <v>2327</v>
      </c>
      <c r="E1094" s="101" t="s">
        <v>2328</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2329</v>
      </c>
      <c r="BB1094" s="103" t="s">
        <v>2330</v>
      </c>
      <c r="BC1094" s="108">
        <v>0</v>
      </c>
      <c r="BD1094" s="108">
        <v>0</v>
      </c>
      <c r="BE1094" s="186"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6" t="s">
        <v>2331</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64015102</v>
      </c>
      <c r="D1095" s="101" t="s">
        <v>2327</v>
      </c>
      <c r="E1095" s="101" t="s">
        <v>2328</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2329</v>
      </c>
      <c r="BB1095" s="103" t="s">
        <v>2330</v>
      </c>
      <c r="BC1095" s="108">
        <v>0</v>
      </c>
      <c r="BD1095" s="108">
        <v>0</v>
      </c>
      <c r="BE1095" s="186"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6" t="s">
        <v>2331</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64015103</v>
      </c>
      <c r="D1096" s="101" t="s">
        <v>2327</v>
      </c>
      <c r="E1096" s="101" t="s">
        <v>2328</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1.1000000000000001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2329</v>
      </c>
      <c r="BB1096" s="103" t="s">
        <v>2330</v>
      </c>
      <c r="BC1096" s="108">
        <v>0</v>
      </c>
      <c r="BD1096" s="108">
        <v>0</v>
      </c>
      <c r="BE1096"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6" t="s">
        <v>2332</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s="2" customFormat="1" ht="19.5" customHeight="1">
      <c r="A1097" s="219"/>
      <c r="B1097" s="219"/>
      <c r="C1097" s="102">
        <v>64015104</v>
      </c>
      <c r="D1097" s="101" t="s">
        <v>2327</v>
      </c>
      <c r="E1097" s="101" t="s">
        <v>2328</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2329</v>
      </c>
      <c r="BB1097" s="103" t="s">
        <v>2330</v>
      </c>
      <c r="BC1097" s="108">
        <v>0</v>
      </c>
      <c r="BD1097" s="108">
        <v>0</v>
      </c>
      <c r="BE1097"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6" t="s">
        <v>2333</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pans="1:75" s="2" customFormat="1" ht="19.5" customHeight="1">
      <c r="A1098" s="219"/>
      <c r="B1098" s="219"/>
      <c r="C1098" s="102">
        <v>64015105</v>
      </c>
      <c r="D1098" s="101" t="s">
        <v>2327</v>
      </c>
      <c r="E1098" s="101" t="s">
        <v>2328</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2329</v>
      </c>
      <c r="BB1098" s="103" t="s">
        <v>2330</v>
      </c>
      <c r="BC1098" s="108">
        <v>0</v>
      </c>
      <c r="BD1098" s="108">
        <v>0</v>
      </c>
      <c r="BE1098"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6" t="s">
        <v>2334</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pans="1:75" s="2" customFormat="1" ht="19.5" customHeight="1">
      <c r="A1099" s="219"/>
      <c r="B1099" s="219"/>
      <c r="C1099" s="102">
        <v>64015106</v>
      </c>
      <c r="D1099" s="101" t="s">
        <v>2327</v>
      </c>
      <c r="E1099" s="101" t="s">
        <v>2328</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2329</v>
      </c>
      <c r="BB1099" s="103" t="s">
        <v>2330</v>
      </c>
      <c r="BC1099" s="108">
        <v>0</v>
      </c>
      <c r="BD1099" s="108">
        <v>0</v>
      </c>
      <c r="BE1099"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6" t="s">
        <v>2335</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spans="1:75" ht="20.100000000000001" customHeight="1">
      <c r="C1100" s="66">
        <v>64015201</v>
      </c>
      <c r="D1100" s="202" t="s">
        <v>2336</v>
      </c>
      <c r="E1100" s="202" t="s">
        <v>2337</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2077</v>
      </c>
      <c r="AU1100" s="368" t="s">
        <v>2078</v>
      </c>
      <c r="AV1100" s="203"/>
      <c r="AW1100" s="20" t="s">
        <v>199</v>
      </c>
      <c r="AX1100" s="177" t="s">
        <v>2079</v>
      </c>
      <c r="AY1100" s="177" t="s">
        <v>198</v>
      </c>
      <c r="AZ1100" s="177">
        <v>21203010</v>
      </c>
      <c r="BA1100" s="202" t="s">
        <v>200</v>
      </c>
      <c r="BB1100" s="177">
        <v>0</v>
      </c>
      <c r="BC1100" s="177">
        <v>0</v>
      </c>
      <c r="BD1100" s="177">
        <v>0</v>
      </c>
      <c r="BE1100" s="215" t="s">
        <v>2080</v>
      </c>
      <c r="BF1100" s="215" t="s">
        <v>2081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64015202</v>
      </c>
      <c r="D1101" s="202" t="s">
        <v>2336</v>
      </c>
      <c r="E1101" s="202" t="s">
        <v>2337</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2077</v>
      </c>
      <c r="AU1101" s="368" t="s">
        <v>2078</v>
      </c>
      <c r="AV1101" s="203"/>
      <c r="AW1101" s="20" t="s">
        <v>199</v>
      </c>
      <c r="AX1101" s="177" t="s">
        <v>2079</v>
      </c>
      <c r="AY1101" s="177" t="s">
        <v>198</v>
      </c>
      <c r="AZ1101" s="177">
        <v>21203010</v>
      </c>
      <c r="BA1101" s="202" t="s">
        <v>200</v>
      </c>
      <c r="BB1101" s="177">
        <v>0</v>
      </c>
      <c r="BC1101" s="177">
        <v>0</v>
      </c>
      <c r="BD1101" s="177">
        <v>0</v>
      </c>
      <c r="BE1101" s="215" t="s">
        <v>2080</v>
      </c>
      <c r="BF1101" s="215" t="s">
        <v>2081</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64015203</v>
      </c>
      <c r="D1102" s="202" t="s">
        <v>2336</v>
      </c>
      <c r="E1102" s="202" t="s">
        <v>2337</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2082</v>
      </c>
      <c r="AU1102" s="368" t="s">
        <v>2083</v>
      </c>
      <c r="AV1102" s="203"/>
      <c r="AW1102" s="20" t="s">
        <v>199</v>
      </c>
      <c r="AX1102" s="177" t="s">
        <v>2079</v>
      </c>
      <c r="AY1102" s="177" t="s">
        <v>198</v>
      </c>
      <c r="AZ1102" s="177">
        <v>21203010</v>
      </c>
      <c r="BA1102" s="202" t="s">
        <v>200</v>
      </c>
      <c r="BB1102" s="177">
        <v>0</v>
      </c>
      <c r="BC1102" s="177">
        <v>0</v>
      </c>
      <c r="BD1102" s="177">
        <v>0</v>
      </c>
      <c r="BE1102" s="215" t="s">
        <v>2084</v>
      </c>
      <c r="BF1102" s="215" t="s">
        <v>2085</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ht="20.100000000000001" customHeight="1">
      <c r="C1103" s="66">
        <v>64015204</v>
      </c>
      <c r="D1103" s="202" t="s">
        <v>2336</v>
      </c>
      <c r="E1103" s="202" t="s">
        <v>2337</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68" t="s">
        <v>2086</v>
      </c>
      <c r="AU1103" s="368" t="s">
        <v>2087</v>
      </c>
      <c r="AV1103" s="203"/>
      <c r="AW1103" s="20" t="s">
        <v>199</v>
      </c>
      <c r="AX1103" s="177" t="s">
        <v>2079</v>
      </c>
      <c r="AY1103" s="177" t="s">
        <v>198</v>
      </c>
      <c r="AZ1103" s="177">
        <v>21203010</v>
      </c>
      <c r="BA1103" s="202" t="s">
        <v>200</v>
      </c>
      <c r="BB1103" s="177">
        <v>0</v>
      </c>
      <c r="BC1103" s="177">
        <v>0</v>
      </c>
      <c r="BD1103" s="177">
        <v>0</v>
      </c>
      <c r="BE1103" s="215" t="s">
        <v>2088</v>
      </c>
      <c r="BF1103" s="215" t="s">
        <v>2089</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spans="1:75" ht="20.100000000000001" customHeight="1">
      <c r="C1104" s="66">
        <v>64015205</v>
      </c>
      <c r="D1104" s="202" t="s">
        <v>2336</v>
      </c>
      <c r="E1104" s="202" t="s">
        <v>2337</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2090</v>
      </c>
      <c r="AU1104" s="368" t="s">
        <v>2091</v>
      </c>
      <c r="AV1104" s="203"/>
      <c r="AW1104" s="20" t="s">
        <v>199</v>
      </c>
      <c r="AX1104" s="177" t="s">
        <v>2079</v>
      </c>
      <c r="AY1104" s="177" t="s">
        <v>198</v>
      </c>
      <c r="AZ1104" s="177">
        <v>21203010</v>
      </c>
      <c r="BA1104" s="202" t="s">
        <v>200</v>
      </c>
      <c r="BB1104" s="177">
        <v>0</v>
      </c>
      <c r="BC1104" s="177">
        <v>0</v>
      </c>
      <c r="BD1104" s="177">
        <v>0</v>
      </c>
      <c r="BE1104" s="215" t="s">
        <v>2092</v>
      </c>
      <c r="BF1104" s="215" t="s">
        <v>2093</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spans="1:75" ht="20.100000000000001" customHeight="1">
      <c r="C1105" s="66">
        <v>64015206</v>
      </c>
      <c r="D1105" s="202" t="s">
        <v>2336</v>
      </c>
      <c r="E1105" s="202" t="s">
        <v>2337</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2094</v>
      </c>
      <c r="AU1105" s="368" t="s">
        <v>2095</v>
      </c>
      <c r="AV1105" s="203"/>
      <c r="AW1105" s="20" t="s">
        <v>199</v>
      </c>
      <c r="AX1105" s="177" t="s">
        <v>2079</v>
      </c>
      <c r="AY1105" s="177" t="s">
        <v>198</v>
      </c>
      <c r="AZ1105" s="177">
        <v>21203010</v>
      </c>
      <c r="BA1105" s="202" t="s">
        <v>200</v>
      </c>
      <c r="BB1105" s="177">
        <v>0</v>
      </c>
      <c r="BC1105" s="177">
        <v>0</v>
      </c>
      <c r="BD1105" s="177">
        <v>0</v>
      </c>
      <c r="BE1105" s="215" t="s">
        <v>2096</v>
      </c>
      <c r="BF1105" s="215" t="s">
        <v>2097</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pans="1:75" s="2" customFormat="1" ht="20.100000000000001" customHeight="1">
      <c r="A1106" s="219"/>
      <c r="B1106" s="219"/>
      <c r="C1106" s="102">
        <v>64015301</v>
      </c>
      <c r="D1106" s="101" t="s">
        <v>2338</v>
      </c>
      <c r="E1106" s="101" t="s">
        <v>2339</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2153</v>
      </c>
      <c r="AW1106" s="20" t="s">
        <v>199</v>
      </c>
      <c r="AX1106" s="103" t="s">
        <v>545</v>
      </c>
      <c r="AY1106" s="102">
        <v>0</v>
      </c>
      <c r="AZ1106" s="102">
        <v>77005303</v>
      </c>
      <c r="BA1106" s="61" t="s">
        <v>315</v>
      </c>
      <c r="BB1106" s="62">
        <v>0</v>
      </c>
      <c r="BC1106" s="107">
        <v>0</v>
      </c>
      <c r="BD1106" s="107">
        <v>0</v>
      </c>
      <c r="BE1106" s="186" t="str">
        <f>"对目标区域立即造成"&amp;X1106*100&amp;"%攻击伤害+"&amp;Z1106&amp;"点固定伤害,并附带魔法印记和并眩晕2秒"</f>
        <v>对目标区域立即造成250%攻击伤害+900点固定伤害,并附带魔法印记和并眩晕2秒</v>
      </c>
      <c r="BF1106" s="186" t="s">
        <v>2340</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64015302</v>
      </c>
      <c r="D1107" s="101" t="s">
        <v>2338</v>
      </c>
      <c r="E1107" s="101" t="s">
        <v>2339</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2153</v>
      </c>
      <c r="AW1107" s="20" t="s">
        <v>199</v>
      </c>
      <c r="AX1107" s="103" t="s">
        <v>545</v>
      </c>
      <c r="AY1107" s="102">
        <v>0</v>
      </c>
      <c r="AZ1107" s="102">
        <v>77005303</v>
      </c>
      <c r="BA1107" s="61" t="s">
        <v>315</v>
      </c>
      <c r="BB1107" s="62">
        <v>1</v>
      </c>
      <c r="BC1107" s="107">
        <v>0</v>
      </c>
      <c r="BD1107" s="107">
        <v>0</v>
      </c>
      <c r="BE1107" s="186" t="str">
        <f t="shared" ref="BE1107:BE1111" si="127">"对目标区域立即造成"&amp;X1107*100&amp;"%攻击伤害+"&amp;Z1107&amp;"点固定伤害,并附带魔法印记和并眩晕2秒"</f>
        <v>对目标区域立即造成250%攻击伤害+900点固定伤害,并附带魔法印记和并眩晕2秒</v>
      </c>
      <c r="BF1107" s="186" t="s">
        <v>2340</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20.100000000000001" customHeight="1">
      <c r="A1108" s="219"/>
      <c r="B1108" s="219"/>
      <c r="C1108" s="102">
        <v>64015303</v>
      </c>
      <c r="D1108" s="101" t="s">
        <v>2338</v>
      </c>
      <c r="E1108" s="101" t="s">
        <v>2339</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2153</v>
      </c>
      <c r="AW1108" s="20" t="s">
        <v>199</v>
      </c>
      <c r="AX1108" s="103" t="s">
        <v>545</v>
      </c>
      <c r="AY1108" s="102">
        <v>0</v>
      </c>
      <c r="AZ1108" s="102">
        <v>77005303</v>
      </c>
      <c r="BA1108" s="61" t="s">
        <v>315</v>
      </c>
      <c r="BB1108" s="62">
        <v>1</v>
      </c>
      <c r="BC1108" s="107">
        <v>0</v>
      </c>
      <c r="BD1108" s="107">
        <v>0</v>
      </c>
      <c r="BE1108" s="186" t="str">
        <f t="shared" si="127"/>
        <v>对目标区域立即造成275%攻击伤害+1800点固定伤害,并附带魔法印记和并眩晕2秒</v>
      </c>
      <c r="BF1108" s="186" t="s">
        <v>2341</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2" customFormat="1" ht="20.100000000000001" customHeight="1">
      <c r="A1109" s="219"/>
      <c r="B1109" s="219"/>
      <c r="C1109" s="102">
        <v>64015304</v>
      </c>
      <c r="D1109" s="101" t="s">
        <v>2338</v>
      </c>
      <c r="E1109" s="101" t="s">
        <v>2339</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69" t="s">
        <v>2153</v>
      </c>
      <c r="AW1109" s="20" t="s">
        <v>199</v>
      </c>
      <c r="AX1109" s="103" t="s">
        <v>545</v>
      </c>
      <c r="AY1109" s="102">
        <v>0</v>
      </c>
      <c r="AZ1109" s="102">
        <v>77005303</v>
      </c>
      <c r="BA1109" s="61" t="s">
        <v>315</v>
      </c>
      <c r="BB1109" s="62">
        <v>1</v>
      </c>
      <c r="BC1109" s="107">
        <v>0</v>
      </c>
      <c r="BD1109" s="107">
        <v>0</v>
      </c>
      <c r="BE1109" s="186" t="str">
        <f t="shared" si="127"/>
        <v>对目标区域立即造成300%攻击伤害+2800点固定伤害,并附带魔法印记和并眩晕2秒</v>
      </c>
      <c r="BF1109" s="186" t="s">
        <v>2342</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pans="1:75" s="2" customFormat="1" ht="20.100000000000001" customHeight="1">
      <c r="A1110" s="219"/>
      <c r="B1110" s="219"/>
      <c r="C1110" s="102">
        <v>64015305</v>
      </c>
      <c r="D1110" s="101" t="s">
        <v>2338</v>
      </c>
      <c r="E1110" s="101" t="s">
        <v>2339</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69" t="s">
        <v>2153</v>
      </c>
      <c r="AW1110" s="20" t="s">
        <v>199</v>
      </c>
      <c r="AX1110" s="103" t="s">
        <v>545</v>
      </c>
      <c r="AY1110" s="102">
        <v>0</v>
      </c>
      <c r="AZ1110" s="102">
        <v>77005303</v>
      </c>
      <c r="BA1110" s="61" t="s">
        <v>315</v>
      </c>
      <c r="BB1110" s="62">
        <v>1</v>
      </c>
      <c r="BC1110" s="107">
        <v>0</v>
      </c>
      <c r="BD1110" s="107">
        <v>0</v>
      </c>
      <c r="BE1110" s="186" t="str">
        <f t="shared" si="127"/>
        <v>对目标区域立即造成325%攻击伤害+4000点固定伤害,并附带魔法印记和并眩晕2秒</v>
      </c>
      <c r="BF1110" s="186" t="s">
        <v>2343</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pans="1:75" s="2" customFormat="1" ht="19.5" customHeight="1">
      <c r="A1111" s="219"/>
      <c r="B1111" s="219"/>
      <c r="C1111" s="102">
        <v>64015306</v>
      </c>
      <c r="D1111" s="101" t="s">
        <v>2338</v>
      </c>
      <c r="E1111" s="101" t="s">
        <v>2339</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69" t="s">
        <v>2153</v>
      </c>
      <c r="AW1111" s="20" t="s">
        <v>199</v>
      </c>
      <c r="AX1111" s="103" t="s">
        <v>545</v>
      </c>
      <c r="AY1111" s="102">
        <v>0</v>
      </c>
      <c r="AZ1111" s="102">
        <v>77005303</v>
      </c>
      <c r="BA1111" s="61" t="s">
        <v>315</v>
      </c>
      <c r="BB1111" s="62">
        <v>1</v>
      </c>
      <c r="BC1111" s="107">
        <v>0</v>
      </c>
      <c r="BD1111" s="107">
        <v>0</v>
      </c>
      <c r="BE1111" s="186" t="str">
        <f t="shared" si="127"/>
        <v>对目标区域立即造成350%攻击伤害+5200点固定伤害,并附带魔法印记和并眩晕2秒</v>
      </c>
      <c r="BF1111" s="186" t="s">
        <v>2344</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pans="1:75" s="1" customFormat="1" ht="20.100000000000001" customHeight="1">
      <c r="A1112" s="218"/>
      <c r="B1112" s="218"/>
      <c r="C1112" s="66">
        <v>64015401</v>
      </c>
      <c r="D1112" s="61" t="s">
        <v>2345</v>
      </c>
      <c r="E1112" s="61" t="s">
        <v>2346</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2347</v>
      </c>
      <c r="BB1112" s="369" t="s">
        <v>2348</v>
      </c>
      <c r="BC1112" s="68">
        <v>0</v>
      </c>
      <c r="BD1112" s="68">
        <v>0</v>
      </c>
      <c r="BE1112" s="92" t="s">
        <v>2349</v>
      </c>
      <c r="BF1112" s="92" t="s">
        <v>2350</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64015402</v>
      </c>
      <c r="D1113" s="61" t="s">
        <v>2345</v>
      </c>
      <c r="E1113" s="61" t="s">
        <v>2346</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2347</v>
      </c>
      <c r="BB1113" s="369" t="s">
        <v>2348</v>
      </c>
      <c r="BC1113" s="68">
        <v>0</v>
      </c>
      <c r="BD1113" s="68">
        <v>0</v>
      </c>
      <c r="BE1113" s="92" t="s">
        <v>2349</v>
      </c>
      <c r="BF1113" s="92" t="s">
        <v>2350</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64015403</v>
      </c>
      <c r="D1114" s="61" t="s">
        <v>2345</v>
      </c>
      <c r="E1114" s="61" t="s">
        <v>2346</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2347</v>
      </c>
      <c r="BB1114" s="369" t="s">
        <v>2351</v>
      </c>
      <c r="BC1114" s="68">
        <v>0</v>
      </c>
      <c r="BD1114" s="68">
        <v>0</v>
      </c>
      <c r="BE1114" s="92" t="s">
        <v>2352</v>
      </c>
      <c r="BF1114" s="92" t="s">
        <v>2353</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1" customFormat="1" ht="20.100000000000001" customHeight="1">
      <c r="A1115" s="218"/>
      <c r="B1115" s="218"/>
      <c r="C1115" s="66">
        <v>64015404</v>
      </c>
      <c r="D1115" s="61" t="s">
        <v>2345</v>
      </c>
      <c r="E1115" s="61" t="s">
        <v>2346</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2347</v>
      </c>
      <c r="BB1115" s="369" t="s">
        <v>2354</v>
      </c>
      <c r="BC1115" s="68">
        <v>0</v>
      </c>
      <c r="BD1115" s="68">
        <v>0</v>
      </c>
      <c r="BE1115" s="92" t="s">
        <v>2355</v>
      </c>
      <c r="BF1115" s="92" t="s">
        <v>2356</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pans="1:75" s="1" customFormat="1" ht="20.100000000000001" customHeight="1">
      <c r="A1116" s="218"/>
      <c r="B1116" s="218"/>
      <c r="C1116" s="66">
        <v>64015405</v>
      </c>
      <c r="D1116" s="61" t="s">
        <v>2345</v>
      </c>
      <c r="E1116" s="61" t="s">
        <v>2346</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2347</v>
      </c>
      <c r="BB1116" s="369" t="s">
        <v>2357</v>
      </c>
      <c r="BC1116" s="68">
        <v>0</v>
      </c>
      <c r="BD1116" s="68">
        <v>0</v>
      </c>
      <c r="BE1116" s="92" t="s">
        <v>2358</v>
      </c>
      <c r="BF1116" s="92" t="s">
        <v>2359</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pans="1:75" s="1" customFormat="1" ht="20.100000000000001" customHeight="1">
      <c r="A1117" s="218"/>
      <c r="B1117" s="218"/>
      <c r="C1117" s="66">
        <v>64015406</v>
      </c>
      <c r="D1117" s="61" t="s">
        <v>2345</v>
      </c>
      <c r="E1117" s="61" t="s">
        <v>2346</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2347</v>
      </c>
      <c r="BB1117" s="369" t="s">
        <v>2360</v>
      </c>
      <c r="BC1117" s="68">
        <v>0</v>
      </c>
      <c r="BD1117" s="68">
        <v>0</v>
      </c>
      <c r="BE1117" s="92" t="s">
        <v>2361</v>
      </c>
      <c r="BF1117" s="92" t="s">
        <v>2362</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pans="1:75" s="3" customFormat="1" ht="20.100000000000001" customHeight="1">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2363</v>
      </c>
      <c r="BB1118" s="372" t="s">
        <v>2364</v>
      </c>
      <c r="BC1118" s="226">
        <v>0</v>
      </c>
      <c r="BD1118" s="226">
        <v>0</v>
      </c>
      <c r="BE1118" s="230" t="s">
        <v>2365</v>
      </c>
      <c r="BF1118" s="230" t="s">
        <v>2366</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pans="1:75" s="3" customFormat="1" ht="20.100000000000001" customHeight="1">
      <c r="C1119" s="221">
        <v>64015601</v>
      </c>
      <c r="D1119" s="229" t="s">
        <v>2367</v>
      </c>
      <c r="E1119" s="229" t="s">
        <v>2368</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2369</v>
      </c>
      <c r="BF1119" s="237" t="s">
        <v>2370</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pans="1:75" s="3" customFormat="1" ht="19.5" customHeight="1">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2371</v>
      </c>
      <c r="BF1120" s="230" t="s">
        <v>2372</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pans="1:75" s="3" customFormat="1" ht="19.5" customHeight="1">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spans="1:75" ht="20.100000000000001" customHeight="1">
      <c r="C1122" s="13">
        <v>65011101</v>
      </c>
      <c r="D1122" s="14" t="s">
        <v>2373</v>
      </c>
      <c r="E1122" s="14" t="s">
        <v>1550</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1551</v>
      </c>
      <c r="BB1122" s="13">
        <v>0</v>
      </c>
      <c r="BC1122" s="13">
        <v>0</v>
      </c>
      <c r="BD1122" s="13">
        <v>0</v>
      </c>
      <c r="BE1122" s="187"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7" t="s">
        <v>1552</v>
      </c>
      <c r="BG1122" s="13">
        <v>0</v>
      </c>
      <c r="BH1122" s="13">
        <v>0</v>
      </c>
      <c r="BI1122" s="13">
        <v>0</v>
      </c>
      <c r="BJ1122" s="13">
        <v>0</v>
      </c>
      <c r="BK1122" s="13">
        <v>0</v>
      </c>
      <c r="BL1122" s="13">
        <v>0</v>
      </c>
      <c r="BM1122" s="188">
        <v>0</v>
      </c>
      <c r="BN1122" s="13">
        <v>0</v>
      </c>
      <c r="BO1122" s="13">
        <v>0</v>
      </c>
      <c r="BP1122" s="13">
        <v>1000</v>
      </c>
      <c r="BQ1122" s="13">
        <v>1.2</v>
      </c>
      <c r="BR1122" s="13">
        <v>500</v>
      </c>
      <c r="BS1122" s="13">
        <v>0</v>
      </c>
      <c r="BT1122" s="13">
        <v>0</v>
      </c>
      <c r="BU1122" s="49">
        <v>0</v>
      </c>
      <c r="BV1122" s="49"/>
      <c r="BW1122" s="49"/>
    </row>
    <row r="1123" spans="1:75" ht="20.100000000000001" customHeight="1">
      <c r="C1123" s="13">
        <v>65011102</v>
      </c>
      <c r="D1123" s="14" t="s">
        <v>2373</v>
      </c>
      <c r="E1123" s="14" t="s">
        <v>1550</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1551</v>
      </c>
      <c r="BB1123" s="13">
        <v>0</v>
      </c>
      <c r="BC1123" s="13">
        <v>0</v>
      </c>
      <c r="BD1123" s="13">
        <v>0</v>
      </c>
      <c r="BE1123" s="187"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7" t="s">
        <v>1552</v>
      </c>
      <c r="BG1123" s="13">
        <v>0</v>
      </c>
      <c r="BH1123" s="13">
        <v>0</v>
      </c>
      <c r="BI1123" s="13">
        <v>0</v>
      </c>
      <c r="BJ1123" s="13">
        <v>0</v>
      </c>
      <c r="BK1123" s="13">
        <v>0</v>
      </c>
      <c r="BL1123" s="13">
        <v>0</v>
      </c>
      <c r="BM1123" s="188">
        <v>0</v>
      </c>
      <c r="BN1123" s="13">
        <v>0</v>
      </c>
      <c r="BO1123" s="13">
        <v>0</v>
      </c>
      <c r="BP1123" s="13">
        <v>1000</v>
      </c>
      <c r="BQ1123" s="13">
        <v>1.2</v>
      </c>
      <c r="BR1123" s="13">
        <v>500</v>
      </c>
      <c r="BS1123" s="13">
        <v>0</v>
      </c>
      <c r="BT1123" s="13">
        <v>0</v>
      </c>
      <c r="BU1123" s="49">
        <v>0</v>
      </c>
      <c r="BV1123" s="49"/>
      <c r="BW1123" s="49"/>
    </row>
    <row r="1124" spans="1:75" ht="20.100000000000001" customHeight="1">
      <c r="C1124" s="13">
        <v>65011103</v>
      </c>
      <c r="D1124" s="14" t="s">
        <v>2373</v>
      </c>
      <c r="E1124" s="14" t="s">
        <v>1550</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1551</v>
      </c>
      <c r="BB1124" s="13">
        <v>0</v>
      </c>
      <c r="BC1124" s="13">
        <v>0</v>
      </c>
      <c r="BD1124" s="13">
        <v>0</v>
      </c>
      <c r="BE1124" s="187" t="str">
        <f t="shared" si="128"/>
        <v>在目标区域召唤巨刃造成275%攻击伤害+1500点固定伤害,随后在技能范围中的敌人每秒受到120%攻击伤害+1000点伤害,并使目标置空1秒</v>
      </c>
      <c r="BF1124" s="187" t="s">
        <v>1553</v>
      </c>
      <c r="BG1124" s="13">
        <v>0</v>
      </c>
      <c r="BH1124" s="13">
        <v>0</v>
      </c>
      <c r="BI1124" s="13">
        <v>0</v>
      </c>
      <c r="BJ1124" s="13">
        <v>0</v>
      </c>
      <c r="BK1124" s="13">
        <v>0</v>
      </c>
      <c r="BL1124" s="13">
        <v>0</v>
      </c>
      <c r="BM1124" s="188">
        <v>0</v>
      </c>
      <c r="BN1124" s="13">
        <v>0</v>
      </c>
      <c r="BO1124" s="13">
        <v>0</v>
      </c>
      <c r="BP1124" s="13">
        <v>1000</v>
      </c>
      <c r="BQ1124" s="13">
        <v>1.4</v>
      </c>
      <c r="BR1124" s="13">
        <v>1000</v>
      </c>
      <c r="BS1124" s="13">
        <v>0</v>
      </c>
      <c r="BT1124" s="13">
        <v>0</v>
      </c>
      <c r="BU1124" s="49">
        <v>0</v>
      </c>
      <c r="BV1124" s="49"/>
      <c r="BW1124" s="49"/>
    </row>
    <row r="1125" spans="1:75" ht="20.100000000000001" customHeight="1">
      <c r="C1125" s="13">
        <v>65011104</v>
      </c>
      <c r="D1125" s="14" t="s">
        <v>2373</v>
      </c>
      <c r="E1125" s="14" t="s">
        <v>1550</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1551</v>
      </c>
      <c r="BB1125" s="13">
        <v>0</v>
      </c>
      <c r="BC1125" s="13">
        <v>0</v>
      </c>
      <c r="BD1125" s="13">
        <v>0</v>
      </c>
      <c r="BE1125" s="187" t="str">
        <f t="shared" si="128"/>
        <v>在目标区域召唤巨刃造成300%攻击伤害+2000点固定伤害,随后在技能范围中的敌人每秒受到120%攻击伤害+1500点伤害,并使目标置空1秒</v>
      </c>
      <c r="BF1125" s="187" t="s">
        <v>1554</v>
      </c>
      <c r="BG1125" s="13">
        <v>0</v>
      </c>
      <c r="BH1125" s="13">
        <v>0</v>
      </c>
      <c r="BI1125" s="13">
        <v>0</v>
      </c>
      <c r="BJ1125" s="13">
        <v>0</v>
      </c>
      <c r="BK1125" s="13">
        <v>0</v>
      </c>
      <c r="BL1125" s="13">
        <v>0</v>
      </c>
      <c r="BM1125" s="188">
        <v>0</v>
      </c>
      <c r="BN1125" s="13">
        <v>0</v>
      </c>
      <c r="BO1125" s="13">
        <v>0</v>
      </c>
      <c r="BP1125" s="13">
        <v>1000</v>
      </c>
      <c r="BQ1125" s="13">
        <v>1.6</v>
      </c>
      <c r="BR1125" s="13">
        <v>1500</v>
      </c>
      <c r="BS1125" s="13">
        <v>0</v>
      </c>
      <c r="BT1125" s="13">
        <v>0</v>
      </c>
      <c r="BU1125" s="49">
        <v>0</v>
      </c>
      <c r="BV1125" s="49"/>
      <c r="BW1125" s="49"/>
    </row>
    <row r="1126" spans="1:75" ht="20.100000000000001" customHeight="1">
      <c r="C1126" s="13">
        <v>65011105</v>
      </c>
      <c r="D1126" s="14" t="s">
        <v>2373</v>
      </c>
      <c r="E1126" s="14" t="s">
        <v>1550</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1551</v>
      </c>
      <c r="BB1126" s="13">
        <v>0</v>
      </c>
      <c r="BC1126" s="13">
        <v>0</v>
      </c>
      <c r="BD1126" s="13">
        <v>0</v>
      </c>
      <c r="BE1126" s="187" t="str">
        <f t="shared" si="128"/>
        <v>在目标区域召唤巨刃造成325%攻击伤害+2750点固定伤害,随后在技能范围中的敌人每秒受到120%攻击伤害+2000点伤害,并使目标置空1秒</v>
      </c>
      <c r="BF1126" s="187" t="s">
        <v>1555</v>
      </c>
      <c r="BG1126" s="13">
        <v>0</v>
      </c>
      <c r="BH1126" s="13">
        <v>0</v>
      </c>
      <c r="BI1126" s="13">
        <v>0</v>
      </c>
      <c r="BJ1126" s="13">
        <v>0</v>
      </c>
      <c r="BK1126" s="13">
        <v>0</v>
      </c>
      <c r="BL1126" s="13">
        <v>0</v>
      </c>
      <c r="BM1126" s="188">
        <v>0</v>
      </c>
      <c r="BN1126" s="13">
        <v>0</v>
      </c>
      <c r="BO1126" s="13">
        <v>0</v>
      </c>
      <c r="BP1126" s="13">
        <v>1000</v>
      </c>
      <c r="BQ1126" s="13">
        <v>1.8</v>
      </c>
      <c r="BR1126" s="13">
        <v>2000</v>
      </c>
      <c r="BS1126" s="13">
        <v>0</v>
      </c>
      <c r="BT1126" s="13">
        <v>0</v>
      </c>
      <c r="BU1126" s="49">
        <v>0</v>
      </c>
      <c r="BV1126" s="49"/>
      <c r="BW1126" s="49"/>
    </row>
    <row r="1127" spans="1:75" ht="20.100000000000001" customHeight="1">
      <c r="C1127" s="13">
        <v>65011106</v>
      </c>
      <c r="D1127" s="14" t="s">
        <v>2373</v>
      </c>
      <c r="E1127" s="14" t="s">
        <v>1550</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1551</v>
      </c>
      <c r="BB1127" s="13">
        <v>0</v>
      </c>
      <c r="BC1127" s="13">
        <v>0</v>
      </c>
      <c r="BD1127" s="13">
        <v>0</v>
      </c>
      <c r="BE1127" s="187" t="str">
        <f t="shared" si="128"/>
        <v>在目标区域召唤巨刃造成350%攻击伤害+3500点固定伤害,随后在技能范围中的敌人每秒受到120%攻击伤害+2500点伤害,并使目标置空1秒</v>
      </c>
      <c r="BF1127" s="187" t="s">
        <v>1556</v>
      </c>
      <c r="BG1127" s="13">
        <v>0</v>
      </c>
      <c r="BH1127" s="13">
        <v>0</v>
      </c>
      <c r="BI1127" s="13">
        <v>0</v>
      </c>
      <c r="BJ1127" s="13">
        <v>0</v>
      </c>
      <c r="BK1127" s="13">
        <v>0</v>
      </c>
      <c r="BL1127" s="13">
        <v>0</v>
      </c>
      <c r="BM1127" s="188">
        <v>0</v>
      </c>
      <c r="BN1127" s="13">
        <v>0</v>
      </c>
      <c r="BO1127" s="13">
        <v>0</v>
      </c>
      <c r="BP1127" s="13">
        <v>1000</v>
      </c>
      <c r="BQ1127" s="13">
        <v>2</v>
      </c>
      <c r="BR1127" s="13">
        <v>2500</v>
      </c>
      <c r="BS1127" s="13">
        <v>0</v>
      </c>
      <c r="BT1127" s="13">
        <v>0</v>
      </c>
      <c r="BU1127" s="49">
        <v>0</v>
      </c>
      <c r="BV1127" s="49"/>
      <c r="BW1127" s="49"/>
    </row>
    <row r="1128" spans="1:75" ht="20.100000000000001" customHeight="1">
      <c r="C1128" s="19">
        <v>65011201</v>
      </c>
      <c r="D1128" s="20" t="s">
        <v>2374</v>
      </c>
      <c r="E1128" s="20" t="s">
        <v>1615</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1524</v>
      </c>
      <c r="AX1128" s="19" t="s">
        <v>534</v>
      </c>
      <c r="AY1128" s="19">
        <v>10000009</v>
      </c>
      <c r="AZ1128" s="19">
        <v>21400020</v>
      </c>
      <c r="BA1128" s="18" t="s">
        <v>1526</v>
      </c>
      <c r="BB1128" s="20">
        <v>0</v>
      </c>
      <c r="BC1128" s="28">
        <v>0</v>
      </c>
      <c r="BD1128" s="28">
        <v>0</v>
      </c>
      <c r="BE1128" s="186" t="str">
        <f>"立即对附近敌方单位造成"&amp;X1128*100&amp;"%攻击伤害+"&amp;Z1128&amp;"点固定伤害,并使其造成伤害降低20%,持续3秒"</f>
        <v>立即对附近敌方单位造成250%攻击伤害+900点固定伤害,并使其造成伤害降低20%,持续3秒</v>
      </c>
      <c r="BF1128" s="186" t="s">
        <v>1617</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1:75" ht="20.100000000000001" customHeight="1">
      <c r="C1129" s="19">
        <v>65011202</v>
      </c>
      <c r="D1129" s="20" t="s">
        <v>2374</v>
      </c>
      <c r="E1129" s="20" t="s">
        <v>1615</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1524</v>
      </c>
      <c r="AX1129" s="19" t="s">
        <v>534</v>
      </c>
      <c r="AY1129" s="19">
        <v>10000009</v>
      </c>
      <c r="AZ1129" s="19">
        <v>21400020</v>
      </c>
      <c r="BA1129" s="18" t="s">
        <v>1526</v>
      </c>
      <c r="BB1129" s="20">
        <v>0</v>
      </c>
      <c r="BC1129" s="28">
        <v>0</v>
      </c>
      <c r="BD1129" s="28">
        <v>0</v>
      </c>
      <c r="BE1129" s="186"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6" t="s">
        <v>1617</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1:75" ht="20.100000000000001" customHeight="1">
      <c r="C1130" s="19">
        <v>65011203</v>
      </c>
      <c r="D1130" s="20" t="s">
        <v>2374</v>
      </c>
      <c r="E1130" s="20" t="s">
        <v>1615</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1524</v>
      </c>
      <c r="AX1130" s="19" t="s">
        <v>534</v>
      </c>
      <c r="AY1130" s="19">
        <v>10000009</v>
      </c>
      <c r="AZ1130" s="19">
        <v>21400020</v>
      </c>
      <c r="BA1130" s="18" t="s">
        <v>1526</v>
      </c>
      <c r="BB1130" s="20">
        <v>0</v>
      </c>
      <c r="BC1130" s="28">
        <v>0</v>
      </c>
      <c r="BD1130" s="28">
        <v>0</v>
      </c>
      <c r="BE1130" s="186" t="str">
        <f t="shared" si="129"/>
        <v>立即对附近敌方单位造成275%攻击伤害+1800点固定伤害,并使其造成伤害降低20%,持续3秒</v>
      </c>
      <c r="BF1130" s="186" t="s">
        <v>1618</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1:75" ht="20.100000000000001" customHeight="1">
      <c r="C1131" s="19">
        <v>65011204</v>
      </c>
      <c r="D1131" s="20" t="s">
        <v>2374</v>
      </c>
      <c r="E1131" s="20" t="s">
        <v>1615</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1524</v>
      </c>
      <c r="AX1131" s="19" t="s">
        <v>534</v>
      </c>
      <c r="AY1131" s="19">
        <v>10000009</v>
      </c>
      <c r="AZ1131" s="19">
        <v>21400020</v>
      </c>
      <c r="BA1131" s="18" t="s">
        <v>1526</v>
      </c>
      <c r="BB1131" s="20">
        <v>0</v>
      </c>
      <c r="BC1131" s="28">
        <v>0</v>
      </c>
      <c r="BD1131" s="28">
        <v>0</v>
      </c>
      <c r="BE1131" s="186" t="str">
        <f t="shared" si="129"/>
        <v>立即对附近敌方单位造成300%攻击伤害+2800点固定伤害,并使其造成伤害降低20%,持续3秒</v>
      </c>
      <c r="BF1131" s="186" t="s">
        <v>1619</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spans="1:75" ht="20.100000000000001" customHeight="1">
      <c r="C1132" s="19">
        <v>65011205</v>
      </c>
      <c r="D1132" s="20" t="s">
        <v>2374</v>
      </c>
      <c r="E1132" s="20" t="s">
        <v>1615</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1524</v>
      </c>
      <c r="AX1132" s="19" t="s">
        <v>534</v>
      </c>
      <c r="AY1132" s="19">
        <v>10000009</v>
      </c>
      <c r="AZ1132" s="19">
        <v>21400020</v>
      </c>
      <c r="BA1132" s="18" t="s">
        <v>1526</v>
      </c>
      <c r="BB1132" s="20">
        <v>0</v>
      </c>
      <c r="BC1132" s="28">
        <v>0</v>
      </c>
      <c r="BD1132" s="28">
        <v>0</v>
      </c>
      <c r="BE1132" s="186" t="str">
        <f t="shared" si="129"/>
        <v>立即对附近敌方单位造成325%攻击伤害+4000点固定伤害,并使其造成伤害降低20%,持续3秒</v>
      </c>
      <c r="BF1132" s="186" t="s">
        <v>1620</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spans="1:75" ht="20.100000000000001" customHeight="1">
      <c r="C1133" s="19">
        <v>65011206</v>
      </c>
      <c r="D1133" s="20" t="s">
        <v>2374</v>
      </c>
      <c r="E1133" s="20" t="s">
        <v>1615</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1524</v>
      </c>
      <c r="AX1133" s="19" t="s">
        <v>534</v>
      </c>
      <c r="AY1133" s="19">
        <v>10000009</v>
      </c>
      <c r="AZ1133" s="19">
        <v>21400020</v>
      </c>
      <c r="BA1133" s="18" t="s">
        <v>1526</v>
      </c>
      <c r="BB1133" s="20">
        <v>0</v>
      </c>
      <c r="BC1133" s="28">
        <v>0</v>
      </c>
      <c r="BD1133" s="28">
        <v>0</v>
      </c>
      <c r="BE1133" s="186" t="str">
        <f t="shared" si="129"/>
        <v>立即对附近敌方单位造成350%攻击伤害+5200点固定伤害,并使其造成伤害降低20%,持续3秒</v>
      </c>
      <c r="BF1133" s="186" t="s">
        <v>1621</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spans="1:75" ht="20.100000000000001" customHeight="1">
      <c r="C1134" s="19">
        <v>65011301</v>
      </c>
      <c r="D1134" s="18" t="s">
        <v>2375</v>
      </c>
      <c r="E1134" s="18" t="s">
        <v>1465</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1466</v>
      </c>
      <c r="AY1134" s="19">
        <v>10000015</v>
      </c>
      <c r="AZ1134" s="19">
        <v>21400030</v>
      </c>
      <c r="BA1134" s="18" t="s">
        <v>1369</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1467</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1:75" ht="20.100000000000001" customHeight="1">
      <c r="C1135" s="19">
        <v>65011302</v>
      </c>
      <c r="D1135" s="18" t="s">
        <v>2375</v>
      </c>
      <c r="E1135" s="18" t="s">
        <v>1465</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1466</v>
      </c>
      <c r="AY1135" s="19">
        <v>10000015</v>
      </c>
      <c r="AZ1135" s="19">
        <v>21400030</v>
      </c>
      <c r="BA1135" s="18" t="s">
        <v>1369</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1467</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1:75" ht="20.100000000000001" customHeight="1">
      <c r="C1136" s="19">
        <v>65011303</v>
      </c>
      <c r="D1136" s="18" t="s">
        <v>2375</v>
      </c>
      <c r="E1136" s="18" t="s">
        <v>1465</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1466</v>
      </c>
      <c r="AY1136" s="19">
        <v>10000015</v>
      </c>
      <c r="AZ1136" s="19">
        <v>21400030</v>
      </c>
      <c r="BA1136" s="18" t="s">
        <v>1369</v>
      </c>
      <c r="BB1136" s="17">
        <v>0</v>
      </c>
      <c r="BC1136" s="28">
        <v>0</v>
      </c>
      <c r="BD1136" s="28">
        <v>0</v>
      </c>
      <c r="BE1136" s="172" t="str">
        <f t="shared" si="130"/>
        <v>立即跳跃至目标区域并对其怪物造成225%攻击伤害+1500点固定伤害,并使目标置空1秒</v>
      </c>
      <c r="BF1136" s="172" t="s">
        <v>1468</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9">
        <v>65011304</v>
      </c>
      <c r="D1137" s="18" t="s">
        <v>2375</v>
      </c>
      <c r="E1137" s="18" t="s">
        <v>1465</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1466</v>
      </c>
      <c r="AY1137" s="19">
        <v>10000015</v>
      </c>
      <c r="AZ1137" s="19">
        <v>21400030</v>
      </c>
      <c r="BA1137" s="18" t="s">
        <v>1369</v>
      </c>
      <c r="BB1137" s="17">
        <v>0</v>
      </c>
      <c r="BC1137" s="28">
        <v>0</v>
      </c>
      <c r="BD1137" s="28">
        <v>0</v>
      </c>
      <c r="BE1137" s="172" t="str">
        <f t="shared" si="130"/>
        <v>立即跳跃至目标区域并对其怪物造成250%攻击伤害+2250点固定伤害,并使目标置空1秒</v>
      </c>
      <c r="BF1137" s="172" t="s">
        <v>1469</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spans="3:75" ht="20.100000000000001" customHeight="1">
      <c r="C1138" s="19">
        <v>65011305</v>
      </c>
      <c r="D1138" s="18" t="s">
        <v>2375</v>
      </c>
      <c r="E1138" s="18" t="s">
        <v>1465</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1466</v>
      </c>
      <c r="AY1138" s="19">
        <v>10000015</v>
      </c>
      <c r="AZ1138" s="19">
        <v>21400030</v>
      </c>
      <c r="BA1138" s="18" t="s">
        <v>1369</v>
      </c>
      <c r="BB1138" s="17">
        <v>0</v>
      </c>
      <c r="BC1138" s="28">
        <v>0</v>
      </c>
      <c r="BD1138" s="28">
        <v>0</v>
      </c>
      <c r="BE1138" s="172" t="str">
        <f t="shared" si="130"/>
        <v>立即跳跃至目标区域并对其怪物造成275%攻击伤害+3250点固定伤害,并使目标置空1秒</v>
      </c>
      <c r="BF1138" s="172" t="s">
        <v>1470</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spans="3:75" ht="20.100000000000001" customHeight="1">
      <c r="C1139" s="19">
        <v>65011306</v>
      </c>
      <c r="D1139" s="18" t="s">
        <v>2375</v>
      </c>
      <c r="E1139" s="18" t="s">
        <v>1465</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1466</v>
      </c>
      <c r="AY1139" s="19">
        <v>10000015</v>
      </c>
      <c r="AZ1139" s="19">
        <v>21400030</v>
      </c>
      <c r="BA1139" s="18" t="s">
        <v>1369</v>
      </c>
      <c r="BB1139" s="17">
        <v>0</v>
      </c>
      <c r="BC1139" s="28">
        <v>0</v>
      </c>
      <c r="BD1139" s="28">
        <v>0</v>
      </c>
      <c r="BE1139" s="172" t="str">
        <f t="shared" si="130"/>
        <v>立即跳跃至目标区域并对其怪物造成300%攻击伤害+4250点固定伤害,并使目标置空1秒</v>
      </c>
      <c r="BF1139" s="172" t="s">
        <v>1471</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spans="3:75" ht="20.100000000000001" customHeight="1">
      <c r="C1140" s="13">
        <v>65012101</v>
      </c>
      <c r="D1140" s="14" t="s">
        <v>2376</v>
      </c>
      <c r="E1140" s="14" t="s">
        <v>2048</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1.5</v>
      </c>
      <c r="AI1140" s="13">
        <v>2</v>
      </c>
      <c r="AJ1140" s="13">
        <v>2</v>
      </c>
      <c r="AK1140" s="13">
        <v>0</v>
      </c>
      <c r="AL1140" s="13">
        <v>2.5</v>
      </c>
      <c r="AM1140" s="13">
        <v>0</v>
      </c>
      <c r="AN1140" s="13">
        <v>0</v>
      </c>
      <c r="AO1140" s="13">
        <v>0</v>
      </c>
      <c r="AP1140" s="13">
        <v>0.25</v>
      </c>
      <c r="AQ1140" s="13">
        <v>1500</v>
      </c>
      <c r="AR1140" s="13">
        <v>0.25</v>
      </c>
      <c r="AS1140" s="13">
        <v>15</v>
      </c>
      <c r="AT1140" s="13">
        <v>0</v>
      </c>
      <c r="AU1140" s="13">
        <v>92002001</v>
      </c>
      <c r="AV1140" s="13"/>
      <c r="AW1140" s="14" t="s">
        <v>199</v>
      </c>
      <c r="AX1140" s="13" t="s">
        <v>1398</v>
      </c>
      <c r="AY1140" s="13">
        <v>10003002</v>
      </c>
      <c r="AZ1140" s="13">
        <v>21400040</v>
      </c>
      <c r="BA1140" s="14" t="s">
        <v>586</v>
      </c>
      <c r="BB1140" s="13">
        <v>0</v>
      </c>
      <c r="BC1140" s="13">
        <v>0</v>
      </c>
      <c r="BD1140" s="13">
        <v>0</v>
      </c>
      <c r="BE1140" s="187" t="str">
        <f>"立即对前方区域范围内的怪物造成"&amp;X1140*100&amp;"%攻击伤害+"&amp;Z1140&amp;"点固定伤害"</f>
        <v>立即对前方区域范围内的怪物造成300%攻击伤害+1800点固定伤害</v>
      </c>
      <c r="BF1140" s="187" t="s">
        <v>2049</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65012102</v>
      </c>
      <c r="D1141" s="14" t="s">
        <v>2376</v>
      </c>
      <c r="E1141" s="14" t="s">
        <v>2048</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1.5</v>
      </c>
      <c r="AI1141" s="13">
        <v>2</v>
      </c>
      <c r="AJ1141" s="13">
        <v>2</v>
      </c>
      <c r="AK1141" s="13">
        <v>0</v>
      </c>
      <c r="AL1141" s="13">
        <v>2.5</v>
      </c>
      <c r="AM1141" s="13">
        <v>0</v>
      </c>
      <c r="AN1141" s="13">
        <v>0</v>
      </c>
      <c r="AO1141" s="13">
        <v>0</v>
      </c>
      <c r="AP1141" s="13">
        <v>0.25</v>
      </c>
      <c r="AQ1141" s="13">
        <v>1500</v>
      </c>
      <c r="AR1141" s="13">
        <v>0.25</v>
      </c>
      <c r="AS1141" s="13">
        <v>15</v>
      </c>
      <c r="AT1141" s="13">
        <v>0</v>
      </c>
      <c r="AU1141" s="13">
        <v>92002001</v>
      </c>
      <c r="AV1141" s="13"/>
      <c r="AW1141" s="14" t="s">
        <v>199</v>
      </c>
      <c r="AX1141" s="13" t="s">
        <v>1398</v>
      </c>
      <c r="AY1141" s="13">
        <v>10003002</v>
      </c>
      <c r="AZ1141" s="13">
        <v>21400040</v>
      </c>
      <c r="BA1141" s="14" t="s">
        <v>586</v>
      </c>
      <c r="BB1141" s="13">
        <v>0</v>
      </c>
      <c r="BC1141" s="13">
        <v>0</v>
      </c>
      <c r="BD1141" s="13">
        <v>0</v>
      </c>
      <c r="BE1141" s="187" t="str">
        <f t="shared" ref="BE1141:BE1145" si="131">"立即对前方区域范围内的怪物造成"&amp;X1141*100&amp;"%攻击伤害+"&amp;Z1141&amp;"点固定伤害"</f>
        <v>立即对前方区域范围内的怪物造成300%攻击伤害+1800点固定伤害</v>
      </c>
      <c r="BF1141" s="187" t="s">
        <v>2049</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65012103</v>
      </c>
      <c r="D1142" s="14" t="s">
        <v>2376</v>
      </c>
      <c r="E1142" s="14" t="s">
        <v>2048</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1.5</v>
      </c>
      <c r="AI1142" s="13">
        <v>2</v>
      </c>
      <c r="AJ1142" s="13">
        <v>2</v>
      </c>
      <c r="AK1142" s="13">
        <v>0</v>
      </c>
      <c r="AL1142" s="13">
        <v>2.5</v>
      </c>
      <c r="AM1142" s="13">
        <v>0</v>
      </c>
      <c r="AN1142" s="13">
        <v>0</v>
      </c>
      <c r="AO1142" s="13">
        <v>0</v>
      </c>
      <c r="AP1142" s="13">
        <v>0.25</v>
      </c>
      <c r="AQ1142" s="13">
        <v>1500</v>
      </c>
      <c r="AR1142" s="13">
        <v>0.25</v>
      </c>
      <c r="AS1142" s="13">
        <v>15</v>
      </c>
      <c r="AT1142" s="13">
        <v>0</v>
      </c>
      <c r="AU1142" s="13">
        <v>92002001</v>
      </c>
      <c r="AV1142" s="13"/>
      <c r="AW1142" s="14" t="s">
        <v>199</v>
      </c>
      <c r="AX1142" s="13" t="s">
        <v>1398</v>
      </c>
      <c r="AY1142" s="13">
        <v>10003002</v>
      </c>
      <c r="AZ1142" s="13">
        <v>21400040</v>
      </c>
      <c r="BA1142" s="14" t="s">
        <v>586</v>
      </c>
      <c r="BB1142" s="13">
        <v>0</v>
      </c>
      <c r="BC1142" s="13">
        <v>0</v>
      </c>
      <c r="BD1142" s="13">
        <v>0</v>
      </c>
      <c r="BE1142" s="187" t="str">
        <f t="shared" si="131"/>
        <v>立即对前方区域范围内的怪物造成350%攻击伤害+3600点固定伤害</v>
      </c>
      <c r="BF1142" s="187" t="s">
        <v>2050</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65012104</v>
      </c>
      <c r="D1143" s="14" t="s">
        <v>2376</v>
      </c>
      <c r="E1143" s="14" t="s">
        <v>2048</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1.5</v>
      </c>
      <c r="AI1143" s="13">
        <v>2</v>
      </c>
      <c r="AJ1143" s="13">
        <v>2</v>
      </c>
      <c r="AK1143" s="13">
        <v>0</v>
      </c>
      <c r="AL1143" s="13">
        <v>2.5</v>
      </c>
      <c r="AM1143" s="13">
        <v>0</v>
      </c>
      <c r="AN1143" s="13">
        <v>0</v>
      </c>
      <c r="AO1143" s="13">
        <v>0</v>
      </c>
      <c r="AP1143" s="13">
        <v>0.25</v>
      </c>
      <c r="AQ1143" s="13">
        <v>1500</v>
      </c>
      <c r="AR1143" s="13">
        <v>0.25</v>
      </c>
      <c r="AS1143" s="13">
        <v>15</v>
      </c>
      <c r="AT1143" s="13">
        <v>0</v>
      </c>
      <c r="AU1143" s="13">
        <v>92002001</v>
      </c>
      <c r="AV1143" s="13"/>
      <c r="AW1143" s="14" t="s">
        <v>199</v>
      </c>
      <c r="AX1143" s="13" t="s">
        <v>1398</v>
      </c>
      <c r="AY1143" s="13">
        <v>10003002</v>
      </c>
      <c r="AZ1143" s="13">
        <v>21400040</v>
      </c>
      <c r="BA1143" s="14" t="s">
        <v>586</v>
      </c>
      <c r="BB1143" s="13">
        <v>0</v>
      </c>
      <c r="BC1143" s="13">
        <v>0</v>
      </c>
      <c r="BD1143" s="13">
        <v>0</v>
      </c>
      <c r="BE1143" s="187" t="str">
        <f t="shared" si="131"/>
        <v>立即对前方区域范围内的怪物造成400%攻击伤害+5600点固定伤害</v>
      </c>
      <c r="BF1143" s="187" t="s">
        <v>2051</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65012105</v>
      </c>
      <c r="D1144" s="14" t="s">
        <v>2376</v>
      </c>
      <c r="E1144" s="14" t="s">
        <v>2048</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1.5</v>
      </c>
      <c r="AI1144" s="13">
        <v>2</v>
      </c>
      <c r="AJ1144" s="13">
        <v>2</v>
      </c>
      <c r="AK1144" s="13">
        <v>0</v>
      </c>
      <c r="AL1144" s="13">
        <v>2.5</v>
      </c>
      <c r="AM1144" s="13">
        <v>0</v>
      </c>
      <c r="AN1144" s="13">
        <v>0</v>
      </c>
      <c r="AO1144" s="13">
        <v>0</v>
      </c>
      <c r="AP1144" s="13">
        <v>0.25</v>
      </c>
      <c r="AQ1144" s="13">
        <v>1500</v>
      </c>
      <c r="AR1144" s="13">
        <v>0.25</v>
      </c>
      <c r="AS1144" s="13">
        <v>15</v>
      </c>
      <c r="AT1144" s="13">
        <v>0</v>
      </c>
      <c r="AU1144" s="13">
        <v>92002001</v>
      </c>
      <c r="AV1144" s="13"/>
      <c r="AW1144" s="14" t="s">
        <v>199</v>
      </c>
      <c r="AX1144" s="13" t="s">
        <v>1398</v>
      </c>
      <c r="AY1144" s="13">
        <v>10003002</v>
      </c>
      <c r="AZ1144" s="13">
        <v>21400040</v>
      </c>
      <c r="BA1144" s="14" t="s">
        <v>586</v>
      </c>
      <c r="BB1144" s="13">
        <v>0</v>
      </c>
      <c r="BC1144" s="13">
        <v>0</v>
      </c>
      <c r="BD1144" s="13">
        <v>0</v>
      </c>
      <c r="BE1144" s="187" t="str">
        <f t="shared" si="131"/>
        <v>立即对前方区域范围内的怪物造成450%攻击伤害+8000点固定伤害</v>
      </c>
      <c r="BF1144" s="187" t="s">
        <v>2052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65012106</v>
      </c>
      <c r="D1145" s="14" t="s">
        <v>2376</v>
      </c>
      <c r="E1145" s="14" t="s">
        <v>2048</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1.5</v>
      </c>
      <c r="AI1145" s="13">
        <v>2</v>
      </c>
      <c r="AJ1145" s="13">
        <v>2</v>
      </c>
      <c r="AK1145" s="13">
        <v>0</v>
      </c>
      <c r="AL1145" s="13">
        <v>2.5</v>
      </c>
      <c r="AM1145" s="13">
        <v>0</v>
      </c>
      <c r="AN1145" s="13">
        <v>0</v>
      </c>
      <c r="AO1145" s="13">
        <v>0</v>
      </c>
      <c r="AP1145" s="13">
        <v>0.25</v>
      </c>
      <c r="AQ1145" s="13">
        <v>1500</v>
      </c>
      <c r="AR1145" s="13">
        <v>0.25</v>
      </c>
      <c r="AS1145" s="13">
        <v>15</v>
      </c>
      <c r="AT1145" s="13">
        <v>0</v>
      </c>
      <c r="AU1145" s="13">
        <v>92002001</v>
      </c>
      <c r="AV1145" s="13"/>
      <c r="AW1145" s="14" t="s">
        <v>199</v>
      </c>
      <c r="AX1145" s="13" t="s">
        <v>1398</v>
      </c>
      <c r="AY1145" s="13">
        <v>10003002</v>
      </c>
      <c r="AZ1145" s="13">
        <v>21400040</v>
      </c>
      <c r="BA1145" s="14" t="s">
        <v>586</v>
      </c>
      <c r="BB1145" s="13">
        <v>0</v>
      </c>
      <c r="BC1145" s="13">
        <v>0</v>
      </c>
      <c r="BD1145" s="13">
        <v>0</v>
      </c>
      <c r="BE1145" s="187" t="str">
        <f t="shared" si="131"/>
        <v>立即对前方区域范围内的怪物造成500%攻击伤害+10400点固定伤害</v>
      </c>
      <c r="BF1145" s="187" t="s">
        <v>2053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65012201</v>
      </c>
      <c r="D1146" s="14" t="s">
        <v>2377</v>
      </c>
      <c r="E1146" s="14" t="s">
        <v>2099</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1524</v>
      </c>
      <c r="AX1146" s="13" t="s">
        <v>1672</v>
      </c>
      <c r="AY1146" s="13">
        <v>21203020</v>
      </c>
      <c r="AZ1146" s="13">
        <v>21400050</v>
      </c>
      <c r="BA1146" s="14" t="s">
        <v>200</v>
      </c>
      <c r="BB1146" s="13">
        <v>0</v>
      </c>
      <c r="BC1146" s="13">
        <v>0</v>
      </c>
      <c r="BD1146" s="13">
        <v>0</v>
      </c>
      <c r="BE1146" s="187"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7" t="s">
        <v>2100</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65012202</v>
      </c>
      <c r="D1147" s="14" t="s">
        <v>2377</v>
      </c>
      <c r="E1147" s="14" t="s">
        <v>2099</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1524</v>
      </c>
      <c r="AX1147" s="13" t="s">
        <v>1672</v>
      </c>
      <c r="AY1147" s="13">
        <v>21203020</v>
      </c>
      <c r="AZ1147" s="13">
        <v>21400050</v>
      </c>
      <c r="BA1147" s="14" t="s">
        <v>200</v>
      </c>
      <c r="BB1147" s="13">
        <v>0</v>
      </c>
      <c r="BC1147" s="13">
        <v>0</v>
      </c>
      <c r="BD1147" s="13">
        <v>0</v>
      </c>
      <c r="BE1147" s="187"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7" t="s">
        <v>2100</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65012203</v>
      </c>
      <c r="D1148" s="14" t="s">
        <v>2377</v>
      </c>
      <c r="E1148" s="14" t="s">
        <v>2099</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1524</v>
      </c>
      <c r="AX1148" s="13" t="s">
        <v>1672</v>
      </c>
      <c r="AY1148" s="13">
        <v>21203020</v>
      </c>
      <c r="AZ1148" s="13">
        <v>21400050</v>
      </c>
      <c r="BA1148" s="14" t="s">
        <v>200</v>
      </c>
      <c r="BB1148" s="13">
        <v>0</v>
      </c>
      <c r="BC1148" s="13">
        <v>0</v>
      </c>
      <c r="BD1148" s="13">
        <v>0</v>
      </c>
      <c r="BE1148" s="187" t="str">
        <f t="shared" si="132"/>
        <v>立即对目标区域的怪物造成225%攻击伤害+1800点固定伤害,并让其附带一个疾风标记,使其受到伤害额外提升20%,持续7秒</v>
      </c>
      <c r="BF1148" s="187" t="s">
        <v>2101</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65012204</v>
      </c>
      <c r="D1149" s="14" t="s">
        <v>2377</v>
      </c>
      <c r="E1149" s="14" t="s">
        <v>2099</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1524</v>
      </c>
      <c r="AX1149" s="13" t="s">
        <v>1672</v>
      </c>
      <c r="AY1149" s="13">
        <v>21203020</v>
      </c>
      <c r="AZ1149" s="13">
        <v>21400050</v>
      </c>
      <c r="BA1149" s="14" t="s">
        <v>200</v>
      </c>
      <c r="BB1149" s="13">
        <v>0</v>
      </c>
      <c r="BC1149" s="13">
        <v>0</v>
      </c>
      <c r="BD1149" s="13">
        <v>0</v>
      </c>
      <c r="BE1149" s="187" t="str">
        <f t="shared" si="132"/>
        <v>立即对目标区域的怪物造成250%攻击伤害+2800点固定伤害,并让其附带一个疾风标记,使其受到伤害额外提升20%,持续7秒</v>
      </c>
      <c r="BF1149" s="187" t="s">
        <v>2102</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spans="3:75" ht="20.100000000000001" customHeight="1">
      <c r="C1150" s="13">
        <v>65012205</v>
      </c>
      <c r="D1150" s="14" t="s">
        <v>2377</v>
      </c>
      <c r="E1150" s="14" t="s">
        <v>2099</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1524</v>
      </c>
      <c r="AX1150" s="13" t="s">
        <v>1672</v>
      </c>
      <c r="AY1150" s="13">
        <v>21203020</v>
      </c>
      <c r="AZ1150" s="13">
        <v>21400050</v>
      </c>
      <c r="BA1150" s="14" t="s">
        <v>200</v>
      </c>
      <c r="BB1150" s="13">
        <v>0</v>
      </c>
      <c r="BC1150" s="13">
        <v>0</v>
      </c>
      <c r="BD1150" s="13">
        <v>0</v>
      </c>
      <c r="BE1150" s="187" t="str">
        <f t="shared" si="132"/>
        <v>立即对目标区域的怪物造成275%攻击伤害+4000点固定伤害,并让其附带一个疾风标记,使其受到伤害额外提升20%,持续7秒</v>
      </c>
      <c r="BF1150" s="187" t="s">
        <v>2103</v>
      </c>
      <c r="BG1150" s="13">
        <v>0</v>
      </c>
      <c r="BH1150" s="13">
        <v>0</v>
      </c>
      <c r="BI1150" s="13">
        <v>0</v>
      </c>
      <c r="BJ1150" s="13">
        <v>0</v>
      </c>
      <c r="BK1150" s="13">
        <v>0</v>
      </c>
      <c r="BL1150" s="13">
        <v>0</v>
      </c>
      <c r="BM1150" s="188">
        <v>0</v>
      </c>
      <c r="BN1150" s="13">
        <v>0</v>
      </c>
      <c r="BO1150" s="13">
        <v>0</v>
      </c>
      <c r="BP1150" s="13">
        <v>0</v>
      </c>
      <c r="BQ1150" s="13">
        <v>0</v>
      </c>
      <c r="BR1150" s="13">
        <v>0</v>
      </c>
      <c r="BS1150" s="13">
        <v>0</v>
      </c>
      <c r="BT1150" s="13">
        <v>0</v>
      </c>
      <c r="BU1150" s="49">
        <v>0</v>
      </c>
      <c r="BV1150" s="49"/>
      <c r="BW1150" s="49"/>
    </row>
    <row r="1151" spans="3:75" ht="20.100000000000001" customHeight="1">
      <c r="C1151" s="13">
        <v>65012206</v>
      </c>
      <c r="D1151" s="14" t="s">
        <v>2377</v>
      </c>
      <c r="E1151" s="14" t="s">
        <v>2099</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1524</v>
      </c>
      <c r="AX1151" s="13" t="s">
        <v>1672</v>
      </c>
      <c r="AY1151" s="13">
        <v>21203020</v>
      </c>
      <c r="AZ1151" s="13">
        <v>21400050</v>
      </c>
      <c r="BA1151" s="14" t="s">
        <v>200</v>
      </c>
      <c r="BB1151" s="13">
        <v>0</v>
      </c>
      <c r="BC1151" s="13">
        <v>0</v>
      </c>
      <c r="BD1151" s="13">
        <v>0</v>
      </c>
      <c r="BE1151" s="187" t="str">
        <f t="shared" si="132"/>
        <v>立即对目标区域的怪物造成300%攻击伤害+5200点固定伤害,并让其附带一个疾风标记,使其受到伤害额外提升20%,持续7秒</v>
      </c>
      <c r="BF1151" s="187" t="s">
        <v>2104</v>
      </c>
      <c r="BG1151" s="13">
        <v>0</v>
      </c>
      <c r="BH1151" s="13">
        <v>0</v>
      </c>
      <c r="BI1151" s="13">
        <v>0</v>
      </c>
      <c r="BJ1151" s="13">
        <v>0</v>
      </c>
      <c r="BK1151" s="13">
        <v>0</v>
      </c>
      <c r="BL1151" s="13">
        <v>0</v>
      </c>
      <c r="BM1151" s="188">
        <v>0</v>
      </c>
      <c r="BN1151" s="13">
        <v>0</v>
      </c>
      <c r="BO1151" s="13">
        <v>0</v>
      </c>
      <c r="BP1151" s="13">
        <v>0</v>
      </c>
      <c r="BQ1151" s="13">
        <v>0</v>
      </c>
      <c r="BR1151" s="13">
        <v>0</v>
      </c>
      <c r="BS1151" s="13">
        <v>0</v>
      </c>
      <c r="BT1151" s="13">
        <v>0</v>
      </c>
      <c r="BU1151" s="49">
        <v>0</v>
      </c>
      <c r="BV1151" s="49"/>
      <c r="BW1151" s="49"/>
    </row>
    <row r="1152" spans="3:75" ht="20.100000000000001" customHeight="1">
      <c r="C1152" s="13">
        <v>65012301</v>
      </c>
      <c r="D1152" s="14" t="s">
        <v>2378</v>
      </c>
      <c r="E1152" s="14" t="s">
        <v>2379</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5436</v>
      </c>
      <c r="AU1152" s="13" t="s">
        <v>198</v>
      </c>
      <c r="AV1152" s="13"/>
      <c r="AW1152" s="14" t="s">
        <v>199</v>
      </c>
      <c r="AX1152" s="13" t="s">
        <v>1814</v>
      </c>
      <c r="AY1152" s="13">
        <v>0</v>
      </c>
      <c r="AZ1152" s="13">
        <v>21400060</v>
      </c>
      <c r="BA1152" s="14" t="s">
        <v>200</v>
      </c>
      <c r="BB1152" s="13" t="s">
        <v>198</v>
      </c>
      <c r="BC1152" s="13">
        <v>0</v>
      </c>
      <c r="BD1152" s="13">
        <v>1</v>
      </c>
      <c r="BE1152" s="187" t="s">
        <v>2381</v>
      </c>
      <c r="BF1152" s="187" t="s">
        <v>2382</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65012302</v>
      </c>
      <c r="D1153" s="14" t="s">
        <v>2378</v>
      </c>
      <c r="E1153" s="14" t="s">
        <v>2379</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2380</v>
      </c>
      <c r="AU1153" s="13" t="s">
        <v>198</v>
      </c>
      <c r="AV1153" s="13"/>
      <c r="AW1153" s="14" t="s">
        <v>199</v>
      </c>
      <c r="AX1153" s="13" t="s">
        <v>1814</v>
      </c>
      <c r="AY1153" s="13">
        <v>0</v>
      </c>
      <c r="AZ1153" s="13">
        <v>21400060</v>
      </c>
      <c r="BA1153" s="14" t="s">
        <v>200</v>
      </c>
      <c r="BB1153" s="13" t="s">
        <v>198</v>
      </c>
      <c r="BC1153" s="13">
        <v>0</v>
      </c>
      <c r="BD1153" s="13">
        <v>1</v>
      </c>
      <c r="BE1153" s="187" t="s">
        <v>2381</v>
      </c>
      <c r="BF1153" s="187" t="s">
        <v>2382</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65012303</v>
      </c>
      <c r="D1154" s="14" t="s">
        <v>2378</v>
      </c>
      <c r="E1154" s="14" t="s">
        <v>2379</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2380</v>
      </c>
      <c r="AU1154" s="13" t="s">
        <v>198</v>
      </c>
      <c r="AV1154" s="13"/>
      <c r="AW1154" s="14" t="s">
        <v>199</v>
      </c>
      <c r="AX1154" s="13" t="s">
        <v>1814</v>
      </c>
      <c r="AY1154" s="13">
        <v>0</v>
      </c>
      <c r="AZ1154" s="13">
        <v>21400060</v>
      </c>
      <c r="BA1154" s="14" t="s">
        <v>200</v>
      </c>
      <c r="BB1154" s="13" t="s">
        <v>198</v>
      </c>
      <c r="BC1154" s="13">
        <v>0</v>
      </c>
      <c r="BD1154" s="13">
        <v>1</v>
      </c>
      <c r="BE1154" s="187" t="s">
        <v>2381</v>
      </c>
      <c r="BF1154" s="187" t="s">
        <v>2382</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20.100000000000001" customHeight="1">
      <c r="C1155" s="13">
        <v>65012304</v>
      </c>
      <c r="D1155" s="14" t="s">
        <v>2378</v>
      </c>
      <c r="E1155" s="14" t="s">
        <v>2379</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55" t="s">
        <v>2380</v>
      </c>
      <c r="AU1155" s="13" t="s">
        <v>198</v>
      </c>
      <c r="AV1155" s="13"/>
      <c r="AW1155" s="14" t="s">
        <v>199</v>
      </c>
      <c r="AX1155" s="13" t="s">
        <v>1814</v>
      </c>
      <c r="AY1155" s="13">
        <v>0</v>
      </c>
      <c r="AZ1155" s="13">
        <v>21400060</v>
      </c>
      <c r="BA1155" s="14" t="s">
        <v>200</v>
      </c>
      <c r="BB1155" s="13" t="s">
        <v>198</v>
      </c>
      <c r="BC1155" s="13">
        <v>0</v>
      </c>
      <c r="BD1155" s="13">
        <v>1</v>
      </c>
      <c r="BE1155" s="187" t="s">
        <v>2381</v>
      </c>
      <c r="BF1155" s="187" t="s">
        <v>2382</v>
      </c>
      <c r="BG1155" s="13">
        <v>0</v>
      </c>
      <c r="BH1155" s="13">
        <v>0</v>
      </c>
      <c r="BI1155" s="13">
        <v>0</v>
      </c>
      <c r="BJ1155" s="13">
        <v>0</v>
      </c>
      <c r="BK1155" s="13">
        <v>0</v>
      </c>
      <c r="BL1155" s="13">
        <v>0</v>
      </c>
      <c r="BM1155" s="188">
        <v>0</v>
      </c>
      <c r="BN1155" s="13">
        <v>1</v>
      </c>
      <c r="BO1155" s="13">
        <v>0</v>
      </c>
      <c r="BP1155" s="13">
        <v>0</v>
      </c>
      <c r="BQ1155" s="13">
        <v>0</v>
      </c>
      <c r="BR1155" s="13">
        <v>0</v>
      </c>
      <c r="BS1155" s="13">
        <v>0</v>
      </c>
      <c r="BT1155" s="13">
        <v>0</v>
      </c>
      <c r="BU1155" s="49">
        <v>0</v>
      </c>
      <c r="BV1155" s="49"/>
      <c r="BW1155" s="49"/>
    </row>
    <row r="1156" spans="3:75" ht="20.100000000000001" customHeight="1">
      <c r="C1156" s="13">
        <v>65012305</v>
      </c>
      <c r="D1156" s="14" t="s">
        <v>2378</v>
      </c>
      <c r="E1156" s="14" t="s">
        <v>2379</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55" t="s">
        <v>2380</v>
      </c>
      <c r="AU1156" s="13" t="s">
        <v>198</v>
      </c>
      <c r="AV1156" s="13"/>
      <c r="AW1156" s="14" t="s">
        <v>199</v>
      </c>
      <c r="AX1156" s="13" t="s">
        <v>1814</v>
      </c>
      <c r="AY1156" s="13">
        <v>0</v>
      </c>
      <c r="AZ1156" s="13">
        <v>21400060</v>
      </c>
      <c r="BA1156" s="14" t="s">
        <v>200</v>
      </c>
      <c r="BB1156" s="13" t="s">
        <v>198</v>
      </c>
      <c r="BC1156" s="13">
        <v>0</v>
      </c>
      <c r="BD1156" s="13">
        <v>1</v>
      </c>
      <c r="BE1156" s="187" t="s">
        <v>2381</v>
      </c>
      <c r="BF1156" s="187" t="s">
        <v>2382</v>
      </c>
      <c r="BG1156" s="13">
        <v>0</v>
      </c>
      <c r="BH1156" s="13">
        <v>0</v>
      </c>
      <c r="BI1156" s="13">
        <v>0</v>
      </c>
      <c r="BJ1156" s="13">
        <v>0</v>
      </c>
      <c r="BK1156" s="13">
        <v>0</v>
      </c>
      <c r="BL1156" s="13">
        <v>0</v>
      </c>
      <c r="BM1156" s="188">
        <v>0</v>
      </c>
      <c r="BN1156" s="13">
        <v>1</v>
      </c>
      <c r="BO1156" s="13">
        <v>0</v>
      </c>
      <c r="BP1156" s="13">
        <v>0</v>
      </c>
      <c r="BQ1156" s="13">
        <v>0</v>
      </c>
      <c r="BR1156" s="13">
        <v>0</v>
      </c>
      <c r="BS1156" s="13">
        <v>0</v>
      </c>
      <c r="BT1156" s="13">
        <v>0</v>
      </c>
      <c r="BU1156" s="49">
        <v>0</v>
      </c>
      <c r="BV1156" s="49"/>
      <c r="BW1156" s="49"/>
    </row>
    <row r="1157" spans="3:75" ht="20.100000000000001" customHeight="1">
      <c r="C1157" s="13">
        <v>65012306</v>
      </c>
      <c r="D1157" s="14" t="s">
        <v>2378</v>
      </c>
      <c r="E1157" s="14" t="s">
        <v>2379</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55" t="s">
        <v>2380</v>
      </c>
      <c r="AU1157" s="13" t="s">
        <v>198</v>
      </c>
      <c r="AV1157" s="13"/>
      <c r="AW1157" s="14" t="s">
        <v>199</v>
      </c>
      <c r="AX1157" s="13" t="s">
        <v>1814</v>
      </c>
      <c r="AY1157" s="13">
        <v>0</v>
      </c>
      <c r="AZ1157" s="13">
        <v>21400060</v>
      </c>
      <c r="BA1157" s="14" t="s">
        <v>200</v>
      </c>
      <c r="BB1157" s="13" t="s">
        <v>198</v>
      </c>
      <c r="BC1157" s="13">
        <v>0</v>
      </c>
      <c r="BD1157" s="13">
        <v>1</v>
      </c>
      <c r="BE1157" s="187" t="s">
        <v>2381</v>
      </c>
      <c r="BF1157" s="187" t="s">
        <v>2382</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pans="3:75" ht="19.5" customHeight="1">
      <c r="C1158" s="174">
        <v>65021101</v>
      </c>
      <c r="D1158" s="20" t="s">
        <v>2383</v>
      </c>
      <c r="E1158" s="20" t="s">
        <v>1541</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1542</v>
      </c>
      <c r="AI1158" s="13">
        <v>2</v>
      </c>
      <c r="AJ1158" s="13">
        <v>3</v>
      </c>
      <c r="AK1158" s="13">
        <v>0</v>
      </c>
      <c r="AL1158" s="13">
        <v>3</v>
      </c>
      <c r="AM1158" s="19">
        <v>0</v>
      </c>
      <c r="AN1158" s="19">
        <v>0</v>
      </c>
      <c r="AO1158" s="19">
        <v>0</v>
      </c>
      <c r="AP1158" s="19">
        <v>0.25</v>
      </c>
      <c r="AQ1158" s="19">
        <v>3000</v>
      </c>
      <c r="AR1158" s="19">
        <v>0.1</v>
      </c>
      <c r="AS1158" s="19">
        <v>0</v>
      </c>
      <c r="AT1158" s="13">
        <v>0</v>
      </c>
      <c r="AU1158" s="363" t="s">
        <v>2384</v>
      </c>
      <c r="AV1158" s="19"/>
      <c r="AW1158" s="20" t="s">
        <v>256</v>
      </c>
      <c r="AX1158" s="19" t="s">
        <v>545</v>
      </c>
      <c r="AY1158" s="19">
        <v>10001007</v>
      </c>
      <c r="AZ1158" s="19">
        <v>21401010</v>
      </c>
      <c r="BA1158" s="20" t="s">
        <v>200</v>
      </c>
      <c r="BB1158" s="20">
        <v>0</v>
      </c>
      <c r="BC1158" s="28">
        <v>0</v>
      </c>
      <c r="BD1158" s="28">
        <v>0</v>
      </c>
      <c r="BE1158" s="186" t="str">
        <f>"立即对前方范围内的敌人造成"&amp;X1158*100&amp;"%攻击伤害+"&amp;Z1158&amp;"点固定伤害,并将其置空1秒"</f>
        <v>立即对前方范围内的敌人造成275%攻击伤害+1000点固定伤害,并将其置空1秒</v>
      </c>
      <c r="BF1158" s="186" t="s">
        <v>1544</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65021102</v>
      </c>
      <c r="D1159" s="20" t="s">
        <v>2383</v>
      </c>
      <c r="E1159" s="20" t="s">
        <v>1541</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1542</v>
      </c>
      <c r="AI1159" s="13">
        <v>2</v>
      </c>
      <c r="AJ1159" s="13">
        <v>3</v>
      </c>
      <c r="AK1159" s="13">
        <v>0</v>
      </c>
      <c r="AL1159" s="13">
        <v>3</v>
      </c>
      <c r="AM1159" s="19">
        <v>0</v>
      </c>
      <c r="AN1159" s="19">
        <v>0</v>
      </c>
      <c r="AO1159" s="19">
        <v>0</v>
      </c>
      <c r="AP1159" s="19">
        <v>0.25</v>
      </c>
      <c r="AQ1159" s="19">
        <v>3000</v>
      </c>
      <c r="AR1159" s="19">
        <v>0.1</v>
      </c>
      <c r="AS1159" s="19">
        <v>0</v>
      </c>
      <c r="AT1159" s="13">
        <v>0</v>
      </c>
      <c r="AU1159" s="363" t="s">
        <v>2384</v>
      </c>
      <c r="AV1159" s="19"/>
      <c r="AW1159" s="20" t="s">
        <v>256</v>
      </c>
      <c r="AX1159" s="19" t="s">
        <v>545</v>
      </c>
      <c r="AY1159" s="19">
        <v>10001007</v>
      </c>
      <c r="AZ1159" s="19">
        <v>21401010</v>
      </c>
      <c r="BA1159" s="20" t="s">
        <v>200</v>
      </c>
      <c r="BB1159" s="20">
        <v>0</v>
      </c>
      <c r="BC1159" s="28">
        <v>0</v>
      </c>
      <c r="BD1159" s="28">
        <v>0</v>
      </c>
      <c r="BE1159" s="186" t="str">
        <f t="shared" ref="BE1159:BE1163" si="133">"立即对前方范围内的敌人造成"&amp;X1159*100&amp;"%攻击伤害+"&amp;Z1159&amp;"点固定伤害,并将其置空1秒"</f>
        <v>立即对前方范围内的敌人造成275%攻击伤害+1000点固定伤害,并将其置空1秒</v>
      </c>
      <c r="BF1159" s="186" t="s">
        <v>1544</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65021103</v>
      </c>
      <c r="D1160" s="20" t="s">
        <v>2383</v>
      </c>
      <c r="E1160" s="20" t="s">
        <v>1541</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1542</v>
      </c>
      <c r="AI1160" s="13">
        <v>2</v>
      </c>
      <c r="AJ1160" s="13">
        <v>3</v>
      </c>
      <c r="AK1160" s="13">
        <v>0</v>
      </c>
      <c r="AL1160" s="13">
        <v>3</v>
      </c>
      <c r="AM1160" s="19">
        <v>0</v>
      </c>
      <c r="AN1160" s="19">
        <v>0</v>
      </c>
      <c r="AO1160" s="19">
        <v>0</v>
      </c>
      <c r="AP1160" s="19">
        <v>0.25</v>
      </c>
      <c r="AQ1160" s="19">
        <v>3000</v>
      </c>
      <c r="AR1160" s="19">
        <v>0.1</v>
      </c>
      <c r="AS1160" s="19">
        <v>0</v>
      </c>
      <c r="AT1160" s="13">
        <v>0</v>
      </c>
      <c r="AU1160" s="363" t="s">
        <v>2384</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立即对前方范围内的敌人造成300%攻击伤害+1500点固定伤害,并将其置空1秒</v>
      </c>
      <c r="BF1160" s="186" t="s">
        <v>1545</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19.5" customHeight="1">
      <c r="C1161" s="174">
        <v>65021104</v>
      </c>
      <c r="D1161" s="20" t="s">
        <v>2383</v>
      </c>
      <c r="E1161" s="20" t="s">
        <v>1541</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1542</v>
      </c>
      <c r="AI1161" s="13">
        <v>2</v>
      </c>
      <c r="AJ1161" s="13">
        <v>3</v>
      </c>
      <c r="AK1161" s="13">
        <v>0</v>
      </c>
      <c r="AL1161" s="13">
        <v>3</v>
      </c>
      <c r="AM1161" s="19">
        <v>0</v>
      </c>
      <c r="AN1161" s="19">
        <v>0</v>
      </c>
      <c r="AO1161" s="19">
        <v>0</v>
      </c>
      <c r="AP1161" s="19">
        <v>0.25</v>
      </c>
      <c r="AQ1161" s="19">
        <v>3000</v>
      </c>
      <c r="AR1161" s="19">
        <v>0.1</v>
      </c>
      <c r="AS1161" s="19">
        <v>0</v>
      </c>
      <c r="AT1161" s="13">
        <v>0</v>
      </c>
      <c r="AU1161" s="363" t="s">
        <v>2384</v>
      </c>
      <c r="AV1161" s="19"/>
      <c r="AW1161" s="20" t="s">
        <v>256</v>
      </c>
      <c r="AX1161" s="19" t="s">
        <v>545</v>
      </c>
      <c r="AY1161" s="19">
        <v>10001007</v>
      </c>
      <c r="AZ1161" s="19">
        <v>21401010</v>
      </c>
      <c r="BA1161" s="20" t="s">
        <v>200</v>
      </c>
      <c r="BB1161" s="20">
        <v>0</v>
      </c>
      <c r="BC1161" s="28">
        <v>0</v>
      </c>
      <c r="BD1161" s="28">
        <v>0</v>
      </c>
      <c r="BE1161" s="186" t="str">
        <f t="shared" si="133"/>
        <v>立即对前方范围内的敌人造成330%攻击伤害+2000点固定伤害,并将其置空1秒</v>
      </c>
      <c r="BF1161" s="186" t="s">
        <v>1546</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spans="3:75" ht="19.5" customHeight="1">
      <c r="C1162" s="174">
        <v>65021105</v>
      </c>
      <c r="D1162" s="20" t="s">
        <v>2383</v>
      </c>
      <c r="E1162" s="20" t="s">
        <v>1541</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1542</v>
      </c>
      <c r="AI1162" s="13">
        <v>2</v>
      </c>
      <c r="AJ1162" s="13">
        <v>3</v>
      </c>
      <c r="AK1162" s="13">
        <v>0</v>
      </c>
      <c r="AL1162" s="13">
        <v>3</v>
      </c>
      <c r="AM1162" s="19">
        <v>0</v>
      </c>
      <c r="AN1162" s="19">
        <v>0</v>
      </c>
      <c r="AO1162" s="19">
        <v>0</v>
      </c>
      <c r="AP1162" s="19">
        <v>0.25</v>
      </c>
      <c r="AQ1162" s="19">
        <v>3000</v>
      </c>
      <c r="AR1162" s="19">
        <v>0.1</v>
      </c>
      <c r="AS1162" s="19">
        <v>0</v>
      </c>
      <c r="AT1162" s="13">
        <v>0</v>
      </c>
      <c r="AU1162" s="363" t="s">
        <v>2384</v>
      </c>
      <c r="AV1162" s="19"/>
      <c r="AW1162" s="20" t="s">
        <v>256</v>
      </c>
      <c r="AX1162" s="19" t="s">
        <v>545</v>
      </c>
      <c r="AY1162" s="19">
        <v>10001007</v>
      </c>
      <c r="AZ1162" s="19">
        <v>21401010</v>
      </c>
      <c r="BA1162" s="20" t="s">
        <v>200</v>
      </c>
      <c r="BB1162" s="20">
        <v>0</v>
      </c>
      <c r="BC1162" s="28">
        <v>0</v>
      </c>
      <c r="BD1162" s="28">
        <v>0</v>
      </c>
      <c r="BE1162" s="186" t="str">
        <f t="shared" si="133"/>
        <v>立即对前方范围内的敌人造成360%攻击伤害+2750点固定伤害,并将其置空1秒</v>
      </c>
      <c r="BF1162" s="186" t="s">
        <v>1547</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spans="3:75" ht="19.5" customHeight="1">
      <c r="C1163" s="174">
        <v>65021106</v>
      </c>
      <c r="D1163" s="20" t="s">
        <v>2383</v>
      </c>
      <c r="E1163" s="20" t="s">
        <v>1541</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1542</v>
      </c>
      <c r="AI1163" s="13">
        <v>2</v>
      </c>
      <c r="AJ1163" s="13">
        <v>3</v>
      </c>
      <c r="AK1163" s="13">
        <v>0</v>
      </c>
      <c r="AL1163" s="13">
        <v>3</v>
      </c>
      <c r="AM1163" s="19">
        <v>0</v>
      </c>
      <c r="AN1163" s="19">
        <v>0</v>
      </c>
      <c r="AO1163" s="19">
        <v>0</v>
      </c>
      <c r="AP1163" s="19">
        <v>0.25</v>
      </c>
      <c r="AQ1163" s="19">
        <v>3000</v>
      </c>
      <c r="AR1163" s="19">
        <v>0.1</v>
      </c>
      <c r="AS1163" s="19">
        <v>0</v>
      </c>
      <c r="AT1163" s="13">
        <v>0</v>
      </c>
      <c r="AU1163" s="363" t="s">
        <v>2384</v>
      </c>
      <c r="AV1163" s="19"/>
      <c r="AW1163" s="20" t="s">
        <v>256</v>
      </c>
      <c r="AX1163" s="19" t="s">
        <v>545</v>
      </c>
      <c r="AY1163" s="19">
        <v>10001007</v>
      </c>
      <c r="AZ1163" s="19">
        <v>21401010</v>
      </c>
      <c r="BA1163" s="20" t="s">
        <v>200</v>
      </c>
      <c r="BB1163" s="20">
        <v>0</v>
      </c>
      <c r="BC1163" s="28">
        <v>0</v>
      </c>
      <c r="BD1163" s="28">
        <v>0</v>
      </c>
      <c r="BE1163" s="186" t="str">
        <f t="shared" si="133"/>
        <v>立即对前方范围内的敌人造成400%攻击伤害+3500点固定伤害,并将其置空1秒</v>
      </c>
      <c r="BF1163" s="186" t="s">
        <v>1548</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spans="3:75" ht="20.100000000000001" customHeight="1">
      <c r="C1164" s="174">
        <v>65021201</v>
      </c>
      <c r="D1164" s="61" t="s">
        <v>2385</v>
      </c>
      <c r="E1164" s="61" t="s">
        <v>2386</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2</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3</v>
      </c>
      <c r="AP1164" s="62">
        <v>10.1</v>
      </c>
      <c r="AQ1164" s="62">
        <v>3000</v>
      </c>
      <c r="AR1164" s="62">
        <v>0</v>
      </c>
      <c r="AS1164" s="62">
        <v>0</v>
      </c>
      <c r="AT1164" s="13">
        <v>0</v>
      </c>
      <c r="AU1164" s="62">
        <v>0</v>
      </c>
      <c r="AV1164" s="62"/>
      <c r="AW1164" s="61" t="s">
        <v>5437</v>
      </c>
      <c r="AX1164" s="17">
        <v>0</v>
      </c>
      <c r="AY1164" s="66">
        <v>0</v>
      </c>
      <c r="AZ1164" s="19">
        <v>21401020</v>
      </c>
      <c r="BA1164" s="61" t="s">
        <v>2387</v>
      </c>
      <c r="BB1164" s="62">
        <v>60</v>
      </c>
      <c r="BC1164" s="68">
        <v>0</v>
      </c>
      <c r="BD1164" s="68">
        <v>0</v>
      </c>
      <c r="BE1164" s="186"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自身变成无敌状态且向前方发射一个能量光柱对前方敌方目标造持续造成200%攻击伤害+500点固定伤害,持续3秒，可以操控转移方向。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65021202</v>
      </c>
      <c r="D1165" s="61" t="s">
        <v>2385</v>
      </c>
      <c r="E1165" s="61" t="s">
        <v>2386</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2</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3</v>
      </c>
      <c r="AP1165" s="62">
        <v>10.1</v>
      </c>
      <c r="AQ1165" s="62">
        <v>3000</v>
      </c>
      <c r="AR1165" s="62">
        <v>0</v>
      </c>
      <c r="AS1165" s="62">
        <v>0</v>
      </c>
      <c r="AT1165" s="13">
        <v>0</v>
      </c>
      <c r="AU1165" s="62">
        <v>0</v>
      </c>
      <c r="AV1165" s="62"/>
      <c r="AW1165" s="61" t="s">
        <v>5437</v>
      </c>
      <c r="AX1165" s="17">
        <v>0</v>
      </c>
      <c r="AY1165" s="66">
        <v>0</v>
      </c>
      <c r="AZ1165" s="19">
        <v>21401020</v>
      </c>
      <c r="BA1165" s="61" t="s">
        <v>2387</v>
      </c>
      <c r="BB1165" s="62">
        <v>60</v>
      </c>
      <c r="BC1165" s="68">
        <v>0</v>
      </c>
      <c r="BD1165" s="68">
        <v>0</v>
      </c>
      <c r="BE1165" s="186"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自身变成无敌状态且向前方发射一个能量光柱对前方敌方目标造持续造成200%攻击伤害+500点固定伤害,持续3秒，可以操控转移方向。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65021203</v>
      </c>
      <c r="D1166" s="61" t="s">
        <v>2385</v>
      </c>
      <c r="E1166" s="61" t="s">
        <v>2386</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2.25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3</v>
      </c>
      <c r="AP1166" s="62">
        <v>10.1</v>
      </c>
      <c r="AQ1166" s="62">
        <v>3000</v>
      </c>
      <c r="AR1166" s="62">
        <v>0</v>
      </c>
      <c r="AS1166" s="62">
        <v>0</v>
      </c>
      <c r="AT1166" s="13">
        <v>0</v>
      </c>
      <c r="AU1166" s="62">
        <v>0</v>
      </c>
      <c r="AV1166" s="62"/>
      <c r="AW1166" s="61" t="s">
        <v>5437</v>
      </c>
      <c r="AX1166" s="17">
        <v>0</v>
      </c>
      <c r="AY1166" s="66">
        <v>0</v>
      </c>
      <c r="AZ1166" s="19">
        <v>21401020</v>
      </c>
      <c r="BA1166" s="61" t="s">
        <v>2387</v>
      </c>
      <c r="BB1166" s="62">
        <v>60</v>
      </c>
      <c r="BC1166" s="68">
        <v>0</v>
      </c>
      <c r="BD1166" s="68">
        <v>0</v>
      </c>
      <c r="BE1166" s="186" t="str">
        <f t="shared" si="134"/>
        <v>自身变成无敌状态且向前方发射一个能量光柱对前方敌方目标造持续造成225%攻击伤害+750点固定伤害,持续3秒，可以操控转移方向。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65021204</v>
      </c>
      <c r="D1167" s="61" t="s">
        <v>2385</v>
      </c>
      <c r="E1167" s="61" t="s">
        <v>2386</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2.5</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3</v>
      </c>
      <c r="AM1167" s="62">
        <v>0</v>
      </c>
      <c r="AN1167" s="62">
        <v>0</v>
      </c>
      <c r="AO1167" s="62">
        <v>3</v>
      </c>
      <c r="AP1167" s="62">
        <v>10.1</v>
      </c>
      <c r="AQ1167" s="62">
        <v>3000</v>
      </c>
      <c r="AR1167" s="62">
        <v>0</v>
      </c>
      <c r="AS1167" s="62">
        <v>0</v>
      </c>
      <c r="AT1167" s="13">
        <v>0</v>
      </c>
      <c r="AU1167" s="62">
        <v>0</v>
      </c>
      <c r="AV1167" s="62"/>
      <c r="AW1167" s="61" t="s">
        <v>5437</v>
      </c>
      <c r="AX1167" s="17">
        <v>0</v>
      </c>
      <c r="AY1167" s="66">
        <v>0</v>
      </c>
      <c r="AZ1167" s="19">
        <v>21401020</v>
      </c>
      <c r="BA1167" s="61" t="s">
        <v>2387</v>
      </c>
      <c r="BB1167" s="62">
        <v>60</v>
      </c>
      <c r="BC1167" s="68">
        <v>0</v>
      </c>
      <c r="BD1167" s="68">
        <v>0</v>
      </c>
      <c r="BE1167" s="186" t="str">
        <f t="shared" si="134"/>
        <v>自身变成无敌状态且向前方发射一个能量光柱对前方敌方目标造持续造成250%攻击伤害+1000点固定伤害,持续3秒，可以操控转移方向。</v>
      </c>
      <c r="BF1167" s="92"/>
      <c r="BG1167" s="62">
        <v>0</v>
      </c>
      <c r="BH1167" s="17">
        <v>0</v>
      </c>
      <c r="BI1167" s="62">
        <v>0</v>
      </c>
      <c r="BJ1167" s="62">
        <v>0</v>
      </c>
      <c r="BK1167" s="62">
        <v>0</v>
      </c>
      <c r="BL1167" s="62">
        <v>0</v>
      </c>
      <c r="BM1167" s="17">
        <v>0</v>
      </c>
      <c r="BN1167" s="13">
        <v>0</v>
      </c>
      <c r="BO1167" s="13">
        <v>0</v>
      </c>
      <c r="BP1167" s="13">
        <v>0</v>
      </c>
      <c r="BQ1167" s="13">
        <v>0</v>
      </c>
      <c r="BR1167" s="13">
        <v>0</v>
      </c>
      <c r="BS1167" s="13">
        <v>0</v>
      </c>
      <c r="BT1167" s="13">
        <v>0</v>
      </c>
      <c r="BU1167" s="49">
        <v>0</v>
      </c>
      <c r="BV1167" s="49"/>
      <c r="BW1167" s="49"/>
    </row>
    <row r="1168" spans="3:75" ht="20.100000000000001" customHeight="1">
      <c r="C1168" s="174">
        <v>65021205</v>
      </c>
      <c r="D1168" s="61" t="s">
        <v>2385</v>
      </c>
      <c r="E1168" s="61" t="s">
        <v>2386</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2.75</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3</v>
      </c>
      <c r="AM1168" s="62">
        <v>0</v>
      </c>
      <c r="AN1168" s="62">
        <v>0</v>
      </c>
      <c r="AO1168" s="62">
        <v>3</v>
      </c>
      <c r="AP1168" s="62">
        <v>10.1</v>
      </c>
      <c r="AQ1168" s="62">
        <v>3000</v>
      </c>
      <c r="AR1168" s="62">
        <v>0</v>
      </c>
      <c r="AS1168" s="62">
        <v>0</v>
      </c>
      <c r="AT1168" s="13">
        <v>0</v>
      </c>
      <c r="AU1168" s="62">
        <v>0</v>
      </c>
      <c r="AV1168" s="62"/>
      <c r="AW1168" s="61" t="s">
        <v>5437</v>
      </c>
      <c r="AX1168" s="17">
        <v>0</v>
      </c>
      <c r="AY1168" s="66">
        <v>0</v>
      </c>
      <c r="AZ1168" s="19">
        <v>21401020</v>
      </c>
      <c r="BA1168" s="61" t="s">
        <v>2387</v>
      </c>
      <c r="BB1168" s="62">
        <v>60</v>
      </c>
      <c r="BC1168" s="68">
        <v>0</v>
      </c>
      <c r="BD1168" s="68">
        <v>0</v>
      </c>
      <c r="BE1168" s="186" t="str">
        <f t="shared" si="134"/>
        <v>自身变成无敌状态且向前方发射一个能量光柱对前方敌方目标造持续造成275%攻击伤害+1250点固定伤害,持续3秒，可以操控转移方向。</v>
      </c>
      <c r="BF1168" s="92"/>
      <c r="BG1168" s="62">
        <v>0</v>
      </c>
      <c r="BH1168" s="17">
        <v>0</v>
      </c>
      <c r="BI1168" s="62">
        <v>0</v>
      </c>
      <c r="BJ1168" s="62">
        <v>0</v>
      </c>
      <c r="BK1168" s="62">
        <v>0</v>
      </c>
      <c r="BL1168" s="62">
        <v>0</v>
      </c>
      <c r="BM1168" s="17">
        <v>0</v>
      </c>
      <c r="BN1168" s="13">
        <v>0</v>
      </c>
      <c r="BO1168" s="13">
        <v>0</v>
      </c>
      <c r="BP1168" s="13">
        <v>0</v>
      </c>
      <c r="BQ1168" s="13">
        <v>0</v>
      </c>
      <c r="BR1168" s="13">
        <v>0</v>
      </c>
      <c r="BS1168" s="13">
        <v>0</v>
      </c>
      <c r="BT1168" s="13">
        <v>0</v>
      </c>
      <c r="BU1168" s="49">
        <v>0</v>
      </c>
      <c r="BV1168" s="49"/>
      <c r="BW1168" s="49"/>
    </row>
    <row r="1169" spans="3:75" ht="20.100000000000001" customHeight="1">
      <c r="C1169" s="174">
        <v>65021206</v>
      </c>
      <c r="D1169" s="61" t="s">
        <v>2385</v>
      </c>
      <c r="E1169" s="61" t="s">
        <v>2386</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3</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3</v>
      </c>
      <c r="AM1169" s="62">
        <v>0</v>
      </c>
      <c r="AN1169" s="62">
        <v>0</v>
      </c>
      <c r="AO1169" s="62">
        <v>3</v>
      </c>
      <c r="AP1169" s="62">
        <v>10.1</v>
      </c>
      <c r="AQ1169" s="62">
        <v>3000</v>
      </c>
      <c r="AR1169" s="62">
        <v>0</v>
      </c>
      <c r="AS1169" s="62">
        <v>0</v>
      </c>
      <c r="AT1169" s="13">
        <v>0</v>
      </c>
      <c r="AU1169" s="62">
        <v>0</v>
      </c>
      <c r="AV1169" s="62"/>
      <c r="AW1169" s="61" t="s">
        <v>5437</v>
      </c>
      <c r="AX1169" s="17">
        <v>0</v>
      </c>
      <c r="AY1169" s="66">
        <v>0</v>
      </c>
      <c r="AZ1169" s="19">
        <v>21401020</v>
      </c>
      <c r="BA1169" s="61" t="s">
        <v>2387</v>
      </c>
      <c r="BB1169" s="62">
        <v>60</v>
      </c>
      <c r="BC1169" s="68">
        <v>0</v>
      </c>
      <c r="BD1169" s="68">
        <v>0</v>
      </c>
      <c r="BE1169" s="186" t="str">
        <f t="shared" si="134"/>
        <v>自身变成无敌状态且向前方发射一个能量光柱对前方敌方目标造持续造成300%攻击伤害+1500点固定伤害,持续3秒，可以操控转移方向。</v>
      </c>
      <c r="BF1169" s="92"/>
      <c r="BG1169" s="62">
        <v>0</v>
      </c>
      <c r="BH1169" s="17">
        <v>0</v>
      </c>
      <c r="BI1169" s="62">
        <v>0</v>
      </c>
      <c r="BJ1169" s="62">
        <v>0</v>
      </c>
      <c r="BK1169" s="62">
        <v>0</v>
      </c>
      <c r="BL1169" s="62">
        <v>0</v>
      </c>
      <c r="BM1169" s="17">
        <v>0</v>
      </c>
      <c r="BN1169" s="13">
        <v>0</v>
      </c>
      <c r="BO1169" s="13">
        <v>0</v>
      </c>
      <c r="BP1169" s="13">
        <v>0</v>
      </c>
      <c r="BQ1169" s="13">
        <v>0</v>
      </c>
      <c r="BR1169" s="13">
        <v>0</v>
      </c>
      <c r="BS1169" s="13">
        <v>0</v>
      </c>
      <c r="BT1169" s="13">
        <v>0</v>
      </c>
      <c r="BU1169" s="49">
        <v>0</v>
      </c>
      <c r="BV1169" s="49"/>
      <c r="BW1169" s="49"/>
    </row>
    <row r="1170" spans="3:75" ht="20.100000000000001" customHeight="1">
      <c r="C1170" s="174">
        <v>65021301</v>
      </c>
      <c r="D1170" s="14" t="s">
        <v>2388</v>
      </c>
      <c r="E1170" s="14" t="s">
        <v>1566</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2</v>
      </c>
      <c r="AJ1170" s="13">
        <v>0</v>
      </c>
      <c r="AK1170" s="13">
        <v>0</v>
      </c>
      <c r="AL1170" s="13">
        <v>1.5</v>
      </c>
      <c r="AM1170" s="19">
        <v>0</v>
      </c>
      <c r="AN1170" s="19">
        <v>0</v>
      </c>
      <c r="AO1170" s="19">
        <v>0</v>
      </c>
      <c r="AP1170" s="19">
        <v>0.5</v>
      </c>
      <c r="AQ1170" s="19">
        <v>5000</v>
      </c>
      <c r="AR1170" s="19">
        <v>0.5</v>
      </c>
      <c r="AS1170" s="19">
        <v>0</v>
      </c>
      <c r="AT1170" s="355" t="s">
        <v>2389</v>
      </c>
      <c r="AU1170" s="19">
        <v>0</v>
      </c>
      <c r="AV1170" s="19"/>
      <c r="AW1170" s="20" t="s">
        <v>1534</v>
      </c>
      <c r="AX1170" s="19" t="s">
        <v>1406</v>
      </c>
      <c r="AY1170" s="19">
        <v>10002001</v>
      </c>
      <c r="AZ1170" s="19">
        <v>21401030</v>
      </c>
      <c r="BA1170" s="20" t="s">
        <v>315</v>
      </c>
      <c r="BB1170" s="20" t="s">
        <v>371</v>
      </c>
      <c r="BC1170" s="28">
        <v>0</v>
      </c>
      <c r="BD1170" s="28">
        <v>0</v>
      </c>
      <c r="BE1170" s="186"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6" t="s">
        <v>1658</v>
      </c>
      <c r="BG1170" s="19">
        <v>0</v>
      </c>
      <c r="BH1170" s="17">
        <v>61023501</v>
      </c>
      <c r="BI1170" s="19">
        <v>0</v>
      </c>
      <c r="BJ1170" s="19">
        <v>0</v>
      </c>
      <c r="BK1170" s="19">
        <v>0</v>
      </c>
      <c r="BL1170" s="19">
        <v>0</v>
      </c>
      <c r="BM1170" s="16">
        <v>0</v>
      </c>
      <c r="BN1170" s="13">
        <v>0</v>
      </c>
      <c r="BO1170" s="13">
        <v>0</v>
      </c>
      <c r="BP1170" s="13">
        <v>1</v>
      </c>
      <c r="BQ1170" s="13">
        <v>1</v>
      </c>
      <c r="BR1170" s="13">
        <v>500</v>
      </c>
      <c r="BS1170" s="13">
        <v>0</v>
      </c>
      <c r="BT1170" s="13">
        <v>0</v>
      </c>
      <c r="BU1170" s="49">
        <v>0</v>
      </c>
      <c r="BV1170" s="49"/>
      <c r="BW1170" s="49"/>
    </row>
    <row r="1171" spans="3:75" ht="20.100000000000001" customHeight="1">
      <c r="C1171" s="174">
        <v>65021302</v>
      </c>
      <c r="D1171" s="14" t="s">
        <v>2388</v>
      </c>
      <c r="E1171" s="14" t="s">
        <v>1566</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2</v>
      </c>
      <c r="AJ1171" s="13">
        <v>0</v>
      </c>
      <c r="AK1171" s="13">
        <v>0</v>
      </c>
      <c r="AL1171" s="13">
        <v>1.5</v>
      </c>
      <c r="AM1171" s="19">
        <v>0</v>
      </c>
      <c r="AN1171" s="19">
        <v>0</v>
      </c>
      <c r="AO1171" s="19">
        <v>0</v>
      </c>
      <c r="AP1171" s="19">
        <v>0.5</v>
      </c>
      <c r="AQ1171" s="19">
        <v>5000</v>
      </c>
      <c r="AR1171" s="19">
        <v>0.5</v>
      </c>
      <c r="AS1171" s="19">
        <v>0</v>
      </c>
      <c r="AT1171" s="355" t="s">
        <v>2389</v>
      </c>
      <c r="AU1171" s="19">
        <v>0</v>
      </c>
      <c r="AV1171" s="19"/>
      <c r="AW1171" s="20" t="s">
        <v>1534</v>
      </c>
      <c r="AX1171" s="19" t="s">
        <v>1406</v>
      </c>
      <c r="AY1171" s="19">
        <v>10002001</v>
      </c>
      <c r="AZ1171" s="19">
        <v>21401030</v>
      </c>
      <c r="BA1171" s="20" t="s">
        <v>315</v>
      </c>
      <c r="BB1171" s="20" t="s">
        <v>371</v>
      </c>
      <c r="BC1171" s="28">
        <v>0</v>
      </c>
      <c r="BD1171" s="28">
        <v>0</v>
      </c>
      <c r="BE1171" s="186"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6" t="s">
        <v>1658</v>
      </c>
      <c r="BG1171" s="19">
        <v>0</v>
      </c>
      <c r="BH1171" s="17">
        <v>61023501</v>
      </c>
      <c r="BI1171" s="19">
        <v>0</v>
      </c>
      <c r="BJ1171" s="19">
        <v>0</v>
      </c>
      <c r="BK1171" s="19">
        <v>0</v>
      </c>
      <c r="BL1171" s="19">
        <v>0</v>
      </c>
      <c r="BM1171" s="16">
        <v>0</v>
      </c>
      <c r="BN1171" s="13">
        <v>0</v>
      </c>
      <c r="BO1171" s="13">
        <v>0</v>
      </c>
      <c r="BP1171" s="13">
        <v>1</v>
      </c>
      <c r="BQ1171" s="13">
        <v>1</v>
      </c>
      <c r="BR1171" s="13">
        <v>500</v>
      </c>
      <c r="BS1171" s="13">
        <v>0</v>
      </c>
      <c r="BT1171" s="13">
        <v>0</v>
      </c>
      <c r="BU1171" s="49">
        <v>0</v>
      </c>
      <c r="BV1171" s="49"/>
      <c r="BW1171" s="49"/>
    </row>
    <row r="1172" spans="3:75" ht="20.100000000000001" customHeight="1">
      <c r="C1172" s="174">
        <v>65021303</v>
      </c>
      <c r="D1172" s="14" t="s">
        <v>2388</v>
      </c>
      <c r="E1172" s="14" t="s">
        <v>1566</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2</v>
      </c>
      <c r="AJ1172" s="13">
        <v>0</v>
      </c>
      <c r="AK1172" s="13">
        <v>0</v>
      </c>
      <c r="AL1172" s="13">
        <v>1.5</v>
      </c>
      <c r="AM1172" s="19">
        <v>0</v>
      </c>
      <c r="AN1172" s="19">
        <v>0</v>
      </c>
      <c r="AO1172" s="19">
        <v>0</v>
      </c>
      <c r="AP1172" s="19">
        <v>0.5</v>
      </c>
      <c r="AQ1172" s="19">
        <v>5000</v>
      </c>
      <c r="AR1172" s="19">
        <v>0.5</v>
      </c>
      <c r="AS1172" s="19">
        <v>0</v>
      </c>
      <c r="AT1172" s="355" t="s">
        <v>2390</v>
      </c>
      <c r="AU1172" s="19">
        <v>0</v>
      </c>
      <c r="AV1172" s="19"/>
      <c r="AW1172" s="20" t="s">
        <v>1534</v>
      </c>
      <c r="AX1172" s="19" t="s">
        <v>1406</v>
      </c>
      <c r="AY1172" s="19">
        <v>10002001</v>
      </c>
      <c r="AZ1172" s="19">
        <v>21401030</v>
      </c>
      <c r="BA1172" s="20" t="s">
        <v>315</v>
      </c>
      <c r="BB1172" s="20" t="s">
        <v>371</v>
      </c>
      <c r="BC1172" s="28">
        <v>0</v>
      </c>
      <c r="BD1172" s="28">
        <v>0</v>
      </c>
      <c r="BE1172" s="186"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6" t="s">
        <v>1660</v>
      </c>
      <c r="BG1172" s="19">
        <v>0</v>
      </c>
      <c r="BH1172" s="17">
        <v>61023501</v>
      </c>
      <c r="BI1172" s="19">
        <v>0</v>
      </c>
      <c r="BJ1172" s="19">
        <v>0</v>
      </c>
      <c r="BK1172" s="19">
        <v>0</v>
      </c>
      <c r="BL1172" s="19">
        <v>0</v>
      </c>
      <c r="BM1172" s="16">
        <v>0</v>
      </c>
      <c r="BN1172" s="13">
        <v>0</v>
      </c>
      <c r="BO1172" s="13">
        <v>0</v>
      </c>
      <c r="BP1172" s="13">
        <v>1</v>
      </c>
      <c r="BQ1172" s="13">
        <v>1.2</v>
      </c>
      <c r="BR1172" s="13">
        <v>800</v>
      </c>
      <c r="BS1172" s="13">
        <v>0</v>
      </c>
      <c r="BT1172" s="13">
        <v>0</v>
      </c>
      <c r="BU1172" s="49">
        <v>0</v>
      </c>
      <c r="BV1172" s="49"/>
      <c r="BW1172" s="49"/>
    </row>
    <row r="1173" spans="3:75" ht="20.100000000000001" customHeight="1">
      <c r="C1173" s="174">
        <v>65021304</v>
      </c>
      <c r="D1173" s="14" t="s">
        <v>2388</v>
      </c>
      <c r="E1173" s="14" t="s">
        <v>1566</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2</v>
      </c>
      <c r="AJ1173" s="13">
        <v>0</v>
      </c>
      <c r="AK1173" s="13">
        <v>0</v>
      </c>
      <c r="AL1173" s="13">
        <v>1.5</v>
      </c>
      <c r="AM1173" s="19">
        <v>0</v>
      </c>
      <c r="AN1173" s="19">
        <v>0</v>
      </c>
      <c r="AO1173" s="19">
        <v>0</v>
      </c>
      <c r="AP1173" s="19">
        <v>0.5</v>
      </c>
      <c r="AQ1173" s="19">
        <v>5000</v>
      </c>
      <c r="AR1173" s="19">
        <v>0.5</v>
      </c>
      <c r="AS1173" s="19">
        <v>0</v>
      </c>
      <c r="AT1173" s="355" t="s">
        <v>2391</v>
      </c>
      <c r="AU1173" s="19">
        <v>0</v>
      </c>
      <c r="AV1173" s="19"/>
      <c r="AW1173" s="20" t="s">
        <v>1534</v>
      </c>
      <c r="AX1173" s="19" t="s">
        <v>1406</v>
      </c>
      <c r="AY1173" s="19">
        <v>10002001</v>
      </c>
      <c r="AZ1173" s="19">
        <v>21401030</v>
      </c>
      <c r="BA1173" s="20" t="s">
        <v>315</v>
      </c>
      <c r="BB1173" s="20" t="s">
        <v>371</v>
      </c>
      <c r="BC1173" s="28">
        <v>0</v>
      </c>
      <c r="BD1173" s="28">
        <v>0</v>
      </c>
      <c r="BE1173" s="186"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6" t="s">
        <v>1662</v>
      </c>
      <c r="BG1173" s="19">
        <v>0</v>
      </c>
      <c r="BH1173" s="17">
        <v>61023501</v>
      </c>
      <c r="BI1173" s="19">
        <v>0</v>
      </c>
      <c r="BJ1173" s="19">
        <v>0</v>
      </c>
      <c r="BK1173" s="19">
        <v>0</v>
      </c>
      <c r="BL1173" s="19">
        <v>0</v>
      </c>
      <c r="BM1173" s="16">
        <v>0</v>
      </c>
      <c r="BN1173" s="13">
        <v>0</v>
      </c>
      <c r="BO1173" s="13">
        <v>0</v>
      </c>
      <c r="BP1173" s="13">
        <v>1</v>
      </c>
      <c r="BQ1173" s="13">
        <v>1.4</v>
      </c>
      <c r="BR1173" s="13">
        <v>1150</v>
      </c>
      <c r="BS1173" s="13">
        <v>0</v>
      </c>
      <c r="BT1173" s="13">
        <v>0</v>
      </c>
      <c r="BU1173" s="49">
        <v>0</v>
      </c>
      <c r="BV1173" s="49"/>
      <c r="BW1173" s="49"/>
    </row>
    <row r="1174" spans="3:75" ht="20.100000000000001" customHeight="1">
      <c r="C1174" s="174">
        <v>65021305</v>
      </c>
      <c r="D1174" s="14" t="s">
        <v>2388</v>
      </c>
      <c r="E1174" s="14" t="s">
        <v>1566</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2</v>
      </c>
      <c r="AJ1174" s="13">
        <v>0</v>
      </c>
      <c r="AK1174" s="13">
        <v>0</v>
      </c>
      <c r="AL1174" s="13">
        <v>1.5</v>
      </c>
      <c r="AM1174" s="19">
        <v>0</v>
      </c>
      <c r="AN1174" s="19">
        <v>0</v>
      </c>
      <c r="AO1174" s="19">
        <v>0</v>
      </c>
      <c r="AP1174" s="19">
        <v>0.5</v>
      </c>
      <c r="AQ1174" s="19">
        <v>5000</v>
      </c>
      <c r="AR1174" s="19">
        <v>0.5</v>
      </c>
      <c r="AS1174" s="19">
        <v>0</v>
      </c>
      <c r="AT1174" s="355" t="s">
        <v>2392</v>
      </c>
      <c r="AU1174" s="19">
        <v>0</v>
      </c>
      <c r="AV1174" s="19"/>
      <c r="AW1174" s="20" t="s">
        <v>1534</v>
      </c>
      <c r="AX1174" s="19" t="s">
        <v>1406</v>
      </c>
      <c r="AY1174" s="19">
        <v>10002001</v>
      </c>
      <c r="AZ1174" s="19">
        <v>21401030</v>
      </c>
      <c r="BA1174" s="20" t="s">
        <v>315</v>
      </c>
      <c r="BB1174" s="20" t="s">
        <v>371</v>
      </c>
      <c r="BC1174" s="28">
        <v>0</v>
      </c>
      <c r="BD1174" s="28">
        <v>0</v>
      </c>
      <c r="BE1174" s="186"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6" t="s">
        <v>1664</v>
      </c>
      <c r="BG1174" s="19">
        <v>0</v>
      </c>
      <c r="BH1174" s="17">
        <v>61023501</v>
      </c>
      <c r="BI1174" s="19">
        <v>0</v>
      </c>
      <c r="BJ1174" s="19">
        <v>0</v>
      </c>
      <c r="BK1174" s="19">
        <v>0</v>
      </c>
      <c r="BL1174" s="19">
        <v>0</v>
      </c>
      <c r="BM1174" s="16">
        <v>0</v>
      </c>
      <c r="BN1174" s="13">
        <v>0</v>
      </c>
      <c r="BO1174" s="13">
        <v>0</v>
      </c>
      <c r="BP1174" s="13">
        <v>1</v>
      </c>
      <c r="BQ1174" s="13">
        <v>1.6</v>
      </c>
      <c r="BR1174" s="13">
        <v>1550</v>
      </c>
      <c r="BS1174" s="13">
        <v>0</v>
      </c>
      <c r="BT1174" s="13">
        <v>0</v>
      </c>
      <c r="BU1174" s="49">
        <v>0</v>
      </c>
      <c r="BV1174" s="49"/>
      <c r="BW1174" s="49"/>
    </row>
    <row r="1175" spans="3:75" ht="20.100000000000001" customHeight="1">
      <c r="C1175" s="174">
        <v>65021306</v>
      </c>
      <c r="D1175" s="14" t="s">
        <v>2388</v>
      </c>
      <c r="E1175" s="14" t="s">
        <v>1566</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2</v>
      </c>
      <c r="AJ1175" s="13">
        <v>0</v>
      </c>
      <c r="AK1175" s="13">
        <v>0</v>
      </c>
      <c r="AL1175" s="13">
        <v>1.5</v>
      </c>
      <c r="AM1175" s="19">
        <v>0</v>
      </c>
      <c r="AN1175" s="19">
        <v>0</v>
      </c>
      <c r="AO1175" s="19">
        <v>0</v>
      </c>
      <c r="AP1175" s="19">
        <v>0.5</v>
      </c>
      <c r="AQ1175" s="19">
        <v>5000</v>
      </c>
      <c r="AR1175" s="19">
        <v>0.5</v>
      </c>
      <c r="AS1175" s="19">
        <v>0</v>
      </c>
      <c r="AT1175" s="355" t="s">
        <v>2393</v>
      </c>
      <c r="AU1175" s="19">
        <v>0</v>
      </c>
      <c r="AV1175" s="19"/>
      <c r="AW1175" s="20" t="s">
        <v>1534</v>
      </c>
      <c r="AX1175" s="19" t="s">
        <v>1406</v>
      </c>
      <c r="AY1175" s="19">
        <v>10002001</v>
      </c>
      <c r="AZ1175" s="19">
        <v>21401030</v>
      </c>
      <c r="BA1175" s="20" t="s">
        <v>315</v>
      </c>
      <c r="BB1175" s="20" t="s">
        <v>371</v>
      </c>
      <c r="BC1175" s="28">
        <v>0</v>
      </c>
      <c r="BD1175" s="28">
        <v>0</v>
      </c>
      <c r="BE1175" s="186"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6" t="s">
        <v>1666</v>
      </c>
      <c r="BG1175" s="19">
        <v>0</v>
      </c>
      <c r="BH1175" s="17">
        <v>61023501</v>
      </c>
      <c r="BI1175" s="19">
        <v>0</v>
      </c>
      <c r="BJ1175" s="19">
        <v>0</v>
      </c>
      <c r="BK1175" s="19">
        <v>0</v>
      </c>
      <c r="BL1175" s="19">
        <v>0</v>
      </c>
      <c r="BM1175" s="16">
        <v>0</v>
      </c>
      <c r="BN1175" s="13">
        <v>0</v>
      </c>
      <c r="BO1175" s="13">
        <v>0</v>
      </c>
      <c r="BP1175" s="13">
        <v>1</v>
      </c>
      <c r="BQ1175" s="13">
        <v>1.8</v>
      </c>
      <c r="BR1175" s="13">
        <v>2050</v>
      </c>
      <c r="BS1175" s="13">
        <v>0</v>
      </c>
      <c r="BT1175" s="13">
        <v>0</v>
      </c>
      <c r="BU1175" s="49">
        <v>0</v>
      </c>
      <c r="BV1175" s="49"/>
      <c r="BW1175" s="49"/>
    </row>
    <row r="1176" spans="3:75" ht="20.100000000000001" customHeight="1">
      <c r="C1176" s="174">
        <v>65021401</v>
      </c>
      <c r="D1176" s="20" t="s">
        <v>2394</v>
      </c>
      <c r="E1176" s="20" t="s">
        <v>1615</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4</v>
      </c>
      <c r="AM1176" s="19">
        <v>0</v>
      </c>
      <c r="AN1176" s="19">
        <v>0</v>
      </c>
      <c r="AO1176" s="19">
        <v>0</v>
      </c>
      <c r="AP1176" s="19">
        <v>0.3</v>
      </c>
      <c r="AQ1176" s="19">
        <v>2000</v>
      </c>
      <c r="AR1176" s="19">
        <v>0.5</v>
      </c>
      <c r="AS1176" s="19">
        <v>0</v>
      </c>
      <c r="AT1176" s="13">
        <v>0</v>
      </c>
      <c r="AU1176" s="363" t="s">
        <v>5429</v>
      </c>
      <c r="AV1176" s="19"/>
      <c r="AW1176" s="20" t="s">
        <v>1524</v>
      </c>
      <c r="AX1176" s="19" t="s">
        <v>534</v>
      </c>
      <c r="AY1176" s="19">
        <v>10000009</v>
      </c>
      <c r="AZ1176" s="19">
        <v>21401040</v>
      </c>
      <c r="BA1176" s="18" t="s">
        <v>1526</v>
      </c>
      <c r="BB1176" s="20">
        <v>0</v>
      </c>
      <c r="BC1176" s="28">
        <v>0</v>
      </c>
      <c r="BD1176" s="28">
        <v>0</v>
      </c>
      <c r="BE1176" s="186"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6" t="s">
        <v>1617</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65021402</v>
      </c>
      <c r="D1177" s="20" t="s">
        <v>2394</v>
      </c>
      <c r="E1177" s="20" t="s">
        <v>1615</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4</v>
      </c>
      <c r="AM1177" s="19">
        <v>0</v>
      </c>
      <c r="AN1177" s="19">
        <v>0</v>
      </c>
      <c r="AO1177" s="19">
        <v>0</v>
      </c>
      <c r="AP1177" s="19">
        <v>0.3</v>
      </c>
      <c r="AQ1177" s="19">
        <v>2000</v>
      </c>
      <c r="AR1177" s="19">
        <v>0.5</v>
      </c>
      <c r="AS1177" s="19">
        <v>0</v>
      </c>
      <c r="AT1177" s="13">
        <v>0</v>
      </c>
      <c r="AU1177" s="363" t="s">
        <v>5429</v>
      </c>
      <c r="AV1177" s="19"/>
      <c r="AW1177" s="20" t="s">
        <v>1524</v>
      </c>
      <c r="AX1177" s="19" t="s">
        <v>534</v>
      </c>
      <c r="AY1177" s="19">
        <v>10000009</v>
      </c>
      <c r="AZ1177" s="19">
        <v>21401040</v>
      </c>
      <c r="BA1177" s="18" t="s">
        <v>1526</v>
      </c>
      <c r="BB1177" s="20">
        <v>0</v>
      </c>
      <c r="BC1177" s="28">
        <v>0</v>
      </c>
      <c r="BD1177" s="28">
        <v>0</v>
      </c>
      <c r="BE1177" s="186"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6" t="s">
        <v>1617</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65021403</v>
      </c>
      <c r="D1178" s="20" t="s">
        <v>2394</v>
      </c>
      <c r="E1178" s="20" t="s">
        <v>1615</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4</v>
      </c>
      <c r="AM1178" s="19">
        <v>0</v>
      </c>
      <c r="AN1178" s="19">
        <v>0</v>
      </c>
      <c r="AO1178" s="19">
        <v>0</v>
      </c>
      <c r="AP1178" s="19">
        <v>0.3</v>
      </c>
      <c r="AQ1178" s="19">
        <v>2000</v>
      </c>
      <c r="AR1178" s="19">
        <v>0.5</v>
      </c>
      <c r="AS1178" s="19">
        <v>0</v>
      </c>
      <c r="AT1178" s="13">
        <v>0</v>
      </c>
      <c r="AU1178" s="363" t="s">
        <v>5429</v>
      </c>
      <c r="AV1178" s="19"/>
      <c r="AW1178" s="20" t="s">
        <v>1524</v>
      </c>
      <c r="AX1178" s="19" t="s">
        <v>534</v>
      </c>
      <c r="AY1178" s="19">
        <v>10000009</v>
      </c>
      <c r="AZ1178" s="19">
        <v>21401040</v>
      </c>
      <c r="BA1178" s="18" t="s">
        <v>1526</v>
      </c>
      <c r="BB1178" s="20">
        <v>0</v>
      </c>
      <c r="BC1178" s="28">
        <v>0</v>
      </c>
      <c r="BD1178" s="28">
        <v>0</v>
      </c>
      <c r="BE1178" s="186" t="str">
        <f t="shared" si="136"/>
        <v>立即对自身周围的敌方单位造成325%攻击伤害+1800点固定伤害，并眩晕1秒，并对目标种下一个印记，印记在2.5秒后对范围内造成250%伤害和1秒眩晕。</v>
      </c>
      <c r="BF1178" s="186" t="s">
        <v>1618</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65021404</v>
      </c>
      <c r="D1179" s="20" t="s">
        <v>2394</v>
      </c>
      <c r="E1179" s="20" t="s">
        <v>1615</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4</v>
      </c>
      <c r="AM1179" s="19">
        <v>0</v>
      </c>
      <c r="AN1179" s="19">
        <v>0</v>
      </c>
      <c r="AO1179" s="19">
        <v>0</v>
      </c>
      <c r="AP1179" s="19">
        <v>0.3</v>
      </c>
      <c r="AQ1179" s="19">
        <v>2000</v>
      </c>
      <c r="AR1179" s="19">
        <v>0.5</v>
      </c>
      <c r="AS1179" s="19">
        <v>0</v>
      </c>
      <c r="AT1179" s="13">
        <v>0</v>
      </c>
      <c r="AU1179" s="363" t="s">
        <v>5429</v>
      </c>
      <c r="AV1179" s="19"/>
      <c r="AW1179" s="20" t="s">
        <v>1524</v>
      </c>
      <c r="AX1179" s="19" t="s">
        <v>534</v>
      </c>
      <c r="AY1179" s="19">
        <v>10000009</v>
      </c>
      <c r="AZ1179" s="19">
        <v>21401040</v>
      </c>
      <c r="BA1179" s="18" t="s">
        <v>1526</v>
      </c>
      <c r="BB1179" s="20">
        <v>0</v>
      </c>
      <c r="BC1179" s="28">
        <v>0</v>
      </c>
      <c r="BD1179" s="28">
        <v>0</v>
      </c>
      <c r="BE1179" s="186" t="str">
        <f t="shared" si="136"/>
        <v>立即对自身周围的敌方单位造成350%攻击伤害+2800点固定伤害，并眩晕1秒，并对目标种下一个印记，印记在2.5秒后对范围内造成250%伤害和1秒眩晕。</v>
      </c>
      <c r="BF1179" s="186" t="s">
        <v>1619</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spans="3:75" ht="20.100000000000001" customHeight="1">
      <c r="C1180" s="174">
        <v>65021405</v>
      </c>
      <c r="D1180" s="20" t="s">
        <v>2394</v>
      </c>
      <c r="E1180" s="20" t="s">
        <v>1615</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4</v>
      </c>
      <c r="AM1180" s="19">
        <v>0</v>
      </c>
      <c r="AN1180" s="19">
        <v>0</v>
      </c>
      <c r="AO1180" s="19">
        <v>0</v>
      </c>
      <c r="AP1180" s="19">
        <v>0.3</v>
      </c>
      <c r="AQ1180" s="19">
        <v>2000</v>
      </c>
      <c r="AR1180" s="19">
        <v>0.5</v>
      </c>
      <c r="AS1180" s="19">
        <v>0</v>
      </c>
      <c r="AT1180" s="13">
        <v>0</v>
      </c>
      <c r="AU1180" s="363" t="s">
        <v>5429</v>
      </c>
      <c r="AV1180" s="19"/>
      <c r="AW1180" s="20" t="s">
        <v>1524</v>
      </c>
      <c r="AX1180" s="19" t="s">
        <v>534</v>
      </c>
      <c r="AY1180" s="19">
        <v>10000009</v>
      </c>
      <c r="AZ1180" s="19">
        <v>21401040</v>
      </c>
      <c r="BA1180" s="18" t="s">
        <v>1526</v>
      </c>
      <c r="BB1180" s="20">
        <v>0</v>
      </c>
      <c r="BC1180" s="28">
        <v>0</v>
      </c>
      <c r="BD1180" s="28">
        <v>0</v>
      </c>
      <c r="BE1180" s="186" t="str">
        <f t="shared" si="136"/>
        <v>立即对自身周围的敌方单位造成375%攻击伤害+4000点固定伤害，并眩晕1秒，并对目标种下一个印记，印记在2.5秒后对范围内造成250%伤害和1秒眩晕。</v>
      </c>
      <c r="BF1180" s="186" t="s">
        <v>1620</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spans="3:75" ht="20.100000000000001" customHeight="1">
      <c r="C1181" s="174">
        <v>65021406</v>
      </c>
      <c r="D1181" s="20" t="s">
        <v>5427</v>
      </c>
      <c r="E1181" s="20" t="s">
        <v>1615</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4</v>
      </c>
      <c r="AM1181" s="19">
        <v>0</v>
      </c>
      <c r="AN1181" s="19">
        <v>0</v>
      </c>
      <c r="AO1181" s="19">
        <v>0</v>
      </c>
      <c r="AP1181" s="19">
        <v>0.3</v>
      </c>
      <c r="AQ1181" s="19">
        <v>2000</v>
      </c>
      <c r="AR1181" s="19">
        <v>0.5</v>
      </c>
      <c r="AS1181" s="19">
        <v>0</v>
      </c>
      <c r="AT1181" s="13">
        <v>0</v>
      </c>
      <c r="AU1181" s="363" t="s">
        <v>5429</v>
      </c>
      <c r="AV1181" s="19"/>
      <c r="AW1181" s="20" t="s">
        <v>1524</v>
      </c>
      <c r="AX1181" s="19" t="s">
        <v>534</v>
      </c>
      <c r="AY1181" s="19">
        <v>10000009</v>
      </c>
      <c r="AZ1181" s="19">
        <v>21401040</v>
      </c>
      <c r="BA1181" s="18" t="s">
        <v>1526</v>
      </c>
      <c r="BB1181" s="20">
        <v>0</v>
      </c>
      <c r="BC1181" s="28">
        <v>0</v>
      </c>
      <c r="BD1181" s="28">
        <v>0</v>
      </c>
      <c r="BE1181" s="186" t="str">
        <f t="shared" si="136"/>
        <v>立即对自身周围的敌方单位造成400%攻击伤害+5200点固定伤害，并眩晕1秒，并对目标种下一个印记，印记在2.5秒后对范围内造成250%伤害和1秒眩晕。</v>
      </c>
      <c r="BF1181" s="186" t="s">
        <v>1621</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spans="3:75" ht="19.5" customHeight="1">
      <c r="C1182" s="182">
        <v>65021411</v>
      </c>
      <c r="D1182" s="240" t="s">
        <v>5428</v>
      </c>
      <c r="E1182" s="240" t="s">
        <v>2586</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5430</v>
      </c>
      <c r="BF1182" s="46" t="s">
        <v>2588</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spans="3:75" ht="20.100000000000001" customHeight="1">
      <c r="C1183" s="174">
        <v>65022101</v>
      </c>
      <c r="D1183" s="14" t="s">
        <v>2395</v>
      </c>
      <c r="E1183" s="14" t="s">
        <v>1566</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2396</v>
      </c>
      <c r="AU1183" s="13" t="s">
        <v>198</v>
      </c>
      <c r="AV1183" s="13"/>
      <c r="AW1183" s="14" t="s">
        <v>199</v>
      </c>
      <c r="AX1183" s="13" t="s">
        <v>1406</v>
      </c>
      <c r="AY1183" s="13">
        <v>0</v>
      </c>
      <c r="AZ1183" s="13">
        <v>21402010</v>
      </c>
      <c r="BA1183" s="14" t="s">
        <v>200</v>
      </c>
      <c r="BB1183" s="14">
        <v>0</v>
      </c>
      <c r="BC1183" s="13">
        <v>0</v>
      </c>
      <c r="BD1183" s="13">
        <v>0</v>
      </c>
      <c r="BE1183" s="187" t="s">
        <v>2397</v>
      </c>
      <c r="BF1183" s="187" t="s">
        <v>1569</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65022102</v>
      </c>
      <c r="D1184" s="14" t="s">
        <v>2395</v>
      </c>
      <c r="E1184" s="14" t="s">
        <v>1566</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2396</v>
      </c>
      <c r="AU1184" s="13" t="s">
        <v>198</v>
      </c>
      <c r="AV1184" s="13"/>
      <c r="AW1184" s="14" t="s">
        <v>199</v>
      </c>
      <c r="AX1184" s="13" t="s">
        <v>1406</v>
      </c>
      <c r="AY1184" s="13">
        <v>0</v>
      </c>
      <c r="AZ1184" s="13">
        <v>21402010</v>
      </c>
      <c r="BA1184" s="14" t="s">
        <v>200</v>
      </c>
      <c r="BB1184" s="14">
        <v>0</v>
      </c>
      <c r="BC1184" s="13">
        <v>0</v>
      </c>
      <c r="BD1184" s="13">
        <v>0</v>
      </c>
      <c r="BE1184" s="187" t="s">
        <v>2397</v>
      </c>
      <c r="BF1184" s="187" t="s">
        <v>1569</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65022103</v>
      </c>
      <c r="D1185" s="14" t="s">
        <v>2395</v>
      </c>
      <c r="E1185" s="14" t="s">
        <v>1566</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2396</v>
      </c>
      <c r="AU1185" s="13" t="s">
        <v>198</v>
      </c>
      <c r="AV1185" s="13"/>
      <c r="AW1185" s="14" t="s">
        <v>199</v>
      </c>
      <c r="AX1185" s="13" t="s">
        <v>1406</v>
      </c>
      <c r="AY1185" s="13">
        <v>0</v>
      </c>
      <c r="AZ1185" s="13">
        <v>21402010</v>
      </c>
      <c r="BA1185" s="14" t="s">
        <v>200</v>
      </c>
      <c r="BB1185" s="14">
        <v>0</v>
      </c>
      <c r="BC1185" s="13">
        <v>0</v>
      </c>
      <c r="BD1185" s="13">
        <v>0</v>
      </c>
      <c r="BE1185" s="187" t="s">
        <v>2398</v>
      </c>
      <c r="BF1185" s="187" t="s">
        <v>1572</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ht="20.100000000000001" customHeight="1">
      <c r="C1186" s="174">
        <v>65022104</v>
      </c>
      <c r="D1186" s="14" t="s">
        <v>2395</v>
      </c>
      <c r="E1186" s="14" t="s">
        <v>1566</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55" t="s">
        <v>2396</v>
      </c>
      <c r="AU1186" s="13" t="s">
        <v>198</v>
      </c>
      <c r="AV1186" s="13"/>
      <c r="AW1186" s="14" t="s">
        <v>199</v>
      </c>
      <c r="AX1186" s="13" t="s">
        <v>1406</v>
      </c>
      <c r="AY1186" s="13">
        <v>0</v>
      </c>
      <c r="AZ1186" s="13">
        <v>21402010</v>
      </c>
      <c r="BA1186" s="14" t="s">
        <v>200</v>
      </c>
      <c r="BB1186" s="14">
        <v>0</v>
      </c>
      <c r="BC1186" s="13">
        <v>0</v>
      </c>
      <c r="BD1186" s="13">
        <v>0</v>
      </c>
      <c r="BE1186" s="187" t="s">
        <v>2399</v>
      </c>
      <c r="BF1186" s="187" t="s">
        <v>1575</v>
      </c>
      <c r="BG1186" s="13">
        <v>0</v>
      </c>
      <c r="BH1186" s="13">
        <v>0</v>
      </c>
      <c r="BI1186" s="13">
        <v>0</v>
      </c>
      <c r="BJ1186" s="13">
        <v>0</v>
      </c>
      <c r="BK1186" s="13">
        <v>0</v>
      </c>
      <c r="BL1186" s="13">
        <v>0</v>
      </c>
      <c r="BM1186" s="188">
        <v>0</v>
      </c>
      <c r="BN1186" s="13">
        <v>1</v>
      </c>
      <c r="BO1186" s="13">
        <v>0</v>
      </c>
      <c r="BP1186" s="13">
        <v>0</v>
      </c>
      <c r="BQ1186" s="13">
        <v>0</v>
      </c>
      <c r="BR1186" s="13">
        <v>0</v>
      </c>
      <c r="BS1186" s="13">
        <v>0</v>
      </c>
      <c r="BT1186" s="13">
        <v>0</v>
      </c>
      <c r="BU1186" s="49">
        <v>0</v>
      </c>
      <c r="BV1186" s="49"/>
      <c r="BW1186" s="49"/>
    </row>
    <row r="1187" spans="1:75" ht="20.100000000000001" customHeight="1">
      <c r="C1187" s="174">
        <v>65022105</v>
      </c>
      <c r="D1187" s="14" t="s">
        <v>2395</v>
      </c>
      <c r="E1187" s="14" t="s">
        <v>1566</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55" t="s">
        <v>2396</v>
      </c>
      <c r="AU1187" s="13" t="s">
        <v>198</v>
      </c>
      <c r="AV1187" s="13"/>
      <c r="AW1187" s="14" t="s">
        <v>199</v>
      </c>
      <c r="AX1187" s="13" t="s">
        <v>1406</v>
      </c>
      <c r="AY1187" s="13">
        <v>0</v>
      </c>
      <c r="AZ1187" s="13">
        <v>21402010</v>
      </c>
      <c r="BA1187" s="14" t="s">
        <v>200</v>
      </c>
      <c r="BB1187" s="14">
        <v>0</v>
      </c>
      <c r="BC1187" s="13">
        <v>0</v>
      </c>
      <c r="BD1187" s="13">
        <v>0</v>
      </c>
      <c r="BE1187" s="187" t="s">
        <v>2400</v>
      </c>
      <c r="BF1187" s="187" t="s">
        <v>1578</v>
      </c>
      <c r="BG1187" s="13">
        <v>0</v>
      </c>
      <c r="BH1187" s="13">
        <v>0</v>
      </c>
      <c r="BI1187" s="13">
        <v>0</v>
      </c>
      <c r="BJ1187" s="13">
        <v>0</v>
      </c>
      <c r="BK1187" s="13">
        <v>0</v>
      </c>
      <c r="BL1187" s="13">
        <v>0</v>
      </c>
      <c r="BM1187" s="188">
        <v>0</v>
      </c>
      <c r="BN1187" s="13">
        <v>1</v>
      </c>
      <c r="BO1187" s="13">
        <v>0</v>
      </c>
      <c r="BP1187" s="13">
        <v>0</v>
      </c>
      <c r="BQ1187" s="13">
        <v>0</v>
      </c>
      <c r="BR1187" s="13">
        <v>0</v>
      </c>
      <c r="BS1187" s="13">
        <v>0</v>
      </c>
      <c r="BT1187" s="13">
        <v>0</v>
      </c>
      <c r="BU1187" s="49">
        <v>0</v>
      </c>
      <c r="BV1187" s="49"/>
      <c r="BW1187" s="49"/>
    </row>
    <row r="1188" spans="1:75" ht="20.100000000000001" customHeight="1">
      <c r="C1188" s="174">
        <v>65022106</v>
      </c>
      <c r="D1188" s="14" t="s">
        <v>2395</v>
      </c>
      <c r="E1188" s="14" t="s">
        <v>1566</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55" t="s">
        <v>2396</v>
      </c>
      <c r="AU1188" s="13" t="s">
        <v>198</v>
      </c>
      <c r="AV1188" s="13"/>
      <c r="AW1188" s="14" t="s">
        <v>199</v>
      </c>
      <c r="AX1188" s="13" t="s">
        <v>1406</v>
      </c>
      <c r="AY1188" s="13">
        <v>0</v>
      </c>
      <c r="AZ1188" s="13">
        <v>21402010</v>
      </c>
      <c r="BA1188" s="14" t="s">
        <v>200</v>
      </c>
      <c r="BB1188" s="14">
        <v>0</v>
      </c>
      <c r="BC1188" s="13">
        <v>0</v>
      </c>
      <c r="BD1188" s="13">
        <v>0</v>
      </c>
      <c r="BE1188" s="187" t="s">
        <v>2401</v>
      </c>
      <c r="BF1188" s="187" t="s">
        <v>1581</v>
      </c>
      <c r="BG1188" s="13">
        <v>0</v>
      </c>
      <c r="BH1188" s="13">
        <v>0</v>
      </c>
      <c r="BI1188" s="13">
        <v>0</v>
      </c>
      <c r="BJ1188" s="13">
        <v>0</v>
      </c>
      <c r="BK1188" s="13">
        <v>0</v>
      </c>
      <c r="BL1188" s="13">
        <v>0</v>
      </c>
      <c r="BM1188" s="188">
        <v>0</v>
      </c>
      <c r="BN1188" s="13">
        <v>1</v>
      </c>
      <c r="BO1188" s="13">
        <v>0</v>
      </c>
      <c r="BP1188" s="13">
        <v>0</v>
      </c>
      <c r="BQ1188" s="13">
        <v>0</v>
      </c>
      <c r="BR1188" s="13">
        <v>0</v>
      </c>
      <c r="BS1188" s="13">
        <v>0</v>
      </c>
      <c r="BT1188" s="13">
        <v>0</v>
      </c>
      <c r="BU1188" s="49">
        <v>0</v>
      </c>
      <c r="BV1188" s="49"/>
      <c r="BW1188" s="49"/>
    </row>
    <row r="1189" spans="1:75" s="1" customFormat="1" ht="20.100000000000001" customHeight="1">
      <c r="C1189" s="174">
        <v>65022201</v>
      </c>
      <c r="D1189" s="20" t="s">
        <v>2402</v>
      </c>
      <c r="E1189" s="61" t="s">
        <v>1435</v>
      </c>
      <c r="F1189" s="13">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f>AZ1183+10</f>
        <v>21402020</v>
      </c>
      <c r="BA1189" s="61" t="s">
        <v>2403</v>
      </c>
      <c r="BB1189" s="369" t="s">
        <v>2404</v>
      </c>
      <c r="BC1189" s="68">
        <v>0</v>
      </c>
      <c r="BD1189" s="68">
        <v>0</v>
      </c>
      <c r="BE1189" s="187" t="s">
        <v>2405</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65022202</v>
      </c>
      <c r="D1190" s="20" t="s">
        <v>2402</v>
      </c>
      <c r="E1190" s="61" t="s">
        <v>1435</v>
      </c>
      <c r="F1190" s="13">
        <v>1</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f t="shared" ref="AZ1190:AZ1206" si="137">AZ1184+10</f>
        <v>21402020</v>
      </c>
      <c r="BA1190" s="61" t="s">
        <v>2403</v>
      </c>
      <c r="BB1190" s="369" t="s">
        <v>2404</v>
      </c>
      <c r="BC1190" s="68">
        <v>0</v>
      </c>
      <c r="BD1190" s="68">
        <v>0</v>
      </c>
      <c r="BE1190" s="187" t="s">
        <v>2405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65022203</v>
      </c>
      <c r="D1191" s="20" t="s">
        <v>2402</v>
      </c>
      <c r="E1191" s="61" t="s">
        <v>1435</v>
      </c>
      <c r="F1191" s="13">
        <v>2</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f t="shared" si="137"/>
        <v>21402020</v>
      </c>
      <c r="BA1191" s="61" t="s">
        <v>2403</v>
      </c>
      <c r="BB1191" s="369" t="s">
        <v>2406</v>
      </c>
      <c r="BC1191" s="68">
        <v>0</v>
      </c>
      <c r="BD1191" s="68">
        <v>0</v>
      </c>
      <c r="BE1191" s="187" t="s">
        <v>2407</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1" customFormat="1" ht="20.100000000000001" customHeight="1">
      <c r="C1192" s="174">
        <v>65022204</v>
      </c>
      <c r="D1192" s="20" t="s">
        <v>2402</v>
      </c>
      <c r="E1192" s="61" t="s">
        <v>1435</v>
      </c>
      <c r="F1192" s="13">
        <v>3</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f t="shared" si="137"/>
        <v>21402020</v>
      </c>
      <c r="BA1192" s="61" t="s">
        <v>2403</v>
      </c>
      <c r="BB1192" s="369" t="s">
        <v>2408</v>
      </c>
      <c r="BC1192" s="68">
        <v>0</v>
      </c>
      <c r="BD1192" s="68">
        <v>0</v>
      </c>
      <c r="BE1192" s="187" t="s">
        <v>2409</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pans="1:75" s="1" customFormat="1" ht="20.100000000000001" customHeight="1">
      <c r="C1193" s="174">
        <v>65022205</v>
      </c>
      <c r="D1193" s="20" t="s">
        <v>2402</v>
      </c>
      <c r="E1193" s="61" t="s">
        <v>1435</v>
      </c>
      <c r="F1193" s="13">
        <v>4</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f t="shared" si="137"/>
        <v>21402020</v>
      </c>
      <c r="BA1193" s="61" t="s">
        <v>2403</v>
      </c>
      <c r="BB1193" s="369" t="s">
        <v>2410</v>
      </c>
      <c r="BC1193" s="68">
        <v>0</v>
      </c>
      <c r="BD1193" s="68">
        <v>0</v>
      </c>
      <c r="BE1193" s="187" t="s">
        <v>2411</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pans="1:75" s="1" customFormat="1" ht="20.100000000000001" customHeight="1">
      <c r="C1194" s="174">
        <v>65022206</v>
      </c>
      <c r="D1194" s="20" t="s">
        <v>2402</v>
      </c>
      <c r="E1194" s="61" t="s">
        <v>1435</v>
      </c>
      <c r="F1194" s="13">
        <v>5</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f t="shared" si="137"/>
        <v>21402020</v>
      </c>
      <c r="BA1194" s="61" t="s">
        <v>2403</v>
      </c>
      <c r="BB1194" s="369" t="s">
        <v>2412</v>
      </c>
      <c r="BC1194" s="68">
        <v>0</v>
      </c>
      <c r="BD1194" s="68">
        <v>0</v>
      </c>
      <c r="BE1194" s="187" t="s">
        <v>2413</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pans="1:75" s="2" customFormat="1" ht="20.100000000000001" customHeight="1">
      <c r="A1195" s="219"/>
      <c r="B1195" s="219"/>
      <c r="C1195" s="174">
        <v>65022301</v>
      </c>
      <c r="D1195" s="101" t="s">
        <v>2414</v>
      </c>
      <c r="E1195" s="101" t="s">
        <v>2261</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4000</v>
      </c>
      <c r="AR1195" s="103">
        <v>0</v>
      </c>
      <c r="AS1195" s="103">
        <v>0</v>
      </c>
      <c r="AT1195" s="349" t="s">
        <v>2415</v>
      </c>
      <c r="AU1195" s="103" t="s">
        <v>198</v>
      </c>
      <c r="AV1195" s="62"/>
      <c r="AW1195" s="101" t="s">
        <v>198</v>
      </c>
      <c r="AX1195" s="103" t="s">
        <v>545</v>
      </c>
      <c r="AY1195" s="102">
        <v>0</v>
      </c>
      <c r="AZ1195" s="66">
        <v>21402030</v>
      </c>
      <c r="BA1195" s="101" t="s">
        <v>1165</v>
      </c>
      <c r="BB1195" s="103">
        <v>0</v>
      </c>
      <c r="BC1195" s="107">
        <v>0</v>
      </c>
      <c r="BD1195" s="107">
        <v>0</v>
      </c>
      <c r="BE1195" s="186"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6" t="s">
        <v>2263</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65022302</v>
      </c>
      <c r="D1196" s="101" t="s">
        <v>2414</v>
      </c>
      <c r="E1196" s="101" t="s">
        <v>2261</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4000</v>
      </c>
      <c r="AR1196" s="103">
        <v>0</v>
      </c>
      <c r="AS1196" s="103">
        <v>0</v>
      </c>
      <c r="AT1196" s="349" t="s">
        <v>2415</v>
      </c>
      <c r="AU1196" s="103" t="s">
        <v>198</v>
      </c>
      <c r="AV1196" s="62"/>
      <c r="AW1196" s="101" t="s">
        <v>198</v>
      </c>
      <c r="AX1196" s="103" t="s">
        <v>545</v>
      </c>
      <c r="AY1196" s="102">
        <v>0</v>
      </c>
      <c r="AZ1196" s="66">
        <v>21402030</v>
      </c>
      <c r="BA1196" s="101" t="s">
        <v>1165</v>
      </c>
      <c r="BB1196" s="103">
        <v>0</v>
      </c>
      <c r="BC1196" s="107">
        <v>0</v>
      </c>
      <c r="BD1196" s="107">
        <v>0</v>
      </c>
      <c r="BE1196" s="186" t="str">
        <f t="shared" ref="BE1196:BE1200" si="138">"自身变成一个风暴进行快速移动且自身为无敌状态，对途径的敌方单位造成"&amp;X1196*100&amp;"%攻击伤害+"&amp;Z1196&amp;"点固定伤害"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6" t="s">
        <v>2263</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65022303</v>
      </c>
      <c r="D1197" s="101" t="s">
        <v>2414</v>
      </c>
      <c r="E1197" s="101" t="s">
        <v>2261</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4000</v>
      </c>
      <c r="AR1197" s="103">
        <v>0</v>
      </c>
      <c r="AS1197" s="103">
        <v>0</v>
      </c>
      <c r="AT1197" s="349" t="s">
        <v>2415</v>
      </c>
      <c r="AU1197" s="103" t="s">
        <v>198</v>
      </c>
      <c r="AV1197" s="62"/>
      <c r="AW1197" s="101" t="s">
        <v>198</v>
      </c>
      <c r="AX1197" s="103" t="s">
        <v>545</v>
      </c>
      <c r="AY1197" s="102">
        <v>0</v>
      </c>
      <c r="AZ1197" s="66">
        <v>21402030</v>
      </c>
      <c r="BA1197" s="101" t="s">
        <v>1165</v>
      </c>
      <c r="BB1197" s="103">
        <v>0</v>
      </c>
      <c r="BC1197" s="107">
        <v>0</v>
      </c>
      <c r="BD1197" s="107">
        <v>0</v>
      </c>
      <c r="BE1197" s="186" t="str">
        <f t="shared" si="138"/>
        <v>自身变成一个风暴进行快速移动且自身为无敌状态，对途径的敌方单位造成270%攻击伤害+1800点固定伤害</v>
      </c>
      <c r="BF1197" s="186" t="s">
        <v>2264</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s="2" customFormat="1" ht="20.100000000000001" customHeight="1">
      <c r="A1198" s="219"/>
      <c r="B1198" s="219"/>
      <c r="C1198" s="174">
        <v>65022304</v>
      </c>
      <c r="D1198" s="101" t="s">
        <v>2414</v>
      </c>
      <c r="E1198" s="101" t="s">
        <v>2261</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4000</v>
      </c>
      <c r="AR1198" s="103">
        <v>0</v>
      </c>
      <c r="AS1198" s="103">
        <v>0</v>
      </c>
      <c r="AT1198" s="349" t="s">
        <v>2415</v>
      </c>
      <c r="AU1198" s="103" t="s">
        <v>198</v>
      </c>
      <c r="AV1198" s="62"/>
      <c r="AW1198" s="101" t="s">
        <v>198</v>
      </c>
      <c r="AX1198" s="103" t="s">
        <v>545</v>
      </c>
      <c r="AY1198" s="102">
        <v>0</v>
      </c>
      <c r="AZ1198" s="66">
        <v>21402030</v>
      </c>
      <c r="BA1198" s="101" t="s">
        <v>1165</v>
      </c>
      <c r="BB1198" s="103">
        <v>0</v>
      </c>
      <c r="BC1198" s="107">
        <v>0</v>
      </c>
      <c r="BD1198" s="107">
        <v>0</v>
      </c>
      <c r="BE1198" s="186" t="str">
        <f t="shared" si="138"/>
        <v>自身变成一个风暴进行快速移动且自身为无敌状态，对途径的敌方单位造成300%攻击伤害+2800点固定伤害</v>
      </c>
      <c r="BF1198" s="186" t="s">
        <v>2265</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pans="1:75" s="2" customFormat="1" ht="20.100000000000001" customHeight="1">
      <c r="A1199" s="219"/>
      <c r="B1199" s="219"/>
      <c r="C1199" s="174">
        <v>65022305</v>
      </c>
      <c r="D1199" s="101" t="s">
        <v>2414</v>
      </c>
      <c r="E1199" s="101" t="s">
        <v>2261</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4000</v>
      </c>
      <c r="AR1199" s="103">
        <v>0</v>
      </c>
      <c r="AS1199" s="103">
        <v>0</v>
      </c>
      <c r="AT1199" s="349" t="s">
        <v>2415</v>
      </c>
      <c r="AU1199" s="103" t="s">
        <v>198</v>
      </c>
      <c r="AV1199" s="62"/>
      <c r="AW1199" s="101" t="s">
        <v>198</v>
      </c>
      <c r="AX1199" s="103" t="s">
        <v>545</v>
      </c>
      <c r="AY1199" s="102">
        <v>0</v>
      </c>
      <c r="AZ1199" s="66">
        <v>21402030</v>
      </c>
      <c r="BA1199" s="101" t="s">
        <v>1165</v>
      </c>
      <c r="BB1199" s="103">
        <v>0</v>
      </c>
      <c r="BC1199" s="107">
        <v>0</v>
      </c>
      <c r="BD1199" s="107">
        <v>0</v>
      </c>
      <c r="BE1199" s="186" t="str">
        <f t="shared" si="138"/>
        <v>自身变成一个风暴进行快速移动且自身为无敌状态，对途径的敌方单位造成330%攻击伤害+4000点固定伤害</v>
      </c>
      <c r="BF1199" s="186" t="s">
        <v>2266</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pans="1:75" s="2" customFormat="1" ht="20.100000000000001" customHeight="1">
      <c r="A1200" s="219"/>
      <c r="B1200" s="219"/>
      <c r="C1200" s="174">
        <v>65022306</v>
      </c>
      <c r="D1200" s="101" t="s">
        <v>2414</v>
      </c>
      <c r="E1200" s="101" t="s">
        <v>2261</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4000</v>
      </c>
      <c r="AR1200" s="103">
        <v>0</v>
      </c>
      <c r="AS1200" s="103">
        <v>0</v>
      </c>
      <c r="AT1200" s="349" t="s">
        <v>2415</v>
      </c>
      <c r="AU1200" s="103" t="s">
        <v>198</v>
      </c>
      <c r="AV1200" s="62"/>
      <c r="AW1200" s="101" t="s">
        <v>198</v>
      </c>
      <c r="AX1200" s="103" t="s">
        <v>545</v>
      </c>
      <c r="AY1200" s="102">
        <v>0</v>
      </c>
      <c r="AZ1200" s="66">
        <v>21402030</v>
      </c>
      <c r="BA1200" s="101" t="s">
        <v>1165</v>
      </c>
      <c r="BB1200" s="103">
        <v>0</v>
      </c>
      <c r="BC1200" s="107">
        <v>0</v>
      </c>
      <c r="BD1200" s="107">
        <v>0</v>
      </c>
      <c r="BE1200" s="186" t="str">
        <f t="shared" si="138"/>
        <v>自身变成一个风暴进行快速移动且自身为无敌状态，对途径的敌方单位造成360%攻击伤害+5200点固定伤害</v>
      </c>
      <c r="BF1200" s="186" t="s">
        <v>2267</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spans="3:75" ht="19.5" customHeight="1">
      <c r="C1201" s="174">
        <v>65022401</v>
      </c>
      <c r="D1201" s="203" t="s">
        <v>2014</v>
      </c>
      <c r="E1201" s="203" t="s">
        <v>2015</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1625</v>
      </c>
      <c r="AX1201" s="178" t="s">
        <v>1041</v>
      </c>
      <c r="AY1201" s="178">
        <v>0</v>
      </c>
      <c r="AZ1201" s="66">
        <f t="shared" si="137"/>
        <v>21402040</v>
      </c>
      <c r="BA1201" s="203" t="s">
        <v>2016</v>
      </c>
      <c r="BB1201" s="368" t="s">
        <v>2017</v>
      </c>
      <c r="BC1201" s="176">
        <v>0</v>
      </c>
      <c r="BD1201" s="176">
        <v>0</v>
      </c>
      <c r="BE1201" s="211" t="s">
        <v>2018</v>
      </c>
      <c r="BF1201" s="211" t="s">
        <v>2019</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65022402</v>
      </c>
      <c r="D1202" s="203" t="s">
        <v>2014</v>
      </c>
      <c r="E1202" s="203" t="s">
        <v>2015</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1625</v>
      </c>
      <c r="AX1202" s="178" t="s">
        <v>1041</v>
      </c>
      <c r="AY1202" s="178">
        <v>0</v>
      </c>
      <c r="AZ1202" s="66">
        <f t="shared" si="137"/>
        <v>21402040</v>
      </c>
      <c r="BA1202" s="203" t="s">
        <v>2016</v>
      </c>
      <c r="BB1202" s="368" t="s">
        <v>2017</v>
      </c>
      <c r="BC1202" s="176">
        <v>0</v>
      </c>
      <c r="BD1202" s="176">
        <v>0</v>
      </c>
      <c r="BE1202" s="211" t="s">
        <v>2018</v>
      </c>
      <c r="BF1202" s="211" t="s">
        <v>2019</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65022403</v>
      </c>
      <c r="D1203" s="203" t="s">
        <v>2014</v>
      </c>
      <c r="E1203" s="203" t="s">
        <v>2015</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1625</v>
      </c>
      <c r="AX1203" s="178" t="s">
        <v>1041</v>
      </c>
      <c r="AY1203" s="178">
        <v>0</v>
      </c>
      <c r="AZ1203" s="66">
        <f t="shared" si="137"/>
        <v>21402040</v>
      </c>
      <c r="BA1203" s="203" t="s">
        <v>2016</v>
      </c>
      <c r="BB1203" s="368" t="s">
        <v>2020</v>
      </c>
      <c r="BC1203" s="176">
        <v>0</v>
      </c>
      <c r="BD1203" s="176">
        <v>0</v>
      </c>
      <c r="BE1203" s="211" t="s">
        <v>2021</v>
      </c>
      <c r="BF1203" s="211" t="s">
        <v>2022</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19.5" customHeight="1">
      <c r="C1204" s="174">
        <v>65022404</v>
      </c>
      <c r="D1204" s="203" t="s">
        <v>2014</v>
      </c>
      <c r="E1204" s="203" t="s">
        <v>2015</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1625</v>
      </c>
      <c r="AX1204" s="178" t="s">
        <v>1041</v>
      </c>
      <c r="AY1204" s="178">
        <v>0</v>
      </c>
      <c r="AZ1204" s="66">
        <f t="shared" si="137"/>
        <v>21402040</v>
      </c>
      <c r="BA1204" s="203" t="s">
        <v>2016</v>
      </c>
      <c r="BB1204" s="368" t="s">
        <v>2023</v>
      </c>
      <c r="BC1204" s="176">
        <v>0</v>
      </c>
      <c r="BD1204" s="176">
        <v>0</v>
      </c>
      <c r="BE1204" s="211" t="s">
        <v>2024</v>
      </c>
      <c r="BF1204" s="211" t="s">
        <v>2025</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spans="3:75" ht="19.5" customHeight="1">
      <c r="C1205" s="174">
        <v>65022405</v>
      </c>
      <c r="D1205" s="203" t="s">
        <v>2014</v>
      </c>
      <c r="E1205" s="203" t="s">
        <v>2015</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1625</v>
      </c>
      <c r="AX1205" s="178" t="s">
        <v>1041</v>
      </c>
      <c r="AY1205" s="178">
        <v>0</v>
      </c>
      <c r="AZ1205" s="66">
        <f t="shared" si="137"/>
        <v>21402040</v>
      </c>
      <c r="BA1205" s="203" t="s">
        <v>2016</v>
      </c>
      <c r="BB1205" s="368" t="s">
        <v>2026</v>
      </c>
      <c r="BC1205" s="176">
        <v>0</v>
      </c>
      <c r="BD1205" s="176">
        <v>0</v>
      </c>
      <c r="BE1205" s="211" t="s">
        <v>2027</v>
      </c>
      <c r="BF1205" s="211" t="s">
        <v>2028</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spans="3:75" ht="19.5" customHeight="1">
      <c r="C1206" s="174">
        <v>65022406</v>
      </c>
      <c r="D1206" s="203" t="s">
        <v>2014</v>
      </c>
      <c r="E1206" s="203" t="s">
        <v>2015</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1625</v>
      </c>
      <c r="AX1206" s="178" t="s">
        <v>1041</v>
      </c>
      <c r="AY1206" s="178">
        <v>0</v>
      </c>
      <c r="AZ1206" s="66">
        <f t="shared" si="137"/>
        <v>21402040</v>
      </c>
      <c r="BA1206" s="203" t="s">
        <v>2016</v>
      </c>
      <c r="BB1206" s="368" t="s">
        <v>2029</v>
      </c>
      <c r="BC1206" s="176">
        <v>0</v>
      </c>
      <c r="BD1206" s="176">
        <v>0</v>
      </c>
      <c r="BE1206" s="211" t="s">
        <v>2030</v>
      </c>
      <c r="BF1206" s="211" t="s">
        <v>2031</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spans="3:75" ht="20.100000000000001" customHeight="1">
      <c r="C1207" s="17">
        <v>65023101</v>
      </c>
      <c r="D1207" s="18" t="s">
        <v>2416</v>
      </c>
      <c r="E1207" s="18" t="s">
        <v>1740</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6" t="s">
        <v>2417</v>
      </c>
      <c r="BC1207" s="28">
        <v>0</v>
      </c>
      <c r="BD1207" s="28">
        <v>0</v>
      </c>
      <c r="BE1207" s="46" t="s">
        <v>2418</v>
      </c>
      <c r="BF1207" s="46" t="s">
        <v>1743</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20.100000000000001" customHeight="1">
      <c r="C1208" s="17">
        <v>65023102</v>
      </c>
      <c r="D1208" s="18" t="s">
        <v>2416</v>
      </c>
      <c r="E1208" s="18" t="s">
        <v>1740</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6" t="s">
        <v>2417</v>
      </c>
      <c r="BC1208" s="28">
        <v>0</v>
      </c>
      <c r="BD1208" s="28">
        <v>0</v>
      </c>
      <c r="BE1208" s="46" t="s">
        <v>2418</v>
      </c>
      <c r="BF1208" s="46" t="s">
        <v>1743</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7">
        <v>65023103</v>
      </c>
      <c r="D1209" s="18" t="s">
        <v>2416</v>
      </c>
      <c r="E1209" s="18" t="s">
        <v>1740</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2</v>
      </c>
      <c r="AJ1209" s="13">
        <v>2</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6" t="s">
        <v>2419</v>
      </c>
      <c r="BC1209" s="28">
        <v>0</v>
      </c>
      <c r="BD1209" s="28">
        <v>0</v>
      </c>
      <c r="BE1209" s="46" t="s">
        <v>2420</v>
      </c>
      <c r="BF1209" s="46" t="s">
        <v>1746</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19.5" customHeight="1">
      <c r="C1210" s="17">
        <v>65023104</v>
      </c>
      <c r="D1210" s="18" t="s">
        <v>2416</v>
      </c>
      <c r="E1210" s="18" t="s">
        <v>1740</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2</v>
      </c>
      <c r="AJ1210" s="13">
        <v>2</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66" t="s">
        <v>2421</v>
      </c>
      <c r="BC1210" s="28">
        <v>0</v>
      </c>
      <c r="BD1210" s="28">
        <v>0</v>
      </c>
      <c r="BE1210" s="46" t="s">
        <v>2422</v>
      </c>
      <c r="BF1210" s="46" t="s">
        <v>1749</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spans="3:75" ht="19.5" customHeight="1">
      <c r="C1211" s="17">
        <v>65023105</v>
      </c>
      <c r="D1211" s="18" t="s">
        <v>2416</v>
      </c>
      <c r="E1211" s="18" t="s">
        <v>1740</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2</v>
      </c>
      <c r="AJ1211" s="13">
        <v>2</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66" t="s">
        <v>2423</v>
      </c>
      <c r="BC1211" s="28">
        <v>0</v>
      </c>
      <c r="BD1211" s="28">
        <v>0</v>
      </c>
      <c r="BE1211" s="46" t="s">
        <v>2424</v>
      </c>
      <c r="BF1211" s="46" t="s">
        <v>1752</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spans="3:75" ht="19.5" customHeight="1">
      <c r="C1212" s="17">
        <v>65023106</v>
      </c>
      <c r="D1212" s="18" t="s">
        <v>2416</v>
      </c>
      <c r="E1212" s="18" t="s">
        <v>1740</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2</v>
      </c>
      <c r="AJ1212" s="13">
        <v>2</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66" t="s">
        <v>2425</v>
      </c>
      <c r="BC1212" s="28">
        <v>0</v>
      </c>
      <c r="BD1212" s="28">
        <v>0</v>
      </c>
      <c r="BE1212" s="46" t="s">
        <v>2426</v>
      </c>
      <c r="BF1212" s="46" t="s">
        <v>1755</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spans="3:75" ht="20.100000000000001" customHeight="1">
      <c r="C1213" s="13">
        <v>65023201</v>
      </c>
      <c r="D1213" s="14" t="s">
        <v>2427</v>
      </c>
      <c r="E1213" s="14" t="s">
        <v>1566</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5" t="s">
        <v>2428</v>
      </c>
      <c r="AU1213" s="13" t="s">
        <v>198</v>
      </c>
      <c r="AV1213" s="13"/>
      <c r="AW1213" s="14" t="s">
        <v>199</v>
      </c>
      <c r="AX1213" s="13" t="s">
        <v>1406</v>
      </c>
      <c r="AY1213" s="13">
        <v>0</v>
      </c>
      <c r="AZ1213" s="19">
        <v>21403020</v>
      </c>
      <c r="BA1213" s="14" t="s">
        <v>200</v>
      </c>
      <c r="BB1213" s="14">
        <v>0</v>
      </c>
      <c r="BC1213" s="13">
        <v>0</v>
      </c>
      <c r="BD1213" s="13">
        <v>0</v>
      </c>
      <c r="BE1213" s="187" t="s">
        <v>2429</v>
      </c>
      <c r="BF1213" s="187" t="s">
        <v>1569</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65023202</v>
      </c>
      <c r="D1214" s="14" t="s">
        <v>2427</v>
      </c>
      <c r="E1214" s="14" t="s">
        <v>1566</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5" t="s">
        <v>2428</v>
      </c>
      <c r="AU1214" s="13" t="s">
        <v>198</v>
      </c>
      <c r="AV1214" s="13"/>
      <c r="AW1214" s="14" t="s">
        <v>199</v>
      </c>
      <c r="AX1214" s="13" t="s">
        <v>1406</v>
      </c>
      <c r="AY1214" s="13">
        <v>0</v>
      </c>
      <c r="AZ1214" s="19">
        <v>21403020</v>
      </c>
      <c r="BA1214" s="14" t="s">
        <v>200</v>
      </c>
      <c r="BB1214" s="14">
        <v>0</v>
      </c>
      <c r="BC1214" s="13">
        <v>0</v>
      </c>
      <c r="BD1214" s="13">
        <v>0</v>
      </c>
      <c r="BE1214" s="187" t="s">
        <v>2429</v>
      </c>
      <c r="BF1214" s="187" t="s">
        <v>1569</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65023203</v>
      </c>
      <c r="D1215" s="14" t="s">
        <v>2427</v>
      </c>
      <c r="E1215" s="14" t="s">
        <v>1566</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0</v>
      </c>
      <c r="AH1215" s="13">
        <v>0</v>
      </c>
      <c r="AI1215" s="13">
        <v>0</v>
      </c>
      <c r="AJ1215" s="13">
        <v>0</v>
      </c>
      <c r="AK1215" s="13">
        <v>0</v>
      </c>
      <c r="AL1215" s="13">
        <v>0</v>
      </c>
      <c r="AM1215" s="13">
        <v>0</v>
      </c>
      <c r="AN1215" s="13">
        <v>0</v>
      </c>
      <c r="AO1215" s="13">
        <v>0</v>
      </c>
      <c r="AP1215" s="13">
        <v>0.2</v>
      </c>
      <c r="AQ1215" s="13">
        <v>3000</v>
      </c>
      <c r="AR1215" s="13">
        <v>0.5</v>
      </c>
      <c r="AS1215" s="13">
        <v>0</v>
      </c>
      <c r="AT1215" s="355" t="s">
        <v>2430</v>
      </c>
      <c r="AU1215" s="13" t="s">
        <v>198</v>
      </c>
      <c r="AV1215" s="13"/>
      <c r="AW1215" s="14" t="s">
        <v>199</v>
      </c>
      <c r="AX1215" s="13" t="s">
        <v>1406</v>
      </c>
      <c r="AY1215" s="13">
        <v>0</v>
      </c>
      <c r="AZ1215" s="19">
        <v>21403020</v>
      </c>
      <c r="BA1215" s="14" t="s">
        <v>200</v>
      </c>
      <c r="BB1215" s="14">
        <v>0</v>
      </c>
      <c r="BC1215" s="13">
        <v>0</v>
      </c>
      <c r="BD1215" s="13">
        <v>0</v>
      </c>
      <c r="BE1215" s="187" t="s">
        <v>2431</v>
      </c>
      <c r="BF1215" s="187" t="s">
        <v>1572</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20.100000000000001" customHeight="1">
      <c r="C1216" s="13">
        <v>65023204</v>
      </c>
      <c r="D1216" s="14" t="s">
        <v>2427</v>
      </c>
      <c r="E1216" s="14" t="s">
        <v>1566</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0</v>
      </c>
      <c r="AH1216" s="13">
        <v>0</v>
      </c>
      <c r="AI1216" s="13">
        <v>0</v>
      </c>
      <c r="AJ1216" s="13">
        <v>0</v>
      </c>
      <c r="AK1216" s="13">
        <v>0</v>
      </c>
      <c r="AL1216" s="13">
        <v>0</v>
      </c>
      <c r="AM1216" s="13">
        <v>0</v>
      </c>
      <c r="AN1216" s="13">
        <v>0</v>
      </c>
      <c r="AO1216" s="13">
        <v>0</v>
      </c>
      <c r="AP1216" s="13">
        <v>0.2</v>
      </c>
      <c r="AQ1216" s="13">
        <v>3000</v>
      </c>
      <c r="AR1216" s="13">
        <v>0.5</v>
      </c>
      <c r="AS1216" s="13">
        <v>0</v>
      </c>
      <c r="AT1216" s="355" t="s">
        <v>2432</v>
      </c>
      <c r="AU1216" s="13" t="s">
        <v>198</v>
      </c>
      <c r="AV1216" s="13"/>
      <c r="AW1216" s="14" t="s">
        <v>199</v>
      </c>
      <c r="AX1216" s="13" t="s">
        <v>1406</v>
      </c>
      <c r="AY1216" s="13">
        <v>0</v>
      </c>
      <c r="AZ1216" s="19">
        <v>21403020</v>
      </c>
      <c r="BA1216" s="14" t="s">
        <v>200</v>
      </c>
      <c r="BB1216" s="14">
        <v>0</v>
      </c>
      <c r="BC1216" s="13">
        <v>0</v>
      </c>
      <c r="BD1216" s="13">
        <v>0</v>
      </c>
      <c r="BE1216" s="187" t="s">
        <v>2433</v>
      </c>
      <c r="BF1216" s="187" t="s">
        <v>1575</v>
      </c>
      <c r="BG1216" s="13">
        <v>0</v>
      </c>
      <c r="BH1216" s="13">
        <v>0</v>
      </c>
      <c r="BI1216" s="13">
        <v>0</v>
      </c>
      <c r="BJ1216" s="13">
        <v>0</v>
      </c>
      <c r="BK1216" s="13">
        <v>0</v>
      </c>
      <c r="BL1216" s="13">
        <v>0</v>
      </c>
      <c r="BM1216" s="188">
        <v>0</v>
      </c>
      <c r="BN1216" s="13">
        <v>1</v>
      </c>
      <c r="BO1216" s="13">
        <v>0</v>
      </c>
      <c r="BP1216" s="13">
        <v>0</v>
      </c>
      <c r="BQ1216" s="13">
        <v>0</v>
      </c>
      <c r="BR1216" s="13">
        <v>0</v>
      </c>
      <c r="BS1216" s="13">
        <v>0</v>
      </c>
      <c r="BT1216" s="13">
        <v>0</v>
      </c>
      <c r="BU1216" s="49">
        <v>0</v>
      </c>
      <c r="BV1216" s="49"/>
      <c r="BW1216" s="49"/>
    </row>
    <row r="1217" spans="3:75" ht="20.100000000000001" customHeight="1">
      <c r="C1217" s="13">
        <v>65023205</v>
      </c>
      <c r="D1217" s="14" t="s">
        <v>2427</v>
      </c>
      <c r="E1217" s="14" t="s">
        <v>1566</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0</v>
      </c>
      <c r="AH1217" s="13">
        <v>0</v>
      </c>
      <c r="AI1217" s="13">
        <v>0</v>
      </c>
      <c r="AJ1217" s="13">
        <v>0</v>
      </c>
      <c r="AK1217" s="13">
        <v>0</v>
      </c>
      <c r="AL1217" s="13">
        <v>0</v>
      </c>
      <c r="AM1217" s="13">
        <v>0</v>
      </c>
      <c r="AN1217" s="13">
        <v>0</v>
      </c>
      <c r="AO1217" s="13">
        <v>0</v>
      </c>
      <c r="AP1217" s="13">
        <v>0.2</v>
      </c>
      <c r="AQ1217" s="13">
        <v>3000</v>
      </c>
      <c r="AR1217" s="13">
        <v>0.5</v>
      </c>
      <c r="AS1217" s="13">
        <v>0</v>
      </c>
      <c r="AT1217" s="355" t="s">
        <v>2434</v>
      </c>
      <c r="AU1217" s="13" t="s">
        <v>198</v>
      </c>
      <c r="AV1217" s="13"/>
      <c r="AW1217" s="14" t="s">
        <v>199</v>
      </c>
      <c r="AX1217" s="13" t="s">
        <v>1406</v>
      </c>
      <c r="AY1217" s="13">
        <v>0</v>
      </c>
      <c r="AZ1217" s="19">
        <v>21403020</v>
      </c>
      <c r="BA1217" s="14" t="s">
        <v>200</v>
      </c>
      <c r="BB1217" s="14">
        <v>0</v>
      </c>
      <c r="BC1217" s="13">
        <v>0</v>
      </c>
      <c r="BD1217" s="13">
        <v>0</v>
      </c>
      <c r="BE1217" s="187" t="s">
        <v>2435</v>
      </c>
      <c r="BF1217" s="187" t="s">
        <v>1578</v>
      </c>
      <c r="BG1217" s="13">
        <v>0</v>
      </c>
      <c r="BH1217" s="13">
        <v>0</v>
      </c>
      <c r="BI1217" s="13">
        <v>0</v>
      </c>
      <c r="BJ1217" s="13">
        <v>0</v>
      </c>
      <c r="BK1217" s="13">
        <v>0</v>
      </c>
      <c r="BL1217" s="13">
        <v>0</v>
      </c>
      <c r="BM1217" s="188">
        <v>0</v>
      </c>
      <c r="BN1217" s="13">
        <v>1</v>
      </c>
      <c r="BO1217" s="13">
        <v>0</v>
      </c>
      <c r="BP1217" s="13">
        <v>0</v>
      </c>
      <c r="BQ1217" s="13">
        <v>0</v>
      </c>
      <c r="BR1217" s="13">
        <v>0</v>
      </c>
      <c r="BS1217" s="13">
        <v>0</v>
      </c>
      <c r="BT1217" s="13">
        <v>0</v>
      </c>
      <c r="BU1217" s="49">
        <v>0</v>
      </c>
      <c r="BV1217" s="49"/>
      <c r="BW1217" s="49"/>
    </row>
    <row r="1218" spans="3:75" ht="20.100000000000001" customHeight="1">
      <c r="C1218" s="13">
        <v>65023206</v>
      </c>
      <c r="D1218" s="14" t="s">
        <v>2427</v>
      </c>
      <c r="E1218" s="14" t="s">
        <v>1566</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0</v>
      </c>
      <c r="AH1218" s="13">
        <v>0</v>
      </c>
      <c r="AI1218" s="13">
        <v>0</v>
      </c>
      <c r="AJ1218" s="13">
        <v>0</v>
      </c>
      <c r="AK1218" s="13">
        <v>0</v>
      </c>
      <c r="AL1218" s="13">
        <v>0</v>
      </c>
      <c r="AM1218" s="13">
        <v>0</v>
      </c>
      <c r="AN1218" s="13">
        <v>0</v>
      </c>
      <c r="AO1218" s="13">
        <v>0</v>
      </c>
      <c r="AP1218" s="13">
        <v>0.2</v>
      </c>
      <c r="AQ1218" s="13">
        <v>3000</v>
      </c>
      <c r="AR1218" s="13">
        <v>0.5</v>
      </c>
      <c r="AS1218" s="13">
        <v>0</v>
      </c>
      <c r="AT1218" s="355" t="s">
        <v>2436</v>
      </c>
      <c r="AU1218" s="13" t="s">
        <v>198</v>
      </c>
      <c r="AV1218" s="13"/>
      <c r="AW1218" s="14" t="s">
        <v>199</v>
      </c>
      <c r="AX1218" s="13" t="s">
        <v>1406</v>
      </c>
      <c r="AY1218" s="13">
        <v>0</v>
      </c>
      <c r="AZ1218" s="19">
        <v>21403020</v>
      </c>
      <c r="BA1218" s="14" t="s">
        <v>200</v>
      </c>
      <c r="BB1218" s="14">
        <v>0</v>
      </c>
      <c r="BC1218" s="13">
        <v>0</v>
      </c>
      <c r="BD1218" s="13">
        <v>0</v>
      </c>
      <c r="BE1218" s="187" t="s">
        <v>2437</v>
      </c>
      <c r="BF1218" s="187" t="s">
        <v>1581</v>
      </c>
      <c r="BG1218" s="13">
        <v>0</v>
      </c>
      <c r="BH1218" s="13">
        <v>0</v>
      </c>
      <c r="BI1218" s="13">
        <v>0</v>
      </c>
      <c r="BJ1218" s="13">
        <v>0</v>
      </c>
      <c r="BK1218" s="13">
        <v>0</v>
      </c>
      <c r="BL1218" s="13">
        <v>0</v>
      </c>
      <c r="BM1218" s="188">
        <v>0</v>
      </c>
      <c r="BN1218" s="13">
        <v>1</v>
      </c>
      <c r="BO1218" s="13">
        <v>0</v>
      </c>
      <c r="BP1218" s="13">
        <v>0</v>
      </c>
      <c r="BQ1218" s="13">
        <v>0</v>
      </c>
      <c r="BR1218" s="13">
        <v>0</v>
      </c>
      <c r="BS1218" s="13">
        <v>0</v>
      </c>
      <c r="BT1218" s="13">
        <v>0</v>
      </c>
      <c r="BU1218" s="49">
        <v>0</v>
      </c>
      <c r="BV1218" s="49"/>
      <c r="BW1218" s="49"/>
    </row>
    <row r="1219" spans="3:75" ht="19.5" customHeight="1">
      <c r="C1219" s="17">
        <v>65023301</v>
      </c>
      <c r="D1219" s="20" t="s">
        <v>2438</v>
      </c>
      <c r="E1219" s="20" t="s">
        <v>1706</v>
      </c>
      <c r="F1219" s="17">
        <v>0</v>
      </c>
      <c r="G1219" s="17">
        <v>65023301</v>
      </c>
      <c r="H1219" s="17">
        <v>65023302</v>
      </c>
      <c r="I1219" s="13">
        <v>0</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92041060</v>
      </c>
      <c r="AV1219" s="19"/>
      <c r="AW1219" s="20" t="s">
        <v>199</v>
      </c>
      <c r="AX1219" s="19" t="s">
        <v>534</v>
      </c>
      <c r="AY1219" s="19">
        <v>10003002</v>
      </c>
      <c r="AZ1219" s="19">
        <v>21403030</v>
      </c>
      <c r="BA1219" s="20" t="s">
        <v>200</v>
      </c>
      <c r="BB1219" s="20">
        <v>0</v>
      </c>
      <c r="BC1219" s="28">
        <v>0</v>
      </c>
      <c r="BD1219" s="28">
        <v>0</v>
      </c>
      <c r="BE1219" s="186" t="str">
        <f>"对前方敌人造成"&amp;X1219*100&amp;"%攻击伤害+"&amp;Z1219&amp;"点固定伤害,并置空1秒,如果目标血量低于30%则额外提升50%伤害。"</f>
        <v>对前方敌人造成325%攻击伤害+1350点固定伤害,并置空1秒,如果目标血量低于30%则额外提升50%伤害。</v>
      </c>
      <c r="BF1219" s="186" t="s">
        <v>1707</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2439</v>
      </c>
      <c r="BW1219" s="49"/>
    </row>
    <row r="1220" spans="3:75" ht="19.5" customHeight="1">
      <c r="C1220" s="17">
        <v>65023302</v>
      </c>
      <c r="D1220" s="20" t="s">
        <v>2438</v>
      </c>
      <c r="E1220" s="20" t="s">
        <v>1706</v>
      </c>
      <c r="F1220" s="17">
        <v>1</v>
      </c>
      <c r="G1220" s="17">
        <v>65023301</v>
      </c>
      <c r="H1220" s="17">
        <v>65023303</v>
      </c>
      <c r="I1220" s="13">
        <v>0</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92041060</v>
      </c>
      <c r="AV1220" s="19"/>
      <c r="AW1220" s="20" t="s">
        <v>199</v>
      </c>
      <c r="AX1220" s="19" t="s">
        <v>534</v>
      </c>
      <c r="AY1220" s="19">
        <v>10003002</v>
      </c>
      <c r="AZ1220" s="19">
        <v>21403030</v>
      </c>
      <c r="BA1220" s="20" t="s">
        <v>200</v>
      </c>
      <c r="BB1220" s="20">
        <v>0</v>
      </c>
      <c r="BC1220" s="28">
        <v>0</v>
      </c>
      <c r="BD1220" s="28">
        <v>0</v>
      </c>
      <c r="BE1220" s="186"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6" t="s">
        <v>1707</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2439</v>
      </c>
      <c r="BW1220" s="49"/>
    </row>
    <row r="1221" spans="3:75" ht="19.5" customHeight="1">
      <c r="C1221" s="17">
        <v>65023303</v>
      </c>
      <c r="D1221" s="20" t="s">
        <v>2438</v>
      </c>
      <c r="E1221" s="20" t="s">
        <v>1706</v>
      </c>
      <c r="F1221" s="17">
        <v>2</v>
      </c>
      <c r="G1221" s="17">
        <v>65023301</v>
      </c>
      <c r="H1221" s="17">
        <v>65023304</v>
      </c>
      <c r="I1221" s="13">
        <v>0</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9">
        <v>1</v>
      </c>
      <c r="AH1221" s="19">
        <v>3</v>
      </c>
      <c r="AI1221" s="13">
        <v>2</v>
      </c>
      <c r="AJ1221" s="13">
        <v>1</v>
      </c>
      <c r="AK1221" s="13">
        <v>0</v>
      </c>
      <c r="AL1221" s="13">
        <v>6</v>
      </c>
      <c r="AM1221" s="19">
        <v>0</v>
      </c>
      <c r="AN1221" s="19">
        <v>1</v>
      </c>
      <c r="AO1221" s="19">
        <v>0</v>
      </c>
      <c r="AP1221" s="19">
        <v>0.25</v>
      </c>
      <c r="AQ1221" s="19">
        <v>30000</v>
      </c>
      <c r="AR1221" s="19">
        <v>0</v>
      </c>
      <c r="AS1221" s="19">
        <v>0</v>
      </c>
      <c r="AT1221" s="13">
        <v>0</v>
      </c>
      <c r="AU1221" s="19">
        <v>92041060</v>
      </c>
      <c r="AV1221" s="19"/>
      <c r="AW1221" s="20" t="s">
        <v>199</v>
      </c>
      <c r="AX1221" s="19" t="s">
        <v>534</v>
      </c>
      <c r="AY1221" s="19">
        <v>10003002</v>
      </c>
      <c r="AZ1221" s="19">
        <v>21403030</v>
      </c>
      <c r="BA1221" s="20" t="s">
        <v>200</v>
      </c>
      <c r="BB1221" s="20">
        <v>0</v>
      </c>
      <c r="BC1221" s="28">
        <v>0</v>
      </c>
      <c r="BD1221" s="28">
        <v>0</v>
      </c>
      <c r="BE1221" s="186" t="str">
        <f t="shared" si="139"/>
        <v>对前方敌人造成350%攻击伤害+2700点固定伤害,并置空1秒,如果目标血量低于30%则额外提升50%伤害。</v>
      </c>
      <c r="BF1221" s="186" t="s">
        <v>1708</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2439</v>
      </c>
      <c r="BW1221" s="49"/>
    </row>
    <row r="1222" spans="3:75" ht="19.5" customHeight="1">
      <c r="C1222" s="17">
        <v>65023304</v>
      </c>
      <c r="D1222" s="20" t="s">
        <v>2438</v>
      </c>
      <c r="E1222" s="20" t="s">
        <v>1706</v>
      </c>
      <c r="F1222" s="17">
        <v>3</v>
      </c>
      <c r="G1222" s="17">
        <v>65023301</v>
      </c>
      <c r="H1222" s="19">
        <v>0</v>
      </c>
      <c r="I1222" s="13">
        <v>0</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9">
        <v>1</v>
      </c>
      <c r="AH1222" s="19">
        <v>3</v>
      </c>
      <c r="AI1222" s="13">
        <v>2</v>
      </c>
      <c r="AJ1222" s="13">
        <v>1</v>
      </c>
      <c r="AK1222" s="13">
        <v>0</v>
      </c>
      <c r="AL1222" s="13">
        <v>6</v>
      </c>
      <c r="AM1222" s="19">
        <v>0</v>
      </c>
      <c r="AN1222" s="19">
        <v>1</v>
      </c>
      <c r="AO1222" s="19">
        <v>0</v>
      </c>
      <c r="AP1222" s="19">
        <v>0.25</v>
      </c>
      <c r="AQ1222" s="19">
        <v>30000</v>
      </c>
      <c r="AR1222" s="19">
        <v>0</v>
      </c>
      <c r="AS1222" s="19">
        <v>0</v>
      </c>
      <c r="AT1222" s="13">
        <v>0</v>
      </c>
      <c r="AU1222" s="19">
        <v>92041060</v>
      </c>
      <c r="AV1222" s="19"/>
      <c r="AW1222" s="20" t="s">
        <v>199</v>
      </c>
      <c r="AX1222" s="19" t="s">
        <v>534</v>
      </c>
      <c r="AY1222" s="19">
        <v>10003002</v>
      </c>
      <c r="AZ1222" s="19">
        <v>21403030</v>
      </c>
      <c r="BA1222" s="20" t="s">
        <v>200</v>
      </c>
      <c r="BB1222" s="20">
        <v>0</v>
      </c>
      <c r="BC1222" s="28">
        <v>0</v>
      </c>
      <c r="BD1222" s="28">
        <v>0</v>
      </c>
      <c r="BE1222" s="186" t="str">
        <f t="shared" si="139"/>
        <v>对前方敌人造成375%攻击伤害+4200点固定伤害,并置空1秒,如果目标血量低于30%则额外提升50%伤害。</v>
      </c>
      <c r="BF1222" s="186" t="s">
        <v>1709</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2439</v>
      </c>
      <c r="BW1222" s="49"/>
    </row>
    <row r="1223" spans="3:75" ht="19.5" customHeight="1">
      <c r="C1223" s="17">
        <v>65023305</v>
      </c>
      <c r="D1223" s="20" t="s">
        <v>2438</v>
      </c>
      <c r="E1223" s="20" t="s">
        <v>1706</v>
      </c>
      <c r="F1223" s="17">
        <v>4</v>
      </c>
      <c r="G1223" s="17">
        <v>65023301</v>
      </c>
      <c r="H1223" s="19">
        <v>0</v>
      </c>
      <c r="I1223" s="13">
        <v>0</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9">
        <v>1</v>
      </c>
      <c r="AH1223" s="19">
        <v>3</v>
      </c>
      <c r="AI1223" s="13">
        <v>2</v>
      </c>
      <c r="AJ1223" s="13">
        <v>1</v>
      </c>
      <c r="AK1223" s="13">
        <v>0</v>
      </c>
      <c r="AL1223" s="13">
        <v>6</v>
      </c>
      <c r="AM1223" s="19">
        <v>0</v>
      </c>
      <c r="AN1223" s="19">
        <v>1</v>
      </c>
      <c r="AO1223" s="19">
        <v>0</v>
      </c>
      <c r="AP1223" s="19">
        <v>0.25</v>
      </c>
      <c r="AQ1223" s="19">
        <v>30000</v>
      </c>
      <c r="AR1223" s="19">
        <v>0</v>
      </c>
      <c r="AS1223" s="19">
        <v>0</v>
      </c>
      <c r="AT1223" s="13">
        <v>0</v>
      </c>
      <c r="AU1223" s="19">
        <v>92041060</v>
      </c>
      <c r="AV1223" s="19"/>
      <c r="AW1223" s="20" t="s">
        <v>199</v>
      </c>
      <c r="AX1223" s="19" t="s">
        <v>534</v>
      </c>
      <c r="AY1223" s="19">
        <v>10003002</v>
      </c>
      <c r="AZ1223" s="19">
        <v>21403030</v>
      </c>
      <c r="BA1223" s="20" t="s">
        <v>200</v>
      </c>
      <c r="BB1223" s="20">
        <v>0</v>
      </c>
      <c r="BC1223" s="28">
        <v>0</v>
      </c>
      <c r="BD1223" s="28">
        <v>0</v>
      </c>
      <c r="BE1223" s="186" t="str">
        <f t="shared" si="139"/>
        <v>对前方敌人造成400%攻击伤害+6000点固定伤害,并置空1秒,如果目标血量低于30%则额外提升50%伤害。</v>
      </c>
      <c r="BF1223" s="186" t="s">
        <v>1710</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2439</v>
      </c>
      <c r="BW1223" s="49"/>
    </row>
    <row r="1224" spans="3:75" ht="19.5" customHeight="1">
      <c r="C1224" s="17">
        <v>65023306</v>
      </c>
      <c r="D1224" s="20" t="s">
        <v>2438</v>
      </c>
      <c r="E1224" s="20" t="s">
        <v>1706</v>
      </c>
      <c r="F1224" s="17">
        <v>5</v>
      </c>
      <c r="G1224" s="17">
        <v>65023301</v>
      </c>
      <c r="H1224" s="19">
        <v>0</v>
      </c>
      <c r="I1224" s="13">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9">
        <v>1</v>
      </c>
      <c r="AH1224" s="19">
        <v>3</v>
      </c>
      <c r="AI1224" s="13">
        <v>2</v>
      </c>
      <c r="AJ1224" s="13">
        <v>1</v>
      </c>
      <c r="AK1224" s="13">
        <v>0</v>
      </c>
      <c r="AL1224" s="13">
        <v>6</v>
      </c>
      <c r="AM1224" s="19">
        <v>0</v>
      </c>
      <c r="AN1224" s="19">
        <v>1</v>
      </c>
      <c r="AO1224" s="19">
        <v>0</v>
      </c>
      <c r="AP1224" s="19">
        <v>0.25</v>
      </c>
      <c r="AQ1224" s="19">
        <v>30000</v>
      </c>
      <c r="AR1224" s="19">
        <v>0</v>
      </c>
      <c r="AS1224" s="19">
        <v>0</v>
      </c>
      <c r="AT1224" s="13">
        <v>0</v>
      </c>
      <c r="AU1224" s="19">
        <v>92041060</v>
      </c>
      <c r="AV1224" s="19"/>
      <c r="AW1224" s="20" t="s">
        <v>199</v>
      </c>
      <c r="AX1224" s="19" t="s">
        <v>534</v>
      </c>
      <c r="AY1224" s="19">
        <v>10003002</v>
      </c>
      <c r="AZ1224" s="19">
        <v>21403030</v>
      </c>
      <c r="BA1224" s="20" t="s">
        <v>200</v>
      </c>
      <c r="BB1224" s="20">
        <v>0</v>
      </c>
      <c r="BC1224" s="28">
        <v>0</v>
      </c>
      <c r="BD1224" s="28">
        <v>0</v>
      </c>
      <c r="BE1224" s="186" t="str">
        <f t="shared" si="139"/>
        <v>对前方敌人造成425%攻击伤害+7800点固定伤害,并置空1秒,如果目标血量低于30%则额外提升50%伤害。</v>
      </c>
      <c r="BF1224" s="186" t="s">
        <v>1711</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2439</v>
      </c>
      <c r="BW1224" s="49"/>
    </row>
    <row r="1225" spans="3:75" ht="20.100000000000001" customHeight="1">
      <c r="C1225" s="19">
        <v>65023401</v>
      </c>
      <c r="D1225" s="20" t="s">
        <v>2440</v>
      </c>
      <c r="E1225" s="20" t="s">
        <v>1615</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1524</v>
      </c>
      <c r="AX1225" s="19" t="s">
        <v>534</v>
      </c>
      <c r="AY1225" s="19">
        <v>10000009</v>
      </c>
      <c r="AZ1225" s="19">
        <v>21403040</v>
      </c>
      <c r="BA1225" s="18" t="s">
        <v>1526</v>
      </c>
      <c r="BB1225" s="20">
        <v>0</v>
      </c>
      <c r="BC1225" s="28">
        <v>0</v>
      </c>
      <c r="BD1225" s="28">
        <v>0</v>
      </c>
      <c r="BE1225" s="186"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6" t="s">
        <v>1617</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65023402</v>
      </c>
      <c r="D1226" s="20" t="s">
        <v>2440</v>
      </c>
      <c r="E1226" s="20" t="s">
        <v>1615</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1524</v>
      </c>
      <c r="AX1226" s="19" t="s">
        <v>534</v>
      </c>
      <c r="AY1226" s="19">
        <v>10000009</v>
      </c>
      <c r="AZ1226" s="19">
        <v>21403040</v>
      </c>
      <c r="BA1226" s="18" t="s">
        <v>1526</v>
      </c>
      <c r="BB1226" s="20">
        <v>0</v>
      </c>
      <c r="BC1226" s="28">
        <v>0</v>
      </c>
      <c r="BD1226" s="28">
        <v>0</v>
      </c>
      <c r="BE1226" s="186"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6" t="s">
        <v>1617</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65023403</v>
      </c>
      <c r="D1227" s="20" t="s">
        <v>2440</v>
      </c>
      <c r="E1227" s="20" t="s">
        <v>1615</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3.5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1524</v>
      </c>
      <c r="AX1227" s="19" t="s">
        <v>534</v>
      </c>
      <c r="AY1227" s="19">
        <v>10000009</v>
      </c>
      <c r="AZ1227" s="19">
        <v>21403040</v>
      </c>
      <c r="BA1227" s="18" t="s">
        <v>1526</v>
      </c>
      <c r="BB1227" s="20">
        <v>0</v>
      </c>
      <c r="BC1227" s="28">
        <v>0</v>
      </c>
      <c r="BD1227" s="28">
        <v>0</v>
      </c>
      <c r="BE1227" s="186" t="str">
        <f t="shared" si="140"/>
        <v>对自身大范围内的敌人目标造成275%攻击伤害+1800点固定伤害,，并将其快速拉回到自身前面，并造成1秒置空。</v>
      </c>
      <c r="BF1227" s="186" t="s">
        <v>1618</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65023404</v>
      </c>
      <c r="D1228" s="20" t="s">
        <v>2440</v>
      </c>
      <c r="E1228" s="20" t="s">
        <v>1615</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3.5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1524</v>
      </c>
      <c r="AX1228" s="19" t="s">
        <v>534</v>
      </c>
      <c r="AY1228" s="19">
        <v>10000009</v>
      </c>
      <c r="AZ1228" s="19">
        <v>21403040</v>
      </c>
      <c r="BA1228" s="18" t="s">
        <v>1526</v>
      </c>
      <c r="BB1228" s="20">
        <v>0</v>
      </c>
      <c r="BC1228" s="28">
        <v>0</v>
      </c>
      <c r="BD1228" s="28">
        <v>0</v>
      </c>
      <c r="BE1228" s="186" t="str">
        <f t="shared" si="140"/>
        <v>对自身大范围内的敌人目标造成300%攻击伤害+2800点固定伤害,，并将其快速拉回到自身前面，并造成1秒置空。</v>
      </c>
      <c r="BF1228" s="186" t="s">
        <v>1619</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spans="3:75" ht="20.100000000000001" customHeight="1">
      <c r="C1229" s="19">
        <v>65023405</v>
      </c>
      <c r="D1229" s="20" t="s">
        <v>2440</v>
      </c>
      <c r="E1229" s="20" t="s">
        <v>1615</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3.5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1524</v>
      </c>
      <c r="AX1229" s="19" t="s">
        <v>534</v>
      </c>
      <c r="AY1229" s="19">
        <v>10000009</v>
      </c>
      <c r="AZ1229" s="19">
        <v>21403040</v>
      </c>
      <c r="BA1229" s="18" t="s">
        <v>1526</v>
      </c>
      <c r="BB1229" s="20">
        <v>0</v>
      </c>
      <c r="BC1229" s="28">
        <v>0</v>
      </c>
      <c r="BD1229" s="28">
        <v>0</v>
      </c>
      <c r="BE1229" s="186" t="str">
        <f t="shared" si="140"/>
        <v>对自身大范围内的敌人目标造成325%攻击伤害+4000点固定伤害,，并将其快速拉回到自身前面，并造成1秒置空。</v>
      </c>
      <c r="BF1229" s="186" t="s">
        <v>1620</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spans="3:75" ht="20.100000000000001" customHeight="1">
      <c r="C1230" s="19">
        <v>65023406</v>
      </c>
      <c r="D1230" s="20" t="s">
        <v>2440</v>
      </c>
      <c r="E1230" s="20" t="s">
        <v>1615</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3.5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1524</v>
      </c>
      <c r="AX1230" s="19" t="s">
        <v>534</v>
      </c>
      <c r="AY1230" s="19">
        <v>10000009</v>
      </c>
      <c r="AZ1230" s="19">
        <v>21403040</v>
      </c>
      <c r="BA1230" s="18" t="s">
        <v>1526</v>
      </c>
      <c r="BB1230" s="20">
        <v>0</v>
      </c>
      <c r="BC1230" s="28">
        <v>0</v>
      </c>
      <c r="BD1230" s="28">
        <v>0</v>
      </c>
      <c r="BE1230" s="186" t="str">
        <f t="shared" si="140"/>
        <v>对自身大范围内的敌人目标造成350%攻击伤害+5200点固定伤害,，并将其快速拉回到自身前面，并造成1秒置空。</v>
      </c>
      <c r="BF1230" s="186" t="s">
        <v>1621</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spans="3:75" ht="20.100000000000001" customHeight="1">
      <c r="C1231" s="19">
        <v>60031111</v>
      </c>
      <c r="D1231" s="14" t="s">
        <v>2441</v>
      </c>
      <c r="E1231" s="14" t="s">
        <v>2442</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2443</v>
      </c>
      <c r="AX1231" s="17" t="s">
        <v>534</v>
      </c>
      <c r="AY1231" s="19">
        <v>10000007</v>
      </c>
      <c r="AZ1231" s="19">
        <v>22001001</v>
      </c>
      <c r="BA1231" s="20" t="s">
        <v>586</v>
      </c>
      <c r="BB1231" s="28" t="s">
        <v>2444</v>
      </c>
      <c r="BC1231" s="28">
        <v>0</v>
      </c>
      <c r="BD1231" s="28">
        <v>1</v>
      </c>
      <c r="BE1231" s="46" t="s">
        <v>2445</v>
      </c>
      <c r="BF1231" s="46" t="s">
        <v>2446</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60031121</v>
      </c>
      <c r="D1232" s="14" t="s">
        <v>2447</v>
      </c>
      <c r="E1232" s="14" t="s">
        <v>2448</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1406</v>
      </c>
      <c r="AY1232" s="19">
        <v>10002001</v>
      </c>
      <c r="AZ1232" s="19">
        <v>22001002</v>
      </c>
      <c r="BA1232" s="20" t="s">
        <v>315</v>
      </c>
      <c r="BB1232" s="20" t="s">
        <v>1733</v>
      </c>
      <c r="BC1232" s="28">
        <v>0</v>
      </c>
      <c r="BD1232" s="28">
        <v>1</v>
      </c>
      <c r="BE1232" s="186" t="s">
        <v>2449</v>
      </c>
      <c r="BF1232" s="186" t="s">
        <v>2450</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60031131</v>
      </c>
      <c r="D1233" s="14" t="s">
        <v>2451</v>
      </c>
      <c r="E1233" s="14" t="s">
        <v>2452</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63" t="s">
        <v>2453</v>
      </c>
      <c r="AV1233" s="19"/>
      <c r="AW1233" s="14" t="s">
        <v>199</v>
      </c>
      <c r="AX1233" s="19" t="s">
        <v>1406</v>
      </c>
      <c r="AY1233" s="13" t="s">
        <v>198</v>
      </c>
      <c r="AZ1233" s="363" t="s">
        <v>2454</v>
      </c>
      <c r="BA1233" s="14" t="s">
        <v>200</v>
      </c>
      <c r="BB1233" s="13">
        <v>0</v>
      </c>
      <c r="BC1233" s="28">
        <v>0</v>
      </c>
      <c r="BD1233" s="28">
        <v>1</v>
      </c>
      <c r="BE1233" s="186" t="s">
        <v>2455</v>
      </c>
      <c r="BF1233" s="186" t="s">
        <v>2456</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spans="1:75" ht="19.5" customHeight="1">
      <c r="C1234" s="19">
        <v>60031132</v>
      </c>
      <c r="D1234" s="14" t="s">
        <v>2457</v>
      </c>
      <c r="E1234" s="14" t="s">
        <v>2458</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1803</v>
      </c>
      <c r="AY1234" s="19">
        <v>10003002</v>
      </c>
      <c r="AZ1234" s="13">
        <v>22001003</v>
      </c>
      <c r="BA1234" s="20" t="s">
        <v>200</v>
      </c>
      <c r="BB1234" s="20">
        <v>0</v>
      </c>
      <c r="BC1234" s="28">
        <v>0</v>
      </c>
      <c r="BD1234" s="28">
        <v>1</v>
      </c>
      <c r="BE1234" s="186"/>
      <c r="BF1234" s="186"/>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20.100000000000001" customHeight="1">
      <c r="C1235" s="19">
        <v>60031141</v>
      </c>
      <c r="D1235" s="14" t="s">
        <v>2459</v>
      </c>
      <c r="E1235" s="14" t="s">
        <v>2460</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1406</v>
      </c>
      <c r="AY1235" s="19">
        <v>10002001</v>
      </c>
      <c r="AZ1235" s="19">
        <v>22001004</v>
      </c>
      <c r="BA1235" s="20" t="s">
        <v>2461</v>
      </c>
      <c r="BB1235" s="20" t="s">
        <v>371</v>
      </c>
      <c r="BC1235" s="28">
        <v>0</v>
      </c>
      <c r="BD1235" s="28">
        <v>1</v>
      </c>
      <c r="BE1235" s="186" t="s">
        <v>2462</v>
      </c>
      <c r="BF1235" s="186" t="s">
        <v>2463</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spans="1:75" ht="20.100000000000001" customHeight="1">
      <c r="C1236" s="19">
        <v>60031151</v>
      </c>
      <c r="D1236" s="14" t="s">
        <v>2464</v>
      </c>
      <c r="E1236" s="14" t="s">
        <v>2465</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1551</v>
      </c>
      <c r="BB1236" s="17">
        <v>0</v>
      </c>
      <c r="BC1236" s="28">
        <v>0</v>
      </c>
      <c r="BD1236" s="28">
        <v>1</v>
      </c>
      <c r="BE1236" s="186" t="s">
        <v>2466</v>
      </c>
      <c r="BF1236" s="186" t="s">
        <v>2467</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spans="1:75" ht="20.100000000000001" customHeight="1">
      <c r="C1237" s="19">
        <v>60031161</v>
      </c>
      <c r="D1237" s="14" t="s">
        <v>2468</v>
      </c>
      <c r="E1237" s="14" t="s">
        <v>2469</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63" t="s">
        <v>2470</v>
      </c>
      <c r="AV1237" s="19"/>
      <c r="AW1237" s="20" t="s">
        <v>1534</v>
      </c>
      <c r="AX1237" s="19" t="s">
        <v>1406</v>
      </c>
      <c r="AY1237" s="19">
        <v>10002001</v>
      </c>
      <c r="AZ1237" s="19">
        <v>22001006</v>
      </c>
      <c r="BA1237" s="20" t="s">
        <v>2471</v>
      </c>
      <c r="BB1237" s="28" t="s">
        <v>2472</v>
      </c>
      <c r="BC1237" s="28">
        <v>0</v>
      </c>
      <c r="BD1237" s="28">
        <v>1</v>
      </c>
      <c r="BE1237" s="186" t="s">
        <v>2473</v>
      </c>
      <c r="BF1237" s="186" t="s">
        <v>2474</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spans="1:75" ht="19.5" customHeight="1">
      <c r="C1238" s="19">
        <v>60031162</v>
      </c>
      <c r="D1238" s="151" t="s">
        <v>2475</v>
      </c>
      <c r="E1238" s="151" t="s">
        <v>2476</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2477</v>
      </c>
      <c r="BF1238" s="170" t="s">
        <v>2478</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spans="1:75" ht="20.100000000000001" customHeight="1">
      <c r="C1239" s="178">
        <v>60031171</v>
      </c>
      <c r="D1239" s="203" t="s">
        <v>2479</v>
      </c>
      <c r="E1239" s="203" t="s">
        <v>2480</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1406</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2481</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spans="1:75" ht="19.5" customHeight="1">
      <c r="C1240" s="178">
        <v>60031181</v>
      </c>
      <c r="D1240" s="202" t="s">
        <v>2482</v>
      </c>
      <c r="E1240" s="202" t="s">
        <v>2483</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2484</v>
      </c>
      <c r="BC1240" s="176">
        <v>0</v>
      </c>
      <c r="BD1240" s="176" t="s">
        <v>2485</v>
      </c>
      <c r="BE1240" s="208" t="s">
        <v>2486</v>
      </c>
      <c r="BF1240" s="208" t="s">
        <v>2487</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60031191</v>
      </c>
      <c r="D1241" s="175" t="s">
        <v>2488</v>
      </c>
      <c r="E1241" s="175" t="s">
        <v>2489</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1625</v>
      </c>
      <c r="AX1241" s="174" t="s">
        <v>545</v>
      </c>
      <c r="AY1241" s="178">
        <v>0</v>
      </c>
      <c r="AZ1241" s="178">
        <v>21203090</v>
      </c>
      <c r="BA1241" s="175" t="s">
        <v>1174</v>
      </c>
      <c r="BB1241" s="203" t="s">
        <v>2490</v>
      </c>
      <c r="BC1241" s="176">
        <v>0</v>
      </c>
      <c r="BD1241" s="176">
        <v>0</v>
      </c>
      <c r="BE1241" s="208" t="s">
        <v>2491</v>
      </c>
      <c r="BF1241" s="208" t="s">
        <v>2492</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pans="1:75" s="1" customFormat="1" ht="19.5" customHeight="1">
      <c r="A1242" s="218"/>
      <c r="B1242" s="218"/>
      <c r="C1242" s="178">
        <v>60031201</v>
      </c>
      <c r="D1242" s="61" t="s">
        <v>2493</v>
      </c>
      <c r="E1242" s="61" t="s">
        <v>2494</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69" t="s">
        <v>2495</v>
      </c>
      <c r="BC1242" s="68">
        <v>0</v>
      </c>
      <c r="BD1242" s="68">
        <v>0</v>
      </c>
      <c r="BE1242" s="92" t="s">
        <v>2496</v>
      </c>
      <c r="BF1242" s="92" t="s">
        <v>2497</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spans="1:75" ht="19.5" customHeight="1">
      <c r="C1243" s="178">
        <v>60031211</v>
      </c>
      <c r="D1243" s="202" t="s">
        <v>2498</v>
      </c>
      <c r="E1243" s="202" t="s">
        <v>2499</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2484</v>
      </c>
      <c r="BC1243" s="176">
        <v>0</v>
      </c>
      <c r="BD1243" s="176" t="s">
        <v>2485</v>
      </c>
      <c r="BE1243" s="208" t="s">
        <v>2486</v>
      </c>
      <c r="BF1243" s="208" t="s">
        <v>2487</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spans="1:75" ht="20.100000000000001" customHeight="1">
      <c r="C1244" s="178">
        <v>60031221</v>
      </c>
      <c r="D1244" s="14" t="s">
        <v>2500</v>
      </c>
      <c r="E1244" s="14" t="s">
        <v>2501</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1551</v>
      </c>
      <c r="BB1244" s="17">
        <v>0</v>
      </c>
      <c r="BC1244" s="28">
        <v>0</v>
      </c>
      <c r="BD1244" s="28">
        <v>1</v>
      </c>
      <c r="BE1244" s="186" t="s">
        <v>2466</v>
      </c>
      <c r="BF1244" s="186" t="s">
        <v>2467</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spans="1:75" ht="19.5" customHeight="1">
      <c r="C1245" s="19">
        <v>61031111</v>
      </c>
      <c r="D1245" s="14" t="s">
        <v>2502</v>
      </c>
      <c r="E1245" s="14" t="s">
        <v>2503</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2443</v>
      </c>
      <c r="AX1245" s="17" t="s">
        <v>534</v>
      </c>
      <c r="AY1245" s="19">
        <v>10000007</v>
      </c>
      <c r="AZ1245" s="19">
        <v>22001001</v>
      </c>
      <c r="BA1245" s="20" t="s">
        <v>586</v>
      </c>
      <c r="BB1245" s="28" t="s">
        <v>2484</v>
      </c>
      <c r="BC1245" s="28">
        <v>0</v>
      </c>
      <c r="BD1245" s="28">
        <v>1</v>
      </c>
      <c r="BE1245" s="46" t="s">
        <v>2504</v>
      </c>
      <c r="BF1245" s="46" t="s">
        <v>2505</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61031121</v>
      </c>
      <c r="D1246" s="14" t="s">
        <v>2506</v>
      </c>
      <c r="E1246" s="14" t="s">
        <v>2507</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1406</v>
      </c>
      <c r="AY1246" s="19">
        <v>10002001</v>
      </c>
      <c r="AZ1246" s="19">
        <v>22001002</v>
      </c>
      <c r="BA1246" s="20" t="s">
        <v>315</v>
      </c>
      <c r="BB1246" s="20" t="s">
        <v>1733</v>
      </c>
      <c r="BC1246" s="28">
        <v>0</v>
      </c>
      <c r="BD1246" s="28">
        <v>1</v>
      </c>
      <c r="BE1246" s="186">
        <v>11</v>
      </c>
      <c r="BF1246" s="186">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9">
        <v>61031131</v>
      </c>
      <c r="D1247" s="14" t="s">
        <v>2508</v>
      </c>
      <c r="E1247" s="14" t="s">
        <v>2509</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63" t="s">
        <v>2453</v>
      </c>
      <c r="AV1247" s="19"/>
      <c r="AW1247" s="14" t="s">
        <v>199</v>
      </c>
      <c r="AX1247" s="19" t="s">
        <v>1406</v>
      </c>
      <c r="AY1247" s="13" t="s">
        <v>198</v>
      </c>
      <c r="AZ1247" s="363" t="s">
        <v>2454</v>
      </c>
      <c r="BA1247" s="14" t="s">
        <v>200</v>
      </c>
      <c r="BB1247" s="13">
        <v>0</v>
      </c>
      <c r="BC1247" s="28">
        <v>0</v>
      </c>
      <c r="BD1247" s="28">
        <v>1</v>
      </c>
      <c r="BE1247" s="186" t="s">
        <v>2455</v>
      </c>
      <c r="BF1247" s="186" t="s">
        <v>2456</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9">
        <v>61031141</v>
      </c>
      <c r="D1248" s="14" t="s">
        <v>2510</v>
      </c>
      <c r="E1248" s="14" t="s">
        <v>2511</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1406</v>
      </c>
      <c r="AY1248" s="19">
        <v>10002001</v>
      </c>
      <c r="AZ1248" s="19">
        <v>22001004</v>
      </c>
      <c r="BA1248" s="20" t="s">
        <v>2461</v>
      </c>
      <c r="BB1248" s="20" t="s">
        <v>371</v>
      </c>
      <c r="BC1248" s="28">
        <v>0</v>
      </c>
      <c r="BD1248" s="28">
        <v>1</v>
      </c>
      <c r="BE1248" s="186" t="s">
        <v>2462</v>
      </c>
      <c r="BF1248" s="186" t="s">
        <v>2463</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spans="3:75" ht="20.100000000000001" customHeight="1">
      <c r="C1249" s="19">
        <v>61031151</v>
      </c>
      <c r="D1249" s="14" t="s">
        <v>2512</v>
      </c>
      <c r="E1249" s="14" t="s">
        <v>2513</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1551</v>
      </c>
      <c r="BB1249" s="17">
        <v>0</v>
      </c>
      <c r="BC1249" s="28">
        <v>0</v>
      </c>
      <c r="BD1249" s="28">
        <v>1</v>
      </c>
      <c r="BE1249" s="186" t="s">
        <v>2466</v>
      </c>
      <c r="BF1249" s="186" t="s">
        <v>2467</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spans="3:75" ht="20.100000000000001" customHeight="1">
      <c r="C1250" s="19">
        <v>61031161</v>
      </c>
      <c r="D1250" s="14" t="s">
        <v>2514</v>
      </c>
      <c r="E1250" s="14" t="s">
        <v>2515</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63" t="s">
        <v>2470</v>
      </c>
      <c r="AV1250" s="19"/>
      <c r="AW1250" s="20" t="s">
        <v>1534</v>
      </c>
      <c r="AX1250" s="19" t="s">
        <v>1406</v>
      </c>
      <c r="AY1250" s="19">
        <v>10002001</v>
      </c>
      <c r="AZ1250" s="19">
        <v>22001006</v>
      </c>
      <c r="BA1250" s="20" t="s">
        <v>2471</v>
      </c>
      <c r="BB1250" s="28" t="s">
        <v>2472</v>
      </c>
      <c r="BC1250" s="28">
        <v>0</v>
      </c>
      <c r="BD1250" s="28">
        <v>1</v>
      </c>
      <c r="BE1250" s="186" t="s">
        <v>2473</v>
      </c>
      <c r="BF1250" s="186" t="s">
        <v>2474</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spans="3:75" ht="20.100000000000001" customHeight="1">
      <c r="C1251" s="178">
        <v>61031171</v>
      </c>
      <c r="D1251" s="203" t="s">
        <v>2516</v>
      </c>
      <c r="E1251" s="203" t="s">
        <v>2517</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73" t="s">
        <v>2470</v>
      </c>
      <c r="AV1251" s="178"/>
      <c r="AW1251" s="203" t="s">
        <v>1534</v>
      </c>
      <c r="AX1251" s="178" t="s">
        <v>1406</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2518</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spans="3:75" ht="19.5" customHeight="1">
      <c r="C1252" s="178">
        <v>61031181</v>
      </c>
      <c r="D1252" s="202" t="s">
        <v>2519</v>
      </c>
      <c r="E1252" s="202" t="s">
        <v>2520</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2443</v>
      </c>
      <c r="AX1252" s="174" t="s">
        <v>534</v>
      </c>
      <c r="AY1252" s="178">
        <v>10000007</v>
      </c>
      <c r="AZ1252" s="178">
        <v>21202090</v>
      </c>
      <c r="BA1252" s="203" t="s">
        <v>586</v>
      </c>
      <c r="BB1252" s="176" t="s">
        <v>2484</v>
      </c>
      <c r="BC1252" s="176">
        <v>0</v>
      </c>
      <c r="BD1252" s="176">
        <v>1</v>
      </c>
      <c r="BE1252" s="208" t="s">
        <v>2504</v>
      </c>
      <c r="BF1252" s="208" t="s">
        <v>2505</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spans="3:75" ht="20.100000000000001" customHeight="1">
      <c r="C1253" s="178">
        <v>61031191</v>
      </c>
      <c r="D1253" s="175" t="s">
        <v>2521</v>
      </c>
      <c r="E1253" s="175" t="s">
        <v>2522</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2523</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spans="3:75" ht="20.100000000000001" customHeight="1">
      <c r="C1254" s="13">
        <v>62000000</v>
      </c>
      <c r="D1254" s="14" t="s">
        <v>2524</v>
      </c>
      <c r="E1254" s="14" t="s">
        <v>2525</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1814</v>
      </c>
      <c r="AY1254" s="13">
        <v>0</v>
      </c>
      <c r="AZ1254" s="13">
        <v>40000003</v>
      </c>
      <c r="BA1254" s="14" t="s">
        <v>200</v>
      </c>
      <c r="BB1254" s="14" t="s">
        <v>198</v>
      </c>
      <c r="BC1254" s="13">
        <v>0</v>
      </c>
      <c r="BD1254" s="13">
        <v>0</v>
      </c>
      <c r="BE1254" s="44" t="s">
        <v>2526</v>
      </c>
      <c r="BF1254" s="44" t="s">
        <v>2527</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13">
        <v>62000001</v>
      </c>
      <c r="D1255" s="238" t="s">
        <v>381</v>
      </c>
      <c r="E1255" s="238" t="s">
        <v>382</v>
      </c>
      <c r="F1255" s="239">
        <v>1</v>
      </c>
      <c r="G1255" s="13">
        <v>10001</v>
      </c>
      <c r="H1255" s="239">
        <v>0</v>
      </c>
      <c r="I1255" s="239">
        <v>0</v>
      </c>
      <c r="J1255" s="239">
        <v>1</v>
      </c>
      <c r="K1255" s="239">
        <v>0</v>
      </c>
      <c r="L1255" s="239">
        <v>0</v>
      </c>
      <c r="M1255" s="239">
        <v>0</v>
      </c>
      <c r="N1255" s="239">
        <v>0</v>
      </c>
      <c r="O1255" s="239">
        <v>2</v>
      </c>
      <c r="P1255" s="239">
        <v>3</v>
      </c>
      <c r="Q1255" s="239">
        <v>0.2</v>
      </c>
      <c r="R1255" s="239">
        <v>0</v>
      </c>
      <c r="S1255" s="239">
        <v>0</v>
      </c>
      <c r="T1255" s="239">
        <v>0</v>
      </c>
      <c r="U1255" s="239">
        <v>1</v>
      </c>
      <c r="V1255" s="239">
        <v>2</v>
      </c>
      <c r="W1255" s="239">
        <v>0</v>
      </c>
      <c r="X1255" s="239">
        <v>0</v>
      </c>
      <c r="Y1255" s="13">
        <v>0</v>
      </c>
      <c r="Z1255" s="239">
        <v>0</v>
      </c>
      <c r="AA1255" s="239">
        <v>0</v>
      </c>
      <c r="AB1255" s="239">
        <v>0</v>
      </c>
      <c r="AC1255" s="239">
        <v>0</v>
      </c>
      <c r="AD1255" s="239">
        <v>1</v>
      </c>
      <c r="AE1255" s="239">
        <v>0</v>
      </c>
      <c r="AF1255" s="239">
        <v>10</v>
      </c>
      <c r="AG1255" s="239">
        <v>0</v>
      </c>
      <c r="AH1255" s="239">
        <v>0</v>
      </c>
      <c r="AI1255" s="239">
        <v>2</v>
      </c>
      <c r="AJ1255" s="239">
        <v>0</v>
      </c>
      <c r="AK1255" s="239">
        <v>0</v>
      </c>
      <c r="AL1255" s="239">
        <v>0</v>
      </c>
      <c r="AM1255" s="239">
        <v>0</v>
      </c>
      <c r="AN1255" s="239">
        <v>0</v>
      </c>
      <c r="AO1255" s="239">
        <v>0</v>
      </c>
      <c r="AP1255" s="239">
        <v>0</v>
      </c>
      <c r="AQ1255" s="239">
        <v>1000</v>
      </c>
      <c r="AR1255" s="239">
        <v>0</v>
      </c>
      <c r="AS1255" s="239">
        <v>0</v>
      </c>
      <c r="AT1255" s="239">
        <v>92000037</v>
      </c>
      <c r="AU1255" s="239" t="s">
        <v>198</v>
      </c>
      <c r="AV1255" s="239"/>
      <c r="AW1255" s="238" t="s">
        <v>199</v>
      </c>
      <c r="AX1255" s="239" t="s">
        <v>1814</v>
      </c>
      <c r="AY1255" s="239">
        <v>0</v>
      </c>
      <c r="AZ1255" s="239">
        <v>40000003</v>
      </c>
      <c r="BA1255" s="238" t="s">
        <v>200</v>
      </c>
      <c r="BB1255" s="239" t="s">
        <v>198</v>
      </c>
      <c r="BC1255" s="239">
        <v>0</v>
      </c>
      <c r="BD1255" s="239">
        <v>0</v>
      </c>
      <c r="BE1255" s="241" t="s">
        <v>2528</v>
      </c>
      <c r="BF1255" s="241" t="s">
        <v>2529</v>
      </c>
      <c r="BG1255" s="239">
        <v>0</v>
      </c>
      <c r="BH1255" s="239">
        <v>0</v>
      </c>
      <c r="BI1255" s="239">
        <v>0</v>
      </c>
      <c r="BJ1255" s="239">
        <v>0</v>
      </c>
      <c r="BK1255" s="239">
        <v>0</v>
      </c>
      <c r="BL1255" s="239">
        <v>0</v>
      </c>
      <c r="BM1255" s="244">
        <v>0</v>
      </c>
      <c r="BN1255" s="239">
        <v>1</v>
      </c>
      <c r="BO1255" s="13">
        <v>0</v>
      </c>
      <c r="BP1255" s="13">
        <v>0</v>
      </c>
      <c r="BQ1255" s="13">
        <v>0</v>
      </c>
      <c r="BR1255" s="13">
        <v>0</v>
      </c>
      <c r="BS1255" s="13">
        <v>0</v>
      </c>
      <c r="BT1255" s="13">
        <v>0</v>
      </c>
      <c r="BU1255" s="49">
        <v>0</v>
      </c>
      <c r="BV1255" s="49"/>
      <c r="BW1255" s="49"/>
    </row>
    <row r="1256" spans="3:75" ht="20.100000000000001" customHeight="1">
      <c r="C1256" s="13">
        <v>62000002</v>
      </c>
      <c r="D1256" s="14" t="s">
        <v>2530</v>
      </c>
      <c r="E1256" s="14" t="s">
        <v>2531</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1672</v>
      </c>
      <c r="AY1256" s="13" t="s">
        <v>198</v>
      </c>
      <c r="AZ1256" s="13" t="s">
        <v>2532</v>
      </c>
      <c r="BA1256" s="14" t="s">
        <v>200</v>
      </c>
      <c r="BB1256" s="13">
        <v>0</v>
      </c>
      <c r="BC1256" s="13">
        <v>0</v>
      </c>
      <c r="BD1256" s="13">
        <v>0</v>
      </c>
      <c r="BE1256" s="44" t="s">
        <v>2533</v>
      </c>
      <c r="BF1256" s="44" t="s">
        <v>2534</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2535</v>
      </c>
      <c r="BF1257" s="242" t="s">
        <v>2536</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spans="3:75" ht="20.100000000000001" customHeight="1">
      <c r="C1258" s="13">
        <v>62000004</v>
      </c>
      <c r="D1258" s="14" t="s">
        <v>2537</v>
      </c>
      <c r="E1258" s="14" t="s">
        <v>2538</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55" t="s">
        <v>2539</v>
      </c>
      <c r="AU1258" s="13" t="s">
        <v>198</v>
      </c>
      <c r="AV1258" s="13"/>
      <c r="AW1258" s="14" t="s">
        <v>199</v>
      </c>
      <c r="AX1258" s="13" t="s">
        <v>2079</v>
      </c>
      <c r="AY1258" s="13">
        <v>0</v>
      </c>
      <c r="AZ1258" s="13">
        <v>0</v>
      </c>
      <c r="BA1258" s="14" t="s">
        <v>200</v>
      </c>
      <c r="BB1258" s="14" t="s">
        <v>198</v>
      </c>
      <c r="BC1258" s="13">
        <v>0</v>
      </c>
      <c r="BD1258" s="13">
        <v>0</v>
      </c>
      <c r="BE1258" s="44" t="s">
        <v>2540</v>
      </c>
      <c r="BF1258" s="44" t="s">
        <v>2541</v>
      </c>
      <c r="BG1258" s="13">
        <v>0</v>
      </c>
      <c r="BH1258" s="13">
        <v>0</v>
      </c>
      <c r="BI1258" s="13">
        <v>0</v>
      </c>
      <c r="BJ1258" s="13">
        <v>0</v>
      </c>
      <c r="BK1258" s="13">
        <v>0</v>
      </c>
      <c r="BL1258" s="13">
        <v>0</v>
      </c>
      <c r="BM1258" s="188">
        <v>0</v>
      </c>
      <c r="BN1258" s="13">
        <v>1</v>
      </c>
      <c r="BO1258" s="13">
        <v>0</v>
      </c>
      <c r="BP1258" s="13">
        <v>0</v>
      </c>
      <c r="BQ1258" s="13">
        <v>0</v>
      </c>
      <c r="BR1258" s="13">
        <v>0</v>
      </c>
      <c r="BS1258" s="13">
        <v>0</v>
      </c>
      <c r="BT1258" s="13">
        <v>0</v>
      </c>
      <c r="BU1258" s="49">
        <v>0</v>
      </c>
      <c r="BV1258" s="49"/>
      <c r="BW1258" s="49"/>
    </row>
    <row r="1259" spans="3:75" ht="20.100000000000001" customHeight="1">
      <c r="C1259" s="70">
        <v>62000005</v>
      </c>
      <c r="D1259" s="126" t="s">
        <v>2542</v>
      </c>
      <c r="E1259" s="126" t="s">
        <v>2543</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2544</v>
      </c>
      <c r="BF1259" s="242" t="s">
        <v>2545</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1672</v>
      </c>
      <c r="AY1260" s="13" t="s">
        <v>198</v>
      </c>
      <c r="AZ1260" s="13" t="s">
        <v>2532</v>
      </c>
      <c r="BA1260" s="14" t="s">
        <v>200</v>
      </c>
      <c r="BB1260" s="13">
        <v>0</v>
      </c>
      <c r="BC1260" s="13" t="s">
        <v>2546</v>
      </c>
      <c r="BD1260" s="13">
        <v>0</v>
      </c>
      <c r="BE1260" s="44" t="s">
        <v>2547</v>
      </c>
      <c r="BF1260" s="44" t="s">
        <v>2548</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239">
        <v>62000007</v>
      </c>
      <c r="D1261" s="238" t="s">
        <v>381</v>
      </c>
      <c r="E1261" s="238" t="s">
        <v>382</v>
      </c>
      <c r="F1261" s="239">
        <v>1</v>
      </c>
      <c r="G1261" s="239">
        <v>10041</v>
      </c>
      <c r="H1261" s="239">
        <v>0</v>
      </c>
      <c r="I1261" s="239">
        <v>0</v>
      </c>
      <c r="J1261" s="239">
        <v>1</v>
      </c>
      <c r="K1261" s="239">
        <v>0</v>
      </c>
      <c r="L1261" s="239">
        <v>0</v>
      </c>
      <c r="M1261" s="239">
        <v>0</v>
      </c>
      <c r="N1261" s="239">
        <v>0</v>
      </c>
      <c r="O1261" s="239">
        <v>2</v>
      </c>
      <c r="P1261" s="239">
        <v>1</v>
      </c>
      <c r="Q1261" s="239">
        <v>0.2</v>
      </c>
      <c r="R1261" s="239">
        <v>0</v>
      </c>
      <c r="S1261" s="239">
        <v>0</v>
      </c>
      <c r="T1261" s="239">
        <v>0</v>
      </c>
      <c r="U1261" s="239">
        <v>1</v>
      </c>
      <c r="V1261" s="239">
        <v>2</v>
      </c>
      <c r="W1261" s="239">
        <v>0</v>
      </c>
      <c r="X1261" s="239">
        <v>0</v>
      </c>
      <c r="Y1261" s="13">
        <v>0</v>
      </c>
      <c r="Z1261" s="239">
        <v>0</v>
      </c>
      <c r="AA1261" s="239">
        <v>0</v>
      </c>
      <c r="AB1261" s="239">
        <v>0</v>
      </c>
      <c r="AC1261" s="239">
        <v>0</v>
      </c>
      <c r="AD1261" s="239">
        <v>1</v>
      </c>
      <c r="AE1261" s="239">
        <v>0</v>
      </c>
      <c r="AF1261" s="239">
        <v>1</v>
      </c>
      <c r="AG1261" s="239">
        <v>0</v>
      </c>
      <c r="AH1261" s="239">
        <v>0</v>
      </c>
      <c r="AI1261" s="239">
        <v>2</v>
      </c>
      <c r="AJ1261" s="239">
        <v>0</v>
      </c>
      <c r="AK1261" s="239">
        <v>0</v>
      </c>
      <c r="AL1261" s="239">
        <v>0</v>
      </c>
      <c r="AM1261" s="239">
        <v>0</v>
      </c>
      <c r="AN1261" s="239">
        <v>0</v>
      </c>
      <c r="AO1261" s="239">
        <v>0</v>
      </c>
      <c r="AP1261" s="239">
        <v>0</v>
      </c>
      <c r="AQ1261" s="239">
        <v>1000</v>
      </c>
      <c r="AR1261" s="239">
        <v>0</v>
      </c>
      <c r="AS1261" s="239">
        <v>0</v>
      </c>
      <c r="AT1261" s="239">
        <v>92000005</v>
      </c>
      <c r="AU1261" s="239" t="s">
        <v>198</v>
      </c>
      <c r="AV1261" s="239"/>
      <c r="AW1261" s="238" t="s">
        <v>199</v>
      </c>
      <c r="AX1261" s="239" t="s">
        <v>1814</v>
      </c>
      <c r="AY1261" s="239">
        <v>0</v>
      </c>
      <c r="AZ1261" s="239">
        <v>40000003</v>
      </c>
      <c r="BA1261" s="238" t="s">
        <v>200</v>
      </c>
      <c r="BB1261" s="239" t="s">
        <v>198</v>
      </c>
      <c r="BC1261" s="239">
        <v>0</v>
      </c>
      <c r="BD1261" s="239">
        <v>0</v>
      </c>
      <c r="BE1261" s="241" t="s">
        <v>2549</v>
      </c>
      <c r="BF1261" s="241" t="s">
        <v>2550</v>
      </c>
      <c r="BG1261" s="239">
        <v>0</v>
      </c>
      <c r="BH1261" s="239">
        <v>0</v>
      </c>
      <c r="BI1261" s="239">
        <v>0</v>
      </c>
      <c r="BJ1261" s="239">
        <v>0</v>
      </c>
      <c r="BK1261" s="239">
        <v>0</v>
      </c>
      <c r="BL1261" s="239">
        <v>0</v>
      </c>
      <c r="BM1261" s="244">
        <v>0</v>
      </c>
      <c r="BN1261" s="239">
        <v>1</v>
      </c>
      <c r="BO1261" s="13">
        <v>0</v>
      </c>
      <c r="BP1261" s="13">
        <v>0</v>
      </c>
      <c r="BQ1261" s="13">
        <v>0</v>
      </c>
      <c r="BR1261" s="13">
        <v>0</v>
      </c>
      <c r="BS1261" s="13">
        <v>0</v>
      </c>
      <c r="BT1261" s="13">
        <v>0</v>
      </c>
      <c r="BU1261" s="49">
        <v>0</v>
      </c>
      <c r="BV1261" s="49"/>
      <c r="BW1261" s="49"/>
    </row>
    <row r="1262" spans="3:75" ht="20.100000000000001" customHeight="1">
      <c r="C1262" s="70">
        <v>62000008</v>
      </c>
      <c r="D1262" s="126" t="s">
        <v>2551</v>
      </c>
      <c r="E1262" s="126" t="s">
        <v>2552</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56" t="s">
        <v>2553</v>
      </c>
      <c r="AU1262" s="70" t="s">
        <v>198</v>
      </c>
      <c r="AV1262" s="70"/>
      <c r="AW1262" s="126" t="s">
        <v>199</v>
      </c>
      <c r="AX1262" s="70" t="s">
        <v>1814</v>
      </c>
      <c r="AY1262" s="70">
        <v>0</v>
      </c>
      <c r="AZ1262" s="66">
        <v>21030020</v>
      </c>
      <c r="BA1262" s="126" t="s">
        <v>200</v>
      </c>
      <c r="BB1262" s="126" t="s">
        <v>198</v>
      </c>
      <c r="BC1262" s="70">
        <v>0</v>
      </c>
      <c r="BD1262" s="70">
        <v>0</v>
      </c>
      <c r="BE1262" s="242" t="s">
        <v>2554</v>
      </c>
      <c r="BF1262" s="242" t="s">
        <v>2555</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spans="3:75" ht="20.100000000000001" customHeight="1">
      <c r="C1263" s="13">
        <v>62000009</v>
      </c>
      <c r="D1263" s="14" t="s">
        <v>2556</v>
      </c>
      <c r="E1263" s="14" t="s">
        <v>2557</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55" t="s">
        <v>2558</v>
      </c>
      <c r="AU1263" s="13" t="s">
        <v>198</v>
      </c>
      <c r="AV1263" s="13"/>
      <c r="AW1263" s="14" t="s">
        <v>199</v>
      </c>
      <c r="AX1263" s="13" t="s">
        <v>348</v>
      </c>
      <c r="AY1263" s="13">
        <v>0</v>
      </c>
      <c r="AZ1263" s="13">
        <v>22000040</v>
      </c>
      <c r="BA1263" s="14" t="s">
        <v>200</v>
      </c>
      <c r="BB1263" s="14" t="s">
        <v>198</v>
      </c>
      <c r="BC1263" s="13">
        <v>0</v>
      </c>
      <c r="BD1263" s="13">
        <v>0</v>
      </c>
      <c r="BE1263" s="44" t="s">
        <v>2559</v>
      </c>
      <c r="BF1263" s="44" t="s">
        <v>2560</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62000010</v>
      </c>
      <c r="D1264" s="14" t="s">
        <v>2561</v>
      </c>
      <c r="E1264" s="14" t="s">
        <v>2562</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1590</v>
      </c>
      <c r="AX1264" s="13" t="s">
        <v>545</v>
      </c>
      <c r="AY1264" s="13">
        <v>10001006</v>
      </c>
      <c r="AZ1264" s="13">
        <v>22000020</v>
      </c>
      <c r="BA1264" s="14" t="s">
        <v>315</v>
      </c>
      <c r="BB1264" s="14" t="s">
        <v>371</v>
      </c>
      <c r="BC1264" s="13">
        <v>0</v>
      </c>
      <c r="BD1264" s="13">
        <v>0</v>
      </c>
      <c r="BE1264" s="44" t="s">
        <v>2563</v>
      </c>
      <c r="BF1264" s="44" t="s">
        <v>2564</v>
      </c>
      <c r="BG1264" s="13">
        <v>0</v>
      </c>
      <c r="BH1264" s="13">
        <v>0</v>
      </c>
      <c r="BI1264" s="13">
        <v>0</v>
      </c>
      <c r="BJ1264" s="13">
        <v>0</v>
      </c>
      <c r="BK1264" s="13">
        <v>0</v>
      </c>
      <c r="BL1264" s="13">
        <v>0</v>
      </c>
      <c r="BM1264" s="188">
        <v>0</v>
      </c>
      <c r="BN1264" s="13">
        <v>0</v>
      </c>
      <c r="BO1264" s="13">
        <v>0</v>
      </c>
      <c r="BP1264" s="13">
        <v>0</v>
      </c>
      <c r="BQ1264" s="13">
        <v>0</v>
      </c>
      <c r="BR1264" s="13">
        <v>0</v>
      </c>
      <c r="BS1264" s="13">
        <v>0</v>
      </c>
      <c r="BT1264" s="13">
        <v>0</v>
      </c>
      <c r="BU1264" s="49">
        <v>0</v>
      </c>
      <c r="BV1264" s="49"/>
      <c r="BW1264" s="49"/>
    </row>
    <row r="1265" spans="3:75" ht="20.100000000000001" customHeight="1">
      <c r="C1265" s="13">
        <v>62000011</v>
      </c>
      <c r="D1265" s="14" t="s">
        <v>2565</v>
      </c>
      <c r="E1265" s="14" t="s">
        <v>2566</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2567</v>
      </c>
      <c r="BF1265" s="44" t="s">
        <v>2568</v>
      </c>
      <c r="BG1265" s="13">
        <v>0</v>
      </c>
      <c r="BH1265" s="13">
        <v>0</v>
      </c>
      <c r="BI1265" s="13">
        <v>0</v>
      </c>
      <c r="BJ1265" s="13">
        <v>0</v>
      </c>
      <c r="BK1265" s="13">
        <v>0</v>
      </c>
      <c r="BL1265" s="13">
        <v>0</v>
      </c>
      <c r="BM1265" s="188">
        <v>0</v>
      </c>
      <c r="BN1265" s="13">
        <v>0</v>
      </c>
      <c r="BO1265" s="13">
        <v>0</v>
      </c>
      <c r="BP1265" s="13">
        <v>0</v>
      </c>
      <c r="BQ1265" s="13">
        <v>0</v>
      </c>
      <c r="BR1265" s="13">
        <v>0</v>
      </c>
      <c r="BS1265" s="13">
        <v>0</v>
      </c>
      <c r="BT1265" s="13">
        <v>0</v>
      </c>
      <c r="BU1265" s="49">
        <v>0</v>
      </c>
      <c r="BV1265" s="49"/>
      <c r="BW1265" s="49"/>
    </row>
    <row r="1266" spans="3:75" ht="20.100000000000001" customHeight="1">
      <c r="C1266" s="13">
        <v>62000012</v>
      </c>
      <c r="D1266" s="14" t="s">
        <v>2569</v>
      </c>
      <c r="E1266" s="14" t="s">
        <v>2570</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2571</v>
      </c>
      <c r="BF1266" s="44" t="s">
        <v>2572</v>
      </c>
      <c r="BG1266" s="13">
        <v>0</v>
      </c>
      <c r="BH1266" s="13">
        <v>0</v>
      </c>
      <c r="BI1266" s="13">
        <v>0</v>
      </c>
      <c r="BJ1266" s="13">
        <v>0</v>
      </c>
      <c r="BK1266" s="13">
        <v>0</v>
      </c>
      <c r="BL1266" s="13">
        <v>0</v>
      </c>
      <c r="BM1266" s="188">
        <v>0</v>
      </c>
      <c r="BN1266" s="13">
        <v>0</v>
      </c>
      <c r="BO1266" s="13">
        <v>0</v>
      </c>
      <c r="BP1266" s="13">
        <v>0</v>
      </c>
      <c r="BQ1266" s="13">
        <v>0</v>
      </c>
      <c r="BR1266" s="13">
        <v>0</v>
      </c>
      <c r="BS1266" s="13">
        <v>0</v>
      </c>
      <c r="BT1266" s="13">
        <v>0</v>
      </c>
      <c r="BU1266" s="49">
        <v>0</v>
      </c>
      <c r="BV1266" s="49"/>
      <c r="BW1266" s="49"/>
    </row>
    <row r="1267" spans="3:75" ht="20.100000000000001" customHeight="1">
      <c r="C1267" s="13">
        <v>62000031</v>
      </c>
      <c r="D1267" s="14" t="s">
        <v>2573</v>
      </c>
      <c r="E1267" s="14" t="s">
        <v>2574</v>
      </c>
      <c r="F1267" s="13">
        <v>1</v>
      </c>
      <c r="G1267" s="13">
        <v>30001</v>
      </c>
      <c r="H1267" s="13">
        <v>0</v>
      </c>
      <c r="I1267" s="13">
        <v>0</v>
      </c>
      <c r="J1267" s="13">
        <v>1</v>
      </c>
      <c r="K1267" s="13">
        <v>0</v>
      </c>
      <c r="L1267" s="17">
        <v>0</v>
      </c>
      <c r="M1267" s="13">
        <v>0</v>
      </c>
      <c r="N1267" s="13">
        <v>0</v>
      </c>
      <c r="O1267" s="13">
        <v>2</v>
      </c>
      <c r="P1267" s="13">
        <v>10</v>
      </c>
      <c r="Q1267" s="13">
        <v>0.05</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3</v>
      </c>
      <c r="AG1267" s="13">
        <v>0</v>
      </c>
      <c r="AH1267" s="13">
        <v>0</v>
      </c>
      <c r="AI1267" s="13">
        <v>2</v>
      </c>
      <c r="AJ1267" s="13">
        <v>0</v>
      </c>
      <c r="AK1267" s="13">
        <v>0</v>
      </c>
      <c r="AL1267" s="13">
        <v>0</v>
      </c>
      <c r="AM1267" s="13">
        <v>0</v>
      </c>
      <c r="AN1267" s="13">
        <v>0</v>
      </c>
      <c r="AO1267" s="13">
        <v>0</v>
      </c>
      <c r="AP1267" s="13">
        <v>0</v>
      </c>
      <c r="AQ1267" s="13">
        <v>1000</v>
      </c>
      <c r="AR1267" s="13">
        <v>0</v>
      </c>
      <c r="AS1267" s="13">
        <v>0</v>
      </c>
      <c r="AT1267" s="13">
        <v>92000021</v>
      </c>
      <c r="AU1267" s="13" t="s">
        <v>198</v>
      </c>
      <c r="AV1267" s="13"/>
      <c r="AW1267" s="14" t="s">
        <v>199</v>
      </c>
      <c r="AX1267" s="13" t="s">
        <v>1814</v>
      </c>
      <c r="AY1267" s="13">
        <v>0</v>
      </c>
      <c r="AZ1267" s="13">
        <v>40000003</v>
      </c>
      <c r="BA1267" s="14" t="s">
        <v>200</v>
      </c>
      <c r="BB1267" s="14" t="s">
        <v>198</v>
      </c>
      <c r="BC1267" s="13">
        <v>0</v>
      </c>
      <c r="BD1267" s="13">
        <v>0</v>
      </c>
      <c r="BE1267" s="44" t="s">
        <v>2575</v>
      </c>
      <c r="BF1267" s="44" t="s">
        <v>2576</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spans="3:75" ht="20.100000000000001" customHeight="1">
      <c r="C1268" s="13">
        <v>62000032</v>
      </c>
      <c r="D1268" s="14" t="s">
        <v>2577</v>
      </c>
      <c r="E1268" s="14" t="s">
        <v>2578</v>
      </c>
      <c r="F1268" s="13">
        <v>1</v>
      </c>
      <c r="G1268" s="13">
        <v>30002</v>
      </c>
      <c r="H1268" s="13">
        <v>0</v>
      </c>
      <c r="I1268" s="13">
        <v>0</v>
      </c>
      <c r="J1268" s="13">
        <v>1</v>
      </c>
      <c r="K1268" s="13">
        <v>0</v>
      </c>
      <c r="L1268" s="17">
        <v>0</v>
      </c>
      <c r="M1268" s="13">
        <v>0</v>
      </c>
      <c r="N1268" s="13">
        <v>0</v>
      </c>
      <c r="O1268" s="13">
        <v>1</v>
      </c>
      <c r="P1268" s="13">
        <v>0</v>
      </c>
      <c r="Q1268" s="13">
        <v>0</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20</v>
      </c>
      <c r="AG1268" s="13">
        <v>0</v>
      </c>
      <c r="AH1268" s="13">
        <v>20</v>
      </c>
      <c r="AI1268" s="13">
        <v>2</v>
      </c>
      <c r="AJ1268" s="13">
        <v>0</v>
      </c>
      <c r="AK1268" s="13">
        <v>0</v>
      </c>
      <c r="AL1268" s="13">
        <v>0</v>
      </c>
      <c r="AM1268" s="13">
        <v>0</v>
      </c>
      <c r="AN1268" s="13">
        <v>0</v>
      </c>
      <c r="AO1268" s="13">
        <v>0</v>
      </c>
      <c r="AP1268" s="13">
        <v>0</v>
      </c>
      <c r="AQ1268" s="13">
        <v>1000</v>
      </c>
      <c r="AR1268" s="13">
        <v>0</v>
      </c>
      <c r="AS1268" s="13">
        <v>0</v>
      </c>
      <c r="AT1268" s="13">
        <v>92000022</v>
      </c>
      <c r="AU1268" s="13">
        <v>92000032</v>
      </c>
      <c r="AV1268" s="13"/>
      <c r="AW1268" s="14" t="s">
        <v>199</v>
      </c>
      <c r="AX1268" s="13" t="s">
        <v>1814</v>
      </c>
      <c r="AY1268" s="13">
        <v>0</v>
      </c>
      <c r="AZ1268" s="13">
        <v>40000003</v>
      </c>
      <c r="BA1268" s="14" t="s">
        <v>200</v>
      </c>
      <c r="BB1268" s="14" t="s">
        <v>198</v>
      </c>
      <c r="BC1268" s="13">
        <v>0</v>
      </c>
      <c r="BD1268" s="13">
        <v>0</v>
      </c>
      <c r="BE1268" s="44" t="s">
        <v>2579</v>
      </c>
      <c r="BF1268" s="44" t="s">
        <v>2580</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82">
        <v>62000033</v>
      </c>
      <c r="D1269" s="240" t="s">
        <v>2581</v>
      </c>
      <c r="E1269" s="240" t="s">
        <v>2582</v>
      </c>
      <c r="F1269" s="182">
        <v>1</v>
      </c>
      <c r="G1269" s="182">
        <v>30011</v>
      </c>
      <c r="H1269" s="182">
        <v>0</v>
      </c>
      <c r="I1269" s="182">
        <v>0</v>
      </c>
      <c r="J1269" s="182">
        <v>1</v>
      </c>
      <c r="K1269" s="182">
        <v>0</v>
      </c>
      <c r="L1269" s="182">
        <v>0</v>
      </c>
      <c r="M1269" s="182">
        <v>0</v>
      </c>
      <c r="N1269" s="182">
        <v>0</v>
      </c>
      <c r="O1269" s="182">
        <v>2</v>
      </c>
      <c r="P1269" s="182">
        <v>1</v>
      </c>
      <c r="Q1269" s="182">
        <v>0.05</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7</v>
      </c>
      <c r="AJ1269" s="182">
        <v>0</v>
      </c>
      <c r="AK1269" s="182">
        <v>0</v>
      </c>
      <c r="AL1269" s="182">
        <v>0</v>
      </c>
      <c r="AM1269" s="182">
        <v>0</v>
      </c>
      <c r="AN1269" s="182">
        <v>0</v>
      </c>
      <c r="AO1269" s="182">
        <v>0</v>
      </c>
      <c r="AP1269" s="182">
        <v>0</v>
      </c>
      <c r="AQ1269" s="182">
        <v>1000</v>
      </c>
      <c r="AR1269" s="182">
        <v>0</v>
      </c>
      <c r="AS1269" s="182">
        <v>0</v>
      </c>
      <c r="AT1269" s="182">
        <v>0</v>
      </c>
      <c r="AU1269" s="182">
        <v>92000033</v>
      </c>
      <c r="AV1269" s="182"/>
      <c r="AW1269" s="240" t="s">
        <v>199</v>
      </c>
      <c r="AX1269" s="182" t="s">
        <v>1814</v>
      </c>
      <c r="AY1269" s="182">
        <v>0</v>
      </c>
      <c r="AZ1269" s="182">
        <v>40000003</v>
      </c>
      <c r="BA1269" s="240" t="s">
        <v>200</v>
      </c>
      <c r="BB1269" s="240" t="s">
        <v>198</v>
      </c>
      <c r="BC1269" s="182">
        <v>0</v>
      </c>
      <c r="BD1269" s="182">
        <v>0</v>
      </c>
      <c r="BE1269" s="243" t="s">
        <v>2583</v>
      </c>
      <c r="BF1269" s="243" t="s">
        <v>2584</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spans="3:75" ht="19.5" customHeight="1">
      <c r="C1270" s="182">
        <v>62000034</v>
      </c>
      <c r="D1270" s="240" t="s">
        <v>2585</v>
      </c>
      <c r="E1270" s="240" t="s">
        <v>2586</v>
      </c>
      <c r="F1270" s="19">
        <v>1</v>
      </c>
      <c r="G1270" s="17">
        <v>60010100</v>
      </c>
      <c r="H1270" s="19">
        <v>0</v>
      </c>
      <c r="I1270" s="28">
        <v>0</v>
      </c>
      <c r="J1270" s="19">
        <v>1</v>
      </c>
      <c r="K1270" s="19">
        <v>0</v>
      </c>
      <c r="L1270" s="19">
        <v>0</v>
      </c>
      <c r="M1270" s="17">
        <v>0</v>
      </c>
      <c r="N1270" s="17">
        <v>0</v>
      </c>
      <c r="O1270" s="17">
        <v>2</v>
      </c>
      <c r="P1270" s="17">
        <v>1</v>
      </c>
      <c r="Q1270" s="17">
        <v>1</v>
      </c>
      <c r="R1270" s="17">
        <v>0</v>
      </c>
      <c r="S1270" s="13">
        <v>0</v>
      </c>
      <c r="T1270" s="17">
        <v>0</v>
      </c>
      <c r="U1270" s="17">
        <v>1</v>
      </c>
      <c r="V1270" s="17">
        <v>2</v>
      </c>
      <c r="W1270" s="17">
        <v>0</v>
      </c>
      <c r="X1270" s="17">
        <v>3</v>
      </c>
      <c r="Y1270" s="13">
        <v>0</v>
      </c>
      <c r="Z1270" s="17">
        <v>1000</v>
      </c>
      <c r="AA1270" s="17">
        <v>0</v>
      </c>
      <c r="AB1270" s="17">
        <v>0</v>
      </c>
      <c r="AC1270" s="17">
        <v>0</v>
      </c>
      <c r="AD1270" s="17">
        <v>0</v>
      </c>
      <c r="AE1270" s="17">
        <v>0</v>
      </c>
      <c r="AF1270" s="17">
        <v>1</v>
      </c>
      <c r="AG1270" s="17">
        <v>1</v>
      </c>
      <c r="AH1270" s="17">
        <v>3</v>
      </c>
      <c r="AI1270" s="13">
        <v>1</v>
      </c>
      <c r="AJ1270" s="13">
        <v>0</v>
      </c>
      <c r="AK1270" s="13">
        <v>0</v>
      </c>
      <c r="AL1270" s="13">
        <v>0</v>
      </c>
      <c r="AM1270" s="17">
        <v>0</v>
      </c>
      <c r="AN1270" s="17">
        <v>0</v>
      </c>
      <c r="AO1270" s="17">
        <v>0</v>
      </c>
      <c r="AP1270" s="17">
        <v>0</v>
      </c>
      <c r="AQ1270" s="17">
        <v>5000</v>
      </c>
      <c r="AR1270" s="17">
        <v>0</v>
      </c>
      <c r="AS1270" s="17">
        <v>0</v>
      </c>
      <c r="AT1270" s="13">
        <v>0</v>
      </c>
      <c r="AU1270" s="17">
        <v>0</v>
      </c>
      <c r="AV1270" s="17"/>
      <c r="AW1270" s="20" t="s">
        <v>256</v>
      </c>
      <c r="AX1270" s="17" t="s">
        <v>534</v>
      </c>
      <c r="AY1270" s="19">
        <v>10000007</v>
      </c>
      <c r="AZ1270" s="19">
        <v>70403005</v>
      </c>
      <c r="BA1270" s="18" t="s">
        <v>200</v>
      </c>
      <c r="BB1270" s="17">
        <v>0</v>
      </c>
      <c r="BC1270" s="28">
        <v>0</v>
      </c>
      <c r="BD1270" s="28">
        <v>0</v>
      </c>
      <c r="BE1270" s="46" t="s">
        <v>2587</v>
      </c>
      <c r="BF1270" s="46" t="s">
        <v>2588</v>
      </c>
      <c r="BG1270" s="17">
        <v>0</v>
      </c>
      <c r="BH1270" s="17">
        <v>0</v>
      </c>
      <c r="BI1270" s="17">
        <v>0</v>
      </c>
      <c r="BJ1270" s="17">
        <v>0</v>
      </c>
      <c r="BK1270" s="17">
        <v>0</v>
      </c>
      <c r="BL1270" s="17">
        <v>0</v>
      </c>
      <c r="BM1270" s="16">
        <v>0</v>
      </c>
      <c r="BN1270" s="13">
        <v>0</v>
      </c>
      <c r="BO1270" s="13">
        <v>0</v>
      </c>
      <c r="BP1270" s="13">
        <v>0</v>
      </c>
      <c r="BQ1270" s="13">
        <v>0</v>
      </c>
      <c r="BR1270" s="13">
        <v>0</v>
      </c>
      <c r="BS1270" s="13">
        <v>0</v>
      </c>
      <c r="BT1270" s="13">
        <v>0</v>
      </c>
      <c r="BU1270" s="49">
        <v>0</v>
      </c>
      <c r="BV1270" s="49"/>
      <c r="BW1270" s="49"/>
    </row>
    <row r="1271" spans="3:75" ht="20.100000000000001" customHeight="1">
      <c r="C1271" s="13">
        <v>62000035</v>
      </c>
      <c r="D1271" s="14" t="s">
        <v>2589</v>
      </c>
      <c r="E1271" s="14" t="s">
        <v>2590</v>
      </c>
      <c r="F1271" s="13">
        <v>1</v>
      </c>
      <c r="G1271" s="13">
        <v>30022</v>
      </c>
      <c r="H1271" s="13">
        <v>0</v>
      </c>
      <c r="I1271" s="13">
        <v>0</v>
      </c>
      <c r="J1271" s="13">
        <v>1</v>
      </c>
      <c r="K1271" s="13">
        <v>0</v>
      </c>
      <c r="L1271" s="17">
        <v>0</v>
      </c>
      <c r="M1271" s="13">
        <v>0</v>
      </c>
      <c r="N1271" s="13">
        <v>0</v>
      </c>
      <c r="O1271" s="13">
        <v>2</v>
      </c>
      <c r="P1271" s="13">
        <v>1</v>
      </c>
      <c r="Q1271" s="13">
        <v>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1</v>
      </c>
      <c r="AH1271" s="13">
        <v>2</v>
      </c>
      <c r="AI1271" s="13">
        <v>7</v>
      </c>
      <c r="AJ1271" s="13">
        <v>0</v>
      </c>
      <c r="AK1271" s="13">
        <v>0</v>
      </c>
      <c r="AL1271" s="13">
        <v>0</v>
      </c>
      <c r="AM1271" s="13">
        <v>0</v>
      </c>
      <c r="AN1271" s="13">
        <v>0</v>
      </c>
      <c r="AO1271" s="13">
        <v>0</v>
      </c>
      <c r="AP1271" s="13">
        <v>0</v>
      </c>
      <c r="AQ1271" s="13">
        <v>1000</v>
      </c>
      <c r="AR1271" s="13">
        <v>0</v>
      </c>
      <c r="AS1271" s="13">
        <v>0</v>
      </c>
      <c r="AT1271" s="13">
        <v>0</v>
      </c>
      <c r="AU1271" s="13">
        <v>92000023</v>
      </c>
      <c r="AV1271" s="13"/>
      <c r="AW1271" s="14" t="s">
        <v>199</v>
      </c>
      <c r="AX1271" s="13" t="s">
        <v>1814</v>
      </c>
      <c r="AY1271" s="13">
        <v>0</v>
      </c>
      <c r="AZ1271" s="13">
        <v>0</v>
      </c>
      <c r="BA1271" s="14" t="s">
        <v>200</v>
      </c>
      <c r="BB1271" s="14" t="s">
        <v>198</v>
      </c>
      <c r="BC1271" s="13">
        <v>0</v>
      </c>
      <c r="BD1271" s="13">
        <v>0</v>
      </c>
      <c r="BE1271" s="44" t="s">
        <v>2591</v>
      </c>
      <c r="BF1271" s="44" t="s">
        <v>2592</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62000036</v>
      </c>
      <c r="D1272" s="14" t="s">
        <v>2593</v>
      </c>
      <c r="E1272" s="14" t="s">
        <v>2594</v>
      </c>
      <c r="F1272" s="13">
        <v>1</v>
      </c>
      <c r="G1272" s="13">
        <v>30031</v>
      </c>
      <c r="H1272" s="13">
        <v>0</v>
      </c>
      <c r="I1272" s="13">
        <v>0</v>
      </c>
      <c r="J1272" s="13">
        <v>1</v>
      </c>
      <c r="K1272" s="13">
        <v>0</v>
      </c>
      <c r="L1272" s="17">
        <v>0</v>
      </c>
      <c r="M1272" s="13">
        <v>0</v>
      </c>
      <c r="N1272" s="13">
        <v>0</v>
      </c>
      <c r="O1272" s="13">
        <v>2</v>
      </c>
      <c r="P1272" s="13">
        <v>19</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0</v>
      </c>
      <c r="AH1272" s="13">
        <v>0</v>
      </c>
      <c r="AI1272" s="13">
        <v>2</v>
      </c>
      <c r="AJ1272" s="13">
        <v>0</v>
      </c>
      <c r="AK1272" s="13">
        <v>0</v>
      </c>
      <c r="AL1272" s="13">
        <v>0</v>
      </c>
      <c r="AM1272" s="13">
        <v>0</v>
      </c>
      <c r="AN1272" s="13">
        <v>0</v>
      </c>
      <c r="AO1272" s="13">
        <v>0</v>
      </c>
      <c r="AP1272" s="13">
        <v>0</v>
      </c>
      <c r="AQ1272" s="13">
        <v>1000</v>
      </c>
      <c r="AR1272" s="13">
        <v>0</v>
      </c>
      <c r="AS1272" s="13">
        <v>0</v>
      </c>
      <c r="AT1272" s="13">
        <v>92000024</v>
      </c>
      <c r="AU1272" s="13" t="s">
        <v>198</v>
      </c>
      <c r="AV1272" s="13"/>
      <c r="AW1272" s="14" t="s">
        <v>199</v>
      </c>
      <c r="AX1272" s="13" t="s">
        <v>1814</v>
      </c>
      <c r="AY1272" s="13">
        <v>0</v>
      </c>
      <c r="AZ1272" s="13">
        <v>40000003</v>
      </c>
      <c r="BA1272" s="14" t="s">
        <v>200</v>
      </c>
      <c r="BB1272" s="14" t="s">
        <v>198</v>
      </c>
      <c r="BC1272" s="13">
        <v>0</v>
      </c>
      <c r="BD1272" s="13">
        <v>0</v>
      </c>
      <c r="BE1272" s="44" t="s">
        <v>2595</v>
      </c>
      <c r="BF1272" s="44" t="s">
        <v>2596</v>
      </c>
      <c r="BG1272" s="13">
        <v>0</v>
      </c>
      <c r="BH1272" s="13">
        <v>0</v>
      </c>
      <c r="BI1272" s="13">
        <v>0</v>
      </c>
      <c r="BJ1272" s="13">
        <v>0</v>
      </c>
      <c r="BK1272" s="13">
        <v>0</v>
      </c>
      <c r="BL1272" s="13">
        <v>0</v>
      </c>
      <c r="BM1272" s="188">
        <v>0</v>
      </c>
      <c r="BN1272" s="13">
        <v>1</v>
      </c>
      <c r="BO1272" s="13">
        <v>0</v>
      </c>
      <c r="BP1272" s="13">
        <v>0</v>
      </c>
      <c r="BQ1272" s="13">
        <v>0</v>
      </c>
      <c r="BR1272" s="13">
        <v>0</v>
      </c>
      <c r="BS1272" s="13">
        <v>0</v>
      </c>
      <c r="BT1272" s="13">
        <v>0</v>
      </c>
      <c r="BU1272" s="49">
        <v>0</v>
      </c>
      <c r="BV1272" s="49"/>
      <c r="BW1272" s="49"/>
    </row>
    <row r="1273" spans="3:75" ht="20.100000000000001" customHeight="1">
      <c r="C1273" s="182">
        <v>62000037</v>
      </c>
      <c r="D1273" s="240" t="s">
        <v>2597</v>
      </c>
      <c r="E1273" s="240" t="s">
        <v>2598</v>
      </c>
      <c r="F1273" s="182">
        <v>1</v>
      </c>
      <c r="G1273" s="182">
        <v>30052</v>
      </c>
      <c r="H1273" s="182">
        <v>0</v>
      </c>
      <c r="I1273" s="182">
        <v>0</v>
      </c>
      <c r="J1273" s="182">
        <v>1</v>
      </c>
      <c r="K1273" s="182">
        <v>0</v>
      </c>
      <c r="L1273" s="182">
        <v>0</v>
      </c>
      <c r="M1273" s="182">
        <v>0</v>
      </c>
      <c r="N1273" s="182">
        <v>0</v>
      </c>
      <c r="O1273" s="182">
        <v>2</v>
      </c>
      <c r="P1273" s="182">
        <v>1</v>
      </c>
      <c r="Q1273" s="182">
        <v>0.1</v>
      </c>
      <c r="R1273" s="182">
        <v>0</v>
      </c>
      <c r="S1273" s="182">
        <v>0</v>
      </c>
      <c r="T1273" s="182">
        <v>0</v>
      </c>
      <c r="U1273" s="182">
        <v>1</v>
      </c>
      <c r="V1273" s="182">
        <v>2</v>
      </c>
      <c r="W1273" s="182">
        <v>0</v>
      </c>
      <c r="X1273" s="182">
        <v>0</v>
      </c>
      <c r="Y1273" s="13">
        <v>0</v>
      </c>
      <c r="Z1273" s="182">
        <v>0</v>
      </c>
      <c r="AA1273" s="182">
        <v>0</v>
      </c>
      <c r="AB1273" s="182">
        <v>0</v>
      </c>
      <c r="AC1273" s="182">
        <v>0</v>
      </c>
      <c r="AD1273" s="182">
        <v>1</v>
      </c>
      <c r="AE1273" s="182">
        <v>0</v>
      </c>
      <c r="AF1273" s="182">
        <v>1</v>
      </c>
      <c r="AG1273" s="182">
        <v>0</v>
      </c>
      <c r="AH1273" s="182">
        <v>0</v>
      </c>
      <c r="AI1273" s="182">
        <v>2</v>
      </c>
      <c r="AJ1273" s="182">
        <v>0</v>
      </c>
      <c r="AK1273" s="182">
        <v>0</v>
      </c>
      <c r="AL1273" s="182">
        <v>0</v>
      </c>
      <c r="AM1273" s="182">
        <v>0</v>
      </c>
      <c r="AN1273" s="182">
        <v>0</v>
      </c>
      <c r="AO1273" s="182">
        <v>0</v>
      </c>
      <c r="AP1273" s="182">
        <v>0</v>
      </c>
      <c r="AQ1273" s="182">
        <v>1000</v>
      </c>
      <c r="AR1273" s="182">
        <v>0</v>
      </c>
      <c r="AS1273" s="182">
        <v>0</v>
      </c>
      <c r="AT1273" s="182">
        <v>92000031</v>
      </c>
      <c r="AU1273" s="182" t="s">
        <v>198</v>
      </c>
      <c r="AV1273" s="182"/>
      <c r="AW1273" s="240" t="s">
        <v>199</v>
      </c>
      <c r="AX1273" s="182" t="s">
        <v>1814</v>
      </c>
      <c r="AY1273" s="182">
        <v>0</v>
      </c>
      <c r="AZ1273" s="182">
        <v>40000003</v>
      </c>
      <c r="BA1273" s="240" t="s">
        <v>200</v>
      </c>
      <c r="BB1273" s="240" t="s">
        <v>198</v>
      </c>
      <c r="BC1273" s="182">
        <v>0</v>
      </c>
      <c r="BD1273" s="182">
        <v>0</v>
      </c>
      <c r="BE1273" s="243" t="s">
        <v>2599</v>
      </c>
      <c r="BF1273" s="243" t="s">
        <v>2600</v>
      </c>
      <c r="BG1273" s="182">
        <v>0</v>
      </c>
      <c r="BH1273" s="182">
        <v>0</v>
      </c>
      <c r="BI1273" s="182">
        <v>0</v>
      </c>
      <c r="BJ1273" s="182">
        <v>0</v>
      </c>
      <c r="BK1273" s="182">
        <v>0</v>
      </c>
      <c r="BL1273" s="182">
        <v>0</v>
      </c>
      <c r="BM1273" s="245">
        <v>0</v>
      </c>
      <c r="BN1273" s="182">
        <v>1</v>
      </c>
      <c r="BO1273" s="182">
        <v>0</v>
      </c>
      <c r="BP1273" s="182">
        <v>0</v>
      </c>
      <c r="BQ1273" s="182">
        <v>0</v>
      </c>
      <c r="BR1273" s="182">
        <v>0</v>
      </c>
      <c r="BS1273" s="182">
        <v>0</v>
      </c>
      <c r="BT1273" s="13">
        <v>0</v>
      </c>
      <c r="BU1273" s="49">
        <v>0</v>
      </c>
      <c r="BV1273" s="49"/>
      <c r="BW1273" s="49"/>
    </row>
    <row r="1274" spans="3:75" ht="20.100000000000001" customHeight="1">
      <c r="C1274" s="13">
        <v>62000038</v>
      </c>
      <c r="D1274" s="14" t="s">
        <v>2601</v>
      </c>
      <c r="E1274" s="14" t="s">
        <v>2602</v>
      </c>
      <c r="F1274" s="13">
        <v>1</v>
      </c>
      <c r="G1274" s="13">
        <v>30061</v>
      </c>
      <c r="H1274" s="13">
        <v>0</v>
      </c>
      <c r="I1274" s="13">
        <v>0</v>
      </c>
      <c r="J1274" s="13">
        <v>1</v>
      </c>
      <c r="K1274" s="13">
        <v>0</v>
      </c>
      <c r="L1274" s="17">
        <v>0</v>
      </c>
      <c r="M1274" s="13">
        <v>0</v>
      </c>
      <c r="N1274" s="13">
        <v>0</v>
      </c>
      <c r="O1274" s="13">
        <v>2</v>
      </c>
      <c r="P1274" s="13">
        <v>1</v>
      </c>
      <c r="Q1274" s="13">
        <v>0.1</v>
      </c>
      <c r="R1274" s="13">
        <v>0</v>
      </c>
      <c r="S1274" s="13">
        <v>0</v>
      </c>
      <c r="T1274" s="13">
        <v>0</v>
      </c>
      <c r="U1274" s="13">
        <v>1</v>
      </c>
      <c r="V1274" s="13">
        <v>2</v>
      </c>
      <c r="W1274" s="13">
        <v>0</v>
      </c>
      <c r="X1274" s="13">
        <v>0</v>
      </c>
      <c r="Y1274" s="13">
        <v>0</v>
      </c>
      <c r="Z1274" s="13">
        <v>0</v>
      </c>
      <c r="AA1274" s="13">
        <v>0</v>
      </c>
      <c r="AB1274" s="13">
        <v>0</v>
      </c>
      <c r="AC1274" s="13">
        <v>0</v>
      </c>
      <c r="AD1274" s="13">
        <v>1</v>
      </c>
      <c r="AE1274" s="13">
        <v>0</v>
      </c>
      <c r="AF1274" s="13">
        <v>1</v>
      </c>
      <c r="AG1274" s="13">
        <v>0</v>
      </c>
      <c r="AH1274" s="13">
        <v>0</v>
      </c>
      <c r="AI1274" s="13">
        <v>7</v>
      </c>
      <c r="AJ1274" s="13">
        <v>0</v>
      </c>
      <c r="AK1274" s="13">
        <v>0</v>
      </c>
      <c r="AL1274" s="13">
        <v>0</v>
      </c>
      <c r="AM1274" s="13">
        <v>0</v>
      </c>
      <c r="AN1274" s="13">
        <v>0</v>
      </c>
      <c r="AO1274" s="13">
        <v>0</v>
      </c>
      <c r="AP1274" s="13">
        <v>0</v>
      </c>
      <c r="AQ1274" s="13">
        <v>1000</v>
      </c>
      <c r="AR1274" s="13">
        <v>0</v>
      </c>
      <c r="AS1274" s="13">
        <v>0</v>
      </c>
      <c r="AT1274" s="13">
        <v>0</v>
      </c>
      <c r="AU1274" s="355" t="s">
        <v>2603</v>
      </c>
      <c r="AV1274" s="13"/>
      <c r="AW1274" s="14" t="s">
        <v>199</v>
      </c>
      <c r="AX1274" s="13" t="s">
        <v>1814</v>
      </c>
      <c r="AY1274" s="13">
        <v>0</v>
      </c>
      <c r="AZ1274" s="13">
        <v>0</v>
      </c>
      <c r="BA1274" s="14" t="s">
        <v>200</v>
      </c>
      <c r="BB1274" s="14" t="s">
        <v>198</v>
      </c>
      <c r="BC1274" s="13">
        <v>0</v>
      </c>
      <c r="BD1274" s="13">
        <v>0</v>
      </c>
      <c r="BE1274" s="44" t="s">
        <v>2604</v>
      </c>
      <c r="BF1274" s="44" t="s">
        <v>2605</v>
      </c>
      <c r="BG1274" s="13">
        <v>0</v>
      </c>
      <c r="BH1274" s="13">
        <v>0</v>
      </c>
      <c r="BI1274" s="13">
        <v>0</v>
      </c>
      <c r="BJ1274" s="13">
        <v>0</v>
      </c>
      <c r="BK1274" s="13">
        <v>0</v>
      </c>
      <c r="BL1274" s="13">
        <v>0</v>
      </c>
      <c r="BM1274" s="188">
        <v>0</v>
      </c>
      <c r="BN1274" s="13">
        <v>1</v>
      </c>
      <c r="BO1274" s="13">
        <v>0</v>
      </c>
      <c r="BP1274" s="13">
        <v>0</v>
      </c>
      <c r="BQ1274" s="13">
        <v>0</v>
      </c>
      <c r="BR1274" s="13">
        <v>0</v>
      </c>
      <c r="BS1274" s="13">
        <v>0</v>
      </c>
      <c r="BT1274" s="13">
        <v>0</v>
      </c>
      <c r="BU1274" s="49">
        <v>0</v>
      </c>
      <c r="BV1274" s="49"/>
      <c r="BW1274" s="49"/>
    </row>
    <row r="1275" spans="3:75" ht="20.100000000000001" customHeight="1">
      <c r="C1275" s="13">
        <v>62000039</v>
      </c>
      <c r="D1275" s="18" t="s">
        <v>2606</v>
      </c>
      <c r="E1275" s="18" t="s">
        <v>2607</v>
      </c>
      <c r="F1275" s="17">
        <v>1</v>
      </c>
      <c r="G1275" s="17">
        <v>80002002</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1</v>
      </c>
      <c r="AQ1275" s="17">
        <v>3000</v>
      </c>
      <c r="AR1275" s="17">
        <v>0.5</v>
      </c>
      <c r="AS1275" s="17">
        <v>0</v>
      </c>
      <c r="AT1275" s="13">
        <v>0</v>
      </c>
      <c r="AU1275" s="17" t="s">
        <v>198</v>
      </c>
      <c r="AV1275" s="17"/>
      <c r="AW1275" s="18" t="s">
        <v>199</v>
      </c>
      <c r="AX1275" s="17">
        <v>0</v>
      </c>
      <c r="AY1275" s="19">
        <v>0</v>
      </c>
      <c r="AZ1275" s="19">
        <v>0</v>
      </c>
      <c r="BA1275" s="18" t="s">
        <v>200</v>
      </c>
      <c r="BB1275" s="17" t="s">
        <v>2608</v>
      </c>
      <c r="BC1275" s="28">
        <v>0</v>
      </c>
      <c r="BD1275" s="28">
        <v>1</v>
      </c>
      <c r="BE1275" s="46" t="s">
        <v>2609</v>
      </c>
      <c r="BF1275" s="46" t="s">
        <v>2610</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19.5" customHeight="1">
      <c r="C1276" s="182">
        <v>62000040</v>
      </c>
      <c r="D1276" s="240" t="s">
        <v>2611</v>
      </c>
      <c r="E1276" s="240" t="s">
        <v>2612</v>
      </c>
      <c r="F1276" s="19">
        <v>1</v>
      </c>
      <c r="G1276" s="17">
        <v>60010100</v>
      </c>
      <c r="H1276" s="19">
        <v>0</v>
      </c>
      <c r="I1276" s="28">
        <v>0</v>
      </c>
      <c r="J1276" s="19">
        <v>1</v>
      </c>
      <c r="K1276" s="19">
        <v>0</v>
      </c>
      <c r="L1276" s="19">
        <v>0</v>
      </c>
      <c r="M1276" s="17">
        <v>0</v>
      </c>
      <c r="N1276" s="17">
        <v>0</v>
      </c>
      <c r="O1276" s="17">
        <v>2</v>
      </c>
      <c r="P1276" s="17">
        <v>1</v>
      </c>
      <c r="Q1276" s="17">
        <v>1</v>
      </c>
      <c r="R1276" s="17">
        <v>0</v>
      </c>
      <c r="S1276" s="13">
        <v>0</v>
      </c>
      <c r="T1276" s="17">
        <v>0</v>
      </c>
      <c r="U1276" s="17">
        <v>1</v>
      </c>
      <c r="V1276" s="17">
        <v>2</v>
      </c>
      <c r="W1276" s="17">
        <v>0</v>
      </c>
      <c r="X1276" s="17">
        <v>1</v>
      </c>
      <c r="Y1276" s="13">
        <v>0</v>
      </c>
      <c r="Z1276" s="17">
        <v>0</v>
      </c>
      <c r="AA1276" s="17">
        <v>0</v>
      </c>
      <c r="AB1276" s="17">
        <v>0</v>
      </c>
      <c r="AC1276" s="17">
        <v>0</v>
      </c>
      <c r="AD1276" s="17">
        <v>0</v>
      </c>
      <c r="AE1276" s="17">
        <v>0</v>
      </c>
      <c r="AF1276" s="17">
        <v>1</v>
      </c>
      <c r="AG1276" s="17">
        <v>1</v>
      </c>
      <c r="AH1276" s="17">
        <v>2</v>
      </c>
      <c r="AI1276" s="13">
        <v>1</v>
      </c>
      <c r="AJ1276" s="13">
        <v>0</v>
      </c>
      <c r="AK1276" s="13">
        <v>0</v>
      </c>
      <c r="AL1276" s="13">
        <v>0</v>
      </c>
      <c r="AM1276" s="17">
        <v>0</v>
      </c>
      <c r="AN1276" s="17">
        <v>0</v>
      </c>
      <c r="AO1276" s="17">
        <v>0</v>
      </c>
      <c r="AP1276" s="17">
        <v>0</v>
      </c>
      <c r="AQ1276" s="17">
        <v>5000</v>
      </c>
      <c r="AR1276" s="17">
        <v>0</v>
      </c>
      <c r="AS1276" s="17">
        <v>0</v>
      </c>
      <c r="AT1276" s="13">
        <v>0</v>
      </c>
      <c r="AU1276" s="17">
        <v>0</v>
      </c>
      <c r="AV1276" s="17"/>
      <c r="AW1276" s="20" t="s">
        <v>256</v>
      </c>
      <c r="AX1276" s="17" t="s">
        <v>534</v>
      </c>
      <c r="AY1276" s="19">
        <v>10000007</v>
      </c>
      <c r="AZ1276" s="19">
        <v>70403006</v>
      </c>
      <c r="BA1276" s="18" t="s">
        <v>200</v>
      </c>
      <c r="BB1276" s="17">
        <v>0</v>
      </c>
      <c r="BC1276" s="28">
        <v>0</v>
      </c>
      <c r="BD1276" s="28">
        <v>0</v>
      </c>
      <c r="BE1276" s="46" t="s">
        <v>2613</v>
      </c>
      <c r="BF1276" s="46" t="s">
        <v>2614</v>
      </c>
      <c r="BG1276" s="17">
        <v>0</v>
      </c>
      <c r="BH1276" s="17">
        <v>0</v>
      </c>
      <c r="BI1276" s="17">
        <v>0</v>
      </c>
      <c r="BJ1276" s="17">
        <v>0</v>
      </c>
      <c r="BK1276" s="17">
        <v>0</v>
      </c>
      <c r="BL1276" s="17">
        <v>0</v>
      </c>
      <c r="BM1276" s="16">
        <v>0</v>
      </c>
      <c r="BN1276" s="13">
        <v>0</v>
      </c>
      <c r="BO1276" s="13">
        <v>0</v>
      </c>
      <c r="BP1276" s="13">
        <v>0</v>
      </c>
      <c r="BQ1276" s="13">
        <v>0</v>
      </c>
      <c r="BR1276" s="13">
        <v>0</v>
      </c>
      <c r="BS1276" s="13">
        <v>0</v>
      </c>
      <c r="BT1276" s="13">
        <v>0</v>
      </c>
      <c r="BU1276" s="49">
        <v>0</v>
      </c>
      <c r="BV1276" s="49"/>
      <c r="BW1276" s="49"/>
    </row>
    <row r="1277" spans="3:75" ht="19.5" customHeight="1">
      <c r="C1277" s="182">
        <v>62000041</v>
      </c>
      <c r="D1277" s="240" t="s">
        <v>2615</v>
      </c>
      <c r="E1277" s="240" t="s">
        <v>2616</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2.5</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92000036</v>
      </c>
      <c r="AV1277" s="17"/>
      <c r="AW1277" s="20" t="s">
        <v>256</v>
      </c>
      <c r="AX1277" s="17" t="s">
        <v>534</v>
      </c>
      <c r="AY1277" s="19">
        <v>10000007</v>
      </c>
      <c r="AZ1277" s="19">
        <v>70403006</v>
      </c>
      <c r="BA1277" s="18" t="s">
        <v>200</v>
      </c>
      <c r="BB1277" s="17">
        <v>0</v>
      </c>
      <c r="BC1277" s="28">
        <v>0</v>
      </c>
      <c r="BD1277" s="28">
        <v>0</v>
      </c>
      <c r="BE1277" s="46" t="s">
        <v>2613</v>
      </c>
      <c r="BF1277" s="46" t="s">
        <v>2614</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spans="3:75" ht="20.100000000000001" customHeight="1">
      <c r="C1278" s="182">
        <v>62000042</v>
      </c>
      <c r="D1278" s="18" t="s">
        <v>2617</v>
      </c>
      <c r="E1278" s="18" t="s">
        <v>2618</v>
      </c>
      <c r="F1278" s="17">
        <v>1</v>
      </c>
      <c r="G1278" s="17">
        <v>60011301</v>
      </c>
      <c r="H1278" s="19">
        <v>0</v>
      </c>
      <c r="I1278" s="28">
        <v>0</v>
      </c>
      <c r="J1278" s="19">
        <v>1</v>
      </c>
      <c r="K1278" s="19">
        <v>0</v>
      </c>
      <c r="L1278" s="19">
        <v>0</v>
      </c>
      <c r="M1278" s="17">
        <v>0</v>
      </c>
      <c r="N1278" s="17">
        <v>0</v>
      </c>
      <c r="O1278" s="17">
        <v>5</v>
      </c>
      <c r="P1278" s="17">
        <v>0</v>
      </c>
      <c r="Q1278" s="17">
        <v>0</v>
      </c>
      <c r="R1278" s="17">
        <v>0</v>
      </c>
      <c r="S1278" s="13">
        <v>0</v>
      </c>
      <c r="T1278" s="17">
        <v>0</v>
      </c>
      <c r="U1278" s="17">
        <v>1</v>
      </c>
      <c r="V1278" s="17">
        <v>2</v>
      </c>
      <c r="W1278" s="17">
        <v>0</v>
      </c>
      <c r="X1278" s="17">
        <v>0</v>
      </c>
      <c r="Y1278" s="13">
        <v>0</v>
      </c>
      <c r="Z1278" s="17">
        <v>0</v>
      </c>
      <c r="AA1278" s="17">
        <v>0</v>
      </c>
      <c r="AB1278" s="17">
        <v>0</v>
      </c>
      <c r="AC1278" s="17">
        <v>0</v>
      </c>
      <c r="AD1278" s="17">
        <v>0</v>
      </c>
      <c r="AE1278" s="17">
        <v>0</v>
      </c>
      <c r="AF1278" s="17">
        <v>9</v>
      </c>
      <c r="AG1278" s="17">
        <v>2</v>
      </c>
      <c r="AH1278" s="17" t="s">
        <v>213</v>
      </c>
      <c r="AI1278" s="13">
        <v>2</v>
      </c>
      <c r="AJ1278" s="13">
        <v>2</v>
      </c>
      <c r="AK1278" s="13">
        <v>0</v>
      </c>
      <c r="AL1278" s="13">
        <v>1.5</v>
      </c>
      <c r="AM1278" s="17">
        <v>0</v>
      </c>
      <c r="AN1278" s="17">
        <v>0</v>
      </c>
      <c r="AO1278" s="17">
        <v>0</v>
      </c>
      <c r="AP1278" s="17">
        <v>0</v>
      </c>
      <c r="AQ1278" s="17">
        <v>3000</v>
      </c>
      <c r="AR1278" s="17">
        <v>0.5</v>
      </c>
      <c r="AS1278" s="17">
        <v>0</v>
      </c>
      <c r="AT1278" s="13">
        <v>0</v>
      </c>
      <c r="AU1278" s="17" t="s">
        <v>198</v>
      </c>
      <c r="AV1278" s="17"/>
      <c r="AW1278" s="18" t="s">
        <v>199</v>
      </c>
      <c r="AX1278" s="17">
        <v>0</v>
      </c>
      <c r="AY1278" s="19">
        <v>0</v>
      </c>
      <c r="AZ1278" s="19">
        <v>0</v>
      </c>
      <c r="BA1278" s="18" t="s">
        <v>200</v>
      </c>
      <c r="BB1278" s="17" t="s">
        <v>2619</v>
      </c>
      <c r="BC1278" s="28">
        <v>0</v>
      </c>
      <c r="BD1278" s="28">
        <v>0</v>
      </c>
      <c r="BE1278" s="46" t="s">
        <v>2620</v>
      </c>
      <c r="BF1278" s="46" t="s">
        <v>2621</v>
      </c>
      <c r="BG1278" s="17"/>
      <c r="BH1278" s="17">
        <v>0</v>
      </c>
      <c r="BI1278" s="17"/>
      <c r="BJ1278" s="17"/>
      <c r="BK1278" s="17"/>
      <c r="BL1278" s="19"/>
      <c r="BM1278" s="17">
        <v>0</v>
      </c>
      <c r="BN1278" s="13">
        <v>0</v>
      </c>
      <c r="BO1278" s="13">
        <v>0</v>
      </c>
      <c r="BP1278" s="13">
        <v>0</v>
      </c>
      <c r="BQ1278" s="13">
        <v>0</v>
      </c>
      <c r="BR1278" s="13">
        <v>0</v>
      </c>
      <c r="BS1278" s="13">
        <v>0</v>
      </c>
      <c r="BT1278" s="13">
        <v>0</v>
      </c>
      <c r="BU1278" s="49">
        <v>0</v>
      </c>
      <c r="BV1278" s="49"/>
      <c r="BW1278" s="49"/>
    </row>
    <row r="1279" spans="3:75" ht="20.100000000000001" customHeight="1">
      <c r="C1279" s="13">
        <v>62000061</v>
      </c>
      <c r="D1279" s="14" t="s">
        <v>2622</v>
      </c>
      <c r="E1279" s="14" t="s">
        <v>1671</v>
      </c>
      <c r="F1279" s="13">
        <v>1</v>
      </c>
      <c r="G1279" s="13">
        <v>40001</v>
      </c>
      <c r="H1279" s="13">
        <v>0</v>
      </c>
      <c r="I1279" s="13">
        <v>0</v>
      </c>
      <c r="J1279" s="13">
        <v>1</v>
      </c>
      <c r="K1279" s="13">
        <v>0</v>
      </c>
      <c r="L1279" s="17">
        <v>0</v>
      </c>
      <c r="M1279" s="13">
        <v>0</v>
      </c>
      <c r="N1279" s="13">
        <v>0</v>
      </c>
      <c r="O1279" s="13">
        <v>1</v>
      </c>
      <c r="P1279" s="13">
        <v>0</v>
      </c>
      <c r="Q1279" s="13">
        <v>0</v>
      </c>
      <c r="R1279" s="13">
        <v>0</v>
      </c>
      <c r="S1279" s="13">
        <v>0</v>
      </c>
      <c r="T1279" s="13">
        <v>0</v>
      </c>
      <c r="U1279" s="13">
        <v>1</v>
      </c>
      <c r="V1279" s="13">
        <v>2</v>
      </c>
      <c r="W1279" s="13">
        <v>0</v>
      </c>
      <c r="X1279" s="13">
        <v>4</v>
      </c>
      <c r="Y1279" s="13">
        <v>0</v>
      </c>
      <c r="Z1279" s="13">
        <v>0</v>
      </c>
      <c r="AA1279" s="13">
        <v>0</v>
      </c>
      <c r="AB1279" s="13">
        <v>0</v>
      </c>
      <c r="AC1279" s="13">
        <v>0</v>
      </c>
      <c r="AD1279" s="13">
        <v>0</v>
      </c>
      <c r="AE1279" s="13">
        <v>0</v>
      </c>
      <c r="AF1279" s="13">
        <v>7</v>
      </c>
      <c r="AG1279" s="13">
        <v>0</v>
      </c>
      <c r="AH1279" s="13">
        <v>0</v>
      </c>
      <c r="AI1279" s="13">
        <v>7</v>
      </c>
      <c r="AJ1279" s="13">
        <v>0</v>
      </c>
      <c r="AK1279" s="13">
        <v>0</v>
      </c>
      <c r="AL1279" s="13">
        <v>6</v>
      </c>
      <c r="AM1279" s="13">
        <v>0</v>
      </c>
      <c r="AN1279" s="13">
        <v>0</v>
      </c>
      <c r="AO1279" s="13">
        <v>0</v>
      </c>
      <c r="AP1279" s="13">
        <v>0.5</v>
      </c>
      <c r="AQ1279" s="13">
        <v>1000</v>
      </c>
      <c r="AR1279" s="13">
        <v>0</v>
      </c>
      <c r="AS1279" s="13">
        <v>0</v>
      </c>
      <c r="AT1279" s="13">
        <v>0</v>
      </c>
      <c r="AU1279" s="13">
        <v>0</v>
      </c>
      <c r="AV1279" s="13"/>
      <c r="AW1279" s="14" t="s">
        <v>256</v>
      </c>
      <c r="AX1279" s="13" t="s">
        <v>1672</v>
      </c>
      <c r="AY1279" s="13" t="s">
        <v>198</v>
      </c>
      <c r="AZ1279" s="13" t="s">
        <v>2532</v>
      </c>
      <c r="BA1279" s="14" t="s">
        <v>200</v>
      </c>
      <c r="BB1279" s="13">
        <v>0</v>
      </c>
      <c r="BC1279" s="13">
        <v>0</v>
      </c>
      <c r="BD1279" s="13">
        <v>0</v>
      </c>
      <c r="BE1279" s="44" t="s">
        <v>2623</v>
      </c>
      <c r="BF1279" s="44" t="s">
        <v>2624</v>
      </c>
      <c r="BG1279" s="13">
        <v>0</v>
      </c>
      <c r="BH1279" s="13">
        <v>0</v>
      </c>
      <c r="BI1279" s="13">
        <v>0</v>
      </c>
      <c r="BJ1279" s="13">
        <v>0</v>
      </c>
      <c r="BK1279" s="13">
        <v>0</v>
      </c>
      <c r="BL1279" s="13">
        <v>0</v>
      </c>
      <c r="BM1279" s="188">
        <v>0</v>
      </c>
      <c r="BN1279" s="13">
        <v>0</v>
      </c>
      <c r="BO1279" s="13">
        <v>0</v>
      </c>
      <c r="BP1279" s="13">
        <v>0</v>
      </c>
      <c r="BQ1279" s="13">
        <v>0</v>
      </c>
      <c r="BR1279" s="13">
        <v>0</v>
      </c>
      <c r="BS1279" s="13">
        <v>0</v>
      </c>
      <c r="BT1279" s="13">
        <v>0</v>
      </c>
      <c r="BU1279" s="49">
        <v>0</v>
      </c>
      <c r="BV1279" s="49"/>
      <c r="BW1279" s="49"/>
    </row>
    <row r="1280" spans="3:75" ht="20.100000000000001" customHeight="1">
      <c r="C1280" s="13">
        <v>62000062</v>
      </c>
      <c r="D1280" s="238" t="s">
        <v>2625</v>
      </c>
      <c r="E1280" s="238" t="s">
        <v>2626</v>
      </c>
      <c r="F1280" s="239">
        <v>1</v>
      </c>
      <c r="G1280" s="13">
        <v>40003</v>
      </c>
      <c r="H1280" s="239">
        <v>0</v>
      </c>
      <c r="I1280" s="239">
        <v>0</v>
      </c>
      <c r="J1280" s="239">
        <v>1</v>
      </c>
      <c r="K1280" s="239">
        <v>0</v>
      </c>
      <c r="L1280" s="239">
        <v>0</v>
      </c>
      <c r="M1280" s="239">
        <v>0</v>
      </c>
      <c r="N1280" s="239">
        <v>0</v>
      </c>
      <c r="O1280" s="239">
        <v>2</v>
      </c>
      <c r="P1280" s="239">
        <v>7</v>
      </c>
      <c r="Q1280" s="239">
        <v>0.2</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3</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239">
        <v>92000038</v>
      </c>
      <c r="AU1280" s="239" t="s">
        <v>198</v>
      </c>
      <c r="AV1280" s="239"/>
      <c r="AW1280" s="238" t="s">
        <v>199</v>
      </c>
      <c r="AX1280" s="239" t="s">
        <v>1814</v>
      </c>
      <c r="AY1280" s="239">
        <v>0</v>
      </c>
      <c r="AZ1280" s="239">
        <v>40000003</v>
      </c>
      <c r="BA1280" s="238" t="s">
        <v>200</v>
      </c>
      <c r="BB1280" s="239" t="s">
        <v>198</v>
      </c>
      <c r="BC1280" s="239">
        <v>0</v>
      </c>
      <c r="BD1280" s="239">
        <v>0</v>
      </c>
      <c r="BE1280" s="241" t="s">
        <v>2627</v>
      </c>
      <c r="BF1280" s="241" t="s">
        <v>2628</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pans="1:75" ht="20.100000000000001" customHeight="1">
      <c r="C1281" s="13">
        <v>62000063</v>
      </c>
      <c r="D1281" s="14" t="s">
        <v>2629</v>
      </c>
      <c r="E1281" s="14" t="s">
        <v>2630</v>
      </c>
      <c r="F1281" s="13">
        <v>1</v>
      </c>
      <c r="G1281" s="13">
        <v>40011</v>
      </c>
      <c r="H1281" s="13">
        <v>0</v>
      </c>
      <c r="I1281" s="13">
        <v>0</v>
      </c>
      <c r="J1281" s="13">
        <v>1</v>
      </c>
      <c r="K1281" s="13">
        <v>0</v>
      </c>
      <c r="L1281" s="17">
        <v>0</v>
      </c>
      <c r="M1281" s="13">
        <v>0</v>
      </c>
      <c r="N1281" s="13">
        <v>0</v>
      </c>
      <c r="O1281" s="13">
        <v>2</v>
      </c>
      <c r="P1281" s="13">
        <v>1</v>
      </c>
      <c r="Q1281" s="13">
        <v>0.1</v>
      </c>
      <c r="R1281" s="13">
        <v>0</v>
      </c>
      <c r="S1281" s="13">
        <v>0</v>
      </c>
      <c r="T1281" s="13">
        <v>0</v>
      </c>
      <c r="U1281" s="13">
        <v>1</v>
      </c>
      <c r="V1281" s="13">
        <v>2</v>
      </c>
      <c r="W1281" s="13">
        <v>0</v>
      </c>
      <c r="X1281" s="13">
        <v>0</v>
      </c>
      <c r="Y1281" s="13">
        <v>0</v>
      </c>
      <c r="Z1281" s="13">
        <v>0</v>
      </c>
      <c r="AA1281" s="13">
        <v>0</v>
      </c>
      <c r="AB1281" s="13">
        <v>0</v>
      </c>
      <c r="AC1281" s="13">
        <v>0</v>
      </c>
      <c r="AD1281" s="13">
        <v>1</v>
      </c>
      <c r="AE1281" s="13">
        <v>0</v>
      </c>
      <c r="AF1281" s="13">
        <v>1</v>
      </c>
      <c r="AG1281" s="13">
        <v>0</v>
      </c>
      <c r="AH1281" s="13">
        <v>0</v>
      </c>
      <c r="AI1281" s="13">
        <v>7</v>
      </c>
      <c r="AJ1281" s="13">
        <v>0</v>
      </c>
      <c r="AK1281" s="13">
        <v>0</v>
      </c>
      <c r="AL1281" s="13">
        <v>0</v>
      </c>
      <c r="AM1281" s="13">
        <v>0</v>
      </c>
      <c r="AN1281" s="13">
        <v>0</v>
      </c>
      <c r="AO1281" s="13">
        <v>0</v>
      </c>
      <c r="AP1281" s="13">
        <v>0</v>
      </c>
      <c r="AQ1281" s="13">
        <v>1000</v>
      </c>
      <c r="AR1281" s="13">
        <v>0</v>
      </c>
      <c r="AS1281" s="13">
        <v>0</v>
      </c>
      <c r="AT1281" s="13">
        <v>0</v>
      </c>
      <c r="AU1281" s="13">
        <v>95100001</v>
      </c>
      <c r="AV1281" s="13"/>
      <c r="AW1281" s="14" t="s">
        <v>199</v>
      </c>
      <c r="AX1281" s="13" t="s">
        <v>1814</v>
      </c>
      <c r="AY1281" s="13">
        <v>0</v>
      </c>
      <c r="AZ1281" s="13">
        <v>0</v>
      </c>
      <c r="BA1281" s="14" t="s">
        <v>200</v>
      </c>
      <c r="BB1281" s="14" t="s">
        <v>198</v>
      </c>
      <c r="BC1281" s="13">
        <v>0</v>
      </c>
      <c r="BD1281" s="13">
        <v>0</v>
      </c>
      <c r="BE1281" s="44" t="s">
        <v>2631</v>
      </c>
      <c r="BF1281" s="44" t="s">
        <v>2632</v>
      </c>
      <c r="BG1281" s="13">
        <v>0</v>
      </c>
      <c r="BH1281" s="13">
        <v>0</v>
      </c>
      <c r="BI1281" s="13">
        <v>0</v>
      </c>
      <c r="BJ1281" s="13">
        <v>0</v>
      </c>
      <c r="BK1281" s="13">
        <v>0</v>
      </c>
      <c r="BL1281" s="13">
        <v>0</v>
      </c>
      <c r="BM1281" s="188">
        <v>0</v>
      </c>
      <c r="BN1281" s="13">
        <v>1</v>
      </c>
      <c r="BO1281" s="13">
        <v>0</v>
      </c>
      <c r="BP1281" s="13">
        <v>0</v>
      </c>
      <c r="BQ1281" s="13">
        <v>0</v>
      </c>
      <c r="BR1281" s="13">
        <v>0</v>
      </c>
      <c r="BS1281" s="13">
        <v>0</v>
      </c>
      <c r="BT1281" s="13">
        <v>0</v>
      </c>
      <c r="BU1281" s="49">
        <v>0</v>
      </c>
      <c r="BV1281" s="49"/>
      <c r="BW1281" s="49"/>
    </row>
    <row r="1282" spans="1:75" ht="20.25" customHeight="1">
      <c r="C1282" s="13">
        <v>62000064</v>
      </c>
      <c r="D1282" s="65" t="s">
        <v>2633</v>
      </c>
      <c r="E1282" s="65" t="s">
        <v>2634</v>
      </c>
      <c r="F1282" s="66">
        <v>1</v>
      </c>
      <c r="G1282" s="66">
        <v>40062</v>
      </c>
      <c r="H1282" s="66">
        <v>0</v>
      </c>
      <c r="I1282" s="68">
        <v>0</v>
      </c>
      <c r="J1282" s="66">
        <v>1</v>
      </c>
      <c r="K1282" s="66">
        <v>0</v>
      </c>
      <c r="L1282" s="62">
        <v>0</v>
      </c>
      <c r="M1282" s="66">
        <v>0</v>
      </c>
      <c r="N1282" s="66">
        <v>0</v>
      </c>
      <c r="O1282" s="66">
        <v>2</v>
      </c>
      <c r="P1282" s="66">
        <v>3</v>
      </c>
      <c r="Q1282" s="66">
        <v>0.15</v>
      </c>
      <c r="R1282" s="66">
        <v>0</v>
      </c>
      <c r="S1282" s="70">
        <v>0</v>
      </c>
      <c r="T1282" s="68">
        <v>0</v>
      </c>
      <c r="U1282" s="62">
        <v>1</v>
      </c>
      <c r="V1282" s="66">
        <v>2</v>
      </c>
      <c r="W1282" s="66">
        <v>0</v>
      </c>
      <c r="X1282" s="66">
        <v>3.5</v>
      </c>
      <c r="Y1282" s="13">
        <v>0</v>
      </c>
      <c r="Z1282" s="66">
        <v>2000</v>
      </c>
      <c r="AA1282" s="66">
        <v>0</v>
      </c>
      <c r="AB1282" s="66">
        <v>0</v>
      </c>
      <c r="AC1282" s="66">
        <v>0</v>
      </c>
      <c r="AD1282" s="66">
        <v>1</v>
      </c>
      <c r="AE1282" s="66">
        <v>0</v>
      </c>
      <c r="AF1282" s="66">
        <v>5</v>
      </c>
      <c r="AG1282" s="66">
        <v>1</v>
      </c>
      <c r="AH1282" s="66">
        <v>3.5</v>
      </c>
      <c r="AI1282" s="70">
        <v>0</v>
      </c>
      <c r="AJ1282" s="70">
        <v>0</v>
      </c>
      <c r="AK1282" s="13">
        <v>0</v>
      </c>
      <c r="AL1282" s="70">
        <v>4</v>
      </c>
      <c r="AM1282" s="66">
        <v>0</v>
      </c>
      <c r="AN1282" s="66">
        <v>0</v>
      </c>
      <c r="AO1282" s="66">
        <v>0</v>
      </c>
      <c r="AP1282" s="66">
        <v>0</v>
      </c>
      <c r="AQ1282" s="66">
        <v>3000</v>
      </c>
      <c r="AR1282" s="66">
        <v>0</v>
      </c>
      <c r="AS1282" s="66">
        <v>0</v>
      </c>
      <c r="AT1282" s="70">
        <v>0</v>
      </c>
      <c r="AU1282" s="66">
        <v>92005001</v>
      </c>
      <c r="AV1282" s="66"/>
      <c r="AW1282" s="61" t="s">
        <v>199</v>
      </c>
      <c r="AX1282" s="66" t="s">
        <v>534</v>
      </c>
      <c r="AY1282" s="66">
        <v>10000009</v>
      </c>
      <c r="AZ1282" s="66">
        <v>21100050</v>
      </c>
      <c r="BA1282" s="65" t="s">
        <v>200</v>
      </c>
      <c r="BB1282" s="65">
        <v>0</v>
      </c>
      <c r="BC1282" s="68">
        <v>0</v>
      </c>
      <c r="BD1282" s="68">
        <v>0</v>
      </c>
      <c r="BE1282" s="123" t="str">
        <f>"受到伤害有一定概率立即对自身范围内的怪物造成"&amp;X1282*100&amp;"%攻击伤害+"&amp;Z1282&amp;",并击退周围附近敌方目标"</f>
        <v>受到伤害有一定概率立即对自身范围内的怪物造成350%攻击伤害+2000,并击退周围附近敌方目标</v>
      </c>
      <c r="BF1282" s="123" t="s">
        <v>2635</v>
      </c>
      <c r="BG1282" s="66">
        <v>0</v>
      </c>
      <c r="BH1282" s="62">
        <v>0</v>
      </c>
      <c r="BI1282" s="66">
        <v>0</v>
      </c>
      <c r="BJ1282" s="66">
        <v>0</v>
      </c>
      <c r="BK1282" s="66">
        <v>0</v>
      </c>
      <c r="BL1282" s="66">
        <v>0</v>
      </c>
      <c r="BM1282" s="95">
        <v>0</v>
      </c>
      <c r="BN1282" s="13">
        <v>1</v>
      </c>
      <c r="BO1282" s="13">
        <v>0</v>
      </c>
      <c r="BP1282" s="13">
        <v>0</v>
      </c>
      <c r="BQ1282" s="13">
        <v>0</v>
      </c>
      <c r="BR1282" s="13">
        <v>0</v>
      </c>
      <c r="BS1282" s="13">
        <v>0</v>
      </c>
      <c r="BT1282" s="13">
        <v>0</v>
      </c>
      <c r="BU1282" s="49">
        <v>0</v>
      </c>
      <c r="BV1282" s="49"/>
      <c r="BW1282" s="49"/>
    </row>
    <row r="1283" spans="1:75" ht="20.25" customHeight="1">
      <c r="C1283" s="13">
        <v>62000065</v>
      </c>
      <c r="D1283" s="65" t="s">
        <v>2636</v>
      </c>
      <c r="E1283" s="65" t="s">
        <v>2637</v>
      </c>
      <c r="F1283" s="66">
        <v>1</v>
      </c>
      <c r="G1283" s="66">
        <v>40012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18</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92000039</v>
      </c>
      <c r="AU1283" s="66">
        <v>92000040</v>
      </c>
      <c r="AV1283" s="66"/>
      <c r="AW1283" s="61" t="s">
        <v>199</v>
      </c>
      <c r="AX1283" s="66" t="s">
        <v>534</v>
      </c>
      <c r="AY1283" s="66">
        <v>10000009</v>
      </c>
      <c r="AZ1283" s="66">
        <v>21100050</v>
      </c>
      <c r="BA1283" s="65" t="s">
        <v>200</v>
      </c>
      <c r="BB1283" s="65">
        <v>0</v>
      </c>
      <c r="BC1283" s="68">
        <v>0</v>
      </c>
      <c r="BD1283" s="68">
        <v>0</v>
      </c>
      <c r="BE1283" s="123" t="str">
        <f>"立即恢复自身10%血量,受到伤害有一定概率立即对自身范围内的怪物造成"&amp;X1283*100&amp;"%攻击伤害+"&amp;Z1283&amp;",并对造成2秒眩晕"</f>
        <v>立即恢复自身10%血量,受到伤害有一定概率立即对自身范围内的怪物造成350%攻击伤害+2000,并对造成2秒眩晕</v>
      </c>
      <c r="BF1283" s="123" t="s">
        <v>2638</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spans="1:75" ht="20.100000000000001" customHeight="1">
      <c r="C1284" s="239">
        <v>62000066</v>
      </c>
      <c r="D1284" s="238" t="s">
        <v>2639</v>
      </c>
      <c r="E1284" s="238" t="s">
        <v>2640</v>
      </c>
      <c r="F1284" s="239">
        <v>1</v>
      </c>
      <c r="G1284" s="239">
        <v>40021</v>
      </c>
      <c r="H1284" s="239">
        <v>0</v>
      </c>
      <c r="I1284" s="239">
        <v>0</v>
      </c>
      <c r="J1284" s="239">
        <v>1</v>
      </c>
      <c r="K1284" s="239">
        <v>0</v>
      </c>
      <c r="L1284" s="239">
        <v>0</v>
      </c>
      <c r="M1284" s="239">
        <v>0</v>
      </c>
      <c r="N1284" s="239">
        <v>0</v>
      </c>
      <c r="O1284" s="239">
        <v>2</v>
      </c>
      <c r="P1284" s="239">
        <v>1</v>
      </c>
      <c r="Q1284" s="239">
        <v>1</v>
      </c>
      <c r="R1284" s="239">
        <v>0</v>
      </c>
      <c r="S1284" s="239">
        <v>0</v>
      </c>
      <c r="T1284" s="239">
        <v>0</v>
      </c>
      <c r="U1284" s="239">
        <v>1</v>
      </c>
      <c r="V1284" s="239">
        <v>2</v>
      </c>
      <c r="W1284" s="239">
        <v>0</v>
      </c>
      <c r="X1284" s="239">
        <v>0</v>
      </c>
      <c r="Y1284" s="13">
        <v>0</v>
      </c>
      <c r="Z1284" s="239">
        <v>0</v>
      </c>
      <c r="AA1284" s="239">
        <v>0</v>
      </c>
      <c r="AB1284" s="239">
        <v>0</v>
      </c>
      <c r="AC1284" s="239">
        <v>0</v>
      </c>
      <c r="AD1284" s="239">
        <v>1</v>
      </c>
      <c r="AE1284" s="239">
        <v>0</v>
      </c>
      <c r="AF1284" s="239">
        <v>1</v>
      </c>
      <c r="AG1284" s="239">
        <v>0</v>
      </c>
      <c r="AH1284" s="239">
        <v>0</v>
      </c>
      <c r="AI1284" s="239">
        <v>2</v>
      </c>
      <c r="AJ1284" s="239">
        <v>0</v>
      </c>
      <c r="AK1284" s="239">
        <v>0</v>
      </c>
      <c r="AL1284" s="239">
        <v>0</v>
      </c>
      <c r="AM1284" s="239">
        <v>0</v>
      </c>
      <c r="AN1284" s="239">
        <v>0</v>
      </c>
      <c r="AO1284" s="239">
        <v>0</v>
      </c>
      <c r="AP1284" s="239">
        <v>0</v>
      </c>
      <c r="AQ1284" s="239">
        <v>1000</v>
      </c>
      <c r="AR1284" s="239">
        <v>0</v>
      </c>
      <c r="AS1284" s="239">
        <v>0</v>
      </c>
      <c r="AT1284" s="374" t="s">
        <v>2641</v>
      </c>
      <c r="AU1284" s="239" t="s">
        <v>198</v>
      </c>
      <c r="AV1284" s="239"/>
      <c r="AW1284" s="238" t="s">
        <v>199</v>
      </c>
      <c r="AX1284" s="239" t="s">
        <v>1814</v>
      </c>
      <c r="AY1284" s="239">
        <v>0</v>
      </c>
      <c r="AZ1284" s="239">
        <v>40000003</v>
      </c>
      <c r="BA1284" s="238" t="s">
        <v>200</v>
      </c>
      <c r="BB1284" s="239" t="s">
        <v>198</v>
      </c>
      <c r="BC1284" s="239">
        <v>0</v>
      </c>
      <c r="BD1284" s="239">
        <v>0</v>
      </c>
      <c r="BE1284" s="241" t="s">
        <v>2642</v>
      </c>
      <c r="BF1284" s="241" t="s">
        <v>2643</v>
      </c>
      <c r="BG1284" s="239">
        <v>0</v>
      </c>
      <c r="BH1284" s="239">
        <v>0</v>
      </c>
      <c r="BI1284" s="239">
        <v>0</v>
      </c>
      <c r="BJ1284" s="239">
        <v>0</v>
      </c>
      <c r="BK1284" s="239">
        <v>0</v>
      </c>
      <c r="BL1284" s="239">
        <v>0</v>
      </c>
      <c r="BM1284" s="244">
        <v>0</v>
      </c>
      <c r="BN1284" s="239">
        <v>1</v>
      </c>
      <c r="BO1284" s="13">
        <v>0</v>
      </c>
      <c r="BP1284" s="13">
        <v>0</v>
      </c>
      <c r="BQ1284" s="13">
        <v>0</v>
      </c>
      <c r="BR1284" s="13">
        <v>0</v>
      </c>
      <c r="BS1284" s="13">
        <v>0</v>
      </c>
      <c r="BT1284" s="13">
        <v>0</v>
      </c>
      <c r="BU1284" s="49">
        <v>0</v>
      </c>
      <c r="BV1284" s="49"/>
      <c r="BW1284" s="49"/>
    </row>
    <row r="1285" spans="1:75" s="4" customFormat="1" ht="20.100000000000001" customHeight="1">
      <c r="A1285" s="231"/>
      <c r="B1285" s="231"/>
      <c r="C1285" s="13">
        <v>62000067</v>
      </c>
      <c r="D1285" s="51" t="s">
        <v>2336</v>
      </c>
      <c r="E1285" s="51" t="s">
        <v>2337</v>
      </c>
      <c r="F1285" s="213">
        <v>1</v>
      </c>
      <c r="G1285" s="50">
        <v>40042</v>
      </c>
      <c r="H1285" s="50">
        <v>0</v>
      </c>
      <c r="I1285" s="50">
        <v>0</v>
      </c>
      <c r="J1285" s="17">
        <v>1</v>
      </c>
      <c r="K1285" s="50">
        <v>0</v>
      </c>
      <c r="L1285" s="50">
        <v>0</v>
      </c>
      <c r="M1285" s="50">
        <v>0</v>
      </c>
      <c r="N1285" s="50">
        <v>0</v>
      </c>
      <c r="O1285" s="50">
        <v>1</v>
      </c>
      <c r="P1285" s="50">
        <v>0</v>
      </c>
      <c r="Q1285" s="50">
        <v>0</v>
      </c>
      <c r="R1285" s="50">
        <v>0</v>
      </c>
      <c r="S1285" s="50">
        <v>0</v>
      </c>
      <c r="T1285" s="50">
        <v>0</v>
      </c>
      <c r="U1285" s="50">
        <v>1</v>
      </c>
      <c r="V1285" s="50">
        <v>1</v>
      </c>
      <c r="W1285" s="50">
        <v>0</v>
      </c>
      <c r="X1285" s="50">
        <v>3.5</v>
      </c>
      <c r="Y1285" s="13">
        <v>0</v>
      </c>
      <c r="Z1285" s="50">
        <v>0</v>
      </c>
      <c r="AA1285" s="50">
        <v>0</v>
      </c>
      <c r="AB1285" s="50">
        <v>0</v>
      </c>
      <c r="AC1285" s="50">
        <v>0</v>
      </c>
      <c r="AD1285" s="50">
        <v>0</v>
      </c>
      <c r="AE1285" s="50">
        <v>0</v>
      </c>
      <c r="AF1285" s="50">
        <v>12</v>
      </c>
      <c r="AG1285" s="50">
        <v>1</v>
      </c>
      <c r="AH1285" s="50">
        <v>3</v>
      </c>
      <c r="AI1285" s="50">
        <v>3</v>
      </c>
      <c r="AJ1285" s="50">
        <v>0</v>
      </c>
      <c r="AK1285" s="50">
        <v>0</v>
      </c>
      <c r="AL1285" s="50">
        <v>1.5</v>
      </c>
      <c r="AM1285" s="50">
        <v>0</v>
      </c>
      <c r="AN1285" s="50">
        <v>0</v>
      </c>
      <c r="AO1285" s="50">
        <v>0</v>
      </c>
      <c r="AP1285" s="50">
        <v>0.2</v>
      </c>
      <c r="AQ1285" s="50">
        <v>2000</v>
      </c>
      <c r="AR1285" s="50">
        <v>0.4</v>
      </c>
      <c r="AS1285" s="50">
        <v>0</v>
      </c>
      <c r="AT1285" s="50">
        <v>0</v>
      </c>
      <c r="AU1285" s="375" t="s">
        <v>2644</v>
      </c>
      <c r="AV1285" s="251"/>
      <c r="AW1285" s="20" t="s">
        <v>198</v>
      </c>
      <c r="AX1285" s="50" t="s">
        <v>545</v>
      </c>
      <c r="AY1285" s="50">
        <v>10000001</v>
      </c>
      <c r="AZ1285" s="50">
        <v>77005302</v>
      </c>
      <c r="BA1285" s="51" t="s">
        <v>200</v>
      </c>
      <c r="BB1285" s="50" t="s">
        <v>2645</v>
      </c>
      <c r="BC1285" s="50">
        <v>0</v>
      </c>
      <c r="BD1285" s="50">
        <v>0</v>
      </c>
      <c r="BE1285" s="55" t="s">
        <v>2646</v>
      </c>
      <c r="BF1285" s="55" t="s">
        <v>2647</v>
      </c>
      <c r="BG1285" s="50">
        <v>0</v>
      </c>
      <c r="BH1285" s="50">
        <v>0</v>
      </c>
      <c r="BI1285" s="50">
        <v>0</v>
      </c>
      <c r="BJ1285" s="50">
        <v>0</v>
      </c>
      <c r="BK1285" s="50">
        <v>0</v>
      </c>
      <c r="BL1285" s="50">
        <v>0</v>
      </c>
      <c r="BM1285" s="235">
        <v>0</v>
      </c>
      <c r="BN1285" s="50">
        <v>0</v>
      </c>
      <c r="BO1285" s="50">
        <v>0</v>
      </c>
      <c r="BP1285" s="50">
        <v>0</v>
      </c>
      <c r="BQ1285" s="50">
        <v>0</v>
      </c>
      <c r="BR1285" s="50">
        <v>0</v>
      </c>
      <c r="BS1285" s="50">
        <v>1</v>
      </c>
      <c r="BT1285" s="50">
        <v>0</v>
      </c>
      <c r="BU1285" s="50">
        <v>0</v>
      </c>
      <c r="BV1285" s="49"/>
      <c r="BW1285" s="49"/>
    </row>
    <row r="1286" spans="1:75" ht="20.100000000000001" customHeight="1">
      <c r="C1286" s="13">
        <v>62000068</v>
      </c>
      <c r="D1286" s="18" t="s">
        <v>2606</v>
      </c>
      <c r="E1286" s="18" t="s">
        <v>2607</v>
      </c>
      <c r="F1286" s="17">
        <v>1</v>
      </c>
      <c r="G1286" s="17">
        <v>40033</v>
      </c>
      <c r="H1286" s="19">
        <v>0</v>
      </c>
      <c r="I1286" s="28">
        <v>0</v>
      </c>
      <c r="J1286" s="19">
        <v>1</v>
      </c>
      <c r="K1286" s="19">
        <v>0</v>
      </c>
      <c r="L1286" s="19">
        <v>0</v>
      </c>
      <c r="M1286" s="17">
        <v>0</v>
      </c>
      <c r="N1286" s="17">
        <v>0</v>
      </c>
      <c r="O1286" s="17">
        <v>5</v>
      </c>
      <c r="P1286" s="17">
        <v>0</v>
      </c>
      <c r="Q1286" s="17">
        <v>0</v>
      </c>
      <c r="R1286" s="17">
        <v>0</v>
      </c>
      <c r="S1286" s="13">
        <v>0</v>
      </c>
      <c r="T1286" s="17">
        <v>0</v>
      </c>
      <c r="U1286" s="17">
        <v>1</v>
      </c>
      <c r="V1286" s="17">
        <v>2</v>
      </c>
      <c r="W1286" s="17">
        <v>0</v>
      </c>
      <c r="X1286" s="17">
        <v>0</v>
      </c>
      <c r="Y1286" s="13">
        <v>0</v>
      </c>
      <c r="Z1286" s="17">
        <v>0</v>
      </c>
      <c r="AA1286" s="17">
        <v>0</v>
      </c>
      <c r="AB1286" s="17">
        <v>0</v>
      </c>
      <c r="AC1286" s="17">
        <v>0</v>
      </c>
      <c r="AD1286" s="17">
        <v>0</v>
      </c>
      <c r="AE1286" s="17">
        <v>0</v>
      </c>
      <c r="AF1286" s="17">
        <v>9</v>
      </c>
      <c r="AG1286" s="17">
        <v>2</v>
      </c>
      <c r="AH1286" s="17" t="s">
        <v>213</v>
      </c>
      <c r="AI1286" s="13">
        <v>2</v>
      </c>
      <c r="AJ1286" s="13">
        <v>2</v>
      </c>
      <c r="AK1286" s="13">
        <v>0</v>
      </c>
      <c r="AL1286" s="13">
        <v>1.5</v>
      </c>
      <c r="AM1286" s="17">
        <v>0</v>
      </c>
      <c r="AN1286" s="17">
        <v>0</v>
      </c>
      <c r="AO1286" s="17">
        <v>0</v>
      </c>
      <c r="AP1286" s="17">
        <v>1</v>
      </c>
      <c r="AQ1286" s="17">
        <v>3000</v>
      </c>
      <c r="AR1286" s="17">
        <v>0.5</v>
      </c>
      <c r="AS1286" s="17">
        <v>0</v>
      </c>
      <c r="AT1286" s="13">
        <v>0</v>
      </c>
      <c r="AU1286" s="17" t="s">
        <v>198</v>
      </c>
      <c r="AV1286" s="17"/>
      <c r="AW1286" s="18" t="s">
        <v>199</v>
      </c>
      <c r="AX1286" s="17">
        <v>0</v>
      </c>
      <c r="AY1286" s="19">
        <v>0</v>
      </c>
      <c r="AZ1286" s="19">
        <v>0</v>
      </c>
      <c r="BA1286" s="18" t="s">
        <v>200</v>
      </c>
      <c r="BB1286" s="17" t="s">
        <v>2608</v>
      </c>
      <c r="BC1286" s="28">
        <v>0</v>
      </c>
      <c r="BD1286" s="28">
        <v>1</v>
      </c>
      <c r="BE1286" s="46" t="s">
        <v>2609</v>
      </c>
      <c r="BF1286" s="46" t="s">
        <v>2610</v>
      </c>
      <c r="BG1286" s="17"/>
      <c r="BH1286" s="17">
        <v>0</v>
      </c>
      <c r="BI1286" s="17"/>
      <c r="BJ1286" s="17"/>
      <c r="BK1286" s="17"/>
      <c r="BL1286" s="19"/>
      <c r="BM1286" s="17">
        <v>0</v>
      </c>
      <c r="BN1286" s="13">
        <v>0</v>
      </c>
      <c r="BO1286" s="13">
        <v>0</v>
      </c>
      <c r="BP1286" s="13">
        <v>0</v>
      </c>
      <c r="BQ1286" s="13">
        <v>0</v>
      </c>
      <c r="BR1286" s="13">
        <v>0</v>
      </c>
      <c r="BS1286" s="13">
        <v>0</v>
      </c>
      <c r="BT1286" s="13">
        <v>0</v>
      </c>
      <c r="BU1286" s="49">
        <v>0</v>
      </c>
      <c r="BV1286" s="49"/>
      <c r="BW1286" s="49"/>
    </row>
    <row r="1287" spans="1:75" ht="20.100000000000001" customHeight="1">
      <c r="C1287" s="13">
        <v>62000069</v>
      </c>
      <c r="D1287" s="14" t="s">
        <v>2593</v>
      </c>
      <c r="E1287" s="14" t="s">
        <v>2594</v>
      </c>
      <c r="F1287" s="13">
        <v>1</v>
      </c>
      <c r="G1287" s="13">
        <v>40051</v>
      </c>
      <c r="H1287" s="13">
        <v>0</v>
      </c>
      <c r="I1287" s="13">
        <v>0</v>
      </c>
      <c r="J1287" s="13">
        <v>1</v>
      </c>
      <c r="K1287" s="13">
        <v>0</v>
      </c>
      <c r="L1287" s="17">
        <v>0</v>
      </c>
      <c r="M1287" s="13">
        <v>0</v>
      </c>
      <c r="N1287" s="13">
        <v>0</v>
      </c>
      <c r="O1287" s="13">
        <v>2</v>
      </c>
      <c r="P1287" s="13">
        <v>19</v>
      </c>
      <c r="Q1287" s="13">
        <v>1</v>
      </c>
      <c r="R1287" s="13">
        <v>0</v>
      </c>
      <c r="S1287" s="13">
        <v>0</v>
      </c>
      <c r="T1287" s="13">
        <v>0</v>
      </c>
      <c r="U1287" s="13">
        <v>1</v>
      </c>
      <c r="V1287" s="13">
        <v>2</v>
      </c>
      <c r="W1287" s="13">
        <v>0</v>
      </c>
      <c r="X1287" s="13">
        <v>0</v>
      </c>
      <c r="Y1287" s="13">
        <v>0</v>
      </c>
      <c r="Z1287" s="13">
        <v>0</v>
      </c>
      <c r="AA1287" s="13">
        <v>0</v>
      </c>
      <c r="AB1287" s="13">
        <v>0</v>
      </c>
      <c r="AC1287" s="13">
        <v>0</v>
      </c>
      <c r="AD1287" s="13">
        <v>1</v>
      </c>
      <c r="AE1287" s="13">
        <v>0</v>
      </c>
      <c r="AF1287" s="13">
        <v>1</v>
      </c>
      <c r="AG1287" s="13">
        <v>0</v>
      </c>
      <c r="AH1287" s="13">
        <v>0</v>
      </c>
      <c r="AI1287" s="13">
        <v>2</v>
      </c>
      <c r="AJ1287" s="13">
        <v>0</v>
      </c>
      <c r="AK1287" s="13">
        <v>0</v>
      </c>
      <c r="AL1287" s="13">
        <v>0</v>
      </c>
      <c r="AM1287" s="13">
        <v>0</v>
      </c>
      <c r="AN1287" s="13">
        <v>0</v>
      </c>
      <c r="AO1287" s="13">
        <v>0</v>
      </c>
      <c r="AP1287" s="13">
        <v>0</v>
      </c>
      <c r="AQ1287" s="13">
        <v>1000</v>
      </c>
      <c r="AR1287" s="13">
        <v>0</v>
      </c>
      <c r="AS1287" s="13">
        <v>0</v>
      </c>
      <c r="AT1287" s="13">
        <v>92000043</v>
      </c>
      <c r="AU1287" s="13" t="s">
        <v>198</v>
      </c>
      <c r="AV1287" s="13"/>
      <c r="AW1287" s="14" t="s">
        <v>199</v>
      </c>
      <c r="AX1287" s="13" t="s">
        <v>1814</v>
      </c>
      <c r="AY1287" s="13">
        <v>0</v>
      </c>
      <c r="AZ1287" s="13">
        <v>40000003</v>
      </c>
      <c r="BA1287" s="14" t="s">
        <v>200</v>
      </c>
      <c r="BB1287" s="14" t="s">
        <v>198</v>
      </c>
      <c r="BC1287" s="13">
        <v>0</v>
      </c>
      <c r="BD1287" s="13">
        <v>0</v>
      </c>
      <c r="BE1287" s="44" t="s">
        <v>2595</v>
      </c>
      <c r="BF1287" s="44" t="s">
        <v>2596</v>
      </c>
      <c r="BG1287" s="13">
        <v>0</v>
      </c>
      <c r="BH1287" s="13">
        <v>0</v>
      </c>
      <c r="BI1287" s="13">
        <v>0</v>
      </c>
      <c r="BJ1287" s="13">
        <v>0</v>
      </c>
      <c r="BK1287" s="13">
        <v>0</v>
      </c>
      <c r="BL1287" s="13">
        <v>0</v>
      </c>
      <c r="BM1287" s="188">
        <v>0</v>
      </c>
      <c r="BN1287" s="13">
        <v>1</v>
      </c>
      <c r="BO1287" s="13">
        <v>0</v>
      </c>
      <c r="BP1287" s="13">
        <v>0</v>
      </c>
      <c r="BQ1287" s="13">
        <v>0</v>
      </c>
      <c r="BR1287" s="13">
        <v>0</v>
      </c>
      <c r="BS1287" s="13">
        <v>0</v>
      </c>
      <c r="BT1287" s="13">
        <v>0</v>
      </c>
      <c r="BU1287" s="49">
        <v>0</v>
      </c>
      <c r="BV1287" s="49"/>
      <c r="BW1287" s="49"/>
    </row>
    <row r="1288" spans="1:75" s="1" customFormat="1" ht="19.5" customHeight="1">
      <c r="A1288" s="218"/>
      <c r="B1288" s="218"/>
      <c r="C1288" s="13">
        <v>62000070</v>
      </c>
      <c r="D1288" s="61" t="s">
        <v>2167</v>
      </c>
      <c r="E1288" s="61" t="s">
        <v>2168</v>
      </c>
      <c r="F1288" s="174">
        <v>1</v>
      </c>
      <c r="G1288" s="66">
        <v>40061</v>
      </c>
      <c r="H1288" s="66">
        <v>0</v>
      </c>
      <c r="I1288" s="68">
        <v>0</v>
      </c>
      <c r="J1288" s="17">
        <v>1</v>
      </c>
      <c r="K1288" s="17">
        <v>0</v>
      </c>
      <c r="L1288" s="66">
        <v>0</v>
      </c>
      <c r="M1288" s="62">
        <v>0</v>
      </c>
      <c r="N1288" s="62">
        <v>0</v>
      </c>
      <c r="O1288" s="62">
        <v>2</v>
      </c>
      <c r="P1288" s="62">
        <v>7</v>
      </c>
      <c r="Q1288" s="62">
        <v>0.05</v>
      </c>
      <c r="R1288" s="62">
        <v>0</v>
      </c>
      <c r="S1288" s="70">
        <v>0</v>
      </c>
      <c r="T1288" s="62">
        <v>0</v>
      </c>
      <c r="U1288" s="62">
        <v>1</v>
      </c>
      <c r="V1288" s="62">
        <v>1</v>
      </c>
      <c r="W1288" s="62">
        <v>0</v>
      </c>
      <c r="X1288" s="62">
        <v>0</v>
      </c>
      <c r="Y1288" s="13">
        <v>0</v>
      </c>
      <c r="Z1288" s="62">
        <v>0</v>
      </c>
      <c r="AA1288" s="62">
        <v>0</v>
      </c>
      <c r="AB1288" s="62">
        <v>0</v>
      </c>
      <c r="AC1288" s="62">
        <v>0</v>
      </c>
      <c r="AD1288" s="62">
        <v>0</v>
      </c>
      <c r="AE1288" s="62">
        <v>0</v>
      </c>
      <c r="AF1288" s="62">
        <v>10</v>
      </c>
      <c r="AG1288" s="62">
        <v>0</v>
      </c>
      <c r="AH1288" s="62">
        <v>0</v>
      </c>
      <c r="AI1288" s="70">
        <v>0</v>
      </c>
      <c r="AJ1288" s="70">
        <v>0</v>
      </c>
      <c r="AK1288" s="70">
        <v>0</v>
      </c>
      <c r="AL1288" s="70">
        <v>1.5</v>
      </c>
      <c r="AM1288" s="62">
        <v>0</v>
      </c>
      <c r="AN1288" s="62">
        <v>0</v>
      </c>
      <c r="AO1288" s="62">
        <v>0</v>
      </c>
      <c r="AP1288" s="66">
        <v>0.2</v>
      </c>
      <c r="AQ1288" s="62">
        <v>3000</v>
      </c>
      <c r="AR1288" s="62">
        <v>0.2</v>
      </c>
      <c r="AS1288" s="62">
        <v>0</v>
      </c>
      <c r="AT1288" s="70">
        <v>0</v>
      </c>
      <c r="AU1288" s="62" t="s">
        <v>198</v>
      </c>
      <c r="AV1288" s="62"/>
      <c r="AW1288" s="20" t="s">
        <v>199</v>
      </c>
      <c r="AX1288" s="62" t="s">
        <v>545</v>
      </c>
      <c r="AY1288" s="66">
        <v>0</v>
      </c>
      <c r="AZ1288" s="66">
        <v>21300030</v>
      </c>
      <c r="BA1288" s="61" t="s">
        <v>1174</v>
      </c>
      <c r="BB1288" s="369" t="s">
        <v>2648</v>
      </c>
      <c r="BC1288" s="68">
        <v>0</v>
      </c>
      <c r="BD1288" s="68">
        <v>0</v>
      </c>
      <c r="BE1288" s="92" t="s">
        <v>2170</v>
      </c>
      <c r="BF1288" s="92" t="s">
        <v>2171</v>
      </c>
      <c r="BG1288" s="62">
        <v>0</v>
      </c>
      <c r="BH1288" s="62">
        <v>0</v>
      </c>
      <c r="BI1288" s="62">
        <v>0</v>
      </c>
      <c r="BJ1288" s="62">
        <v>0</v>
      </c>
      <c r="BK1288" s="62">
        <v>0</v>
      </c>
      <c r="BL1288" s="62">
        <v>0</v>
      </c>
      <c r="BM1288" s="95">
        <v>0</v>
      </c>
      <c r="BN1288" s="70">
        <v>0</v>
      </c>
      <c r="BO1288" s="70">
        <v>0</v>
      </c>
      <c r="BP1288" s="70">
        <v>0</v>
      </c>
      <c r="BQ1288" s="70">
        <v>0</v>
      </c>
      <c r="BR1288" s="70">
        <v>0</v>
      </c>
      <c r="BS1288" s="70">
        <v>0</v>
      </c>
      <c r="BT1288" s="70">
        <v>0</v>
      </c>
      <c r="BU1288" s="70">
        <v>0</v>
      </c>
      <c r="BV1288" s="49"/>
      <c r="BW1288" s="49"/>
    </row>
    <row r="1289" spans="1:75" ht="20.25" customHeight="1">
      <c r="C1289" s="19">
        <v>62000101</v>
      </c>
      <c r="D1289" s="20" t="s">
        <v>2649</v>
      </c>
      <c r="E1289" s="20" t="s">
        <v>2650</v>
      </c>
      <c r="F1289" s="19">
        <v>1</v>
      </c>
      <c r="G1289" s="19">
        <v>62000101</v>
      </c>
      <c r="H1289" s="19">
        <v>0</v>
      </c>
      <c r="I1289" s="28">
        <v>0</v>
      </c>
      <c r="J1289" s="19">
        <v>1</v>
      </c>
      <c r="K1289" s="19">
        <v>0</v>
      </c>
      <c r="L1289" s="17">
        <v>0</v>
      </c>
      <c r="M1289" s="19">
        <v>0</v>
      </c>
      <c r="N1289" s="19">
        <v>0</v>
      </c>
      <c r="O1289" s="19">
        <v>1</v>
      </c>
      <c r="P1289" s="19">
        <v>0</v>
      </c>
      <c r="Q1289" s="19">
        <v>0</v>
      </c>
      <c r="R1289" s="19">
        <v>0</v>
      </c>
      <c r="S1289" s="13">
        <v>0</v>
      </c>
      <c r="T1289" s="28">
        <v>0</v>
      </c>
      <c r="U1289" s="17">
        <v>1</v>
      </c>
      <c r="V1289" s="19">
        <v>1</v>
      </c>
      <c r="W1289" s="19">
        <v>0</v>
      </c>
      <c r="X1289" s="19">
        <v>3.5</v>
      </c>
      <c r="Y1289" s="13">
        <v>0</v>
      </c>
      <c r="Z1289" s="19">
        <v>1000</v>
      </c>
      <c r="AA1289" s="19">
        <v>0</v>
      </c>
      <c r="AB1289" s="19">
        <v>0</v>
      </c>
      <c r="AC1289" s="19">
        <v>0</v>
      </c>
      <c r="AD1289" s="19">
        <v>0</v>
      </c>
      <c r="AE1289" s="19">
        <v>0</v>
      </c>
      <c r="AF1289" s="19">
        <v>12</v>
      </c>
      <c r="AG1289" s="19">
        <v>0</v>
      </c>
      <c r="AH1289" s="19">
        <v>3</v>
      </c>
      <c r="AI1289" s="13">
        <v>7</v>
      </c>
      <c r="AJ1289" s="13">
        <v>0</v>
      </c>
      <c r="AK1289" s="13">
        <v>0</v>
      </c>
      <c r="AL1289" s="13">
        <v>10</v>
      </c>
      <c r="AM1289" s="19">
        <v>0</v>
      </c>
      <c r="AN1289" s="19">
        <v>0</v>
      </c>
      <c r="AO1289" s="19">
        <v>0</v>
      </c>
      <c r="AP1289" s="19">
        <v>0</v>
      </c>
      <c r="AQ1289" s="19">
        <v>3000</v>
      </c>
      <c r="AR1289" s="19">
        <v>0.5</v>
      </c>
      <c r="AS1289" s="19">
        <v>20</v>
      </c>
      <c r="AT1289" s="13">
        <v>0</v>
      </c>
      <c r="AU1289" s="19" t="s">
        <v>198</v>
      </c>
      <c r="AV1289" s="19"/>
      <c r="AW1289" s="18" t="s">
        <v>242</v>
      </c>
      <c r="AX1289" s="19" t="s">
        <v>1672</v>
      </c>
      <c r="AY1289" s="19">
        <v>10000011</v>
      </c>
      <c r="AZ1289" s="19">
        <v>20001010</v>
      </c>
      <c r="BA1289" s="20" t="s">
        <v>250</v>
      </c>
      <c r="BB1289" s="20" t="s">
        <v>198</v>
      </c>
      <c r="BC1289" s="28">
        <v>0</v>
      </c>
      <c r="BD1289" s="28">
        <v>0</v>
      </c>
      <c r="BE1289" s="46" t="s">
        <v>2651</v>
      </c>
      <c r="BF1289" s="46" t="s">
        <v>2652</v>
      </c>
      <c r="BG1289" s="19">
        <v>0</v>
      </c>
      <c r="BH1289" s="17">
        <v>0</v>
      </c>
      <c r="BI1289" s="19">
        <v>0</v>
      </c>
      <c r="BJ1289" s="19">
        <v>0</v>
      </c>
      <c r="BK1289" s="19">
        <v>0</v>
      </c>
      <c r="BL1289" s="19">
        <v>0</v>
      </c>
      <c r="BM1289" s="16">
        <v>0</v>
      </c>
      <c r="BN1289" s="13">
        <v>0</v>
      </c>
      <c r="BO1289" s="13">
        <v>0</v>
      </c>
      <c r="BP1289" s="13">
        <v>0</v>
      </c>
      <c r="BQ1289" s="13">
        <v>0</v>
      </c>
      <c r="BR1289" s="13">
        <v>0</v>
      </c>
      <c r="BS1289" s="13">
        <v>0</v>
      </c>
      <c r="BT1289" s="13">
        <v>0</v>
      </c>
      <c r="BU1289" s="49">
        <v>0</v>
      </c>
      <c r="BV1289" s="49"/>
      <c r="BW1289" s="49"/>
    </row>
    <row r="1290" spans="1:75" ht="20.25" customHeight="1">
      <c r="C1290" s="66">
        <v>62000102</v>
      </c>
      <c r="D1290" s="65" t="s">
        <v>1678</v>
      </c>
      <c r="E1290" s="65" t="s">
        <v>1679</v>
      </c>
      <c r="F1290" s="66">
        <v>1</v>
      </c>
      <c r="G1290" s="66">
        <v>62011201</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1.8</v>
      </c>
      <c r="Y1290" s="13">
        <v>0</v>
      </c>
      <c r="Z1290" s="66">
        <v>700</v>
      </c>
      <c r="AA1290" s="66">
        <v>0</v>
      </c>
      <c r="AB1290" s="66">
        <v>0</v>
      </c>
      <c r="AC1290" s="66">
        <v>0</v>
      </c>
      <c r="AD1290" s="66">
        <v>1</v>
      </c>
      <c r="AE1290" s="66">
        <v>0</v>
      </c>
      <c r="AF1290" s="66">
        <v>10</v>
      </c>
      <c r="AG1290" s="66">
        <v>1</v>
      </c>
      <c r="AH1290" s="66">
        <v>1</v>
      </c>
      <c r="AI1290" s="70">
        <v>2</v>
      </c>
      <c r="AJ1290" s="70">
        <v>2</v>
      </c>
      <c r="AK1290" s="13">
        <v>0</v>
      </c>
      <c r="AL1290" s="70">
        <v>4</v>
      </c>
      <c r="AM1290" s="66">
        <v>0</v>
      </c>
      <c r="AN1290" s="66">
        <v>0</v>
      </c>
      <c r="AO1290" s="66">
        <v>0</v>
      </c>
      <c r="AP1290" s="66">
        <v>0.5</v>
      </c>
      <c r="AQ1290" s="66">
        <v>30000</v>
      </c>
      <c r="AR1290" s="66">
        <v>0.5</v>
      </c>
      <c r="AS1290" s="66">
        <v>10</v>
      </c>
      <c r="AT1290" s="70">
        <v>0</v>
      </c>
      <c r="AU1290" s="66">
        <v>92002001</v>
      </c>
      <c r="AV1290" s="66"/>
      <c r="AW1290" s="61" t="s">
        <v>199</v>
      </c>
      <c r="AX1290" s="66" t="s">
        <v>545</v>
      </c>
      <c r="AY1290" s="66">
        <v>10003002</v>
      </c>
      <c r="AZ1290" s="66">
        <v>21100020</v>
      </c>
      <c r="BA1290" s="65" t="s">
        <v>586</v>
      </c>
      <c r="BB1290" s="65">
        <v>0</v>
      </c>
      <c r="BC1290" s="68">
        <v>0</v>
      </c>
      <c r="BD1290" s="68">
        <v>0</v>
      </c>
      <c r="BE1290" s="92" t="str">
        <f t="shared" ref="BE1290" si="141">"立即对目标范围内的怪物造成"&amp;X1290*100&amp;"%攻击伤害+"&amp;Z1290&amp;"点固定伤害"&amp;",并使目标移动速度降低50%,持续3秒"</f>
        <v>立即对目标范围内的怪物造成180%攻击伤害+700点固定伤害,并使目标移动速度降低50%,持续3秒</v>
      </c>
      <c r="BF1290" s="92" t="s">
        <v>2653</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19">
        <v>62000103</v>
      </c>
      <c r="D1291" s="20" t="s">
        <v>2654</v>
      </c>
      <c r="E1291" s="20" t="s">
        <v>2655</v>
      </c>
      <c r="F1291" s="19">
        <v>1</v>
      </c>
      <c r="G1291" s="19">
        <v>62000103</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3.25</v>
      </c>
      <c r="Y1291" s="13">
        <v>0</v>
      </c>
      <c r="Z1291" s="19">
        <v>0</v>
      </c>
      <c r="AA1291" s="19">
        <v>0</v>
      </c>
      <c r="AB1291" s="19">
        <v>0</v>
      </c>
      <c r="AC1291" s="19">
        <v>0</v>
      </c>
      <c r="AD1291" s="19">
        <v>0</v>
      </c>
      <c r="AE1291" s="19">
        <v>0</v>
      </c>
      <c r="AF1291" s="19">
        <v>20</v>
      </c>
      <c r="AG1291" s="19">
        <v>1</v>
      </c>
      <c r="AH1291" s="19">
        <v>4</v>
      </c>
      <c r="AI1291" s="13">
        <v>2</v>
      </c>
      <c r="AJ1291" s="13">
        <v>1</v>
      </c>
      <c r="AK1291" s="13">
        <v>0</v>
      </c>
      <c r="AL1291" s="13">
        <v>6</v>
      </c>
      <c r="AM1291" s="19">
        <v>0</v>
      </c>
      <c r="AN1291" s="19">
        <v>0.5</v>
      </c>
      <c r="AO1291" s="19">
        <v>0</v>
      </c>
      <c r="AP1291" s="19">
        <v>0.5</v>
      </c>
      <c r="AQ1291" s="19">
        <v>30000</v>
      </c>
      <c r="AR1291" s="19">
        <v>0</v>
      </c>
      <c r="AS1291" s="19">
        <v>0</v>
      </c>
      <c r="AT1291" s="13">
        <v>0</v>
      </c>
      <c r="AU1291" s="19">
        <v>93000205</v>
      </c>
      <c r="AV1291" s="19"/>
      <c r="AW1291" s="18" t="s">
        <v>199</v>
      </c>
      <c r="AX1291" s="19" t="s">
        <v>545</v>
      </c>
      <c r="AY1291" s="19">
        <v>10003002</v>
      </c>
      <c r="AZ1291" s="19">
        <v>20001020</v>
      </c>
      <c r="BA1291" s="20" t="s">
        <v>200</v>
      </c>
      <c r="BB1291" s="20">
        <v>0</v>
      </c>
      <c r="BC1291" s="28">
        <v>0</v>
      </c>
      <c r="BD1291" s="28">
        <v>0</v>
      </c>
      <c r="BE1291" s="46" t="s">
        <v>2656</v>
      </c>
      <c r="BF1291" s="46" t="s">
        <v>2657</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spans="1:75" ht="20.25" customHeight="1">
      <c r="C1292" s="66">
        <v>62000104</v>
      </c>
      <c r="D1292" s="65" t="s">
        <v>1389</v>
      </c>
      <c r="E1292" s="65" t="s">
        <v>1390</v>
      </c>
      <c r="F1292" s="66">
        <v>1</v>
      </c>
      <c r="G1292" s="66">
        <v>62012201</v>
      </c>
      <c r="H1292" s="66">
        <v>0</v>
      </c>
      <c r="I1292" s="68">
        <v>0</v>
      </c>
      <c r="J1292" s="66">
        <v>1</v>
      </c>
      <c r="K1292" s="66">
        <v>0</v>
      </c>
      <c r="L1292" s="62">
        <v>0</v>
      </c>
      <c r="M1292" s="66">
        <v>0</v>
      </c>
      <c r="N1292" s="66">
        <v>0</v>
      </c>
      <c r="O1292" s="66">
        <v>2</v>
      </c>
      <c r="P1292" s="66">
        <v>3</v>
      </c>
      <c r="Q1292" s="66">
        <v>0.15</v>
      </c>
      <c r="R1292" s="66">
        <v>0</v>
      </c>
      <c r="S1292" s="70">
        <v>0</v>
      </c>
      <c r="T1292" s="68">
        <v>0</v>
      </c>
      <c r="U1292" s="62">
        <v>1</v>
      </c>
      <c r="V1292" s="66">
        <v>2</v>
      </c>
      <c r="W1292" s="66">
        <v>0</v>
      </c>
      <c r="X1292" s="66">
        <v>1.8</v>
      </c>
      <c r="Y1292" s="13">
        <v>0</v>
      </c>
      <c r="Z1292" s="66">
        <v>700</v>
      </c>
      <c r="AA1292" s="66">
        <v>0</v>
      </c>
      <c r="AB1292" s="66">
        <v>0</v>
      </c>
      <c r="AC1292" s="66">
        <v>0</v>
      </c>
      <c r="AD1292" s="66">
        <v>1</v>
      </c>
      <c r="AE1292" s="66">
        <v>0</v>
      </c>
      <c r="AF1292" s="66">
        <v>15</v>
      </c>
      <c r="AG1292" s="66">
        <v>1</v>
      </c>
      <c r="AH1292" s="66">
        <v>3.5</v>
      </c>
      <c r="AI1292" s="70">
        <v>0</v>
      </c>
      <c r="AJ1292" s="70">
        <v>0</v>
      </c>
      <c r="AK1292" s="13">
        <v>0</v>
      </c>
      <c r="AL1292" s="70">
        <v>4</v>
      </c>
      <c r="AM1292" s="66">
        <v>0</v>
      </c>
      <c r="AN1292" s="66">
        <v>0</v>
      </c>
      <c r="AO1292" s="66">
        <v>0</v>
      </c>
      <c r="AP1292" s="66">
        <v>0</v>
      </c>
      <c r="AQ1292" s="66">
        <v>3000</v>
      </c>
      <c r="AR1292" s="66">
        <v>0</v>
      </c>
      <c r="AS1292" s="66">
        <v>0</v>
      </c>
      <c r="AT1292" s="70">
        <v>0</v>
      </c>
      <c r="AU1292" s="66">
        <v>92005001</v>
      </c>
      <c r="AV1292" s="66"/>
      <c r="AW1292" s="61" t="s">
        <v>199</v>
      </c>
      <c r="AX1292" s="66" t="s">
        <v>534</v>
      </c>
      <c r="AY1292" s="66">
        <v>10000009</v>
      </c>
      <c r="AZ1292" s="66">
        <v>21100050</v>
      </c>
      <c r="BA1292" s="65" t="s">
        <v>200</v>
      </c>
      <c r="BB1292" s="65">
        <v>0</v>
      </c>
      <c r="BC1292" s="68">
        <v>0</v>
      </c>
      <c r="BD1292" s="68">
        <v>0</v>
      </c>
      <c r="BE1292" s="123" t="str">
        <f>"受到伤害有一定概率立即对自身范围内的怪物造成"&amp;X1292*100&amp;"%攻击伤害+"&amp;Z1292&amp;",并击退周围附近敌方目标"</f>
        <v>受到伤害有一定概率立即对自身范围内的怪物造成180%攻击伤害+700,并击退周围附近敌方目标</v>
      </c>
      <c r="BF1292" s="123" t="s">
        <v>2658</v>
      </c>
      <c r="BG1292" s="66">
        <v>0</v>
      </c>
      <c r="BH1292" s="62">
        <v>0</v>
      </c>
      <c r="BI1292" s="66">
        <v>0</v>
      </c>
      <c r="BJ1292" s="66">
        <v>0</v>
      </c>
      <c r="BK1292" s="66">
        <v>0</v>
      </c>
      <c r="BL1292" s="66">
        <v>0</v>
      </c>
      <c r="BM1292" s="95">
        <v>0</v>
      </c>
      <c r="BN1292" s="13">
        <v>1</v>
      </c>
      <c r="BO1292" s="13">
        <v>0</v>
      </c>
      <c r="BP1292" s="13">
        <v>0</v>
      </c>
      <c r="BQ1292" s="13">
        <v>0</v>
      </c>
      <c r="BR1292" s="13">
        <v>0</v>
      </c>
      <c r="BS1292" s="13">
        <v>0</v>
      </c>
      <c r="BT1292" s="13">
        <v>0</v>
      </c>
      <c r="BU1292" s="49">
        <v>0</v>
      </c>
      <c r="BV1292" s="49"/>
      <c r="BW1292" s="49"/>
    </row>
    <row r="1293" spans="1:75" ht="20.25" customHeight="1">
      <c r="C1293" s="66">
        <v>62000105</v>
      </c>
      <c r="D1293" s="65" t="s">
        <v>2659</v>
      </c>
      <c r="E1293" s="65" t="s">
        <v>2660</v>
      </c>
      <c r="F1293" s="66">
        <v>1</v>
      </c>
      <c r="G1293" s="66">
        <v>62000105</v>
      </c>
      <c r="H1293" s="66">
        <v>0</v>
      </c>
      <c r="I1293" s="68">
        <v>0</v>
      </c>
      <c r="J1293" s="66">
        <v>1</v>
      </c>
      <c r="K1293" s="66">
        <v>0</v>
      </c>
      <c r="L1293" s="62">
        <v>0</v>
      </c>
      <c r="M1293" s="66">
        <v>0</v>
      </c>
      <c r="N1293" s="66">
        <v>0</v>
      </c>
      <c r="O1293" s="66">
        <v>2</v>
      </c>
      <c r="P1293" s="66">
        <v>1</v>
      </c>
      <c r="Q1293" s="66">
        <v>0.1</v>
      </c>
      <c r="R1293" s="66">
        <v>0</v>
      </c>
      <c r="S1293" s="70">
        <v>0</v>
      </c>
      <c r="T1293" s="68">
        <v>0</v>
      </c>
      <c r="U1293" s="62">
        <v>1</v>
      </c>
      <c r="V1293" s="66">
        <v>2</v>
      </c>
      <c r="W1293" s="66">
        <v>0</v>
      </c>
      <c r="X1293" s="66">
        <v>0</v>
      </c>
      <c r="Y1293" s="13">
        <v>0</v>
      </c>
      <c r="Z1293" s="66">
        <v>0</v>
      </c>
      <c r="AA1293" s="66">
        <v>0</v>
      </c>
      <c r="AB1293" s="66">
        <v>0</v>
      </c>
      <c r="AC1293" s="66">
        <v>0</v>
      </c>
      <c r="AD1293" s="66">
        <v>1</v>
      </c>
      <c r="AE1293" s="66">
        <v>0</v>
      </c>
      <c r="AF1293" s="66">
        <v>12</v>
      </c>
      <c r="AG1293" s="66">
        <v>0</v>
      </c>
      <c r="AH1293" s="66">
        <v>0</v>
      </c>
      <c r="AI1293" s="70">
        <v>2</v>
      </c>
      <c r="AJ1293" s="70">
        <v>1</v>
      </c>
      <c r="AK1293" s="13">
        <v>0</v>
      </c>
      <c r="AL1293" s="70">
        <v>0</v>
      </c>
      <c r="AM1293" s="66">
        <v>0</v>
      </c>
      <c r="AN1293" s="66">
        <v>0</v>
      </c>
      <c r="AO1293" s="66">
        <v>0</v>
      </c>
      <c r="AP1293" s="66">
        <v>0</v>
      </c>
      <c r="AQ1293" s="66">
        <v>1000</v>
      </c>
      <c r="AR1293" s="66">
        <v>0</v>
      </c>
      <c r="AS1293" s="66">
        <v>0</v>
      </c>
      <c r="AT1293" s="70">
        <v>92000009</v>
      </c>
      <c r="AU1293" s="66" t="s">
        <v>198</v>
      </c>
      <c r="AV1293" s="66"/>
      <c r="AW1293" s="61" t="s">
        <v>199</v>
      </c>
      <c r="AX1293" s="66" t="s">
        <v>1814</v>
      </c>
      <c r="AY1293" s="66">
        <v>0</v>
      </c>
      <c r="AZ1293" s="66">
        <v>0</v>
      </c>
      <c r="BA1293" s="65" t="s">
        <v>200</v>
      </c>
      <c r="BB1293" s="65" t="s">
        <v>198</v>
      </c>
      <c r="BC1293" s="68">
        <v>0</v>
      </c>
      <c r="BD1293" s="68">
        <v>0</v>
      </c>
      <c r="BE1293" s="92" t="s">
        <v>2661</v>
      </c>
      <c r="BF1293" s="92" t="s">
        <v>2662</v>
      </c>
      <c r="BG1293" s="66">
        <v>0</v>
      </c>
      <c r="BH1293" s="62">
        <v>0</v>
      </c>
      <c r="BI1293" s="66">
        <v>0</v>
      </c>
      <c r="BJ1293" s="66">
        <v>0</v>
      </c>
      <c r="BK1293" s="66">
        <v>0</v>
      </c>
      <c r="BL1293" s="66">
        <v>0</v>
      </c>
      <c r="BM1293" s="95">
        <v>0</v>
      </c>
      <c r="BN1293" s="13">
        <v>0</v>
      </c>
      <c r="BO1293" s="13">
        <v>0</v>
      </c>
      <c r="BP1293" s="13">
        <v>0</v>
      </c>
      <c r="BQ1293" s="13">
        <v>0</v>
      </c>
      <c r="BR1293" s="13">
        <v>0</v>
      </c>
      <c r="BS1293" s="13">
        <v>0</v>
      </c>
      <c r="BT1293" s="13">
        <v>0</v>
      </c>
      <c r="BU1293" s="49">
        <v>0</v>
      </c>
      <c r="BV1293" s="49"/>
      <c r="BW1293" s="49"/>
    </row>
    <row r="1294" spans="1:75" ht="20.25" customHeight="1">
      <c r="C1294" s="66">
        <v>62000106</v>
      </c>
      <c r="D1294" s="65" t="s">
        <v>2663</v>
      </c>
      <c r="E1294" s="65" t="s">
        <v>2664</v>
      </c>
      <c r="F1294" s="66">
        <v>1</v>
      </c>
      <c r="G1294" s="66">
        <v>62000106</v>
      </c>
      <c r="H1294" s="66">
        <v>0</v>
      </c>
      <c r="I1294" s="68">
        <v>0</v>
      </c>
      <c r="J1294" s="66">
        <v>1</v>
      </c>
      <c r="K1294" s="66">
        <v>0</v>
      </c>
      <c r="L1294" s="62">
        <v>0</v>
      </c>
      <c r="M1294" s="66">
        <v>0</v>
      </c>
      <c r="N1294" s="66">
        <v>0</v>
      </c>
      <c r="O1294" s="66">
        <v>2</v>
      </c>
      <c r="P1294" s="66">
        <v>2</v>
      </c>
      <c r="Q1294" s="66">
        <v>0.3</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45</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92000010</v>
      </c>
      <c r="AU1294" s="66" t="s">
        <v>198</v>
      </c>
      <c r="AV1294" s="66"/>
      <c r="AW1294" s="61" t="s">
        <v>199</v>
      </c>
      <c r="AX1294" s="66" t="s">
        <v>1814</v>
      </c>
      <c r="AY1294" s="66">
        <v>0</v>
      </c>
      <c r="AZ1294" s="66">
        <v>0</v>
      </c>
      <c r="BA1294" s="65" t="s">
        <v>200</v>
      </c>
      <c r="BB1294" s="65" t="s">
        <v>198</v>
      </c>
      <c r="BC1294" s="68">
        <v>0</v>
      </c>
      <c r="BD1294" s="68">
        <v>0</v>
      </c>
      <c r="BE1294" s="94" t="s">
        <v>2665</v>
      </c>
      <c r="BF1294" s="94" t="s">
        <v>2666</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spans="1:75" ht="20.25" customHeight="1">
      <c r="C1295" s="19">
        <v>62000107</v>
      </c>
      <c r="D1295" s="20" t="s">
        <v>2636</v>
      </c>
      <c r="E1295" s="20" t="s">
        <v>2637</v>
      </c>
      <c r="F1295" s="19">
        <v>1</v>
      </c>
      <c r="G1295" s="19">
        <v>62000107</v>
      </c>
      <c r="H1295" s="19">
        <v>0</v>
      </c>
      <c r="I1295" s="28">
        <v>0</v>
      </c>
      <c r="J1295" s="19">
        <v>1</v>
      </c>
      <c r="K1295" s="19">
        <v>0</v>
      </c>
      <c r="L1295" s="17">
        <v>0</v>
      </c>
      <c r="M1295" s="19">
        <v>0</v>
      </c>
      <c r="N1295" s="19">
        <v>0</v>
      </c>
      <c r="O1295" s="19">
        <v>1</v>
      </c>
      <c r="P1295" s="19">
        <v>0</v>
      </c>
      <c r="Q1295" s="19">
        <v>0</v>
      </c>
      <c r="R1295" s="19">
        <v>0</v>
      </c>
      <c r="S1295" s="13">
        <v>0</v>
      </c>
      <c r="T1295" s="28">
        <v>0</v>
      </c>
      <c r="U1295" s="17">
        <v>1</v>
      </c>
      <c r="V1295" s="19">
        <v>2</v>
      </c>
      <c r="W1295" s="19">
        <v>0</v>
      </c>
      <c r="X1295" s="19">
        <v>2.5</v>
      </c>
      <c r="Y1295" s="13">
        <v>0</v>
      </c>
      <c r="Z1295" s="19">
        <v>0</v>
      </c>
      <c r="AA1295" s="19">
        <v>0</v>
      </c>
      <c r="AB1295" s="19">
        <v>0</v>
      </c>
      <c r="AC1295" s="19">
        <v>0</v>
      </c>
      <c r="AD1295" s="19">
        <v>0</v>
      </c>
      <c r="AE1295" s="19">
        <v>0</v>
      </c>
      <c r="AF1295" s="19">
        <v>18</v>
      </c>
      <c r="AG1295" s="19">
        <v>1</v>
      </c>
      <c r="AH1295" s="19">
        <v>3.5</v>
      </c>
      <c r="AI1295" s="13">
        <v>0</v>
      </c>
      <c r="AJ1295" s="13">
        <v>0</v>
      </c>
      <c r="AK1295" s="13">
        <v>0</v>
      </c>
      <c r="AL1295" s="13">
        <v>4</v>
      </c>
      <c r="AM1295" s="19">
        <v>0</v>
      </c>
      <c r="AN1295" s="19">
        <v>0</v>
      </c>
      <c r="AO1295" s="19">
        <v>0</v>
      </c>
      <c r="AP1295" s="19">
        <v>0.5</v>
      </c>
      <c r="AQ1295" s="19">
        <v>3000</v>
      </c>
      <c r="AR1295" s="19">
        <v>0</v>
      </c>
      <c r="AS1295" s="19">
        <v>0</v>
      </c>
      <c r="AT1295" s="13">
        <v>92000018</v>
      </c>
      <c r="AU1295" s="19" t="s">
        <v>2667</v>
      </c>
      <c r="AV1295" s="19"/>
      <c r="AW1295" s="18" t="s">
        <v>199</v>
      </c>
      <c r="AX1295" s="19" t="s">
        <v>534</v>
      </c>
      <c r="AY1295" s="19">
        <v>10000009</v>
      </c>
      <c r="AZ1295" s="19">
        <v>20001030</v>
      </c>
      <c r="BA1295" s="20" t="s">
        <v>200</v>
      </c>
      <c r="BB1295" s="20">
        <v>0</v>
      </c>
      <c r="BC1295" s="28">
        <v>0</v>
      </c>
      <c r="BD1295" s="28">
        <v>0</v>
      </c>
      <c r="BE1295" s="46" t="s">
        <v>2668</v>
      </c>
      <c r="BF1295" s="46" t="s">
        <v>2669</v>
      </c>
      <c r="BG1295" s="19">
        <v>0</v>
      </c>
      <c r="BH1295" s="17">
        <v>0</v>
      </c>
      <c r="BI1295" s="19">
        <v>0</v>
      </c>
      <c r="BJ1295" s="19">
        <v>0</v>
      </c>
      <c r="BK1295" s="19">
        <v>0</v>
      </c>
      <c r="BL1295" s="19">
        <v>0</v>
      </c>
      <c r="BM1295" s="16">
        <v>0</v>
      </c>
      <c r="BN1295" s="13">
        <v>0</v>
      </c>
      <c r="BO1295" s="13">
        <v>0</v>
      </c>
      <c r="BP1295" s="13">
        <v>0</v>
      </c>
      <c r="BQ1295" s="13">
        <v>0</v>
      </c>
      <c r="BR1295" s="13">
        <v>0</v>
      </c>
      <c r="BS1295" s="13">
        <v>0</v>
      </c>
      <c r="BT1295" s="13">
        <v>0</v>
      </c>
      <c r="BU1295" s="49">
        <v>0</v>
      </c>
      <c r="BV1295" s="49"/>
      <c r="BW1295" s="49"/>
    </row>
    <row r="1296" spans="1:75" ht="20.25" customHeight="1">
      <c r="C1296" s="246">
        <v>62000108</v>
      </c>
      <c r="D1296" s="247" t="s">
        <v>2670</v>
      </c>
      <c r="E1296" s="247" t="s">
        <v>2671</v>
      </c>
      <c r="F1296" s="246">
        <v>1</v>
      </c>
      <c r="G1296" s="246">
        <v>62000108</v>
      </c>
      <c r="H1296" s="246">
        <v>0</v>
      </c>
      <c r="I1296" s="248">
        <v>0</v>
      </c>
      <c r="J1296" s="246">
        <v>1</v>
      </c>
      <c r="K1296" s="246">
        <v>0</v>
      </c>
      <c r="L1296" s="249">
        <v>0</v>
      </c>
      <c r="M1296" s="246">
        <v>0</v>
      </c>
      <c r="N1296" s="246">
        <v>0</v>
      </c>
      <c r="O1296" s="246">
        <v>2</v>
      </c>
      <c r="P1296" s="246">
        <v>4</v>
      </c>
      <c r="Q1296" s="246">
        <v>1</v>
      </c>
      <c r="R1296" s="246">
        <v>0</v>
      </c>
      <c r="S1296" s="250">
        <v>0</v>
      </c>
      <c r="T1296" s="248">
        <v>0</v>
      </c>
      <c r="U1296" s="249">
        <v>1</v>
      </c>
      <c r="V1296" s="246">
        <v>2</v>
      </c>
      <c r="W1296" s="246">
        <v>0</v>
      </c>
      <c r="X1296" s="246">
        <v>0</v>
      </c>
      <c r="Y1296" s="13">
        <v>0</v>
      </c>
      <c r="Z1296" s="246">
        <v>0</v>
      </c>
      <c r="AA1296" s="246">
        <v>0</v>
      </c>
      <c r="AB1296" s="246">
        <v>0</v>
      </c>
      <c r="AC1296" s="246">
        <v>0</v>
      </c>
      <c r="AD1296" s="246">
        <v>1</v>
      </c>
      <c r="AE1296" s="246">
        <v>0</v>
      </c>
      <c r="AF1296" s="246">
        <v>1</v>
      </c>
      <c r="AG1296" s="246">
        <v>0</v>
      </c>
      <c r="AH1296" s="246">
        <v>0</v>
      </c>
      <c r="AI1296" s="250">
        <v>8</v>
      </c>
      <c r="AJ1296" s="250">
        <v>0</v>
      </c>
      <c r="AK1296" s="250">
        <v>0</v>
      </c>
      <c r="AL1296" s="250">
        <v>0</v>
      </c>
      <c r="AM1296" s="246">
        <v>0</v>
      </c>
      <c r="AN1296" s="246">
        <v>0</v>
      </c>
      <c r="AO1296" s="246">
        <v>0</v>
      </c>
      <c r="AP1296" s="246">
        <v>0</v>
      </c>
      <c r="AQ1296" s="246">
        <v>1000</v>
      </c>
      <c r="AR1296" s="246">
        <v>0</v>
      </c>
      <c r="AS1296" s="246">
        <v>0</v>
      </c>
      <c r="AT1296" s="250">
        <v>92000005</v>
      </c>
      <c r="AU1296" s="246" t="s">
        <v>198</v>
      </c>
      <c r="AV1296" s="246"/>
      <c r="AW1296" s="252" t="s">
        <v>199</v>
      </c>
      <c r="AX1296" s="246" t="s">
        <v>1814</v>
      </c>
      <c r="AY1296" s="246">
        <v>0</v>
      </c>
      <c r="AZ1296" s="246">
        <v>40000003</v>
      </c>
      <c r="BA1296" s="247" t="s">
        <v>200</v>
      </c>
      <c r="BB1296" s="247" t="s">
        <v>198</v>
      </c>
      <c r="BC1296" s="248">
        <v>0</v>
      </c>
      <c r="BD1296" s="248">
        <v>0</v>
      </c>
      <c r="BE1296" s="253" t="s">
        <v>2672</v>
      </c>
      <c r="BF1296" s="253" t="s">
        <v>2673</v>
      </c>
      <c r="BG1296" s="246">
        <v>0</v>
      </c>
      <c r="BH1296" s="249">
        <v>0</v>
      </c>
      <c r="BI1296" s="246">
        <v>0</v>
      </c>
      <c r="BJ1296" s="246">
        <v>0</v>
      </c>
      <c r="BK1296" s="246">
        <v>0</v>
      </c>
      <c r="BL1296" s="246">
        <v>0</v>
      </c>
      <c r="BM1296" s="256">
        <v>0</v>
      </c>
      <c r="BN1296" s="250">
        <v>1</v>
      </c>
      <c r="BO1296" s="13">
        <v>0</v>
      </c>
      <c r="BP1296" s="13">
        <v>0</v>
      </c>
      <c r="BQ1296" s="13">
        <v>0</v>
      </c>
      <c r="BR1296" s="13">
        <v>0</v>
      </c>
      <c r="BS1296" s="13">
        <v>0</v>
      </c>
      <c r="BT1296" s="13">
        <v>0</v>
      </c>
      <c r="BU1296" s="49">
        <v>0</v>
      </c>
      <c r="BV1296" s="49"/>
      <c r="BW1296" s="49"/>
    </row>
    <row r="1297" spans="3:75" ht="19.5" customHeight="1">
      <c r="C1297" s="19">
        <v>62000109</v>
      </c>
      <c r="D1297" s="20" t="s">
        <v>2674</v>
      </c>
      <c r="E1297" s="20" t="s">
        <v>2675</v>
      </c>
      <c r="F1297" s="17">
        <v>1</v>
      </c>
      <c r="G1297" s="19">
        <v>62000109</v>
      </c>
      <c r="H1297" s="19">
        <v>0</v>
      </c>
      <c r="I1297" s="28">
        <v>0</v>
      </c>
      <c r="J1297" s="19">
        <v>1</v>
      </c>
      <c r="K1297" s="19">
        <v>0</v>
      </c>
      <c r="L1297" s="17">
        <v>0</v>
      </c>
      <c r="M1297" s="19">
        <v>0</v>
      </c>
      <c r="N1297" s="19">
        <v>0</v>
      </c>
      <c r="O1297" s="19">
        <v>1</v>
      </c>
      <c r="P1297" s="19">
        <v>0</v>
      </c>
      <c r="Q1297" s="19">
        <v>0</v>
      </c>
      <c r="R1297" s="19">
        <v>0</v>
      </c>
      <c r="S1297" s="13">
        <v>0</v>
      </c>
      <c r="T1297" s="28">
        <v>0</v>
      </c>
      <c r="U1297" s="17">
        <v>1</v>
      </c>
      <c r="V1297" s="19">
        <v>2</v>
      </c>
      <c r="W1297" s="19">
        <v>0</v>
      </c>
      <c r="X1297" s="19">
        <v>3.5</v>
      </c>
      <c r="Y1297" s="13">
        <v>0</v>
      </c>
      <c r="Z1297" s="19">
        <v>2500</v>
      </c>
      <c r="AA1297" s="19">
        <v>0</v>
      </c>
      <c r="AB1297" s="19">
        <v>0</v>
      </c>
      <c r="AC1297" s="19">
        <v>0</v>
      </c>
      <c r="AD1297" s="19">
        <v>0</v>
      </c>
      <c r="AE1297" s="19">
        <v>0</v>
      </c>
      <c r="AF1297" s="19">
        <v>12</v>
      </c>
      <c r="AG1297" s="19">
        <v>1</v>
      </c>
      <c r="AH1297" s="19">
        <v>3</v>
      </c>
      <c r="AI1297" s="13">
        <v>2</v>
      </c>
      <c r="AJ1297" s="13">
        <v>2</v>
      </c>
      <c r="AK1297" s="13">
        <v>0</v>
      </c>
      <c r="AL1297" s="13">
        <v>4</v>
      </c>
      <c r="AM1297" s="19">
        <v>0</v>
      </c>
      <c r="AN1297" s="19">
        <v>0</v>
      </c>
      <c r="AO1297" s="19">
        <v>0</v>
      </c>
      <c r="AP1297" s="19">
        <v>0.2</v>
      </c>
      <c r="AQ1297" s="19">
        <v>3000</v>
      </c>
      <c r="AR1297" s="19">
        <v>0.2</v>
      </c>
      <c r="AS1297" s="19">
        <v>10</v>
      </c>
      <c r="AT1297" s="13">
        <v>0</v>
      </c>
      <c r="AU1297" s="19">
        <v>92000013</v>
      </c>
      <c r="AV1297" s="19"/>
      <c r="AW1297" s="20" t="s">
        <v>199</v>
      </c>
      <c r="AX1297" s="19" t="s">
        <v>545</v>
      </c>
      <c r="AY1297" s="19">
        <v>10003002</v>
      </c>
      <c r="AZ1297" s="19">
        <v>20001040</v>
      </c>
      <c r="BA1297" s="20" t="s">
        <v>586</v>
      </c>
      <c r="BB1297" s="20">
        <v>0</v>
      </c>
      <c r="BC1297" s="28">
        <v>0</v>
      </c>
      <c r="BD1297" s="28">
        <v>0</v>
      </c>
      <c r="BE1297" s="186" t="s">
        <v>2676</v>
      </c>
      <c r="BF1297" s="186" t="s">
        <v>2677</v>
      </c>
      <c r="BG1297" s="19">
        <v>0</v>
      </c>
      <c r="BH1297" s="17">
        <v>0</v>
      </c>
      <c r="BI1297" s="19">
        <v>0</v>
      </c>
      <c r="BJ1297" s="19">
        <v>0</v>
      </c>
      <c r="BK1297" s="19">
        <v>0</v>
      </c>
      <c r="BL1297" s="19">
        <v>0</v>
      </c>
      <c r="BM1297" s="16">
        <v>0</v>
      </c>
      <c r="BN1297" s="13">
        <v>0</v>
      </c>
      <c r="BO1297" s="13">
        <v>0</v>
      </c>
      <c r="BP1297" s="13">
        <v>0</v>
      </c>
      <c r="BQ1297" s="13">
        <v>0</v>
      </c>
      <c r="BR1297" s="13">
        <v>0</v>
      </c>
      <c r="BS1297" s="13">
        <v>0</v>
      </c>
      <c r="BT1297" s="13">
        <v>0</v>
      </c>
      <c r="BU1297" s="49">
        <v>0</v>
      </c>
      <c r="BV1297" s="49"/>
      <c r="BW1297" s="49"/>
    </row>
    <row r="1298" spans="3:75" ht="19.5" customHeight="1">
      <c r="C1298" s="66">
        <v>63001001</v>
      </c>
      <c r="D1298" s="65" t="s">
        <v>2678</v>
      </c>
      <c r="E1298" s="65" t="s">
        <v>2679</v>
      </c>
      <c r="F1298" s="62">
        <v>1</v>
      </c>
      <c r="G1298" s="66">
        <v>63001001</v>
      </c>
      <c r="H1298" s="66">
        <v>0</v>
      </c>
      <c r="I1298" s="68">
        <v>0</v>
      </c>
      <c r="J1298" s="66">
        <v>1</v>
      </c>
      <c r="K1298" s="66">
        <v>0</v>
      </c>
      <c r="L1298" s="62">
        <v>0</v>
      </c>
      <c r="M1298" s="66">
        <v>0</v>
      </c>
      <c r="N1298" s="66">
        <v>0</v>
      </c>
      <c r="O1298" s="66">
        <v>2</v>
      </c>
      <c r="P1298" s="66">
        <v>12</v>
      </c>
      <c r="Q1298" s="66">
        <v>1</v>
      </c>
      <c r="R1298" s="66">
        <v>0</v>
      </c>
      <c r="S1298" s="70">
        <v>0</v>
      </c>
      <c r="T1298" s="68">
        <v>0</v>
      </c>
      <c r="U1298" s="62">
        <v>1</v>
      </c>
      <c r="V1298" s="66">
        <v>2</v>
      </c>
      <c r="W1298" s="66">
        <v>0</v>
      </c>
      <c r="X1298" s="66">
        <v>0</v>
      </c>
      <c r="Y1298" s="13">
        <v>0</v>
      </c>
      <c r="Z1298" s="66">
        <v>0</v>
      </c>
      <c r="AA1298" s="66">
        <v>0</v>
      </c>
      <c r="AB1298" s="66">
        <v>0</v>
      </c>
      <c r="AC1298" s="66">
        <v>0</v>
      </c>
      <c r="AD1298" s="66">
        <v>1</v>
      </c>
      <c r="AE1298" s="66">
        <v>0</v>
      </c>
      <c r="AF1298" s="66">
        <v>60</v>
      </c>
      <c r="AG1298" s="66">
        <v>1</v>
      </c>
      <c r="AH1298" s="66" t="s">
        <v>607</v>
      </c>
      <c r="AI1298" s="70">
        <v>0</v>
      </c>
      <c r="AJ1298" s="70">
        <v>0</v>
      </c>
      <c r="AK1298" s="13">
        <v>0</v>
      </c>
      <c r="AL1298" s="70">
        <v>0</v>
      </c>
      <c r="AM1298" s="66">
        <v>0</v>
      </c>
      <c r="AN1298" s="66">
        <v>0</v>
      </c>
      <c r="AO1298" s="66">
        <v>0</v>
      </c>
      <c r="AP1298" s="66">
        <v>0</v>
      </c>
      <c r="AQ1298" s="66">
        <v>50000</v>
      </c>
      <c r="AR1298" s="66">
        <v>0</v>
      </c>
      <c r="AS1298" s="66">
        <v>0</v>
      </c>
      <c r="AT1298" s="70">
        <v>0</v>
      </c>
      <c r="AU1298" s="66">
        <v>90501001</v>
      </c>
      <c r="AV1298" s="66"/>
      <c r="AW1298" s="65" t="s">
        <v>198</v>
      </c>
      <c r="AX1298" s="66">
        <v>0</v>
      </c>
      <c r="AY1298" s="66">
        <v>0</v>
      </c>
      <c r="AZ1298" s="66">
        <v>0</v>
      </c>
      <c r="BA1298" s="18" t="s">
        <v>2680</v>
      </c>
      <c r="BB1298" s="65">
        <v>0</v>
      </c>
      <c r="BC1298" s="68">
        <v>0</v>
      </c>
      <c r="BD1298" s="68">
        <v>0</v>
      </c>
      <c r="BE1298" s="209" t="s">
        <v>2681</v>
      </c>
      <c r="BF1298" s="209" t="s">
        <v>2682</v>
      </c>
      <c r="BG1298" s="66">
        <v>0</v>
      </c>
      <c r="BH1298" s="62">
        <v>0</v>
      </c>
      <c r="BI1298" s="66">
        <v>0</v>
      </c>
      <c r="BJ1298" s="66">
        <v>0</v>
      </c>
      <c r="BK1298" s="66">
        <v>0</v>
      </c>
      <c r="BL1298" s="66">
        <v>0</v>
      </c>
      <c r="BM1298" s="95">
        <v>0</v>
      </c>
      <c r="BN1298" s="13">
        <v>1</v>
      </c>
      <c r="BO1298" s="13">
        <v>0</v>
      </c>
      <c r="BP1298" s="13">
        <v>0</v>
      </c>
      <c r="BQ1298" s="13">
        <v>0</v>
      </c>
      <c r="BR1298" s="13">
        <v>0</v>
      </c>
      <c r="BS1298" s="13">
        <v>0</v>
      </c>
      <c r="BT1298" s="13">
        <v>0</v>
      </c>
      <c r="BU1298" s="49">
        <v>0</v>
      </c>
      <c r="BV1298" s="49"/>
      <c r="BW1298" s="49"/>
    </row>
    <row r="1299" spans="3:75" ht="20.100000000000001" customHeight="1">
      <c r="C1299" s="17">
        <v>63001002</v>
      </c>
      <c r="D1299" s="18" t="s">
        <v>2683</v>
      </c>
      <c r="E1299" s="18" t="s">
        <v>2684</v>
      </c>
      <c r="F1299" s="17">
        <v>1</v>
      </c>
      <c r="G1299" s="17">
        <v>63001002</v>
      </c>
      <c r="H1299" s="19">
        <v>0</v>
      </c>
      <c r="I1299" s="28">
        <v>0</v>
      </c>
      <c r="J1299" s="19">
        <v>1</v>
      </c>
      <c r="K1299" s="19">
        <v>0</v>
      </c>
      <c r="L1299" s="17">
        <v>0</v>
      </c>
      <c r="M1299" s="17">
        <v>0</v>
      </c>
      <c r="N1299" s="17">
        <v>0</v>
      </c>
      <c r="O1299" s="17">
        <v>8</v>
      </c>
      <c r="P1299" s="17">
        <v>0</v>
      </c>
      <c r="Q1299" s="17">
        <v>0</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0</v>
      </c>
      <c r="AG1299" s="17">
        <v>2</v>
      </c>
      <c r="AH1299" s="17" t="s">
        <v>213</v>
      </c>
      <c r="AI1299" s="13">
        <v>2</v>
      </c>
      <c r="AJ1299" s="13">
        <v>2</v>
      </c>
      <c r="AK1299" s="13">
        <v>0</v>
      </c>
      <c r="AL1299" s="13">
        <v>1.5</v>
      </c>
      <c r="AM1299" s="17">
        <v>0</v>
      </c>
      <c r="AN1299" s="17">
        <v>0</v>
      </c>
      <c r="AO1299" s="17">
        <v>0</v>
      </c>
      <c r="AP1299" s="17">
        <v>0</v>
      </c>
      <c r="AQ1299" s="17">
        <v>3000</v>
      </c>
      <c r="AR1299" s="17">
        <v>0</v>
      </c>
      <c r="AS1299" s="17">
        <v>0</v>
      </c>
      <c r="AT1299" s="13">
        <v>0</v>
      </c>
      <c r="AU1299" s="17" t="s">
        <v>198</v>
      </c>
      <c r="AV1299" s="17"/>
      <c r="AW1299" s="18" t="s">
        <v>198</v>
      </c>
      <c r="AX1299" s="17">
        <v>0</v>
      </c>
      <c r="AY1299" s="19">
        <v>0</v>
      </c>
      <c r="AZ1299" s="19">
        <v>0</v>
      </c>
      <c r="BA1299" s="18" t="s">
        <v>200</v>
      </c>
      <c r="BB1299" s="17" t="s">
        <v>2685</v>
      </c>
      <c r="BC1299" s="28">
        <v>0</v>
      </c>
      <c r="BD1299" s="28">
        <v>0</v>
      </c>
      <c r="BE1299" s="46" t="s">
        <v>2686</v>
      </c>
      <c r="BF1299" s="46" t="s">
        <v>2687</v>
      </c>
      <c r="BG1299" s="17">
        <v>0</v>
      </c>
      <c r="BH1299" s="17">
        <v>0</v>
      </c>
      <c r="BI1299" s="17">
        <v>0</v>
      </c>
      <c r="BJ1299" s="17">
        <v>0</v>
      </c>
      <c r="BK1299" s="17">
        <v>0</v>
      </c>
      <c r="BL1299" s="17">
        <v>0</v>
      </c>
      <c r="BM1299" s="16">
        <v>0</v>
      </c>
      <c r="BN1299" s="13">
        <v>0</v>
      </c>
      <c r="BO1299" s="13">
        <v>0</v>
      </c>
      <c r="BP1299" s="13">
        <v>0</v>
      </c>
      <c r="BQ1299" s="13">
        <v>0</v>
      </c>
      <c r="BR1299" s="13">
        <v>0</v>
      </c>
      <c r="BS1299" s="13">
        <v>0</v>
      </c>
      <c r="BT1299" s="13">
        <v>0</v>
      </c>
      <c r="BU1299" s="49">
        <v>0</v>
      </c>
      <c r="BV1299" s="49"/>
      <c r="BW1299" s="49"/>
    </row>
    <row r="1300" spans="3:75" ht="20.100000000000001" customHeight="1">
      <c r="C1300" s="17">
        <v>63001003</v>
      </c>
      <c r="D1300" s="18" t="s">
        <v>2688</v>
      </c>
      <c r="E1300" s="18" t="s">
        <v>2689</v>
      </c>
      <c r="F1300" s="17">
        <v>1</v>
      </c>
      <c r="G1300" s="17">
        <v>63003001</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2690</v>
      </c>
      <c r="BF1300" s="46" t="s">
        <v>2691</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spans="3:75" ht="19.5" customHeight="1">
      <c r="C1301" s="17">
        <v>63001004</v>
      </c>
      <c r="D1301" s="240" t="s">
        <v>2692</v>
      </c>
      <c r="E1301" s="240" t="s">
        <v>2693</v>
      </c>
      <c r="F1301" s="182">
        <v>1</v>
      </c>
      <c r="G1301" s="182">
        <v>63001004</v>
      </c>
      <c r="H1301" s="182">
        <v>0</v>
      </c>
      <c r="I1301" s="182">
        <v>0</v>
      </c>
      <c r="J1301" s="19">
        <v>1</v>
      </c>
      <c r="K1301" s="19">
        <v>0</v>
      </c>
      <c r="L1301" s="17">
        <v>0</v>
      </c>
      <c r="M1301" s="182">
        <v>0</v>
      </c>
      <c r="N1301" s="182">
        <v>0</v>
      </c>
      <c r="O1301" s="182">
        <v>2</v>
      </c>
      <c r="P1301" s="182">
        <v>17</v>
      </c>
      <c r="Q1301" s="182">
        <v>0.2</v>
      </c>
      <c r="R1301" s="182">
        <v>0</v>
      </c>
      <c r="S1301" s="13">
        <v>0</v>
      </c>
      <c r="T1301" s="182">
        <v>0</v>
      </c>
      <c r="U1301" s="182">
        <v>1</v>
      </c>
      <c r="V1301" s="182">
        <v>2</v>
      </c>
      <c r="W1301" s="182">
        <v>0</v>
      </c>
      <c r="X1301" s="182">
        <v>0</v>
      </c>
      <c r="Y1301" s="13">
        <v>0</v>
      </c>
      <c r="Z1301" s="182">
        <v>0</v>
      </c>
      <c r="AA1301" s="182">
        <v>0</v>
      </c>
      <c r="AB1301" s="182">
        <v>0</v>
      </c>
      <c r="AC1301" s="182">
        <v>0</v>
      </c>
      <c r="AD1301" s="17">
        <v>1</v>
      </c>
      <c r="AE1301" s="182">
        <v>0</v>
      </c>
      <c r="AF1301" s="182">
        <v>15</v>
      </c>
      <c r="AG1301" s="182">
        <v>2</v>
      </c>
      <c r="AH1301" s="182" t="s">
        <v>213</v>
      </c>
      <c r="AI1301" s="182">
        <v>2</v>
      </c>
      <c r="AJ1301" s="182">
        <v>3</v>
      </c>
      <c r="AK1301" s="13">
        <v>0</v>
      </c>
      <c r="AL1301" s="182">
        <v>1.5</v>
      </c>
      <c r="AM1301" s="182">
        <v>0</v>
      </c>
      <c r="AN1301" s="182">
        <v>0</v>
      </c>
      <c r="AO1301" s="182">
        <v>0</v>
      </c>
      <c r="AP1301" s="182">
        <v>0</v>
      </c>
      <c r="AQ1301" s="182">
        <v>3000</v>
      </c>
      <c r="AR1301" s="182">
        <v>0.5</v>
      </c>
      <c r="AS1301" s="182">
        <v>0</v>
      </c>
      <c r="AT1301" s="182">
        <v>0</v>
      </c>
      <c r="AU1301" s="182">
        <v>0</v>
      </c>
      <c r="AV1301" s="182"/>
      <c r="AW1301" s="240" t="s">
        <v>198</v>
      </c>
      <c r="AX1301" s="182">
        <v>0</v>
      </c>
      <c r="AY1301" s="182">
        <v>0</v>
      </c>
      <c r="AZ1301" s="182">
        <v>0</v>
      </c>
      <c r="BA1301" s="240" t="s">
        <v>200</v>
      </c>
      <c r="BB1301" s="240">
        <v>0</v>
      </c>
      <c r="BC1301" s="182">
        <v>0</v>
      </c>
      <c r="BD1301" s="182">
        <v>0</v>
      </c>
      <c r="BE1301" s="254" t="str">
        <f>"普通攻击和释放技能都有20%概率向目标施放元素法球技能"</f>
        <v>普通攻击和释放技能都有20%概率向目标施放元素法球技能</v>
      </c>
      <c r="BF1301" s="254" t="s">
        <v>2694</v>
      </c>
      <c r="BG1301" s="182">
        <v>0</v>
      </c>
      <c r="BH1301" s="17">
        <v>0</v>
      </c>
      <c r="BI1301" s="182">
        <v>0</v>
      </c>
      <c r="BJ1301" s="182">
        <v>0</v>
      </c>
      <c r="BK1301" s="182">
        <v>0</v>
      </c>
      <c r="BL1301" s="182">
        <v>0</v>
      </c>
      <c r="BM1301" s="376" t="s">
        <v>2695</v>
      </c>
      <c r="BN1301" s="13">
        <v>0</v>
      </c>
      <c r="BO1301" s="13">
        <v>0</v>
      </c>
      <c r="BP1301" s="13">
        <v>0</v>
      </c>
      <c r="BQ1301" s="13">
        <v>0</v>
      </c>
      <c r="BR1301" s="13">
        <v>0</v>
      </c>
      <c r="BS1301" s="13">
        <v>0</v>
      </c>
      <c r="BT1301" s="13">
        <v>0</v>
      </c>
      <c r="BU1301" s="49">
        <v>0</v>
      </c>
      <c r="BV1301" s="49"/>
      <c r="BW1301" s="49"/>
    </row>
    <row r="1302" spans="3:75" ht="20.100000000000001" customHeight="1">
      <c r="C1302" s="31">
        <v>63001005</v>
      </c>
      <c r="D1302" s="39" t="s">
        <v>2696</v>
      </c>
      <c r="E1302" s="39" t="s">
        <v>2697</v>
      </c>
      <c r="F1302" s="31">
        <v>1</v>
      </c>
      <c r="G1302" s="31">
        <v>63001005</v>
      </c>
      <c r="H1302" s="31">
        <v>0</v>
      </c>
      <c r="I1302" s="31">
        <v>0</v>
      </c>
      <c r="J1302" s="31">
        <v>1</v>
      </c>
      <c r="K1302" s="31">
        <v>0</v>
      </c>
      <c r="L1302" s="31">
        <v>0</v>
      </c>
      <c r="M1302" s="31">
        <v>0</v>
      </c>
      <c r="N1302" s="31">
        <v>0</v>
      </c>
      <c r="O1302" s="31">
        <v>8</v>
      </c>
      <c r="P1302" s="31">
        <v>0</v>
      </c>
      <c r="Q1302" s="31">
        <v>0</v>
      </c>
      <c r="R1302" s="31">
        <v>0</v>
      </c>
      <c r="S1302" s="31">
        <v>0</v>
      </c>
      <c r="T1302" s="31">
        <v>0</v>
      </c>
      <c r="U1302" s="31">
        <v>1</v>
      </c>
      <c r="V1302" s="31">
        <v>2</v>
      </c>
      <c r="W1302" s="31">
        <v>0</v>
      </c>
      <c r="X1302" s="31">
        <v>0</v>
      </c>
      <c r="Y1302" s="13">
        <v>0</v>
      </c>
      <c r="Z1302" s="31">
        <v>0</v>
      </c>
      <c r="AA1302" s="31">
        <v>0</v>
      </c>
      <c r="AB1302" s="31">
        <v>0</v>
      </c>
      <c r="AC1302" s="31">
        <v>0</v>
      </c>
      <c r="AD1302" s="31">
        <v>1</v>
      </c>
      <c r="AE1302" s="31">
        <v>0</v>
      </c>
      <c r="AF1302" s="31">
        <v>0</v>
      </c>
      <c r="AG1302" s="31">
        <v>2</v>
      </c>
      <c r="AH1302" s="31" t="s">
        <v>213</v>
      </c>
      <c r="AI1302" s="31">
        <v>2</v>
      </c>
      <c r="AJ1302" s="31">
        <v>2</v>
      </c>
      <c r="AK1302" s="31">
        <v>0</v>
      </c>
      <c r="AL1302" s="31">
        <v>1.5</v>
      </c>
      <c r="AM1302" s="31">
        <v>0</v>
      </c>
      <c r="AN1302" s="31">
        <v>0</v>
      </c>
      <c r="AO1302" s="31">
        <v>0</v>
      </c>
      <c r="AP1302" s="31">
        <v>0</v>
      </c>
      <c r="AQ1302" s="31">
        <v>3000</v>
      </c>
      <c r="AR1302" s="31">
        <v>0</v>
      </c>
      <c r="AS1302" s="31">
        <v>0</v>
      </c>
      <c r="AT1302" s="31">
        <v>0</v>
      </c>
      <c r="AU1302" s="31" t="s">
        <v>198</v>
      </c>
      <c r="AV1302" s="31"/>
      <c r="AW1302" s="39" t="s">
        <v>198</v>
      </c>
      <c r="AX1302" s="31">
        <v>0</v>
      </c>
      <c r="AY1302" s="31">
        <v>0</v>
      </c>
      <c r="AZ1302" s="31">
        <v>0</v>
      </c>
      <c r="BA1302" s="39" t="s">
        <v>200</v>
      </c>
      <c r="BB1302" s="31" t="s">
        <v>2698</v>
      </c>
      <c r="BC1302" s="31">
        <v>0</v>
      </c>
      <c r="BD1302" s="31">
        <v>0</v>
      </c>
      <c r="BE1302" s="216" t="s">
        <v>2699</v>
      </c>
      <c r="BF1302" s="216" t="s">
        <v>2700</v>
      </c>
      <c r="BG1302" s="31">
        <v>0</v>
      </c>
      <c r="BH1302" s="31">
        <v>0</v>
      </c>
      <c r="BI1302" s="31">
        <v>0</v>
      </c>
      <c r="BJ1302" s="31">
        <v>0</v>
      </c>
      <c r="BK1302" s="31">
        <v>0</v>
      </c>
      <c r="BL1302" s="31">
        <v>0</v>
      </c>
      <c r="BM1302" s="22">
        <v>0</v>
      </c>
      <c r="BN1302" s="31">
        <v>0</v>
      </c>
      <c r="BO1302" s="31">
        <v>0</v>
      </c>
      <c r="BP1302" s="31">
        <v>0</v>
      </c>
      <c r="BQ1302" s="31">
        <v>0</v>
      </c>
      <c r="BR1302" s="31">
        <v>0</v>
      </c>
      <c r="BS1302" s="31">
        <v>0</v>
      </c>
      <c r="BT1302" s="13">
        <v>0</v>
      </c>
      <c r="BU1302" s="49">
        <v>0</v>
      </c>
      <c r="BV1302" s="49"/>
      <c r="BW1302" s="49"/>
    </row>
    <row r="1303" spans="3:75" ht="20.100000000000001" customHeight="1">
      <c r="C1303" s="17">
        <v>63002001</v>
      </c>
      <c r="D1303" s="18" t="s">
        <v>2701</v>
      </c>
      <c r="E1303" s="18" t="s">
        <v>2702</v>
      </c>
      <c r="F1303" s="17">
        <v>1</v>
      </c>
      <c r="G1303" s="17">
        <v>63002001</v>
      </c>
      <c r="H1303" s="17">
        <v>0</v>
      </c>
      <c r="I1303" s="28">
        <v>0</v>
      </c>
      <c r="J1303" s="19">
        <v>1</v>
      </c>
      <c r="K1303" s="19">
        <v>0</v>
      </c>
      <c r="L1303" s="17">
        <v>0</v>
      </c>
      <c r="M1303" s="17">
        <v>0</v>
      </c>
      <c r="N1303" s="17">
        <v>0</v>
      </c>
      <c r="O1303" s="17">
        <v>2</v>
      </c>
      <c r="P1303" s="17">
        <v>12</v>
      </c>
      <c r="Q1303" s="17">
        <v>1</v>
      </c>
      <c r="R1303" s="17">
        <v>0</v>
      </c>
      <c r="S1303" s="13">
        <v>0</v>
      </c>
      <c r="T1303" s="17">
        <v>0</v>
      </c>
      <c r="U1303" s="17">
        <v>1</v>
      </c>
      <c r="V1303" s="17">
        <v>2</v>
      </c>
      <c r="W1303" s="17">
        <v>0</v>
      </c>
      <c r="X1303" s="19">
        <v>0</v>
      </c>
      <c r="Y1303" s="13">
        <v>0</v>
      </c>
      <c r="Z1303" s="19">
        <v>0</v>
      </c>
      <c r="AA1303" s="17">
        <v>0</v>
      </c>
      <c r="AB1303" s="17">
        <v>0</v>
      </c>
      <c r="AC1303" s="17">
        <v>0</v>
      </c>
      <c r="AD1303" s="17">
        <v>1</v>
      </c>
      <c r="AE1303" s="17">
        <v>0</v>
      </c>
      <c r="AF1303" s="17">
        <v>60</v>
      </c>
      <c r="AG1303" s="17">
        <v>1</v>
      </c>
      <c r="AH1303" s="17" t="s">
        <v>607</v>
      </c>
      <c r="AI1303" s="13">
        <v>0</v>
      </c>
      <c r="AJ1303" s="13">
        <v>0</v>
      </c>
      <c r="AK1303" s="13">
        <v>0</v>
      </c>
      <c r="AL1303" s="13">
        <v>0</v>
      </c>
      <c r="AM1303" s="17">
        <v>0</v>
      </c>
      <c r="AN1303" s="17">
        <v>0</v>
      </c>
      <c r="AO1303" s="17">
        <v>0</v>
      </c>
      <c r="AP1303" s="17">
        <v>0</v>
      </c>
      <c r="AQ1303" s="17">
        <v>50000</v>
      </c>
      <c r="AR1303" s="17">
        <v>0</v>
      </c>
      <c r="AS1303" s="17">
        <v>0</v>
      </c>
      <c r="AT1303" s="13">
        <v>0</v>
      </c>
      <c r="AU1303" s="17">
        <v>90502001</v>
      </c>
      <c r="AV1303" s="17"/>
      <c r="AW1303" s="18" t="s">
        <v>198</v>
      </c>
      <c r="AX1303" s="17">
        <v>0</v>
      </c>
      <c r="AY1303" s="19">
        <v>0</v>
      </c>
      <c r="AZ1303" s="19">
        <v>0</v>
      </c>
      <c r="BA1303" s="18" t="s">
        <v>2680</v>
      </c>
      <c r="BB1303" s="17">
        <v>0</v>
      </c>
      <c r="BC1303" s="28">
        <v>0</v>
      </c>
      <c r="BD1303" s="28">
        <v>0</v>
      </c>
      <c r="BE1303" s="46" t="s">
        <v>2703</v>
      </c>
      <c r="BF1303" s="46" t="s">
        <v>2704</v>
      </c>
      <c r="BG1303" s="17">
        <v>0</v>
      </c>
      <c r="BH1303" s="17">
        <v>0</v>
      </c>
      <c r="BI1303" s="17">
        <v>0</v>
      </c>
      <c r="BJ1303" s="17">
        <v>0</v>
      </c>
      <c r="BK1303" s="17">
        <v>0</v>
      </c>
      <c r="BL1303" s="17">
        <v>0</v>
      </c>
      <c r="BM1303" s="16">
        <v>0</v>
      </c>
      <c r="BN1303" s="13">
        <v>1</v>
      </c>
      <c r="BO1303" s="13">
        <v>0</v>
      </c>
      <c r="BP1303" s="13">
        <v>0</v>
      </c>
      <c r="BQ1303" s="13">
        <v>0</v>
      </c>
      <c r="BR1303" s="13">
        <v>0</v>
      </c>
      <c r="BS1303" s="13">
        <v>0</v>
      </c>
      <c r="BT1303" s="13">
        <v>0</v>
      </c>
      <c r="BU1303" s="49">
        <v>0</v>
      </c>
      <c r="BV1303" s="49"/>
      <c r="BW1303" s="49"/>
    </row>
    <row r="1304" spans="3:75" ht="20.100000000000001" customHeight="1">
      <c r="C1304" s="17">
        <v>63002002</v>
      </c>
      <c r="D1304" s="18" t="s">
        <v>2688</v>
      </c>
      <c r="E1304" s="18" t="s">
        <v>2689</v>
      </c>
      <c r="F1304" s="17">
        <v>1</v>
      </c>
      <c r="G1304" s="17">
        <v>63002002</v>
      </c>
      <c r="H1304" s="17">
        <v>0</v>
      </c>
      <c r="I1304" s="28">
        <v>0</v>
      </c>
      <c r="J1304" s="19">
        <v>1</v>
      </c>
      <c r="K1304" s="19">
        <v>0</v>
      </c>
      <c r="L1304" s="17">
        <v>0</v>
      </c>
      <c r="M1304" s="17">
        <v>0</v>
      </c>
      <c r="N1304" s="17">
        <v>0</v>
      </c>
      <c r="O1304" s="17">
        <v>2</v>
      </c>
      <c r="P1304" s="17">
        <v>0</v>
      </c>
      <c r="Q1304" s="17">
        <v>0</v>
      </c>
      <c r="R1304" s="17">
        <v>0</v>
      </c>
      <c r="S1304" s="13">
        <v>0</v>
      </c>
      <c r="T1304" s="17">
        <v>0</v>
      </c>
      <c r="U1304" s="17">
        <v>1</v>
      </c>
      <c r="V1304" s="17">
        <v>0</v>
      </c>
      <c r="W1304" s="17">
        <v>0</v>
      </c>
      <c r="X1304" s="19">
        <v>0</v>
      </c>
      <c r="Y1304" s="13">
        <v>0</v>
      </c>
      <c r="Z1304" s="19">
        <v>0</v>
      </c>
      <c r="AA1304" s="17">
        <v>0</v>
      </c>
      <c r="AB1304" s="17">
        <v>0</v>
      </c>
      <c r="AC1304" s="17">
        <v>0</v>
      </c>
      <c r="AD1304" s="17">
        <v>1</v>
      </c>
      <c r="AE1304" s="17">
        <v>0</v>
      </c>
      <c r="AF1304" s="17">
        <v>0</v>
      </c>
      <c r="AG1304" s="17">
        <v>0</v>
      </c>
      <c r="AH1304" s="17" t="s">
        <v>198</v>
      </c>
      <c r="AI1304" s="13">
        <v>0</v>
      </c>
      <c r="AJ1304" s="13">
        <v>0</v>
      </c>
      <c r="AK1304" s="13">
        <v>0</v>
      </c>
      <c r="AL1304" s="13">
        <v>0</v>
      </c>
      <c r="AM1304" s="17">
        <v>0</v>
      </c>
      <c r="AN1304" s="17">
        <v>0</v>
      </c>
      <c r="AO1304" s="17">
        <v>0</v>
      </c>
      <c r="AP1304" s="17">
        <v>0</v>
      </c>
      <c r="AQ1304" s="17">
        <v>0</v>
      </c>
      <c r="AR1304" s="17">
        <v>0</v>
      </c>
      <c r="AS1304" s="17">
        <v>0</v>
      </c>
      <c r="AT1304" s="13">
        <v>0</v>
      </c>
      <c r="AU1304" s="17" t="s">
        <v>198</v>
      </c>
      <c r="AV1304" s="17"/>
      <c r="AW1304" s="18" t="s">
        <v>198</v>
      </c>
      <c r="AX1304" s="17">
        <v>0</v>
      </c>
      <c r="AY1304" s="19">
        <v>0</v>
      </c>
      <c r="AZ1304" s="19">
        <v>0</v>
      </c>
      <c r="BA1304" s="18" t="s">
        <v>198</v>
      </c>
      <c r="BB1304" s="17">
        <v>0</v>
      </c>
      <c r="BC1304" s="28"/>
      <c r="BD1304" s="28">
        <v>0</v>
      </c>
      <c r="BE1304" s="46" t="s">
        <v>2690</v>
      </c>
      <c r="BF1304" s="46" t="s">
        <v>2691</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63002003</v>
      </c>
      <c r="D1305" s="18" t="s">
        <v>2705</v>
      </c>
      <c r="E1305" s="18" t="s">
        <v>2706</v>
      </c>
      <c r="F1305" s="17">
        <v>1</v>
      </c>
      <c r="G1305" s="17">
        <v>1000001</v>
      </c>
      <c r="H1305" s="17">
        <v>0</v>
      </c>
      <c r="I1305" s="28">
        <v>0</v>
      </c>
      <c r="J1305" s="19">
        <v>1</v>
      </c>
      <c r="K1305" s="19">
        <v>0</v>
      </c>
      <c r="L1305" s="17">
        <v>0</v>
      </c>
      <c r="M1305" s="17">
        <v>0</v>
      </c>
      <c r="N1305" s="17">
        <v>0</v>
      </c>
      <c r="O1305" s="17">
        <v>8</v>
      </c>
      <c r="P1305" s="17">
        <v>8</v>
      </c>
      <c r="Q1305" s="17">
        <v>1</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t="s">
        <v>2707</v>
      </c>
      <c r="BC1305" s="28"/>
      <c r="BD1305" s="28">
        <v>0</v>
      </c>
      <c r="BE1305" s="46" t="s">
        <v>2708</v>
      </c>
      <c r="BF1305" s="46" t="s">
        <v>2709</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spans="3:75" ht="19.5" customHeight="1">
      <c r="C1306" s="182">
        <v>63002004</v>
      </c>
      <c r="D1306" s="240" t="s">
        <v>2710</v>
      </c>
      <c r="E1306" s="240" t="s">
        <v>2711</v>
      </c>
      <c r="F1306" s="17">
        <v>1</v>
      </c>
      <c r="G1306" s="239">
        <v>63001004</v>
      </c>
      <c r="H1306" s="19">
        <v>0</v>
      </c>
      <c r="I1306" s="28">
        <v>0</v>
      </c>
      <c r="J1306" s="17">
        <v>1</v>
      </c>
      <c r="K1306" s="19">
        <v>0</v>
      </c>
      <c r="L1306" s="17">
        <v>0</v>
      </c>
      <c r="M1306" s="19">
        <v>0</v>
      </c>
      <c r="N1306" s="19">
        <v>0</v>
      </c>
      <c r="O1306" s="19">
        <v>2</v>
      </c>
      <c r="P1306" s="19">
        <v>1</v>
      </c>
      <c r="Q1306" s="19">
        <v>0.2</v>
      </c>
      <c r="R1306" s="19">
        <v>0</v>
      </c>
      <c r="S1306" s="13">
        <v>0</v>
      </c>
      <c r="T1306" s="28">
        <v>0</v>
      </c>
      <c r="U1306" s="17">
        <v>1</v>
      </c>
      <c r="V1306" s="19">
        <v>2</v>
      </c>
      <c r="W1306" s="19">
        <v>0</v>
      </c>
      <c r="X1306" s="19">
        <v>3.5</v>
      </c>
      <c r="Y1306" s="13">
        <v>0</v>
      </c>
      <c r="Z1306" s="19">
        <v>0</v>
      </c>
      <c r="AA1306" s="19">
        <v>0</v>
      </c>
      <c r="AB1306" s="19">
        <v>0</v>
      </c>
      <c r="AC1306" s="19">
        <v>0</v>
      </c>
      <c r="AD1306" s="19">
        <v>1</v>
      </c>
      <c r="AE1306" s="19">
        <v>0</v>
      </c>
      <c r="AF1306" s="19">
        <v>5</v>
      </c>
      <c r="AG1306" s="19">
        <v>1</v>
      </c>
      <c r="AH1306" s="19">
        <v>3.5</v>
      </c>
      <c r="AI1306" s="13">
        <v>1</v>
      </c>
      <c r="AJ1306" s="13">
        <v>1</v>
      </c>
      <c r="AK1306" s="13">
        <v>0</v>
      </c>
      <c r="AL1306" s="13">
        <v>6</v>
      </c>
      <c r="AM1306" s="19">
        <v>0</v>
      </c>
      <c r="AN1306" s="19">
        <v>0</v>
      </c>
      <c r="AO1306" s="19">
        <v>0</v>
      </c>
      <c r="AP1306" s="19">
        <v>0.25</v>
      </c>
      <c r="AQ1306" s="19">
        <v>3000</v>
      </c>
      <c r="AR1306" s="19">
        <v>2</v>
      </c>
      <c r="AS1306" s="19">
        <v>0</v>
      </c>
      <c r="AT1306" s="13">
        <v>0</v>
      </c>
      <c r="AU1306" s="355" t="s">
        <v>2712</v>
      </c>
      <c r="AV1306" s="13"/>
      <c r="AW1306" s="20" t="s">
        <v>199</v>
      </c>
      <c r="AX1306" s="19" t="s">
        <v>1846</v>
      </c>
      <c r="AY1306" s="19">
        <v>10003002</v>
      </c>
      <c r="AZ1306" s="19">
        <v>21020101</v>
      </c>
      <c r="BA1306" s="20" t="s">
        <v>200</v>
      </c>
      <c r="BB1306" s="20">
        <v>0</v>
      </c>
      <c r="BC1306" s="28">
        <v>0</v>
      </c>
      <c r="BD1306" s="28">
        <v>0</v>
      </c>
      <c r="BE1306" s="186" t="str">
        <f>"每次攻击有20%概率释放驭剑之击对目标范围内的怪物造成"&amp;X1306*100&amp;"%攻击伤害,并使目标眩晕1秒"</f>
        <v>每次攻击有20%概率释放驭剑之击对目标范围内的怪物造成350%攻击伤害,并使目标眩晕1秒</v>
      </c>
      <c r="BF1306" s="186" t="s">
        <v>2713</v>
      </c>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63002005</v>
      </c>
      <c r="D1307" s="18" t="s">
        <v>2714</v>
      </c>
      <c r="E1307" s="18" t="s">
        <v>2715</v>
      </c>
      <c r="F1307" s="17">
        <v>1</v>
      </c>
      <c r="G1307" s="17">
        <v>61012101</v>
      </c>
      <c r="H1307" s="17">
        <v>0</v>
      </c>
      <c r="I1307" s="28">
        <v>0</v>
      </c>
      <c r="J1307" s="17">
        <v>1</v>
      </c>
      <c r="K1307" s="17">
        <v>0</v>
      </c>
      <c r="L1307" s="17">
        <v>0</v>
      </c>
      <c r="M1307" s="17">
        <v>0</v>
      </c>
      <c r="N1307" s="17">
        <v>0</v>
      </c>
      <c r="O1307" s="17">
        <v>2</v>
      </c>
      <c r="P1307" s="17">
        <v>1</v>
      </c>
      <c r="Q1307" s="17">
        <v>0.4</v>
      </c>
      <c r="R1307" s="17">
        <v>0</v>
      </c>
      <c r="S1307" s="13">
        <v>0</v>
      </c>
      <c r="T1307" s="17">
        <v>0</v>
      </c>
      <c r="U1307" s="17">
        <v>1</v>
      </c>
      <c r="V1307" s="17">
        <v>1</v>
      </c>
      <c r="W1307" s="17">
        <v>0</v>
      </c>
      <c r="X1307" s="17">
        <v>2</v>
      </c>
      <c r="Y1307" s="13">
        <v>0</v>
      </c>
      <c r="Z1307" s="17">
        <v>500</v>
      </c>
      <c r="AA1307" s="17">
        <v>0</v>
      </c>
      <c r="AB1307" s="17">
        <v>0</v>
      </c>
      <c r="AC1307" s="17">
        <v>0</v>
      </c>
      <c r="AD1307" s="17">
        <v>1</v>
      </c>
      <c r="AE1307" s="17">
        <v>0</v>
      </c>
      <c r="AF1307" s="17">
        <v>3</v>
      </c>
      <c r="AG1307" s="17">
        <v>2</v>
      </c>
      <c r="AH1307" s="17" t="s">
        <v>1474</v>
      </c>
      <c r="AI1307" s="13">
        <v>2</v>
      </c>
      <c r="AJ1307" s="13">
        <v>0</v>
      </c>
      <c r="AK1307" s="13">
        <v>0</v>
      </c>
      <c r="AL1307" s="13">
        <v>1.5</v>
      </c>
      <c r="AM1307" s="17">
        <v>0</v>
      </c>
      <c r="AN1307" s="17">
        <v>0</v>
      </c>
      <c r="AO1307" s="17">
        <v>0</v>
      </c>
      <c r="AP1307" s="17">
        <v>0</v>
      </c>
      <c r="AQ1307" s="17">
        <v>3000</v>
      </c>
      <c r="AR1307" s="17">
        <v>0</v>
      </c>
      <c r="AS1307" s="17">
        <v>0</v>
      </c>
      <c r="AT1307" s="13">
        <v>0</v>
      </c>
      <c r="AU1307" s="17">
        <v>0</v>
      </c>
      <c r="AV1307" s="17"/>
      <c r="AW1307" s="18" t="s">
        <v>287</v>
      </c>
      <c r="AX1307" s="17" t="s">
        <v>1475</v>
      </c>
      <c r="AY1307" s="19">
        <v>10001007</v>
      </c>
      <c r="AZ1307" s="19">
        <v>21000010</v>
      </c>
      <c r="BA1307" s="18" t="s">
        <v>200</v>
      </c>
      <c r="BB1307" s="17">
        <v>0</v>
      </c>
      <c r="BC1307" s="28">
        <v>0</v>
      </c>
      <c r="BD1307" s="28">
        <v>0</v>
      </c>
      <c r="BE1307" s="172" t="str">
        <f>"每次攻击有40%概率立即对目标范围内的怪物造成"&amp;X1307*100&amp;"%攻击伤害+"&amp;Z1307&amp;"点固定伤害"</f>
        <v>每次攻击有40%概率立即对目标范围内的怪物造成200%攻击伤害+500点固定伤害</v>
      </c>
      <c r="BF1307" s="172" t="s">
        <v>2716</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63003001</v>
      </c>
      <c r="D1308" s="18" t="s">
        <v>2717</v>
      </c>
      <c r="E1308" s="18" t="s">
        <v>2718</v>
      </c>
      <c r="F1308" s="17">
        <v>1</v>
      </c>
      <c r="G1308" s="17">
        <v>63003001</v>
      </c>
      <c r="H1308" s="17">
        <v>0</v>
      </c>
      <c r="I1308" s="28">
        <v>0</v>
      </c>
      <c r="J1308" s="19">
        <v>1</v>
      </c>
      <c r="K1308" s="19">
        <v>0</v>
      </c>
      <c r="L1308" s="17">
        <v>0</v>
      </c>
      <c r="M1308" s="17">
        <v>0</v>
      </c>
      <c r="N1308" s="17">
        <v>0</v>
      </c>
      <c r="O1308" s="17">
        <v>2</v>
      </c>
      <c r="P1308" s="17">
        <v>12</v>
      </c>
      <c r="Q1308" s="17">
        <v>1</v>
      </c>
      <c r="R1308" s="17">
        <v>0</v>
      </c>
      <c r="S1308" s="13">
        <v>0</v>
      </c>
      <c r="T1308" s="17">
        <v>0</v>
      </c>
      <c r="U1308" s="17">
        <v>1</v>
      </c>
      <c r="V1308" s="17">
        <v>2</v>
      </c>
      <c r="W1308" s="17">
        <v>0</v>
      </c>
      <c r="X1308" s="19">
        <v>0</v>
      </c>
      <c r="Y1308" s="13">
        <v>0</v>
      </c>
      <c r="Z1308" s="19">
        <v>0</v>
      </c>
      <c r="AA1308" s="17">
        <v>0</v>
      </c>
      <c r="AB1308" s="17">
        <v>0</v>
      </c>
      <c r="AC1308" s="17">
        <v>0</v>
      </c>
      <c r="AD1308" s="17">
        <v>1</v>
      </c>
      <c r="AE1308" s="17">
        <v>0</v>
      </c>
      <c r="AF1308" s="17">
        <v>60</v>
      </c>
      <c r="AG1308" s="17">
        <v>1</v>
      </c>
      <c r="AH1308" s="17">
        <v>10</v>
      </c>
      <c r="AI1308" s="13">
        <v>0</v>
      </c>
      <c r="AJ1308" s="13">
        <v>0</v>
      </c>
      <c r="AK1308" s="13">
        <v>0</v>
      </c>
      <c r="AL1308" s="13">
        <v>0</v>
      </c>
      <c r="AM1308" s="17">
        <v>0</v>
      </c>
      <c r="AN1308" s="17">
        <v>0</v>
      </c>
      <c r="AO1308" s="17">
        <v>0</v>
      </c>
      <c r="AP1308" s="17">
        <v>0</v>
      </c>
      <c r="AQ1308" s="17">
        <v>50000</v>
      </c>
      <c r="AR1308" s="17">
        <v>0</v>
      </c>
      <c r="AS1308" s="17">
        <v>0</v>
      </c>
      <c r="AT1308" s="13">
        <v>90503001</v>
      </c>
      <c r="AU1308" s="17">
        <v>90503001</v>
      </c>
      <c r="AV1308" s="17"/>
      <c r="AW1308" s="18" t="s">
        <v>198</v>
      </c>
      <c r="AX1308" s="17">
        <v>0</v>
      </c>
      <c r="AY1308" s="19">
        <v>0</v>
      </c>
      <c r="AZ1308" s="19">
        <v>0</v>
      </c>
      <c r="BA1308" s="18" t="s">
        <v>2680</v>
      </c>
      <c r="BB1308" s="17">
        <v>0</v>
      </c>
      <c r="BC1308" s="28">
        <v>0</v>
      </c>
      <c r="BD1308" s="28">
        <v>0</v>
      </c>
      <c r="BE1308" s="46" t="s">
        <v>2719</v>
      </c>
      <c r="BF1308" s="46" t="s">
        <v>2720</v>
      </c>
      <c r="BG1308" s="17">
        <v>0</v>
      </c>
      <c r="BH1308" s="17">
        <v>0</v>
      </c>
      <c r="BI1308" s="17">
        <v>0</v>
      </c>
      <c r="BJ1308" s="17">
        <v>0</v>
      </c>
      <c r="BK1308" s="17">
        <v>0</v>
      </c>
      <c r="BL1308" s="17">
        <v>0</v>
      </c>
      <c r="BM1308" s="16">
        <v>0</v>
      </c>
      <c r="BN1308" s="13">
        <v>1</v>
      </c>
      <c r="BO1308" s="13">
        <v>0</v>
      </c>
      <c r="BP1308" s="13">
        <v>0</v>
      </c>
      <c r="BQ1308" s="13">
        <v>0</v>
      </c>
      <c r="BR1308" s="13">
        <v>0</v>
      </c>
      <c r="BS1308" s="13">
        <v>0</v>
      </c>
      <c r="BT1308" s="13">
        <v>0</v>
      </c>
      <c r="BU1308" s="49">
        <v>0</v>
      </c>
      <c r="BV1308" s="49"/>
      <c r="BW1308" s="49"/>
    </row>
    <row r="1309" spans="3:75" ht="20.100000000000001" customHeight="1">
      <c r="C1309" s="17">
        <v>63003002</v>
      </c>
      <c r="D1309" s="18" t="s">
        <v>2721</v>
      </c>
      <c r="E1309" s="18" t="s">
        <v>2722</v>
      </c>
      <c r="F1309" s="17">
        <v>1</v>
      </c>
      <c r="G1309" s="17">
        <v>63003002</v>
      </c>
      <c r="H1309" s="17">
        <v>0</v>
      </c>
      <c r="I1309" s="28">
        <v>0</v>
      </c>
      <c r="J1309" s="19">
        <v>1</v>
      </c>
      <c r="K1309" s="19">
        <v>0</v>
      </c>
      <c r="L1309" s="17">
        <v>0</v>
      </c>
      <c r="M1309" s="17">
        <v>0</v>
      </c>
      <c r="N1309" s="17">
        <v>0</v>
      </c>
      <c r="O1309" s="17">
        <v>2</v>
      </c>
      <c r="P1309" s="17">
        <v>0</v>
      </c>
      <c r="Q1309" s="17">
        <v>0</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0</v>
      </c>
      <c r="BE1309" s="46" t="s">
        <v>2723</v>
      </c>
      <c r="BF1309" s="46" t="s">
        <v>2724</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63003003</v>
      </c>
      <c r="D1310" s="18" t="s">
        <v>2725</v>
      </c>
      <c r="E1310" s="18" t="s">
        <v>2706</v>
      </c>
      <c r="F1310" s="17">
        <v>1</v>
      </c>
      <c r="G1310" s="17">
        <v>1000002</v>
      </c>
      <c r="H1310" s="17">
        <v>0</v>
      </c>
      <c r="I1310" s="28">
        <v>0</v>
      </c>
      <c r="J1310" s="19">
        <v>1</v>
      </c>
      <c r="K1310" s="19">
        <v>0</v>
      </c>
      <c r="L1310" s="17">
        <v>0</v>
      </c>
      <c r="M1310" s="17">
        <v>0</v>
      </c>
      <c r="N1310" s="17">
        <v>0</v>
      </c>
      <c r="O1310" s="17">
        <v>8</v>
      </c>
      <c r="P1310" s="17">
        <v>8</v>
      </c>
      <c r="Q1310" s="17">
        <v>2</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2726</v>
      </c>
      <c r="BC1310" s="28"/>
      <c r="BD1310" s="28">
        <v>0</v>
      </c>
      <c r="BE1310" s="46" t="s">
        <v>2727</v>
      </c>
      <c r="BF1310" s="46" t="s">
        <v>2728</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20.100000000000001" customHeight="1">
      <c r="C1311" s="17">
        <v>63003004</v>
      </c>
      <c r="D1311" s="240" t="s">
        <v>2729</v>
      </c>
      <c r="E1311" s="240" t="s">
        <v>2730</v>
      </c>
      <c r="F1311" s="182">
        <v>1</v>
      </c>
      <c r="G1311" s="182">
        <v>63001004</v>
      </c>
      <c r="H1311" s="182">
        <v>0</v>
      </c>
      <c r="I1311" s="182">
        <v>0</v>
      </c>
      <c r="J1311" s="19">
        <v>1</v>
      </c>
      <c r="K1311" s="19">
        <v>0</v>
      </c>
      <c r="L1311" s="17">
        <v>0</v>
      </c>
      <c r="M1311" s="182">
        <v>0</v>
      </c>
      <c r="N1311" s="182">
        <v>0</v>
      </c>
      <c r="O1311" s="182">
        <v>2</v>
      </c>
      <c r="P1311" s="182">
        <v>5</v>
      </c>
      <c r="Q1311" s="182">
        <v>0.15</v>
      </c>
      <c r="R1311" s="182">
        <v>0</v>
      </c>
      <c r="S1311" s="13">
        <v>0</v>
      </c>
      <c r="T1311" s="182">
        <v>0</v>
      </c>
      <c r="U1311" s="182">
        <v>1</v>
      </c>
      <c r="V1311" s="182">
        <v>2</v>
      </c>
      <c r="W1311" s="182">
        <v>0</v>
      </c>
      <c r="X1311" s="182">
        <v>0</v>
      </c>
      <c r="Y1311" s="13">
        <v>0</v>
      </c>
      <c r="Z1311" s="182">
        <v>0</v>
      </c>
      <c r="AA1311" s="182">
        <v>0</v>
      </c>
      <c r="AB1311" s="182">
        <v>0</v>
      </c>
      <c r="AC1311" s="182">
        <v>0</v>
      </c>
      <c r="AD1311" s="17">
        <v>1</v>
      </c>
      <c r="AE1311" s="182">
        <v>0</v>
      </c>
      <c r="AF1311" s="182">
        <v>6</v>
      </c>
      <c r="AG1311" s="182">
        <v>1</v>
      </c>
      <c r="AH1311" s="182">
        <v>1</v>
      </c>
      <c r="AI1311" s="182">
        <v>2</v>
      </c>
      <c r="AJ1311" s="182">
        <v>0</v>
      </c>
      <c r="AK1311" s="13">
        <v>0</v>
      </c>
      <c r="AL1311" s="182">
        <v>2</v>
      </c>
      <c r="AM1311" s="182">
        <v>0</v>
      </c>
      <c r="AN1311" s="182">
        <v>0</v>
      </c>
      <c r="AO1311" s="182">
        <v>0</v>
      </c>
      <c r="AP1311" s="17">
        <v>0</v>
      </c>
      <c r="AQ1311" s="182">
        <v>10000</v>
      </c>
      <c r="AR1311" s="182">
        <v>0.5</v>
      </c>
      <c r="AS1311" s="182">
        <v>0</v>
      </c>
      <c r="AT1311" s="182">
        <v>0</v>
      </c>
      <c r="AU1311" s="182" t="s">
        <v>198</v>
      </c>
      <c r="AV1311" s="182"/>
      <c r="AW1311" s="240" t="s">
        <v>199</v>
      </c>
      <c r="AX1311" s="182">
        <v>0</v>
      </c>
      <c r="AY1311" s="182">
        <v>0</v>
      </c>
      <c r="AZ1311" s="182">
        <v>0</v>
      </c>
      <c r="BA1311" s="240" t="s">
        <v>200</v>
      </c>
      <c r="BB1311" s="240" t="s">
        <v>198</v>
      </c>
      <c r="BC1311" s="182">
        <v>0</v>
      </c>
      <c r="BD1311" s="182">
        <v>0</v>
      </c>
      <c r="BE1311" s="254" t="s">
        <v>2731</v>
      </c>
      <c r="BF1311" s="254" t="s">
        <v>2732</v>
      </c>
      <c r="BG1311" s="182">
        <v>0</v>
      </c>
      <c r="BH1311" s="17">
        <v>0</v>
      </c>
      <c r="BI1311" s="182">
        <v>0</v>
      </c>
      <c r="BJ1311" s="182">
        <v>0</v>
      </c>
      <c r="BK1311" s="182">
        <v>0</v>
      </c>
      <c r="BL1311" s="182">
        <v>0</v>
      </c>
      <c r="BM1311" s="377" t="s">
        <v>2733</v>
      </c>
      <c r="BN1311" s="13">
        <v>1</v>
      </c>
      <c r="BO1311" s="13">
        <v>0</v>
      </c>
      <c r="BP1311" s="13">
        <v>0</v>
      </c>
      <c r="BQ1311" s="13">
        <v>0</v>
      </c>
      <c r="BR1311" s="13">
        <v>0</v>
      </c>
      <c r="BS1311" s="13">
        <v>0</v>
      </c>
      <c r="BT1311" s="13">
        <v>0</v>
      </c>
      <c r="BU1311" s="49">
        <v>0</v>
      </c>
      <c r="BV1311" s="49"/>
      <c r="BW1311" s="49"/>
    </row>
    <row r="1312" spans="3:75" ht="20.100000000000001" customHeight="1">
      <c r="C1312" s="17">
        <v>63003005</v>
      </c>
      <c r="D1312" s="18" t="s">
        <v>2734</v>
      </c>
      <c r="E1312" s="18" t="s">
        <v>2735</v>
      </c>
      <c r="F1312" s="17">
        <v>1</v>
      </c>
      <c r="G1312" s="17">
        <v>1000003</v>
      </c>
      <c r="H1312" s="17">
        <v>0</v>
      </c>
      <c r="I1312" s="28">
        <v>0</v>
      </c>
      <c r="J1312" s="19">
        <v>1</v>
      </c>
      <c r="K1312" s="19">
        <v>0</v>
      </c>
      <c r="L1312" s="17">
        <v>0</v>
      </c>
      <c r="M1312" s="17">
        <v>0</v>
      </c>
      <c r="N1312" s="17">
        <v>0</v>
      </c>
      <c r="O1312" s="17">
        <v>8</v>
      </c>
      <c r="P1312" s="17">
        <v>8</v>
      </c>
      <c r="Q1312" s="17">
        <v>3</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1</v>
      </c>
      <c r="BE1312" s="46" t="s">
        <v>2736</v>
      </c>
      <c r="BF1312" s="46" t="s">
        <v>2737</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63101001</v>
      </c>
      <c r="D1313" s="18" t="s">
        <v>2738</v>
      </c>
      <c r="E1313" s="18" t="s">
        <v>2739</v>
      </c>
      <c r="F1313" s="17">
        <v>1</v>
      </c>
      <c r="G1313" s="17">
        <v>63001001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90511003</v>
      </c>
      <c r="AV1313" s="17"/>
      <c r="AW1313" s="18" t="s">
        <v>198</v>
      </c>
      <c r="AX1313" s="17">
        <v>0</v>
      </c>
      <c r="AY1313" s="19">
        <v>0</v>
      </c>
      <c r="AZ1313" s="19">
        <v>0</v>
      </c>
      <c r="BA1313" s="18" t="s">
        <v>2680</v>
      </c>
      <c r="BB1313" s="17">
        <v>0</v>
      </c>
      <c r="BC1313" s="28">
        <v>0</v>
      </c>
      <c r="BD1313" s="28">
        <v>0</v>
      </c>
      <c r="BE1313" s="46" t="s">
        <v>2740</v>
      </c>
      <c r="BF1313" s="46" t="s">
        <v>2741</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63101002</v>
      </c>
      <c r="D1314" s="18" t="s">
        <v>2742</v>
      </c>
      <c r="E1314" s="18" t="s">
        <v>2743</v>
      </c>
      <c r="F1314" s="17">
        <v>1</v>
      </c>
      <c r="G1314" s="17">
        <v>1000003</v>
      </c>
      <c r="H1314" s="17">
        <v>0</v>
      </c>
      <c r="I1314" s="28">
        <v>0</v>
      </c>
      <c r="J1314" s="19">
        <v>1</v>
      </c>
      <c r="K1314" s="19">
        <v>0</v>
      </c>
      <c r="L1314" s="17">
        <v>0</v>
      </c>
      <c r="M1314" s="17">
        <v>0</v>
      </c>
      <c r="N1314" s="17">
        <v>0</v>
      </c>
      <c r="O1314" s="17">
        <v>8</v>
      </c>
      <c r="P1314" s="17">
        <v>8</v>
      </c>
      <c r="Q1314" s="17">
        <v>3</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t="s">
        <v>2744</v>
      </c>
      <c r="BC1314" s="28"/>
      <c r="BD1314" s="28">
        <v>0</v>
      </c>
      <c r="BE1314" s="46" t="s">
        <v>2745</v>
      </c>
      <c r="BF1314" s="46" t="s">
        <v>2746</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63101003</v>
      </c>
      <c r="D1315" s="18" t="s">
        <v>2747</v>
      </c>
      <c r="E1315" s="18" t="s">
        <v>2748</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2749</v>
      </c>
      <c r="BF1315" s="46" t="s">
        <v>2750</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63101004</v>
      </c>
      <c r="D1316" s="240" t="s">
        <v>2751</v>
      </c>
      <c r="E1316" s="240" t="s">
        <v>2752</v>
      </c>
      <c r="F1316" s="182">
        <v>1</v>
      </c>
      <c r="G1316" s="182">
        <v>63001004</v>
      </c>
      <c r="H1316" s="182">
        <v>0</v>
      </c>
      <c r="I1316" s="182">
        <v>0</v>
      </c>
      <c r="J1316" s="19">
        <v>1</v>
      </c>
      <c r="K1316" s="19">
        <v>0</v>
      </c>
      <c r="L1316" s="17">
        <v>0</v>
      </c>
      <c r="M1316" s="182">
        <v>0</v>
      </c>
      <c r="N1316" s="182">
        <v>0</v>
      </c>
      <c r="O1316" s="182">
        <v>2</v>
      </c>
      <c r="P1316" s="182">
        <v>17</v>
      </c>
      <c r="Q1316" s="182">
        <v>0.15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15</v>
      </c>
      <c r="AG1316" s="182">
        <v>1</v>
      </c>
      <c r="AH1316" s="182">
        <v>1</v>
      </c>
      <c r="AI1316" s="182">
        <v>2</v>
      </c>
      <c r="AJ1316" s="182">
        <v>0</v>
      </c>
      <c r="AK1316" s="13">
        <v>0</v>
      </c>
      <c r="AL1316" s="182">
        <v>2</v>
      </c>
      <c r="AM1316" s="182">
        <v>0</v>
      </c>
      <c r="AN1316" s="182">
        <v>0</v>
      </c>
      <c r="AO1316" s="182">
        <v>0</v>
      </c>
      <c r="AP1316" s="17">
        <v>0</v>
      </c>
      <c r="AQ1316" s="182">
        <v>10000</v>
      </c>
      <c r="AR1316" s="182">
        <v>0.5</v>
      </c>
      <c r="AS1316" s="182">
        <v>0</v>
      </c>
      <c r="AT1316" s="182">
        <v>0</v>
      </c>
      <c r="AU1316" s="182" t="s">
        <v>198</v>
      </c>
      <c r="AV1316" s="182"/>
      <c r="AW1316" s="240"/>
      <c r="AX1316" s="182">
        <v>0</v>
      </c>
      <c r="AY1316" s="182">
        <v>0</v>
      </c>
      <c r="AZ1316" s="182">
        <v>0</v>
      </c>
      <c r="BA1316" s="240" t="s">
        <v>200</v>
      </c>
      <c r="BB1316" s="240" t="s">
        <v>198</v>
      </c>
      <c r="BC1316" s="182">
        <v>0</v>
      </c>
      <c r="BD1316" s="182">
        <v>0</v>
      </c>
      <c r="BE1316" s="254" t="s">
        <v>2753</v>
      </c>
      <c r="BF1316" s="254" t="s">
        <v>2754</v>
      </c>
      <c r="BG1316" s="182">
        <v>0</v>
      </c>
      <c r="BH1316" s="17">
        <v>0</v>
      </c>
      <c r="BI1316" s="182">
        <v>0</v>
      </c>
      <c r="BJ1316" s="182">
        <v>0</v>
      </c>
      <c r="BK1316" s="182">
        <v>0</v>
      </c>
      <c r="BL1316" s="182">
        <v>0</v>
      </c>
      <c r="BM1316" s="377" t="s">
        <v>2755</v>
      </c>
      <c r="BN1316" s="13">
        <v>0</v>
      </c>
      <c r="BO1316" s="13">
        <v>0</v>
      </c>
      <c r="BP1316" s="13">
        <v>0</v>
      </c>
      <c r="BQ1316" s="13">
        <v>0</v>
      </c>
      <c r="BR1316" s="13">
        <v>0</v>
      </c>
      <c r="BS1316" s="13">
        <v>0</v>
      </c>
      <c r="BT1316" s="13">
        <v>0</v>
      </c>
      <c r="BU1316" s="49">
        <v>0</v>
      </c>
      <c r="BV1316" s="49"/>
      <c r="BW1316" s="49"/>
    </row>
    <row r="1317" spans="3:75" ht="20.100000000000001" customHeight="1">
      <c r="C1317" s="17">
        <v>63102001</v>
      </c>
      <c r="D1317" s="18" t="s">
        <v>2756</v>
      </c>
      <c r="E1317" s="18" t="s">
        <v>2757</v>
      </c>
      <c r="F1317" s="17">
        <v>1</v>
      </c>
      <c r="G1317" s="17">
        <v>63002001</v>
      </c>
      <c r="H1317" s="17">
        <v>0</v>
      </c>
      <c r="I1317" s="28">
        <v>0</v>
      </c>
      <c r="J1317" s="19">
        <v>1</v>
      </c>
      <c r="K1317" s="19">
        <v>0</v>
      </c>
      <c r="L1317" s="17">
        <v>0</v>
      </c>
      <c r="M1317" s="17">
        <v>0</v>
      </c>
      <c r="N1317" s="17">
        <v>0</v>
      </c>
      <c r="O1317" s="17">
        <v>2</v>
      </c>
      <c r="P1317" s="17">
        <v>12</v>
      </c>
      <c r="Q1317" s="17">
        <v>1</v>
      </c>
      <c r="R1317" s="17">
        <v>0</v>
      </c>
      <c r="S1317" s="13">
        <v>0</v>
      </c>
      <c r="T1317" s="17">
        <v>0</v>
      </c>
      <c r="U1317" s="17">
        <v>1</v>
      </c>
      <c r="V1317" s="17">
        <v>2</v>
      </c>
      <c r="W1317" s="17">
        <v>0</v>
      </c>
      <c r="X1317" s="19">
        <v>0</v>
      </c>
      <c r="Y1317" s="13">
        <v>0</v>
      </c>
      <c r="Z1317" s="19">
        <v>0</v>
      </c>
      <c r="AA1317" s="17">
        <v>0</v>
      </c>
      <c r="AB1317" s="17">
        <v>0</v>
      </c>
      <c r="AC1317" s="17">
        <v>0</v>
      </c>
      <c r="AD1317" s="17">
        <v>1</v>
      </c>
      <c r="AE1317" s="17">
        <v>0</v>
      </c>
      <c r="AF1317" s="17">
        <v>60</v>
      </c>
      <c r="AG1317" s="17">
        <v>1</v>
      </c>
      <c r="AH1317" s="17">
        <v>10</v>
      </c>
      <c r="AI1317" s="13">
        <v>0</v>
      </c>
      <c r="AJ1317" s="13">
        <v>0</v>
      </c>
      <c r="AK1317" s="13">
        <v>0</v>
      </c>
      <c r="AL1317" s="13">
        <v>0</v>
      </c>
      <c r="AM1317" s="17">
        <v>0</v>
      </c>
      <c r="AN1317" s="17">
        <v>0</v>
      </c>
      <c r="AO1317" s="17">
        <v>0</v>
      </c>
      <c r="AP1317" s="17">
        <v>0</v>
      </c>
      <c r="AQ1317" s="17">
        <v>50000</v>
      </c>
      <c r="AR1317" s="17">
        <v>0</v>
      </c>
      <c r="AS1317" s="17">
        <v>0</v>
      </c>
      <c r="AT1317" s="13">
        <v>0</v>
      </c>
      <c r="AU1317" s="17">
        <v>90512001</v>
      </c>
      <c r="AV1317" s="17"/>
      <c r="AW1317" s="18" t="s">
        <v>198</v>
      </c>
      <c r="AX1317" s="17">
        <v>0</v>
      </c>
      <c r="AY1317" s="19">
        <v>0</v>
      </c>
      <c r="AZ1317" s="19">
        <v>0</v>
      </c>
      <c r="BA1317" s="18" t="s">
        <v>2680</v>
      </c>
      <c r="BB1317" s="17">
        <v>0</v>
      </c>
      <c r="BC1317" s="28">
        <v>0</v>
      </c>
      <c r="BD1317" s="28">
        <v>0</v>
      </c>
      <c r="BE1317" s="46" t="s">
        <v>2758</v>
      </c>
      <c r="BF1317" s="46" t="s">
        <v>2759</v>
      </c>
      <c r="BG1317" s="17">
        <v>0</v>
      </c>
      <c r="BH1317" s="17">
        <v>0</v>
      </c>
      <c r="BI1317" s="17">
        <v>0</v>
      </c>
      <c r="BJ1317" s="17">
        <v>0</v>
      </c>
      <c r="BK1317" s="17">
        <v>0</v>
      </c>
      <c r="BL1317" s="17">
        <v>0</v>
      </c>
      <c r="BM1317" s="16">
        <v>0</v>
      </c>
      <c r="BN1317" s="13">
        <v>1</v>
      </c>
      <c r="BO1317" s="13">
        <v>0</v>
      </c>
      <c r="BP1317" s="13">
        <v>0</v>
      </c>
      <c r="BQ1317" s="13">
        <v>0</v>
      </c>
      <c r="BR1317" s="13">
        <v>0</v>
      </c>
      <c r="BS1317" s="13">
        <v>0</v>
      </c>
      <c r="BT1317" s="13">
        <v>0</v>
      </c>
      <c r="BU1317" s="49">
        <v>0</v>
      </c>
      <c r="BV1317" s="49"/>
      <c r="BW1317" s="49"/>
    </row>
    <row r="1318" spans="3:75" ht="20.100000000000001" customHeight="1">
      <c r="C1318" s="17">
        <v>63102002</v>
      </c>
      <c r="D1318" s="18" t="s">
        <v>2747</v>
      </c>
      <c r="E1318" s="18" t="s">
        <v>2748</v>
      </c>
      <c r="F1318" s="17">
        <v>1</v>
      </c>
      <c r="G1318" s="17">
        <v>63001003</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c r="BD1318" s="28">
        <v>0</v>
      </c>
      <c r="BE1318" s="46" t="s">
        <v>2749</v>
      </c>
      <c r="BF1318" s="46" t="s">
        <v>2750</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63102003</v>
      </c>
      <c r="D1319" s="18" t="s">
        <v>2760</v>
      </c>
      <c r="E1319" s="18" t="s">
        <v>2761</v>
      </c>
      <c r="F1319" s="17">
        <v>1</v>
      </c>
      <c r="G1319" s="17">
        <v>1000004</v>
      </c>
      <c r="H1319" s="17">
        <v>0</v>
      </c>
      <c r="I1319" s="28">
        <v>0</v>
      </c>
      <c r="J1319" s="19">
        <v>1</v>
      </c>
      <c r="K1319" s="19">
        <v>0</v>
      </c>
      <c r="L1319" s="17">
        <v>0</v>
      </c>
      <c r="M1319" s="17">
        <v>0</v>
      </c>
      <c r="N1319" s="17">
        <v>0</v>
      </c>
      <c r="O1319" s="17">
        <v>8</v>
      </c>
      <c r="P1319" s="17">
        <v>8</v>
      </c>
      <c r="Q1319" s="17">
        <v>4</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2762</v>
      </c>
      <c r="BC1319" s="28"/>
      <c r="BD1319" s="28">
        <v>0</v>
      </c>
      <c r="BE1319" s="46" t="s">
        <v>2763</v>
      </c>
      <c r="BF1319" s="46" t="s">
        <v>2764</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63102004</v>
      </c>
      <c r="D1320" s="240" t="s">
        <v>2765</v>
      </c>
      <c r="E1320" s="240" t="s">
        <v>2766</v>
      </c>
      <c r="F1320" s="182">
        <v>1</v>
      </c>
      <c r="G1320" s="182">
        <v>63001004</v>
      </c>
      <c r="H1320" s="182">
        <v>0</v>
      </c>
      <c r="I1320" s="182">
        <v>0</v>
      </c>
      <c r="J1320" s="19">
        <v>1</v>
      </c>
      <c r="K1320" s="19">
        <v>0</v>
      </c>
      <c r="L1320" s="17">
        <v>0</v>
      </c>
      <c r="M1320" s="182">
        <v>0</v>
      </c>
      <c r="N1320" s="182">
        <v>0</v>
      </c>
      <c r="O1320" s="182">
        <v>2</v>
      </c>
      <c r="P1320" s="182">
        <v>4</v>
      </c>
      <c r="Q1320" s="182">
        <v>0.35</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3</v>
      </c>
      <c r="AG1320" s="182">
        <v>1</v>
      </c>
      <c r="AH1320" s="182">
        <v>1</v>
      </c>
      <c r="AI1320" s="182">
        <v>2</v>
      </c>
      <c r="AJ1320" s="182">
        <v>0</v>
      </c>
      <c r="AK1320" s="13">
        <v>0</v>
      </c>
      <c r="AL1320" s="182">
        <v>2</v>
      </c>
      <c r="AM1320" s="182">
        <v>0</v>
      </c>
      <c r="AN1320" s="182">
        <v>0</v>
      </c>
      <c r="AO1320" s="182">
        <v>0</v>
      </c>
      <c r="AP1320" s="17">
        <v>0</v>
      </c>
      <c r="AQ1320" s="182">
        <v>1000</v>
      </c>
      <c r="AR1320" s="182">
        <v>0.5</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2767</v>
      </c>
      <c r="BF1320" s="254" t="s">
        <v>2768</v>
      </c>
      <c r="BG1320" s="182">
        <v>0</v>
      </c>
      <c r="BH1320" s="17">
        <v>0</v>
      </c>
      <c r="BI1320" s="182">
        <v>0</v>
      </c>
      <c r="BJ1320" s="182">
        <v>0</v>
      </c>
      <c r="BK1320" s="182">
        <v>0</v>
      </c>
      <c r="BL1320" s="182">
        <v>0</v>
      </c>
      <c r="BM1320" s="377" t="s">
        <v>2769</v>
      </c>
      <c r="BN1320" s="13">
        <v>0</v>
      </c>
      <c r="BO1320" s="13">
        <v>0</v>
      </c>
      <c r="BP1320" s="13">
        <v>0</v>
      </c>
      <c r="BQ1320" s="13">
        <v>0</v>
      </c>
      <c r="BR1320" s="13">
        <v>0</v>
      </c>
      <c r="BS1320" s="13">
        <v>0</v>
      </c>
      <c r="BT1320" s="13">
        <v>0</v>
      </c>
      <c r="BU1320" s="49">
        <v>0</v>
      </c>
      <c r="BV1320" s="49"/>
      <c r="BW1320" s="49"/>
    </row>
    <row r="1321" spans="3:75" ht="20.100000000000001" customHeight="1">
      <c r="C1321" s="17">
        <v>63103001</v>
      </c>
      <c r="D1321" s="18" t="s">
        <v>2770</v>
      </c>
      <c r="E1321" s="18" t="s">
        <v>2771</v>
      </c>
      <c r="F1321" s="182">
        <v>1</v>
      </c>
      <c r="G1321" s="182">
        <v>63001004</v>
      </c>
      <c r="H1321" s="182">
        <v>0</v>
      </c>
      <c r="I1321" s="182">
        <v>0</v>
      </c>
      <c r="J1321" s="182">
        <v>1</v>
      </c>
      <c r="K1321" s="182">
        <v>0</v>
      </c>
      <c r="L1321" s="182">
        <v>0</v>
      </c>
      <c r="M1321" s="182">
        <v>0</v>
      </c>
      <c r="N1321" s="182">
        <v>0</v>
      </c>
      <c r="O1321" s="182">
        <v>2</v>
      </c>
      <c r="P1321" s="182">
        <v>10</v>
      </c>
      <c r="Q1321" s="182">
        <v>1</v>
      </c>
      <c r="R1321" s="182">
        <v>0</v>
      </c>
      <c r="S1321" s="182">
        <v>0</v>
      </c>
      <c r="T1321" s="182">
        <v>0</v>
      </c>
      <c r="U1321" s="182">
        <v>1</v>
      </c>
      <c r="V1321" s="182">
        <v>2</v>
      </c>
      <c r="W1321" s="182">
        <v>0</v>
      </c>
      <c r="X1321" s="182">
        <v>0</v>
      </c>
      <c r="Y1321" s="13">
        <v>0</v>
      </c>
      <c r="Z1321" s="182">
        <v>0</v>
      </c>
      <c r="AA1321" s="182">
        <v>0</v>
      </c>
      <c r="AB1321" s="182">
        <v>0</v>
      </c>
      <c r="AC1321" s="182">
        <v>0</v>
      </c>
      <c r="AD1321" s="17">
        <v>1</v>
      </c>
      <c r="AE1321" s="182">
        <v>0</v>
      </c>
      <c r="AF1321" s="182">
        <v>30</v>
      </c>
      <c r="AG1321" s="182">
        <v>0</v>
      </c>
      <c r="AH1321" s="182">
        <v>0</v>
      </c>
      <c r="AI1321" s="182">
        <v>7</v>
      </c>
      <c r="AJ1321" s="182">
        <v>0</v>
      </c>
      <c r="AK1321" s="182">
        <v>0</v>
      </c>
      <c r="AL1321" s="182">
        <v>3</v>
      </c>
      <c r="AM1321" s="182">
        <v>0</v>
      </c>
      <c r="AN1321" s="182">
        <v>0</v>
      </c>
      <c r="AO1321" s="182">
        <v>0</v>
      </c>
      <c r="AP1321" s="182">
        <v>0</v>
      </c>
      <c r="AQ1321" s="182">
        <v>2000</v>
      </c>
      <c r="AR1321" s="182">
        <v>0</v>
      </c>
      <c r="AS1321" s="182">
        <v>0</v>
      </c>
      <c r="AT1321" s="182">
        <v>0</v>
      </c>
      <c r="AU1321" s="182">
        <v>90513001</v>
      </c>
      <c r="AV1321" s="182"/>
      <c r="AW1321" s="240" t="s">
        <v>198</v>
      </c>
      <c r="AX1321" s="182">
        <v>0</v>
      </c>
      <c r="AY1321" s="182">
        <v>0</v>
      </c>
      <c r="AZ1321" s="182">
        <v>0</v>
      </c>
      <c r="BA1321" s="240" t="s">
        <v>200</v>
      </c>
      <c r="BB1321" s="240">
        <v>0</v>
      </c>
      <c r="BC1321" s="182">
        <v>0</v>
      </c>
      <c r="BD1321" s="182">
        <v>0</v>
      </c>
      <c r="BE1321" s="46" t="s">
        <v>2772</v>
      </c>
      <c r="BF1321" s="46" t="s">
        <v>2773</v>
      </c>
      <c r="BG1321" s="182">
        <v>0</v>
      </c>
      <c r="BH1321" s="182">
        <v>0</v>
      </c>
      <c r="BI1321" s="182">
        <v>0</v>
      </c>
      <c r="BJ1321" s="182">
        <v>0</v>
      </c>
      <c r="BK1321" s="182">
        <v>0</v>
      </c>
      <c r="BL1321" s="182">
        <v>0</v>
      </c>
      <c r="BM1321" s="245">
        <v>0</v>
      </c>
      <c r="BN1321" s="182">
        <v>0</v>
      </c>
      <c r="BO1321" s="13">
        <v>0</v>
      </c>
      <c r="BP1321" s="13">
        <v>0</v>
      </c>
      <c r="BQ1321" s="13">
        <v>0</v>
      </c>
      <c r="BR1321" s="13">
        <v>0</v>
      </c>
      <c r="BS1321" s="13">
        <v>0</v>
      </c>
      <c r="BT1321" s="13">
        <v>0</v>
      </c>
      <c r="BU1321" s="49">
        <v>0</v>
      </c>
      <c r="BV1321" s="49"/>
      <c r="BW1321" s="49"/>
    </row>
    <row r="1322" spans="3:75" ht="20.100000000000001" customHeight="1">
      <c r="C1322" s="17">
        <v>63103002</v>
      </c>
      <c r="D1322" s="18" t="s">
        <v>2721</v>
      </c>
      <c r="E1322" s="18" t="s">
        <v>2722</v>
      </c>
      <c r="F1322" s="17">
        <v>1</v>
      </c>
      <c r="G1322" s="17">
        <v>63003002</v>
      </c>
      <c r="H1322" s="17">
        <v>0</v>
      </c>
      <c r="I1322" s="28">
        <v>0</v>
      </c>
      <c r="J1322" s="19">
        <v>1</v>
      </c>
      <c r="K1322" s="19">
        <v>0</v>
      </c>
      <c r="L1322" s="17">
        <v>0</v>
      </c>
      <c r="M1322" s="17">
        <v>0</v>
      </c>
      <c r="N1322" s="17">
        <v>0</v>
      </c>
      <c r="O1322" s="17">
        <v>2</v>
      </c>
      <c r="P1322" s="17">
        <v>0</v>
      </c>
      <c r="Q1322" s="17">
        <v>0</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v>0</v>
      </c>
      <c r="BC1322" s="28">
        <v>0</v>
      </c>
      <c r="BD1322" s="28">
        <v>0</v>
      </c>
      <c r="BE1322" s="46" t="s">
        <v>2723</v>
      </c>
      <c r="BF1322" s="46" t="s">
        <v>2724</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spans="3:75" ht="20.100000000000001" customHeight="1">
      <c r="C1323" s="17">
        <v>63103003</v>
      </c>
      <c r="D1323" s="18" t="s">
        <v>2774</v>
      </c>
      <c r="E1323" s="18" t="s">
        <v>2775</v>
      </c>
      <c r="F1323" s="17">
        <v>1</v>
      </c>
      <c r="G1323" s="17">
        <v>63003003</v>
      </c>
      <c r="H1323" s="17">
        <v>0</v>
      </c>
      <c r="I1323" s="28">
        <v>0</v>
      </c>
      <c r="J1323" s="19">
        <v>1</v>
      </c>
      <c r="K1323" s="19">
        <v>0</v>
      </c>
      <c r="L1323" s="17">
        <v>0</v>
      </c>
      <c r="M1323" s="17">
        <v>0</v>
      </c>
      <c r="N1323" s="17">
        <v>0</v>
      </c>
      <c r="O1323" s="17">
        <v>8</v>
      </c>
      <c r="P1323" s="17">
        <v>0</v>
      </c>
      <c r="Q1323" s="17">
        <v>0</v>
      </c>
      <c r="R1323" s="17">
        <v>0</v>
      </c>
      <c r="S1323" s="13">
        <v>0</v>
      </c>
      <c r="T1323" s="17">
        <v>0</v>
      </c>
      <c r="U1323" s="17">
        <v>1</v>
      </c>
      <c r="V1323" s="17">
        <v>0</v>
      </c>
      <c r="W1323" s="17">
        <v>0</v>
      </c>
      <c r="X1323" s="19">
        <v>0</v>
      </c>
      <c r="Y1323" s="13">
        <v>0</v>
      </c>
      <c r="Z1323" s="19">
        <v>0</v>
      </c>
      <c r="AA1323" s="17">
        <v>0</v>
      </c>
      <c r="AB1323" s="17">
        <v>0</v>
      </c>
      <c r="AC1323" s="17">
        <v>0</v>
      </c>
      <c r="AD1323" s="17">
        <v>1</v>
      </c>
      <c r="AE1323" s="17">
        <v>0</v>
      </c>
      <c r="AF1323" s="17">
        <v>0</v>
      </c>
      <c r="AG1323" s="17">
        <v>0</v>
      </c>
      <c r="AH1323" s="17" t="s">
        <v>198</v>
      </c>
      <c r="AI1323" s="13">
        <v>0</v>
      </c>
      <c r="AJ1323" s="13">
        <v>0</v>
      </c>
      <c r="AK1323" s="13">
        <v>0</v>
      </c>
      <c r="AL1323" s="13">
        <v>0</v>
      </c>
      <c r="AM1323" s="17">
        <v>0</v>
      </c>
      <c r="AN1323" s="17">
        <v>0</v>
      </c>
      <c r="AO1323" s="17">
        <v>0</v>
      </c>
      <c r="AP1323" s="17">
        <v>0</v>
      </c>
      <c r="AQ1323" s="17">
        <v>0</v>
      </c>
      <c r="AR1323" s="17">
        <v>0</v>
      </c>
      <c r="AS1323" s="17">
        <v>0</v>
      </c>
      <c r="AT1323" s="13">
        <v>0</v>
      </c>
      <c r="AU1323" s="17" t="s">
        <v>198</v>
      </c>
      <c r="AV1323" s="17"/>
      <c r="AW1323" s="18" t="s">
        <v>198</v>
      </c>
      <c r="AX1323" s="17">
        <v>0</v>
      </c>
      <c r="AY1323" s="19">
        <v>0</v>
      </c>
      <c r="AZ1323" s="19">
        <v>0</v>
      </c>
      <c r="BA1323" s="18" t="s">
        <v>198</v>
      </c>
      <c r="BB1323" s="17" t="s">
        <v>2776</v>
      </c>
      <c r="BC1323" s="28">
        <v>0</v>
      </c>
      <c r="BD1323" s="28">
        <v>0</v>
      </c>
      <c r="BE1323" s="46" t="s">
        <v>2777</v>
      </c>
      <c r="BF1323" s="46" t="s">
        <v>2778</v>
      </c>
      <c r="BG1323" s="17">
        <v>0</v>
      </c>
      <c r="BH1323" s="17">
        <v>0</v>
      </c>
      <c r="BI1323" s="17">
        <v>0</v>
      </c>
      <c r="BJ1323" s="17">
        <v>0</v>
      </c>
      <c r="BK1323" s="17">
        <v>0</v>
      </c>
      <c r="BL1323" s="17">
        <v>0</v>
      </c>
      <c r="BM1323" s="16">
        <v>0</v>
      </c>
      <c r="BN1323" s="13">
        <v>0</v>
      </c>
      <c r="BO1323" s="13">
        <v>0</v>
      </c>
      <c r="BP1323" s="13">
        <v>0</v>
      </c>
      <c r="BQ1323" s="13">
        <v>0</v>
      </c>
      <c r="BR1323" s="13">
        <v>0</v>
      </c>
      <c r="BS1323" s="13">
        <v>0</v>
      </c>
      <c r="BT1323" s="13">
        <v>0</v>
      </c>
      <c r="BU1323" s="49">
        <v>0</v>
      </c>
      <c r="BV1323" s="49"/>
      <c r="BW1323" s="49"/>
    </row>
    <row r="1324" spans="3:75" ht="20.100000000000001" customHeight="1">
      <c r="C1324" s="17">
        <v>63103004</v>
      </c>
      <c r="D1324" s="240" t="s">
        <v>2779</v>
      </c>
      <c r="E1324" s="240" t="s">
        <v>2780</v>
      </c>
      <c r="F1324" s="182">
        <v>1</v>
      </c>
      <c r="G1324" s="182">
        <v>63001004</v>
      </c>
      <c r="H1324" s="182">
        <v>0</v>
      </c>
      <c r="I1324" s="182">
        <v>0</v>
      </c>
      <c r="J1324" s="19">
        <v>1</v>
      </c>
      <c r="K1324" s="19">
        <v>0</v>
      </c>
      <c r="L1324" s="17">
        <v>0</v>
      </c>
      <c r="M1324" s="182">
        <v>0</v>
      </c>
      <c r="N1324" s="182">
        <v>0</v>
      </c>
      <c r="O1324" s="182">
        <v>2</v>
      </c>
      <c r="P1324" s="182">
        <v>10</v>
      </c>
      <c r="Q1324" s="182">
        <v>0.1</v>
      </c>
      <c r="R1324" s="182">
        <v>0</v>
      </c>
      <c r="S1324" s="13">
        <v>0</v>
      </c>
      <c r="T1324" s="182">
        <v>0</v>
      </c>
      <c r="U1324" s="182">
        <v>1</v>
      </c>
      <c r="V1324" s="182">
        <v>2</v>
      </c>
      <c r="W1324" s="182">
        <v>0</v>
      </c>
      <c r="X1324" s="182">
        <v>0</v>
      </c>
      <c r="Y1324" s="13">
        <v>0</v>
      </c>
      <c r="Z1324" s="182">
        <v>0</v>
      </c>
      <c r="AA1324" s="182">
        <v>0</v>
      </c>
      <c r="AB1324" s="182">
        <v>0</v>
      </c>
      <c r="AC1324" s="182">
        <v>0</v>
      </c>
      <c r="AD1324" s="17">
        <v>1</v>
      </c>
      <c r="AE1324" s="182">
        <v>0</v>
      </c>
      <c r="AF1324" s="182">
        <v>15</v>
      </c>
      <c r="AG1324" s="182">
        <v>1</v>
      </c>
      <c r="AH1324" s="182">
        <v>1</v>
      </c>
      <c r="AI1324" s="182">
        <v>2</v>
      </c>
      <c r="AJ1324" s="182">
        <v>0</v>
      </c>
      <c r="AK1324" s="13">
        <v>0</v>
      </c>
      <c r="AL1324" s="182">
        <v>2</v>
      </c>
      <c r="AM1324" s="182">
        <v>0</v>
      </c>
      <c r="AN1324" s="182">
        <v>0</v>
      </c>
      <c r="AO1324" s="182">
        <v>0</v>
      </c>
      <c r="AP1324" s="17">
        <v>0</v>
      </c>
      <c r="AQ1324" s="182">
        <v>10000</v>
      </c>
      <c r="AR1324" s="182">
        <v>0</v>
      </c>
      <c r="AS1324" s="182">
        <v>0</v>
      </c>
      <c r="AT1324" s="182">
        <v>0</v>
      </c>
      <c r="AU1324" s="182" t="s">
        <v>198</v>
      </c>
      <c r="AV1324" s="182"/>
      <c r="AW1324" s="240" t="s">
        <v>199</v>
      </c>
      <c r="AX1324" s="182">
        <v>0</v>
      </c>
      <c r="AY1324" s="182">
        <v>0</v>
      </c>
      <c r="AZ1324" s="182">
        <v>0</v>
      </c>
      <c r="BA1324" s="240" t="s">
        <v>200</v>
      </c>
      <c r="BB1324" s="240" t="s">
        <v>198</v>
      </c>
      <c r="BC1324" s="182">
        <v>0</v>
      </c>
      <c r="BD1324" s="182">
        <v>0</v>
      </c>
      <c r="BE1324" s="254" t="s">
        <v>2781</v>
      </c>
      <c r="BF1324" s="254" t="s">
        <v>2782</v>
      </c>
      <c r="BG1324" s="182">
        <v>0</v>
      </c>
      <c r="BH1324" s="17">
        <v>0</v>
      </c>
      <c r="BI1324" s="182">
        <v>0</v>
      </c>
      <c r="BJ1324" s="182">
        <v>0</v>
      </c>
      <c r="BK1324" s="182">
        <v>0</v>
      </c>
      <c r="BL1324" s="182">
        <v>0</v>
      </c>
      <c r="BM1324" s="377" t="s">
        <v>2783</v>
      </c>
      <c r="BN1324" s="13">
        <v>1</v>
      </c>
      <c r="BO1324" s="13">
        <v>0</v>
      </c>
      <c r="BP1324" s="13">
        <v>0</v>
      </c>
      <c r="BQ1324" s="13">
        <v>0</v>
      </c>
      <c r="BR1324" s="13">
        <v>0</v>
      </c>
      <c r="BS1324" s="13">
        <v>0</v>
      </c>
      <c r="BT1324" s="13">
        <v>0</v>
      </c>
      <c r="BU1324" s="49">
        <v>0</v>
      </c>
      <c r="BV1324" s="49"/>
      <c r="BW1324" s="49"/>
    </row>
    <row r="1325" spans="3:75" ht="20.100000000000001" customHeight="1">
      <c r="C1325" s="31">
        <v>63103098</v>
      </c>
      <c r="D1325" s="39" t="s">
        <v>2784</v>
      </c>
      <c r="E1325" s="39" t="s">
        <v>2785</v>
      </c>
      <c r="F1325" s="31">
        <v>1</v>
      </c>
      <c r="G1325" s="31">
        <v>63001004</v>
      </c>
      <c r="H1325" s="31">
        <v>0</v>
      </c>
      <c r="I1325" s="31">
        <v>0</v>
      </c>
      <c r="J1325" s="31">
        <v>1</v>
      </c>
      <c r="K1325" s="31">
        <v>0</v>
      </c>
      <c r="L1325" s="31">
        <v>0</v>
      </c>
      <c r="M1325" s="31">
        <v>0</v>
      </c>
      <c r="N1325" s="31">
        <v>0</v>
      </c>
      <c r="O1325" s="31">
        <v>2</v>
      </c>
      <c r="P1325" s="31">
        <v>3</v>
      </c>
      <c r="Q1325" s="31">
        <v>0.1</v>
      </c>
      <c r="R1325" s="31">
        <v>0</v>
      </c>
      <c r="S1325" s="31">
        <v>0</v>
      </c>
      <c r="T1325" s="31">
        <v>0</v>
      </c>
      <c r="U1325" s="31">
        <v>1</v>
      </c>
      <c r="V1325" s="31">
        <v>2</v>
      </c>
      <c r="W1325" s="31">
        <v>0</v>
      </c>
      <c r="X1325" s="31">
        <v>0</v>
      </c>
      <c r="Y1325" s="13">
        <v>0</v>
      </c>
      <c r="Z1325" s="31">
        <v>0</v>
      </c>
      <c r="AA1325" s="31">
        <v>0</v>
      </c>
      <c r="AB1325" s="31">
        <v>0</v>
      </c>
      <c r="AC1325" s="31">
        <v>0</v>
      </c>
      <c r="AD1325" s="31">
        <v>1</v>
      </c>
      <c r="AE1325" s="31">
        <v>0</v>
      </c>
      <c r="AF1325" s="31">
        <v>15</v>
      </c>
      <c r="AG1325" s="31">
        <v>1</v>
      </c>
      <c r="AH1325" s="31">
        <v>1</v>
      </c>
      <c r="AI1325" s="31">
        <v>2</v>
      </c>
      <c r="AJ1325" s="31">
        <v>0</v>
      </c>
      <c r="AK1325" s="31">
        <v>0</v>
      </c>
      <c r="AL1325" s="31">
        <v>2</v>
      </c>
      <c r="AM1325" s="31">
        <v>0</v>
      </c>
      <c r="AN1325" s="31">
        <v>0</v>
      </c>
      <c r="AO1325" s="31">
        <v>0</v>
      </c>
      <c r="AP1325" s="31">
        <v>0</v>
      </c>
      <c r="AQ1325" s="31">
        <v>10000</v>
      </c>
      <c r="AR1325" s="31">
        <v>0</v>
      </c>
      <c r="AS1325" s="31">
        <v>0</v>
      </c>
      <c r="AT1325" s="31">
        <v>0</v>
      </c>
      <c r="AU1325" s="31" t="s">
        <v>198</v>
      </c>
      <c r="AV1325" s="31"/>
      <c r="AW1325" s="39" t="s">
        <v>199</v>
      </c>
      <c r="AX1325" s="31">
        <v>0</v>
      </c>
      <c r="AY1325" s="31">
        <v>0</v>
      </c>
      <c r="AZ1325" s="31">
        <v>0</v>
      </c>
      <c r="BA1325" s="39" t="s">
        <v>200</v>
      </c>
      <c r="BB1325" s="39" t="s">
        <v>198</v>
      </c>
      <c r="BC1325" s="31">
        <v>0</v>
      </c>
      <c r="BD1325" s="31">
        <v>0</v>
      </c>
      <c r="BE1325" s="185" t="s">
        <v>2786</v>
      </c>
      <c r="BF1325" s="185" t="s">
        <v>2787</v>
      </c>
      <c r="BG1325" s="31">
        <v>0</v>
      </c>
      <c r="BH1325" s="31">
        <v>0</v>
      </c>
      <c r="BI1325" s="31">
        <v>0</v>
      </c>
      <c r="BJ1325" s="31">
        <v>0</v>
      </c>
      <c r="BK1325" s="31">
        <v>0</v>
      </c>
      <c r="BL1325" s="31">
        <v>0</v>
      </c>
      <c r="BM1325" s="378" t="s">
        <v>2788</v>
      </c>
      <c r="BN1325" s="31">
        <v>1</v>
      </c>
      <c r="BO1325" s="31">
        <v>0</v>
      </c>
      <c r="BP1325" s="31">
        <v>0</v>
      </c>
      <c r="BQ1325" s="31">
        <v>0</v>
      </c>
      <c r="BR1325" s="31">
        <v>0</v>
      </c>
      <c r="BS1325" s="31">
        <v>0</v>
      </c>
      <c r="BT1325" s="13">
        <v>0</v>
      </c>
      <c r="BU1325" s="49">
        <v>0</v>
      </c>
      <c r="BV1325" s="49"/>
      <c r="BW1325" s="49"/>
    </row>
    <row r="1326" spans="3:75" ht="20.100000000000001" customHeight="1">
      <c r="C1326" s="31">
        <v>63103099</v>
      </c>
      <c r="D1326" s="39" t="s">
        <v>2789</v>
      </c>
      <c r="E1326" s="39" t="s">
        <v>2790</v>
      </c>
      <c r="F1326" s="31">
        <v>1</v>
      </c>
      <c r="G1326" s="31">
        <v>63003001</v>
      </c>
      <c r="H1326" s="31">
        <v>0</v>
      </c>
      <c r="I1326" s="31">
        <v>0</v>
      </c>
      <c r="J1326" s="31">
        <v>1</v>
      </c>
      <c r="K1326" s="31">
        <v>0</v>
      </c>
      <c r="L1326" s="31">
        <v>0</v>
      </c>
      <c r="M1326" s="31">
        <v>0</v>
      </c>
      <c r="N1326" s="31">
        <v>0</v>
      </c>
      <c r="O1326" s="31">
        <v>2</v>
      </c>
      <c r="P1326" s="31">
        <v>2</v>
      </c>
      <c r="Q1326" s="31">
        <v>1</v>
      </c>
      <c r="R1326" s="31">
        <v>0</v>
      </c>
      <c r="S1326" s="31">
        <v>0</v>
      </c>
      <c r="T1326" s="31">
        <v>0</v>
      </c>
      <c r="U1326" s="31">
        <v>1</v>
      </c>
      <c r="V1326" s="31">
        <v>2</v>
      </c>
      <c r="W1326" s="31">
        <v>0</v>
      </c>
      <c r="X1326" s="31">
        <v>0</v>
      </c>
      <c r="Y1326" s="13">
        <v>0</v>
      </c>
      <c r="Z1326" s="31">
        <v>0</v>
      </c>
      <c r="AA1326" s="31">
        <v>0</v>
      </c>
      <c r="AB1326" s="31">
        <v>0</v>
      </c>
      <c r="AC1326" s="31">
        <v>0</v>
      </c>
      <c r="AD1326" s="31">
        <v>1</v>
      </c>
      <c r="AE1326" s="31">
        <v>0</v>
      </c>
      <c r="AF1326" s="31">
        <v>60</v>
      </c>
      <c r="AG1326" s="31">
        <v>1</v>
      </c>
      <c r="AH1326" s="31">
        <v>10</v>
      </c>
      <c r="AI1326" s="31">
        <v>0</v>
      </c>
      <c r="AJ1326" s="31">
        <v>0</v>
      </c>
      <c r="AK1326" s="31">
        <v>0</v>
      </c>
      <c r="AL1326" s="31">
        <v>0</v>
      </c>
      <c r="AM1326" s="31">
        <v>0</v>
      </c>
      <c r="AN1326" s="31">
        <v>0</v>
      </c>
      <c r="AO1326" s="31">
        <v>0</v>
      </c>
      <c r="AP1326" s="31">
        <v>0</v>
      </c>
      <c r="AQ1326" s="31">
        <v>50000</v>
      </c>
      <c r="AR1326" s="31">
        <v>0</v>
      </c>
      <c r="AS1326" s="31">
        <v>0</v>
      </c>
      <c r="AT1326" s="31">
        <v>0</v>
      </c>
      <c r="AU1326" s="31">
        <v>90513001</v>
      </c>
      <c r="AV1326" s="31"/>
      <c r="AW1326" s="39" t="s">
        <v>198</v>
      </c>
      <c r="AX1326" s="31">
        <v>0</v>
      </c>
      <c r="AY1326" s="31">
        <v>0</v>
      </c>
      <c r="AZ1326" s="31">
        <v>0</v>
      </c>
      <c r="BA1326" s="39" t="s">
        <v>2791</v>
      </c>
      <c r="BB1326" s="31">
        <v>0</v>
      </c>
      <c r="BC1326" s="31">
        <v>0</v>
      </c>
      <c r="BD1326" s="31">
        <v>0</v>
      </c>
      <c r="BE1326" s="216" t="s">
        <v>2792</v>
      </c>
      <c r="BF1326" s="216" t="s">
        <v>2793</v>
      </c>
      <c r="BG1326" s="31">
        <v>0</v>
      </c>
      <c r="BH1326" s="31">
        <v>0</v>
      </c>
      <c r="BI1326" s="31">
        <v>0</v>
      </c>
      <c r="BJ1326" s="31">
        <v>0</v>
      </c>
      <c r="BK1326" s="31">
        <v>0</v>
      </c>
      <c r="BL1326" s="31">
        <v>0</v>
      </c>
      <c r="BM1326" s="22">
        <v>0</v>
      </c>
      <c r="BN1326" s="31">
        <v>1</v>
      </c>
      <c r="BO1326" s="31">
        <v>0</v>
      </c>
      <c r="BP1326" s="31">
        <v>0</v>
      </c>
      <c r="BQ1326" s="31">
        <v>0</v>
      </c>
      <c r="BR1326" s="31">
        <v>0</v>
      </c>
      <c r="BS1326" s="31">
        <v>0</v>
      </c>
      <c r="BT1326" s="13">
        <v>0</v>
      </c>
      <c r="BU1326" s="49">
        <v>0</v>
      </c>
      <c r="BV1326" s="49"/>
      <c r="BW1326" s="49"/>
    </row>
    <row r="1327" spans="3:75" ht="20.100000000000001" customHeight="1">
      <c r="C1327" s="62">
        <v>63200101</v>
      </c>
      <c r="D1327" s="61" t="s">
        <v>2794</v>
      </c>
      <c r="E1327" s="61" t="s">
        <v>2795</v>
      </c>
      <c r="F1327" s="62">
        <v>1</v>
      </c>
      <c r="G1327" s="62">
        <v>63200101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1814</v>
      </c>
      <c r="AY1327" s="66">
        <v>0</v>
      </c>
      <c r="AZ1327" s="66">
        <v>0</v>
      </c>
      <c r="BA1327" s="61" t="s">
        <v>200</v>
      </c>
      <c r="BB1327" s="62" t="s">
        <v>198</v>
      </c>
      <c r="BC1327" s="68">
        <v>0</v>
      </c>
      <c r="BD1327" s="68">
        <v>0</v>
      </c>
      <c r="BE1327" s="92" t="s">
        <v>2796</v>
      </c>
      <c r="BF1327" s="92" t="s">
        <v>2797</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spans="3:75" ht="20.100000000000001" customHeight="1">
      <c r="C1328" s="62">
        <v>63200102</v>
      </c>
      <c r="D1328" s="126" t="s">
        <v>2378</v>
      </c>
      <c r="E1328" s="126" t="s">
        <v>2379</v>
      </c>
      <c r="F1328" s="70">
        <v>1</v>
      </c>
      <c r="G1328" s="70">
        <v>10001</v>
      </c>
      <c r="H1328" s="70">
        <v>0</v>
      </c>
      <c r="I1328" s="70">
        <v>0</v>
      </c>
      <c r="J1328" s="70">
        <v>1</v>
      </c>
      <c r="K1328" s="70">
        <v>0</v>
      </c>
      <c r="L1328" s="62">
        <v>0</v>
      </c>
      <c r="M1328" s="70">
        <v>0</v>
      </c>
      <c r="N1328" s="70">
        <v>0</v>
      </c>
      <c r="O1328" s="70">
        <v>2</v>
      </c>
      <c r="P1328" s="70">
        <v>15</v>
      </c>
      <c r="Q1328" s="70">
        <v>1</v>
      </c>
      <c r="R1328" s="70">
        <v>0</v>
      </c>
      <c r="S1328" s="70">
        <v>0</v>
      </c>
      <c r="T1328" s="70">
        <v>0</v>
      </c>
      <c r="U1328" s="70">
        <v>1</v>
      </c>
      <c r="V1328" s="70">
        <v>2</v>
      </c>
      <c r="W1328" s="70">
        <v>0</v>
      </c>
      <c r="X1328" s="70">
        <v>0</v>
      </c>
      <c r="Y1328" s="13">
        <v>0</v>
      </c>
      <c r="Z1328" s="70">
        <v>0</v>
      </c>
      <c r="AA1328" s="70">
        <v>0</v>
      </c>
      <c r="AB1328" s="70">
        <v>0</v>
      </c>
      <c r="AC1328" s="70">
        <v>0</v>
      </c>
      <c r="AD1328" s="70">
        <v>0</v>
      </c>
      <c r="AE1328" s="70">
        <v>0</v>
      </c>
      <c r="AF1328" s="70">
        <v>25</v>
      </c>
      <c r="AG1328" s="70">
        <v>0</v>
      </c>
      <c r="AH1328" s="70">
        <v>0</v>
      </c>
      <c r="AI1328" s="70">
        <v>2</v>
      </c>
      <c r="AJ1328" s="70">
        <v>1</v>
      </c>
      <c r="AK1328" s="70">
        <v>0</v>
      </c>
      <c r="AL1328" s="70">
        <v>0</v>
      </c>
      <c r="AM1328" s="70">
        <v>0</v>
      </c>
      <c r="AN1328" s="70">
        <v>0</v>
      </c>
      <c r="AO1328" s="70">
        <v>0</v>
      </c>
      <c r="AP1328" s="70">
        <v>0</v>
      </c>
      <c r="AQ1328" s="70">
        <v>1000</v>
      </c>
      <c r="AR1328" s="70">
        <v>0</v>
      </c>
      <c r="AS1328" s="70">
        <v>0</v>
      </c>
      <c r="AT1328" s="356" t="s">
        <v>2798</v>
      </c>
      <c r="AU1328" s="70" t="s">
        <v>198</v>
      </c>
      <c r="AV1328" s="70"/>
      <c r="AW1328" s="126" t="s">
        <v>199</v>
      </c>
      <c r="AX1328" s="70" t="s">
        <v>1814</v>
      </c>
      <c r="AY1328" s="70">
        <v>0</v>
      </c>
      <c r="AZ1328" s="70">
        <v>40000003</v>
      </c>
      <c r="BA1328" s="126" t="s">
        <v>200</v>
      </c>
      <c r="BB1328" s="126" t="s">
        <v>198</v>
      </c>
      <c r="BC1328" s="70">
        <v>0</v>
      </c>
      <c r="BD1328" s="70">
        <v>1</v>
      </c>
      <c r="BE1328" s="242" t="s">
        <v>2799</v>
      </c>
      <c r="BF1328" s="242" t="s">
        <v>2382</v>
      </c>
      <c r="BG1328" s="70">
        <v>0</v>
      </c>
      <c r="BH1328" s="70">
        <v>0</v>
      </c>
      <c r="BI1328" s="70">
        <v>0</v>
      </c>
      <c r="BJ1328" s="70">
        <v>0</v>
      </c>
      <c r="BK1328" s="70">
        <v>0</v>
      </c>
      <c r="BL1328" s="70">
        <v>0</v>
      </c>
      <c r="BM1328" s="136">
        <v>0</v>
      </c>
      <c r="BN1328" s="70">
        <v>1</v>
      </c>
      <c r="BO1328" s="70">
        <v>0</v>
      </c>
      <c r="BP1328" s="70">
        <v>0</v>
      </c>
      <c r="BQ1328" s="70">
        <v>0</v>
      </c>
      <c r="BR1328" s="70">
        <v>0</v>
      </c>
      <c r="BS1328" s="70">
        <v>0</v>
      </c>
      <c r="BT1328" s="13">
        <v>0</v>
      </c>
      <c r="BU1328" s="49">
        <v>0</v>
      </c>
      <c r="BV1328" s="49"/>
      <c r="BW1328" s="49"/>
    </row>
    <row r="1329" spans="3:75" ht="20.100000000000001" customHeight="1">
      <c r="C1329" s="62">
        <v>63200103</v>
      </c>
      <c r="D1329" s="61" t="s">
        <v>2800</v>
      </c>
      <c r="E1329" s="61" t="s">
        <v>2801</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2802</v>
      </c>
      <c r="BC1329" s="68"/>
      <c r="BD1329" s="68">
        <v>1</v>
      </c>
      <c r="BE1329" s="92" t="s">
        <v>2803</v>
      </c>
      <c r="BF1329" s="92" t="s">
        <v>2804</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63200104</v>
      </c>
      <c r="D1330" s="238" t="s">
        <v>2378</v>
      </c>
      <c r="E1330" s="238" t="s">
        <v>2379</v>
      </c>
      <c r="F1330" s="239">
        <v>1</v>
      </c>
      <c r="G1330" s="239">
        <v>63001004</v>
      </c>
      <c r="H1330" s="239">
        <v>0</v>
      </c>
      <c r="I1330" s="239">
        <v>0</v>
      </c>
      <c r="J1330" s="239">
        <v>1</v>
      </c>
      <c r="K1330" s="239">
        <v>0</v>
      </c>
      <c r="L1330" s="239">
        <v>0</v>
      </c>
      <c r="M1330" s="239">
        <v>0</v>
      </c>
      <c r="N1330" s="239">
        <v>0</v>
      </c>
      <c r="O1330" s="239">
        <v>2</v>
      </c>
      <c r="P1330" s="239">
        <v>10</v>
      </c>
      <c r="Q1330" s="239">
        <v>0.1</v>
      </c>
      <c r="R1330" s="239">
        <v>0</v>
      </c>
      <c r="S1330" s="239">
        <v>0</v>
      </c>
      <c r="T1330" s="239">
        <v>0</v>
      </c>
      <c r="U1330" s="239">
        <v>1</v>
      </c>
      <c r="V1330" s="239">
        <v>2</v>
      </c>
      <c r="W1330" s="239">
        <v>0</v>
      </c>
      <c r="X1330" s="239">
        <v>0</v>
      </c>
      <c r="Y1330" s="13">
        <v>0</v>
      </c>
      <c r="Z1330" s="239">
        <v>0</v>
      </c>
      <c r="AA1330" s="239">
        <v>0</v>
      </c>
      <c r="AB1330" s="239">
        <v>0</v>
      </c>
      <c r="AC1330" s="239">
        <v>0</v>
      </c>
      <c r="AD1330" s="62">
        <v>0</v>
      </c>
      <c r="AE1330" s="239">
        <v>0</v>
      </c>
      <c r="AF1330" s="239">
        <v>5</v>
      </c>
      <c r="AG1330" s="239">
        <v>0</v>
      </c>
      <c r="AH1330" s="239">
        <v>0</v>
      </c>
      <c r="AI1330" s="239">
        <v>7</v>
      </c>
      <c r="AJ1330" s="239">
        <v>0</v>
      </c>
      <c r="AK1330" s="239">
        <v>0</v>
      </c>
      <c r="AL1330" s="239">
        <v>3</v>
      </c>
      <c r="AM1330" s="239">
        <v>0</v>
      </c>
      <c r="AN1330" s="239">
        <v>0</v>
      </c>
      <c r="AO1330" s="239">
        <v>0</v>
      </c>
      <c r="AP1330" s="239">
        <v>0</v>
      </c>
      <c r="AQ1330" s="239">
        <v>3000</v>
      </c>
      <c r="AR1330" s="239">
        <v>0.5</v>
      </c>
      <c r="AS1330" s="239">
        <v>0</v>
      </c>
      <c r="AT1330" s="239">
        <v>90503112</v>
      </c>
      <c r="AU1330" s="239">
        <v>0</v>
      </c>
      <c r="AV1330" s="239"/>
      <c r="AW1330" s="238" t="s">
        <v>198</v>
      </c>
      <c r="AX1330" s="239">
        <v>0</v>
      </c>
      <c r="AY1330" s="239">
        <v>0</v>
      </c>
      <c r="AZ1330" s="239">
        <v>0</v>
      </c>
      <c r="BA1330" s="238" t="s">
        <v>200</v>
      </c>
      <c r="BB1330" s="238">
        <v>0</v>
      </c>
      <c r="BC1330" s="239">
        <v>0</v>
      </c>
      <c r="BD1330" s="239">
        <v>1</v>
      </c>
      <c r="BE1330" s="255" t="s">
        <v>2805</v>
      </c>
      <c r="BF1330" s="255" t="s">
        <v>2806</v>
      </c>
      <c r="BG1330" s="239">
        <v>0</v>
      </c>
      <c r="BH1330" s="239">
        <v>0</v>
      </c>
      <c r="BI1330" s="239">
        <v>0</v>
      </c>
      <c r="BJ1330" s="239">
        <v>0</v>
      </c>
      <c r="BK1330" s="239">
        <v>0</v>
      </c>
      <c r="BL1330" s="239">
        <v>0</v>
      </c>
      <c r="BM1330" s="244">
        <v>0</v>
      </c>
      <c r="BN1330" s="239">
        <v>0</v>
      </c>
      <c r="BO1330" s="70">
        <v>0</v>
      </c>
      <c r="BP1330" s="70">
        <v>0</v>
      </c>
      <c r="BQ1330" s="70">
        <v>0</v>
      </c>
      <c r="BR1330" s="70">
        <v>0</v>
      </c>
      <c r="BS1330" s="70">
        <v>0</v>
      </c>
      <c r="BT1330" s="13">
        <v>0</v>
      </c>
      <c r="BU1330" s="49">
        <v>0</v>
      </c>
      <c r="BV1330" s="49"/>
      <c r="BW1330" s="49"/>
    </row>
    <row r="1331" spans="3:75" ht="20.100000000000001" customHeight="1">
      <c r="C1331" s="62">
        <v>63200201</v>
      </c>
      <c r="D1331" s="61" t="s">
        <v>2807</v>
      </c>
      <c r="E1331" s="61" t="s">
        <v>2808</v>
      </c>
      <c r="F1331" s="62">
        <v>1</v>
      </c>
      <c r="G1331" s="62">
        <v>63200201</v>
      </c>
      <c r="H1331" s="62">
        <v>0</v>
      </c>
      <c r="I1331" s="68">
        <v>0</v>
      </c>
      <c r="J1331" s="66">
        <v>1</v>
      </c>
      <c r="K1331" s="66">
        <v>0</v>
      </c>
      <c r="L1331" s="62">
        <v>0</v>
      </c>
      <c r="M1331" s="62">
        <v>0</v>
      </c>
      <c r="N1331" s="62">
        <v>0</v>
      </c>
      <c r="O1331" s="62">
        <v>2</v>
      </c>
      <c r="P1331" s="62">
        <v>1</v>
      </c>
      <c r="Q1331" s="62">
        <v>0.5</v>
      </c>
      <c r="R1331" s="62">
        <v>0</v>
      </c>
      <c r="S1331" s="70">
        <v>0</v>
      </c>
      <c r="T1331" s="62">
        <v>0</v>
      </c>
      <c r="U1331" s="62">
        <v>1</v>
      </c>
      <c r="V1331" s="62">
        <v>2</v>
      </c>
      <c r="W1331" s="62">
        <v>0</v>
      </c>
      <c r="X1331" s="66">
        <v>0</v>
      </c>
      <c r="Y1331" s="13">
        <v>0</v>
      </c>
      <c r="Z1331" s="66">
        <v>0</v>
      </c>
      <c r="AA1331" s="62">
        <v>0</v>
      </c>
      <c r="AB1331" s="62">
        <v>0</v>
      </c>
      <c r="AC1331" s="62">
        <v>0</v>
      </c>
      <c r="AD1331" s="62">
        <v>0</v>
      </c>
      <c r="AE1331" s="62">
        <v>0</v>
      </c>
      <c r="AF1331" s="62">
        <v>18</v>
      </c>
      <c r="AG1331" s="62">
        <v>0</v>
      </c>
      <c r="AH1331" s="62">
        <v>0</v>
      </c>
      <c r="AI1331" s="70">
        <v>2</v>
      </c>
      <c r="AJ1331" s="70">
        <v>0</v>
      </c>
      <c r="AK1331" s="70">
        <v>0</v>
      </c>
      <c r="AL1331" s="70">
        <v>0</v>
      </c>
      <c r="AM1331" s="62">
        <v>0</v>
      </c>
      <c r="AN1331" s="62">
        <v>0</v>
      </c>
      <c r="AO1331" s="62">
        <v>0</v>
      </c>
      <c r="AP1331" s="62">
        <v>0</v>
      </c>
      <c r="AQ1331" s="62">
        <v>1000</v>
      </c>
      <c r="AR1331" s="62">
        <v>0</v>
      </c>
      <c r="AS1331" s="62">
        <v>0</v>
      </c>
      <c r="AT1331" s="70"/>
      <c r="AU1331" s="62" t="s">
        <v>198</v>
      </c>
      <c r="AV1331" s="62"/>
      <c r="AW1331" s="61" t="s">
        <v>198</v>
      </c>
      <c r="AX1331" s="62" t="s">
        <v>1814</v>
      </c>
      <c r="AY1331" s="66">
        <v>0</v>
      </c>
      <c r="AZ1331" s="66">
        <v>0</v>
      </c>
      <c r="BA1331" s="61" t="s">
        <v>200</v>
      </c>
      <c r="BB1331" s="62" t="s">
        <v>198</v>
      </c>
      <c r="BC1331" s="68">
        <v>0</v>
      </c>
      <c r="BD1331" s="68">
        <v>0</v>
      </c>
      <c r="BE1331" s="92" t="s">
        <v>2809</v>
      </c>
      <c r="BF1331" s="92" t="s">
        <v>2810</v>
      </c>
      <c r="BG1331" s="62">
        <v>0</v>
      </c>
      <c r="BH1331" s="62">
        <v>0</v>
      </c>
      <c r="BI1331" s="62">
        <v>0</v>
      </c>
      <c r="BJ1331" s="62">
        <v>0</v>
      </c>
      <c r="BK1331" s="62">
        <v>0</v>
      </c>
      <c r="BL1331" s="62">
        <v>0</v>
      </c>
      <c r="BM1331" s="95">
        <v>0</v>
      </c>
      <c r="BN1331" s="70">
        <v>0</v>
      </c>
      <c r="BO1331" s="70">
        <v>0</v>
      </c>
      <c r="BP1331" s="70">
        <v>0</v>
      </c>
      <c r="BQ1331" s="70">
        <v>0</v>
      </c>
      <c r="BR1331" s="70">
        <v>0</v>
      </c>
      <c r="BS1331" s="70">
        <v>0</v>
      </c>
      <c r="BT1331" s="13">
        <v>0</v>
      </c>
      <c r="BU1331" s="49">
        <v>0</v>
      </c>
      <c r="BV1331" s="49"/>
      <c r="BW1331" s="49"/>
    </row>
    <row r="1332" spans="3:75" ht="20.100000000000001" customHeight="1">
      <c r="C1332" s="62">
        <v>63200202</v>
      </c>
      <c r="D1332" s="61" t="s">
        <v>2811</v>
      </c>
      <c r="E1332" s="61" t="s">
        <v>2812</v>
      </c>
      <c r="F1332" s="62">
        <v>1</v>
      </c>
      <c r="G1332" s="62">
        <v>1000004</v>
      </c>
      <c r="H1332" s="62">
        <v>0</v>
      </c>
      <c r="I1332" s="68">
        <v>0</v>
      </c>
      <c r="J1332" s="66">
        <v>1</v>
      </c>
      <c r="K1332" s="66">
        <v>0</v>
      </c>
      <c r="L1332" s="62">
        <v>0</v>
      </c>
      <c r="M1332" s="62">
        <v>0</v>
      </c>
      <c r="N1332" s="62">
        <v>0</v>
      </c>
      <c r="O1332" s="62">
        <v>8</v>
      </c>
      <c r="P1332" s="62">
        <v>8</v>
      </c>
      <c r="Q1332" s="62">
        <v>4</v>
      </c>
      <c r="R1332" s="62">
        <v>0</v>
      </c>
      <c r="S1332" s="70">
        <v>0</v>
      </c>
      <c r="T1332" s="62">
        <v>0</v>
      </c>
      <c r="U1332" s="62">
        <v>1</v>
      </c>
      <c r="V1332" s="62">
        <v>0</v>
      </c>
      <c r="W1332" s="62">
        <v>0</v>
      </c>
      <c r="X1332" s="66">
        <v>0</v>
      </c>
      <c r="Y1332" s="13">
        <v>0</v>
      </c>
      <c r="Z1332" s="66">
        <v>0</v>
      </c>
      <c r="AA1332" s="62">
        <v>0</v>
      </c>
      <c r="AB1332" s="62">
        <v>0</v>
      </c>
      <c r="AC1332" s="62">
        <v>0</v>
      </c>
      <c r="AD1332" s="62">
        <v>0</v>
      </c>
      <c r="AE1332" s="62">
        <v>0</v>
      </c>
      <c r="AF1332" s="62">
        <v>0</v>
      </c>
      <c r="AG1332" s="62">
        <v>0</v>
      </c>
      <c r="AH1332" s="62" t="s">
        <v>198</v>
      </c>
      <c r="AI1332" s="70">
        <v>0</v>
      </c>
      <c r="AJ1332" s="70">
        <v>0</v>
      </c>
      <c r="AK1332" s="70">
        <v>0</v>
      </c>
      <c r="AL1332" s="70">
        <v>0</v>
      </c>
      <c r="AM1332" s="62">
        <v>0</v>
      </c>
      <c r="AN1332" s="62">
        <v>0</v>
      </c>
      <c r="AO1332" s="62">
        <v>0</v>
      </c>
      <c r="AP1332" s="62">
        <v>0</v>
      </c>
      <c r="AQ1332" s="62">
        <v>0</v>
      </c>
      <c r="AR1332" s="62">
        <v>0</v>
      </c>
      <c r="AS1332" s="62">
        <v>0</v>
      </c>
      <c r="AT1332" s="70">
        <v>0</v>
      </c>
      <c r="AU1332" s="62" t="s">
        <v>198</v>
      </c>
      <c r="AV1332" s="62"/>
      <c r="AW1332" s="61" t="s">
        <v>198</v>
      </c>
      <c r="AX1332" s="62">
        <v>0</v>
      </c>
      <c r="AY1332" s="66">
        <v>0</v>
      </c>
      <c r="AZ1332" s="66">
        <v>0</v>
      </c>
      <c r="BA1332" s="61" t="s">
        <v>198</v>
      </c>
      <c r="BB1332" s="62" t="s">
        <v>2813</v>
      </c>
      <c r="BC1332" s="68"/>
      <c r="BD1332" s="68">
        <v>1</v>
      </c>
      <c r="BE1332" s="92" t="s">
        <v>2814</v>
      </c>
      <c r="BF1332" s="92" t="s">
        <v>2815</v>
      </c>
      <c r="BG1332" s="62">
        <v>0</v>
      </c>
      <c r="BH1332" s="62">
        <v>0</v>
      </c>
      <c r="BI1332" s="62">
        <v>0</v>
      </c>
      <c r="BJ1332" s="62">
        <v>0</v>
      </c>
      <c r="BK1332" s="62">
        <v>0</v>
      </c>
      <c r="BL1332" s="62">
        <v>0</v>
      </c>
      <c r="BM1332" s="95">
        <v>0</v>
      </c>
      <c r="BN1332" s="70">
        <v>0</v>
      </c>
      <c r="BO1332" s="70">
        <v>0</v>
      </c>
      <c r="BP1332" s="70">
        <v>0</v>
      </c>
      <c r="BQ1332" s="70">
        <v>0</v>
      </c>
      <c r="BR1332" s="70">
        <v>0</v>
      </c>
      <c r="BS1332" s="70">
        <v>0</v>
      </c>
      <c r="BT1332" s="13">
        <v>0</v>
      </c>
      <c r="BU1332" s="49">
        <v>0</v>
      </c>
      <c r="BV1332" s="49"/>
      <c r="BW1332" s="49"/>
    </row>
    <row r="1333" spans="3:75" ht="20.100000000000001" customHeight="1">
      <c r="C1333" s="62">
        <v>63200203</v>
      </c>
      <c r="D1333" s="61" t="s">
        <v>2816</v>
      </c>
      <c r="E1333" s="61" t="s">
        <v>2817</v>
      </c>
      <c r="F1333" s="62">
        <v>1</v>
      </c>
      <c r="G1333" s="62">
        <v>1000004</v>
      </c>
      <c r="H1333" s="62">
        <v>0</v>
      </c>
      <c r="I1333" s="68">
        <v>0</v>
      </c>
      <c r="J1333" s="66">
        <v>1</v>
      </c>
      <c r="K1333" s="66">
        <v>0</v>
      </c>
      <c r="L1333" s="62">
        <v>0</v>
      </c>
      <c r="M1333" s="62">
        <v>0</v>
      </c>
      <c r="N1333" s="62">
        <v>0</v>
      </c>
      <c r="O1333" s="62">
        <v>8</v>
      </c>
      <c r="P1333" s="62">
        <v>8</v>
      </c>
      <c r="Q1333" s="62">
        <v>4</v>
      </c>
      <c r="R1333" s="62">
        <v>0</v>
      </c>
      <c r="S1333" s="70">
        <v>0</v>
      </c>
      <c r="T1333" s="62">
        <v>0</v>
      </c>
      <c r="U1333" s="62">
        <v>1</v>
      </c>
      <c r="V1333" s="62">
        <v>0</v>
      </c>
      <c r="W1333" s="62">
        <v>0</v>
      </c>
      <c r="X1333" s="66">
        <v>0</v>
      </c>
      <c r="Y1333" s="13">
        <v>0</v>
      </c>
      <c r="Z1333" s="66">
        <v>0</v>
      </c>
      <c r="AA1333" s="62">
        <v>0</v>
      </c>
      <c r="AB1333" s="62">
        <v>0</v>
      </c>
      <c r="AC1333" s="62">
        <v>0</v>
      </c>
      <c r="AD1333" s="62">
        <v>0</v>
      </c>
      <c r="AE1333" s="62">
        <v>0</v>
      </c>
      <c r="AF1333" s="62">
        <v>0</v>
      </c>
      <c r="AG1333" s="62">
        <v>0</v>
      </c>
      <c r="AH1333" s="62" t="s">
        <v>198</v>
      </c>
      <c r="AI1333" s="70">
        <v>0</v>
      </c>
      <c r="AJ1333" s="70">
        <v>0</v>
      </c>
      <c r="AK1333" s="70">
        <v>0</v>
      </c>
      <c r="AL1333" s="70">
        <v>0</v>
      </c>
      <c r="AM1333" s="62">
        <v>0</v>
      </c>
      <c r="AN1333" s="62">
        <v>0</v>
      </c>
      <c r="AO1333" s="62">
        <v>0</v>
      </c>
      <c r="AP1333" s="62">
        <v>0</v>
      </c>
      <c r="AQ1333" s="62">
        <v>0</v>
      </c>
      <c r="AR1333" s="62">
        <v>0</v>
      </c>
      <c r="AS1333" s="62">
        <v>0</v>
      </c>
      <c r="AT1333" s="70">
        <v>0</v>
      </c>
      <c r="AU1333" s="62" t="s">
        <v>198</v>
      </c>
      <c r="AV1333" s="62"/>
      <c r="AW1333" s="61" t="s">
        <v>198</v>
      </c>
      <c r="AX1333" s="62">
        <v>0</v>
      </c>
      <c r="AY1333" s="66">
        <v>0</v>
      </c>
      <c r="AZ1333" s="66">
        <v>0</v>
      </c>
      <c r="BA1333" s="61" t="s">
        <v>198</v>
      </c>
      <c r="BB1333" s="62" t="s">
        <v>2818</v>
      </c>
      <c r="BC1333" s="68"/>
      <c r="BD1333" s="68">
        <v>1</v>
      </c>
      <c r="BE1333" s="92" t="s">
        <v>2819</v>
      </c>
      <c r="BF1333" s="92" t="s">
        <v>2820</v>
      </c>
      <c r="BG1333" s="62">
        <v>0</v>
      </c>
      <c r="BH1333" s="62">
        <v>0</v>
      </c>
      <c r="BI1333" s="62">
        <v>0</v>
      </c>
      <c r="BJ1333" s="62">
        <v>0</v>
      </c>
      <c r="BK1333" s="62">
        <v>0</v>
      </c>
      <c r="BL1333" s="62">
        <v>0</v>
      </c>
      <c r="BM1333" s="95">
        <v>0</v>
      </c>
      <c r="BN1333" s="70">
        <v>0</v>
      </c>
      <c r="BO1333" s="70">
        <v>0</v>
      </c>
      <c r="BP1333" s="70">
        <v>0</v>
      </c>
      <c r="BQ1333" s="70">
        <v>0</v>
      </c>
      <c r="BR1333" s="70">
        <v>0</v>
      </c>
      <c r="BS1333" s="70">
        <v>0</v>
      </c>
      <c r="BT1333" s="13">
        <v>0</v>
      </c>
      <c r="BU1333" s="49">
        <v>0</v>
      </c>
      <c r="BV1333" s="49"/>
      <c r="BW1333" s="49"/>
    </row>
    <row r="1334" spans="3:75" ht="20.100000000000001" customHeight="1">
      <c r="C1334" s="62">
        <v>63200204</v>
      </c>
      <c r="D1334" s="65" t="s">
        <v>1389</v>
      </c>
      <c r="E1334" s="65" t="s">
        <v>1390</v>
      </c>
      <c r="F1334" s="62">
        <v>1</v>
      </c>
      <c r="G1334" s="66">
        <v>62012201</v>
      </c>
      <c r="H1334" s="66">
        <v>0</v>
      </c>
      <c r="I1334" s="68">
        <v>0</v>
      </c>
      <c r="J1334" s="62">
        <v>3</v>
      </c>
      <c r="K1334" s="62">
        <v>2</v>
      </c>
      <c r="L1334" s="62">
        <v>0</v>
      </c>
      <c r="M1334" s="66">
        <v>0</v>
      </c>
      <c r="N1334" s="66">
        <v>0</v>
      </c>
      <c r="O1334" s="66">
        <v>2</v>
      </c>
      <c r="P1334" s="66">
        <v>15</v>
      </c>
      <c r="Q1334" s="66">
        <v>1</v>
      </c>
      <c r="R1334" s="66">
        <v>0</v>
      </c>
      <c r="S1334" s="70">
        <v>0</v>
      </c>
      <c r="T1334" s="68">
        <v>0</v>
      </c>
      <c r="U1334" s="62">
        <v>1</v>
      </c>
      <c r="V1334" s="66">
        <v>2</v>
      </c>
      <c r="W1334" s="66">
        <v>0</v>
      </c>
      <c r="X1334" s="66">
        <v>2</v>
      </c>
      <c r="Y1334" s="13">
        <v>0</v>
      </c>
      <c r="Z1334" s="66">
        <v>750</v>
      </c>
      <c r="AA1334" s="66">
        <v>0</v>
      </c>
      <c r="AB1334" s="66">
        <v>0</v>
      </c>
      <c r="AC1334" s="66">
        <v>0</v>
      </c>
      <c r="AD1334" s="66">
        <v>0</v>
      </c>
      <c r="AE1334" s="66">
        <v>0</v>
      </c>
      <c r="AF1334" s="66">
        <v>12</v>
      </c>
      <c r="AG1334" s="66">
        <v>1</v>
      </c>
      <c r="AH1334" s="66">
        <v>3.5</v>
      </c>
      <c r="AI1334" s="70">
        <v>0</v>
      </c>
      <c r="AJ1334" s="70">
        <v>0</v>
      </c>
      <c r="AK1334" s="70">
        <v>0</v>
      </c>
      <c r="AL1334" s="70">
        <v>4</v>
      </c>
      <c r="AM1334" s="66">
        <v>0</v>
      </c>
      <c r="AN1334" s="66">
        <v>0</v>
      </c>
      <c r="AO1334" s="66">
        <v>0</v>
      </c>
      <c r="AP1334" s="66">
        <v>0.25</v>
      </c>
      <c r="AQ1334" s="66">
        <v>2000</v>
      </c>
      <c r="AR1334" s="66">
        <v>0</v>
      </c>
      <c r="AS1334" s="66">
        <v>0</v>
      </c>
      <c r="AT1334" s="70">
        <v>0</v>
      </c>
      <c r="AU1334" s="66">
        <v>90503131</v>
      </c>
      <c r="AV1334" s="66"/>
      <c r="AW1334" s="65" t="s">
        <v>199</v>
      </c>
      <c r="AX1334" s="66" t="s">
        <v>534</v>
      </c>
      <c r="AY1334" s="66">
        <v>10000009</v>
      </c>
      <c r="AZ1334" s="66">
        <v>21100050</v>
      </c>
      <c r="BA1334" s="65" t="s">
        <v>200</v>
      </c>
      <c r="BB1334" s="65">
        <v>0</v>
      </c>
      <c r="BC1334" s="68">
        <v>0</v>
      </c>
      <c r="BD1334" s="68">
        <v>1</v>
      </c>
      <c r="BE1334" s="209" t="s">
        <v>2821</v>
      </c>
      <c r="BF1334" s="209" t="s">
        <v>2822</v>
      </c>
      <c r="BG1334" s="66">
        <v>0</v>
      </c>
      <c r="BH1334" s="62">
        <v>0</v>
      </c>
      <c r="BI1334" s="66">
        <v>0</v>
      </c>
      <c r="BJ1334" s="66">
        <v>0</v>
      </c>
      <c r="BK1334" s="66">
        <v>0</v>
      </c>
      <c r="BL1334" s="66">
        <v>0</v>
      </c>
      <c r="BM1334" s="95">
        <v>0</v>
      </c>
      <c r="BN1334" s="70">
        <v>1</v>
      </c>
      <c r="BO1334" s="70">
        <v>0</v>
      </c>
      <c r="BP1334" s="70">
        <v>0</v>
      </c>
      <c r="BQ1334" s="70">
        <v>0</v>
      </c>
      <c r="BR1334" s="70">
        <v>0</v>
      </c>
      <c r="BS1334" s="70">
        <v>0</v>
      </c>
      <c r="BT1334" s="13">
        <v>0</v>
      </c>
      <c r="BU1334" s="49">
        <v>0</v>
      </c>
      <c r="BV1334" s="49"/>
      <c r="BW1334" s="49"/>
    </row>
    <row r="1335" spans="3:75" ht="20.100000000000001" customHeight="1">
      <c r="C1335" s="174">
        <v>63200205</v>
      </c>
      <c r="D1335" s="240" t="s">
        <v>2729</v>
      </c>
      <c r="E1335" s="240" t="s">
        <v>2730</v>
      </c>
      <c r="F1335" s="182">
        <v>1</v>
      </c>
      <c r="G1335" s="182">
        <v>63001004</v>
      </c>
      <c r="H1335" s="182">
        <v>0</v>
      </c>
      <c r="I1335" s="182">
        <v>0</v>
      </c>
      <c r="J1335" s="19">
        <v>1</v>
      </c>
      <c r="K1335" s="19">
        <v>0</v>
      </c>
      <c r="L1335" s="17">
        <v>0</v>
      </c>
      <c r="M1335" s="182">
        <v>0</v>
      </c>
      <c r="N1335" s="182">
        <v>0</v>
      </c>
      <c r="O1335" s="182">
        <v>2</v>
      </c>
      <c r="P1335" s="182">
        <v>5</v>
      </c>
      <c r="Q1335" s="182">
        <v>0.3</v>
      </c>
      <c r="R1335" s="182">
        <v>0</v>
      </c>
      <c r="S1335" s="13">
        <v>0</v>
      </c>
      <c r="T1335" s="182">
        <v>0</v>
      </c>
      <c r="U1335" s="182">
        <v>1</v>
      </c>
      <c r="V1335" s="182">
        <v>2</v>
      </c>
      <c r="W1335" s="182">
        <v>0</v>
      </c>
      <c r="X1335" s="182">
        <v>0</v>
      </c>
      <c r="Y1335" s="13">
        <v>0</v>
      </c>
      <c r="Z1335" s="182">
        <v>0</v>
      </c>
      <c r="AA1335" s="182">
        <v>0</v>
      </c>
      <c r="AB1335" s="182">
        <v>0</v>
      </c>
      <c r="AC1335" s="182">
        <v>0</v>
      </c>
      <c r="AD1335" s="17">
        <v>0</v>
      </c>
      <c r="AE1335" s="182">
        <v>0</v>
      </c>
      <c r="AF1335" s="182">
        <v>0</v>
      </c>
      <c r="AG1335" s="182">
        <v>0</v>
      </c>
      <c r="AH1335" s="182">
        <v>0</v>
      </c>
      <c r="AI1335" s="182">
        <v>0</v>
      </c>
      <c r="AJ1335" s="182">
        <v>0</v>
      </c>
      <c r="AK1335" s="13">
        <v>0</v>
      </c>
      <c r="AL1335" s="182">
        <v>0</v>
      </c>
      <c r="AM1335" s="182">
        <v>0</v>
      </c>
      <c r="AN1335" s="182">
        <v>0</v>
      </c>
      <c r="AO1335" s="182">
        <v>0</v>
      </c>
      <c r="AP1335" s="17">
        <v>0</v>
      </c>
      <c r="AQ1335" s="182">
        <v>1000</v>
      </c>
      <c r="AR1335" s="182">
        <v>0</v>
      </c>
      <c r="AS1335" s="182">
        <v>0</v>
      </c>
      <c r="AT1335" s="182">
        <v>90503121</v>
      </c>
      <c r="AU1335" s="182" t="s">
        <v>198</v>
      </c>
      <c r="AV1335" s="182"/>
      <c r="AW1335" s="240" t="s">
        <v>198</v>
      </c>
      <c r="AX1335" s="174" t="s">
        <v>1814</v>
      </c>
      <c r="AY1335" s="182">
        <v>0</v>
      </c>
      <c r="AZ1335" s="182">
        <v>0</v>
      </c>
      <c r="BA1335" s="240" t="s">
        <v>200</v>
      </c>
      <c r="BB1335" s="240" t="s">
        <v>198</v>
      </c>
      <c r="BC1335" s="182">
        <v>0</v>
      </c>
      <c r="BD1335" s="182">
        <v>1</v>
      </c>
      <c r="BE1335" s="254" t="s">
        <v>2823</v>
      </c>
      <c r="BF1335" s="254" t="s">
        <v>2824</v>
      </c>
      <c r="BG1335" s="182">
        <v>0</v>
      </c>
      <c r="BH1335" s="17">
        <v>0</v>
      </c>
      <c r="BI1335" s="182">
        <v>0</v>
      </c>
      <c r="BJ1335" s="182">
        <v>0</v>
      </c>
      <c r="BK1335" s="182">
        <v>0</v>
      </c>
      <c r="BL1335" s="182">
        <v>0</v>
      </c>
      <c r="BM1335" s="16">
        <v>0</v>
      </c>
      <c r="BN1335" s="13">
        <v>1</v>
      </c>
      <c r="BO1335" s="13">
        <v>0</v>
      </c>
      <c r="BP1335" s="13">
        <v>0</v>
      </c>
      <c r="BQ1335" s="13">
        <v>0</v>
      </c>
      <c r="BR1335" s="13">
        <v>0</v>
      </c>
      <c r="BS1335" s="13">
        <v>0</v>
      </c>
      <c r="BT1335" s="13">
        <v>0</v>
      </c>
      <c r="BU1335" s="49">
        <v>0</v>
      </c>
      <c r="BV1335" s="49"/>
      <c r="BW1335" s="49"/>
    </row>
    <row r="1336" spans="3:75" ht="20.100000000000001" customHeight="1">
      <c r="C1336" s="174">
        <v>63201001</v>
      </c>
      <c r="D1336" s="175" t="s">
        <v>2825</v>
      </c>
      <c r="E1336" s="175" t="s">
        <v>2826</v>
      </c>
      <c r="F1336" s="174">
        <v>1</v>
      </c>
      <c r="G1336" s="174">
        <v>63003001</v>
      </c>
      <c r="H1336" s="174">
        <v>0</v>
      </c>
      <c r="I1336" s="176">
        <v>0</v>
      </c>
      <c r="J1336" s="178">
        <v>1</v>
      </c>
      <c r="K1336" s="178">
        <v>0</v>
      </c>
      <c r="L1336" s="174">
        <v>0</v>
      </c>
      <c r="M1336" s="174">
        <v>0</v>
      </c>
      <c r="N1336" s="174">
        <v>0</v>
      </c>
      <c r="O1336" s="174">
        <v>2</v>
      </c>
      <c r="P1336" s="174">
        <v>12</v>
      </c>
      <c r="Q1336" s="174">
        <v>1</v>
      </c>
      <c r="R1336" s="174">
        <v>0</v>
      </c>
      <c r="S1336" s="177">
        <v>0</v>
      </c>
      <c r="T1336" s="174">
        <v>0</v>
      </c>
      <c r="U1336" s="174">
        <v>1</v>
      </c>
      <c r="V1336" s="174">
        <v>2</v>
      </c>
      <c r="W1336" s="174">
        <v>0</v>
      </c>
      <c r="X1336" s="178">
        <v>0</v>
      </c>
      <c r="Y1336" s="13">
        <v>0</v>
      </c>
      <c r="Z1336" s="178">
        <v>0</v>
      </c>
      <c r="AA1336" s="174">
        <v>0</v>
      </c>
      <c r="AB1336" s="174">
        <v>0</v>
      </c>
      <c r="AC1336" s="174">
        <v>0</v>
      </c>
      <c r="AD1336" s="174">
        <v>1</v>
      </c>
      <c r="AE1336" s="174">
        <v>0</v>
      </c>
      <c r="AF1336" s="174">
        <v>60</v>
      </c>
      <c r="AG1336" s="174">
        <v>1</v>
      </c>
      <c r="AH1336" s="174">
        <v>10</v>
      </c>
      <c r="AI1336" s="177">
        <v>0</v>
      </c>
      <c r="AJ1336" s="177">
        <v>0</v>
      </c>
      <c r="AK1336" s="177">
        <v>0</v>
      </c>
      <c r="AL1336" s="177">
        <v>0</v>
      </c>
      <c r="AM1336" s="174">
        <v>0</v>
      </c>
      <c r="AN1336" s="174">
        <v>0</v>
      </c>
      <c r="AO1336" s="174">
        <v>0</v>
      </c>
      <c r="AP1336" s="174">
        <v>0</v>
      </c>
      <c r="AQ1336" s="174">
        <v>50000</v>
      </c>
      <c r="AR1336" s="174">
        <v>0</v>
      </c>
      <c r="AS1336" s="174">
        <v>0</v>
      </c>
      <c r="AT1336" s="177">
        <v>90503003</v>
      </c>
      <c r="AU1336" s="174">
        <v>90503003</v>
      </c>
      <c r="AV1336" s="174"/>
      <c r="AW1336" s="175" t="s">
        <v>198</v>
      </c>
      <c r="AX1336" s="174">
        <v>0</v>
      </c>
      <c r="AY1336" s="178">
        <v>0</v>
      </c>
      <c r="AZ1336" s="178">
        <v>0</v>
      </c>
      <c r="BA1336" s="175" t="s">
        <v>2680</v>
      </c>
      <c r="BB1336" s="174">
        <v>0</v>
      </c>
      <c r="BC1336" s="176">
        <v>0</v>
      </c>
      <c r="BD1336" s="176">
        <v>0</v>
      </c>
      <c r="BE1336" s="208" t="s">
        <v>2827</v>
      </c>
      <c r="BF1336" s="208" t="s">
        <v>2828</v>
      </c>
      <c r="BG1336" s="174">
        <v>0</v>
      </c>
      <c r="BH1336" s="174">
        <v>0</v>
      </c>
      <c r="BI1336" s="174">
        <v>0</v>
      </c>
      <c r="BJ1336" s="174">
        <v>0</v>
      </c>
      <c r="BK1336" s="174">
        <v>0</v>
      </c>
      <c r="BL1336" s="174">
        <v>0</v>
      </c>
      <c r="BM1336" s="180">
        <v>0</v>
      </c>
      <c r="BN1336" s="177">
        <v>1</v>
      </c>
      <c r="BO1336" s="177">
        <v>0</v>
      </c>
      <c r="BP1336" s="177">
        <v>0</v>
      </c>
      <c r="BQ1336" s="177">
        <v>0</v>
      </c>
      <c r="BR1336" s="177">
        <v>0</v>
      </c>
      <c r="BS1336" s="177">
        <v>0</v>
      </c>
      <c r="BT1336" s="13">
        <v>0</v>
      </c>
      <c r="BU1336" s="49">
        <v>0</v>
      </c>
      <c r="BV1336" s="49"/>
      <c r="BW1336" s="49"/>
    </row>
    <row r="1337" spans="3:75" ht="20.100000000000001" customHeight="1">
      <c r="C1337" s="174">
        <v>63201002</v>
      </c>
      <c r="D1337" s="175" t="s">
        <v>2747</v>
      </c>
      <c r="E1337" s="175" t="s">
        <v>2748</v>
      </c>
      <c r="F1337" s="174">
        <v>1</v>
      </c>
      <c r="G1337" s="174">
        <v>63001003</v>
      </c>
      <c r="H1337" s="174">
        <v>0</v>
      </c>
      <c r="I1337" s="176">
        <v>0</v>
      </c>
      <c r="J1337" s="178">
        <v>1</v>
      </c>
      <c r="K1337" s="178">
        <v>0</v>
      </c>
      <c r="L1337" s="174">
        <v>0</v>
      </c>
      <c r="M1337" s="174">
        <v>0</v>
      </c>
      <c r="N1337" s="174">
        <v>0</v>
      </c>
      <c r="O1337" s="174">
        <v>2</v>
      </c>
      <c r="P1337" s="174">
        <v>0</v>
      </c>
      <c r="Q1337" s="174">
        <v>0</v>
      </c>
      <c r="R1337" s="174">
        <v>0</v>
      </c>
      <c r="S1337" s="177">
        <v>0</v>
      </c>
      <c r="T1337" s="174">
        <v>0</v>
      </c>
      <c r="U1337" s="174">
        <v>1</v>
      </c>
      <c r="V1337" s="174">
        <v>0</v>
      </c>
      <c r="W1337" s="174">
        <v>0</v>
      </c>
      <c r="X1337" s="178">
        <v>0</v>
      </c>
      <c r="Y1337" s="13">
        <v>0</v>
      </c>
      <c r="Z1337" s="178">
        <v>0</v>
      </c>
      <c r="AA1337" s="174">
        <v>0</v>
      </c>
      <c r="AB1337" s="174">
        <v>0</v>
      </c>
      <c r="AC1337" s="174">
        <v>0</v>
      </c>
      <c r="AD1337" s="174">
        <v>1</v>
      </c>
      <c r="AE1337" s="174">
        <v>0</v>
      </c>
      <c r="AF1337" s="174">
        <v>0</v>
      </c>
      <c r="AG1337" s="174">
        <v>0</v>
      </c>
      <c r="AH1337" s="174" t="s">
        <v>198</v>
      </c>
      <c r="AI1337" s="177">
        <v>0</v>
      </c>
      <c r="AJ1337" s="177">
        <v>0</v>
      </c>
      <c r="AK1337" s="177">
        <v>0</v>
      </c>
      <c r="AL1337" s="177">
        <v>0</v>
      </c>
      <c r="AM1337" s="174">
        <v>0</v>
      </c>
      <c r="AN1337" s="174">
        <v>0</v>
      </c>
      <c r="AO1337" s="174">
        <v>0</v>
      </c>
      <c r="AP1337" s="174">
        <v>0</v>
      </c>
      <c r="AQ1337" s="174">
        <v>0</v>
      </c>
      <c r="AR1337" s="174">
        <v>0</v>
      </c>
      <c r="AS1337" s="174">
        <v>0</v>
      </c>
      <c r="AT1337" s="177">
        <v>0</v>
      </c>
      <c r="AU1337" s="174" t="s">
        <v>198</v>
      </c>
      <c r="AV1337" s="174"/>
      <c r="AW1337" s="175" t="s">
        <v>198</v>
      </c>
      <c r="AX1337" s="174">
        <v>0</v>
      </c>
      <c r="AY1337" s="178">
        <v>0</v>
      </c>
      <c r="AZ1337" s="178">
        <v>0</v>
      </c>
      <c r="BA1337" s="175" t="s">
        <v>198</v>
      </c>
      <c r="BB1337" s="174">
        <v>0</v>
      </c>
      <c r="BC1337" s="176"/>
      <c r="BD1337" s="176"/>
      <c r="BE1337" s="208" t="s">
        <v>2749</v>
      </c>
      <c r="BF1337" s="208" t="s">
        <v>2750</v>
      </c>
      <c r="BG1337" s="174">
        <v>0</v>
      </c>
      <c r="BH1337" s="174">
        <v>0</v>
      </c>
      <c r="BI1337" s="174">
        <v>0</v>
      </c>
      <c r="BJ1337" s="174">
        <v>0</v>
      </c>
      <c r="BK1337" s="174">
        <v>0</v>
      </c>
      <c r="BL1337" s="174">
        <v>0</v>
      </c>
      <c r="BM1337" s="180">
        <v>0</v>
      </c>
      <c r="BN1337" s="177">
        <v>0</v>
      </c>
      <c r="BO1337" s="177">
        <v>0</v>
      </c>
      <c r="BP1337" s="177">
        <v>0</v>
      </c>
      <c r="BQ1337" s="177">
        <v>0</v>
      </c>
      <c r="BR1337" s="177">
        <v>0</v>
      </c>
      <c r="BS1337" s="177">
        <v>0</v>
      </c>
      <c r="BT1337" s="13">
        <v>0</v>
      </c>
      <c r="BU1337" s="49">
        <v>0</v>
      </c>
      <c r="BV1337" s="49"/>
      <c r="BW1337" s="49"/>
    </row>
    <row r="1338" spans="3:75" ht="20.100000000000001" customHeight="1">
      <c r="C1338" s="174">
        <v>63201003</v>
      </c>
      <c r="D1338" s="175" t="s">
        <v>2829</v>
      </c>
      <c r="E1338" s="175" t="s">
        <v>2830</v>
      </c>
      <c r="F1338" s="174">
        <v>1</v>
      </c>
      <c r="G1338" s="174">
        <v>1000005</v>
      </c>
      <c r="H1338" s="174">
        <v>0</v>
      </c>
      <c r="I1338" s="176">
        <v>0</v>
      </c>
      <c r="J1338" s="178">
        <v>1</v>
      </c>
      <c r="K1338" s="178">
        <v>0</v>
      </c>
      <c r="L1338" s="174">
        <v>0</v>
      </c>
      <c r="M1338" s="174">
        <v>0</v>
      </c>
      <c r="N1338" s="174">
        <v>0</v>
      </c>
      <c r="O1338" s="174">
        <v>8</v>
      </c>
      <c r="P1338" s="174">
        <v>8</v>
      </c>
      <c r="Q1338" s="174">
        <v>2</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90000006</v>
      </c>
      <c r="AU1338" s="174" t="s">
        <v>198</v>
      </c>
      <c r="AV1338" s="174"/>
      <c r="AW1338" s="175" t="s">
        <v>198</v>
      </c>
      <c r="AX1338" s="174">
        <v>0</v>
      </c>
      <c r="AY1338" s="178">
        <v>0</v>
      </c>
      <c r="AZ1338" s="178">
        <v>0</v>
      </c>
      <c r="BA1338" s="175" t="s">
        <v>198</v>
      </c>
      <c r="BB1338" s="174" t="s">
        <v>2831</v>
      </c>
      <c r="BC1338" s="176"/>
      <c r="BD1338" s="176"/>
      <c r="BE1338" s="208" t="s">
        <v>2832</v>
      </c>
      <c r="BF1338" s="208" t="s">
        <v>2833</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spans="3:75" ht="20.100000000000001" customHeight="1">
      <c r="C1339" s="174">
        <v>63201004</v>
      </c>
      <c r="D1339" s="212" t="s">
        <v>2834</v>
      </c>
      <c r="E1339" s="212" t="s">
        <v>2835</v>
      </c>
      <c r="F1339" s="66">
        <v>1</v>
      </c>
      <c r="G1339" s="204">
        <v>63001004</v>
      </c>
      <c r="H1339" s="66">
        <v>0</v>
      </c>
      <c r="I1339" s="68">
        <v>0</v>
      </c>
      <c r="J1339" s="66">
        <v>1</v>
      </c>
      <c r="K1339" s="66">
        <v>0</v>
      </c>
      <c r="L1339" s="66">
        <v>0</v>
      </c>
      <c r="M1339" s="62">
        <v>0</v>
      </c>
      <c r="N1339" s="62">
        <v>0</v>
      </c>
      <c r="O1339" s="62">
        <v>2</v>
      </c>
      <c r="P1339" s="62">
        <v>10</v>
      </c>
      <c r="Q1339" s="62">
        <v>0.2</v>
      </c>
      <c r="R1339" s="62">
        <v>0</v>
      </c>
      <c r="S1339" s="70">
        <v>0</v>
      </c>
      <c r="T1339" s="62">
        <v>0</v>
      </c>
      <c r="U1339" s="62">
        <v>1</v>
      </c>
      <c r="V1339" s="62">
        <v>2</v>
      </c>
      <c r="W1339" s="62">
        <v>0</v>
      </c>
      <c r="X1339" s="62">
        <v>0</v>
      </c>
      <c r="Y1339" s="13">
        <v>0</v>
      </c>
      <c r="Z1339" s="62">
        <v>0</v>
      </c>
      <c r="AA1339" s="62">
        <v>0</v>
      </c>
      <c r="AB1339" s="62">
        <v>0</v>
      </c>
      <c r="AC1339" s="62">
        <v>0</v>
      </c>
      <c r="AD1339" s="62">
        <v>1</v>
      </c>
      <c r="AE1339" s="62">
        <v>0</v>
      </c>
      <c r="AF1339" s="62">
        <v>2</v>
      </c>
      <c r="AG1339" s="62">
        <v>0</v>
      </c>
      <c r="AH1339" s="62">
        <v>0</v>
      </c>
      <c r="AI1339" s="70">
        <v>1</v>
      </c>
      <c r="AJ1339" s="70">
        <v>0</v>
      </c>
      <c r="AK1339" s="13">
        <v>0</v>
      </c>
      <c r="AL1339" s="70">
        <v>3</v>
      </c>
      <c r="AM1339" s="62">
        <v>0</v>
      </c>
      <c r="AN1339" s="62">
        <v>0</v>
      </c>
      <c r="AO1339" s="62">
        <v>0</v>
      </c>
      <c r="AP1339" s="66">
        <v>0</v>
      </c>
      <c r="AQ1339" s="62">
        <v>3000</v>
      </c>
      <c r="AR1339" s="62">
        <v>0</v>
      </c>
      <c r="AS1339" s="62">
        <v>0</v>
      </c>
      <c r="AT1339" s="70">
        <v>0</v>
      </c>
      <c r="AU1339" s="62" t="s">
        <v>198</v>
      </c>
      <c r="AV1339" s="62"/>
      <c r="AW1339" s="61" t="s">
        <v>199</v>
      </c>
      <c r="AX1339" s="62" t="s">
        <v>1041</v>
      </c>
      <c r="AY1339" s="66">
        <v>0</v>
      </c>
      <c r="AZ1339" s="66">
        <v>21101051</v>
      </c>
      <c r="BA1339" s="61" t="s">
        <v>1174</v>
      </c>
      <c r="BB1339" s="379" t="s">
        <v>2836</v>
      </c>
      <c r="BC1339" s="68">
        <v>0</v>
      </c>
      <c r="BD1339" s="68">
        <v>0</v>
      </c>
      <c r="BE1339" s="214" t="s">
        <v>2837</v>
      </c>
      <c r="BF1339" s="214" t="s">
        <v>2838</v>
      </c>
      <c r="BG1339" s="62">
        <v>0</v>
      </c>
      <c r="BH1339" s="62">
        <v>0</v>
      </c>
      <c r="BI1339" s="62">
        <v>0</v>
      </c>
      <c r="BJ1339" s="62">
        <v>0</v>
      </c>
      <c r="BK1339" s="62">
        <v>0</v>
      </c>
      <c r="BL1339" s="62">
        <v>0</v>
      </c>
      <c r="BM1339" s="95">
        <v>0</v>
      </c>
      <c r="BN1339" s="13">
        <v>0</v>
      </c>
      <c r="BO1339" s="13">
        <v>0</v>
      </c>
      <c r="BP1339" s="13">
        <v>0</v>
      </c>
      <c r="BQ1339" s="13">
        <v>0</v>
      </c>
      <c r="BR1339" s="13">
        <v>0</v>
      </c>
      <c r="BS1339" s="13">
        <v>0</v>
      </c>
      <c r="BT1339" s="13">
        <v>0</v>
      </c>
      <c r="BU1339" s="49">
        <v>0</v>
      </c>
      <c r="BV1339" s="49"/>
      <c r="BW1339" s="49"/>
    </row>
    <row r="1340" spans="3:75" ht="20.100000000000001" customHeight="1">
      <c r="C1340" s="174">
        <v>63201005</v>
      </c>
      <c r="D1340" s="212" t="s">
        <v>2834</v>
      </c>
      <c r="E1340" s="212" t="s">
        <v>2835</v>
      </c>
      <c r="F1340" s="204">
        <v>1</v>
      </c>
      <c r="G1340" s="204">
        <v>63001004</v>
      </c>
      <c r="H1340" s="204">
        <v>0</v>
      </c>
      <c r="I1340" s="204">
        <v>0</v>
      </c>
      <c r="J1340" s="178">
        <v>1</v>
      </c>
      <c r="K1340" s="178">
        <v>0</v>
      </c>
      <c r="L1340" s="174">
        <v>0</v>
      </c>
      <c r="M1340" s="204">
        <v>0</v>
      </c>
      <c r="N1340" s="204">
        <v>0</v>
      </c>
      <c r="O1340" s="204">
        <v>2</v>
      </c>
      <c r="P1340" s="204">
        <v>1</v>
      </c>
      <c r="Q1340" s="204">
        <v>0.15</v>
      </c>
      <c r="R1340" s="204">
        <v>0</v>
      </c>
      <c r="S1340" s="177">
        <v>0</v>
      </c>
      <c r="T1340" s="204">
        <v>0</v>
      </c>
      <c r="U1340" s="204">
        <v>1</v>
      </c>
      <c r="V1340" s="204">
        <v>2</v>
      </c>
      <c r="W1340" s="204">
        <v>0</v>
      </c>
      <c r="X1340" s="204">
        <v>0</v>
      </c>
      <c r="Y1340" s="13">
        <v>0</v>
      </c>
      <c r="Z1340" s="204">
        <v>0</v>
      </c>
      <c r="AA1340" s="204">
        <v>0</v>
      </c>
      <c r="AB1340" s="204">
        <v>0</v>
      </c>
      <c r="AC1340" s="204">
        <v>0</v>
      </c>
      <c r="AD1340" s="174">
        <v>1</v>
      </c>
      <c r="AE1340" s="204">
        <v>0</v>
      </c>
      <c r="AF1340" s="204">
        <v>15</v>
      </c>
      <c r="AG1340" s="204">
        <v>1</v>
      </c>
      <c r="AH1340" s="204">
        <v>1</v>
      </c>
      <c r="AI1340" s="204">
        <v>2</v>
      </c>
      <c r="AJ1340" s="204">
        <v>0</v>
      </c>
      <c r="AK1340" s="177">
        <v>0</v>
      </c>
      <c r="AL1340" s="204">
        <v>2</v>
      </c>
      <c r="AM1340" s="204">
        <v>0</v>
      </c>
      <c r="AN1340" s="204">
        <v>0</v>
      </c>
      <c r="AO1340" s="204">
        <v>0</v>
      </c>
      <c r="AP1340" s="174">
        <v>0</v>
      </c>
      <c r="AQ1340" s="204">
        <v>10000</v>
      </c>
      <c r="AR1340" s="204">
        <v>0.5</v>
      </c>
      <c r="AS1340" s="204">
        <v>0</v>
      </c>
      <c r="AT1340" s="204">
        <v>0</v>
      </c>
      <c r="AU1340" s="204" t="s">
        <v>198</v>
      </c>
      <c r="AV1340" s="204"/>
      <c r="AW1340" s="212"/>
      <c r="AX1340" s="204">
        <v>0</v>
      </c>
      <c r="AY1340" s="204">
        <v>0</v>
      </c>
      <c r="AZ1340" s="204">
        <v>0</v>
      </c>
      <c r="BA1340" s="212" t="s">
        <v>200</v>
      </c>
      <c r="BB1340" s="212" t="s">
        <v>198</v>
      </c>
      <c r="BC1340" s="204">
        <v>0</v>
      </c>
      <c r="BD1340" s="204">
        <v>0</v>
      </c>
      <c r="BE1340" s="214" t="s">
        <v>2839</v>
      </c>
      <c r="BF1340" s="214" t="s">
        <v>2840</v>
      </c>
      <c r="BG1340" s="204">
        <v>0</v>
      </c>
      <c r="BH1340" s="174">
        <v>0</v>
      </c>
      <c r="BI1340" s="204">
        <v>0</v>
      </c>
      <c r="BJ1340" s="204">
        <v>0</v>
      </c>
      <c r="BK1340" s="204">
        <v>0</v>
      </c>
      <c r="BL1340" s="204">
        <v>0</v>
      </c>
      <c r="BM1340" s="380" t="s">
        <v>2841</v>
      </c>
      <c r="BN1340" s="177">
        <v>0</v>
      </c>
      <c r="BO1340" s="177">
        <v>0</v>
      </c>
      <c r="BP1340" s="177">
        <v>0</v>
      </c>
      <c r="BQ1340" s="177">
        <v>0</v>
      </c>
      <c r="BR1340" s="177">
        <v>0</v>
      </c>
      <c r="BS1340" s="177">
        <v>0</v>
      </c>
      <c r="BT1340" s="13">
        <v>0</v>
      </c>
      <c r="BU1340" s="49">
        <v>0</v>
      </c>
      <c r="BV1340" s="49"/>
      <c r="BW1340" s="49"/>
    </row>
    <row r="1341" spans="3:75" ht="20.100000000000001" customHeight="1">
      <c r="C1341" s="174">
        <v>63202001</v>
      </c>
      <c r="D1341" s="175" t="s">
        <v>2842</v>
      </c>
      <c r="E1341" s="175" t="s">
        <v>2843</v>
      </c>
      <c r="F1341" s="174">
        <v>1</v>
      </c>
      <c r="G1341" s="174">
        <v>63003001</v>
      </c>
      <c r="H1341" s="174">
        <v>0</v>
      </c>
      <c r="I1341" s="176">
        <v>0</v>
      </c>
      <c r="J1341" s="178">
        <v>1</v>
      </c>
      <c r="K1341" s="178">
        <v>0</v>
      </c>
      <c r="L1341" s="174">
        <v>0</v>
      </c>
      <c r="M1341" s="174">
        <v>0</v>
      </c>
      <c r="N1341" s="174">
        <v>0</v>
      </c>
      <c r="O1341" s="174">
        <v>2</v>
      </c>
      <c r="P1341" s="174">
        <v>12</v>
      </c>
      <c r="Q1341" s="174">
        <v>1</v>
      </c>
      <c r="R1341" s="174">
        <v>0</v>
      </c>
      <c r="S1341" s="177">
        <v>0</v>
      </c>
      <c r="T1341" s="174">
        <v>0</v>
      </c>
      <c r="U1341" s="174">
        <v>1</v>
      </c>
      <c r="V1341" s="174">
        <v>2</v>
      </c>
      <c r="W1341" s="174">
        <v>0</v>
      </c>
      <c r="X1341" s="178">
        <v>0</v>
      </c>
      <c r="Y1341" s="13">
        <v>0</v>
      </c>
      <c r="Z1341" s="178">
        <v>0</v>
      </c>
      <c r="AA1341" s="174">
        <v>0</v>
      </c>
      <c r="AB1341" s="174">
        <v>0</v>
      </c>
      <c r="AC1341" s="174">
        <v>0</v>
      </c>
      <c r="AD1341" s="174">
        <v>1</v>
      </c>
      <c r="AE1341" s="174">
        <v>0</v>
      </c>
      <c r="AF1341" s="174">
        <v>60</v>
      </c>
      <c r="AG1341" s="174">
        <v>1</v>
      </c>
      <c r="AH1341" s="174">
        <v>10</v>
      </c>
      <c r="AI1341" s="177">
        <v>0</v>
      </c>
      <c r="AJ1341" s="177">
        <v>0</v>
      </c>
      <c r="AK1341" s="177">
        <v>0</v>
      </c>
      <c r="AL1341" s="177">
        <v>0</v>
      </c>
      <c r="AM1341" s="174">
        <v>0</v>
      </c>
      <c r="AN1341" s="174">
        <v>0</v>
      </c>
      <c r="AO1341" s="174">
        <v>0</v>
      </c>
      <c r="AP1341" s="174">
        <v>0</v>
      </c>
      <c r="AQ1341" s="174">
        <v>50000</v>
      </c>
      <c r="AR1341" s="174">
        <v>0</v>
      </c>
      <c r="AS1341" s="174">
        <v>0</v>
      </c>
      <c r="AT1341" s="177">
        <v>90503004</v>
      </c>
      <c r="AU1341" s="174">
        <v>90503004</v>
      </c>
      <c r="AV1341" s="174"/>
      <c r="AW1341" s="175" t="s">
        <v>198</v>
      </c>
      <c r="AX1341" s="174">
        <v>0</v>
      </c>
      <c r="AY1341" s="178">
        <v>0</v>
      </c>
      <c r="AZ1341" s="178">
        <v>0</v>
      </c>
      <c r="BA1341" s="175" t="s">
        <v>2680</v>
      </c>
      <c r="BB1341" s="174">
        <v>0</v>
      </c>
      <c r="BC1341" s="176">
        <v>0</v>
      </c>
      <c r="BD1341" s="176">
        <v>0</v>
      </c>
      <c r="BE1341" s="208" t="s">
        <v>2844</v>
      </c>
      <c r="BF1341" s="208" t="s">
        <v>2845</v>
      </c>
      <c r="BG1341" s="174">
        <v>0</v>
      </c>
      <c r="BH1341" s="174">
        <v>0</v>
      </c>
      <c r="BI1341" s="174">
        <v>0</v>
      </c>
      <c r="BJ1341" s="174">
        <v>0</v>
      </c>
      <c r="BK1341" s="174">
        <v>0</v>
      </c>
      <c r="BL1341" s="174">
        <v>0</v>
      </c>
      <c r="BM1341" s="180">
        <v>0</v>
      </c>
      <c r="BN1341" s="177">
        <v>1</v>
      </c>
      <c r="BO1341" s="177">
        <v>0</v>
      </c>
      <c r="BP1341" s="177">
        <v>0</v>
      </c>
      <c r="BQ1341" s="177">
        <v>0</v>
      </c>
      <c r="BR1341" s="177">
        <v>0</v>
      </c>
      <c r="BS1341" s="177">
        <v>0</v>
      </c>
      <c r="BT1341" s="13">
        <v>0</v>
      </c>
      <c r="BU1341" s="49">
        <v>0</v>
      </c>
      <c r="BV1341" s="49"/>
      <c r="BW1341" s="49"/>
    </row>
    <row r="1342" spans="3:75" ht="20.100000000000001" customHeight="1">
      <c r="C1342" s="174">
        <v>63202002</v>
      </c>
      <c r="D1342" s="175" t="s">
        <v>2688</v>
      </c>
      <c r="E1342" s="175" t="s">
        <v>2689</v>
      </c>
      <c r="F1342" s="174">
        <v>1</v>
      </c>
      <c r="G1342" s="174">
        <v>63002002</v>
      </c>
      <c r="H1342" s="174">
        <v>0</v>
      </c>
      <c r="I1342" s="176">
        <v>0</v>
      </c>
      <c r="J1342" s="178">
        <v>1</v>
      </c>
      <c r="K1342" s="178">
        <v>0</v>
      </c>
      <c r="L1342" s="174">
        <v>0</v>
      </c>
      <c r="M1342" s="174">
        <v>0</v>
      </c>
      <c r="N1342" s="174">
        <v>0</v>
      </c>
      <c r="O1342" s="174">
        <v>2</v>
      </c>
      <c r="P1342" s="174">
        <v>0</v>
      </c>
      <c r="Q1342" s="174">
        <v>0</v>
      </c>
      <c r="R1342" s="174">
        <v>0</v>
      </c>
      <c r="S1342" s="177">
        <v>0</v>
      </c>
      <c r="T1342" s="174">
        <v>0</v>
      </c>
      <c r="U1342" s="174">
        <v>1</v>
      </c>
      <c r="V1342" s="174">
        <v>0</v>
      </c>
      <c r="W1342" s="174">
        <v>0</v>
      </c>
      <c r="X1342" s="178">
        <v>0</v>
      </c>
      <c r="Y1342" s="13">
        <v>0</v>
      </c>
      <c r="Z1342" s="178">
        <v>0</v>
      </c>
      <c r="AA1342" s="174">
        <v>0</v>
      </c>
      <c r="AB1342" s="174">
        <v>0</v>
      </c>
      <c r="AC1342" s="174">
        <v>0</v>
      </c>
      <c r="AD1342" s="174">
        <v>1</v>
      </c>
      <c r="AE1342" s="174">
        <v>0</v>
      </c>
      <c r="AF1342" s="174">
        <v>0</v>
      </c>
      <c r="AG1342" s="174">
        <v>0</v>
      </c>
      <c r="AH1342" s="174" t="s">
        <v>198</v>
      </c>
      <c r="AI1342" s="177">
        <v>0</v>
      </c>
      <c r="AJ1342" s="177">
        <v>0</v>
      </c>
      <c r="AK1342" s="177">
        <v>0</v>
      </c>
      <c r="AL1342" s="177">
        <v>0</v>
      </c>
      <c r="AM1342" s="174">
        <v>0</v>
      </c>
      <c r="AN1342" s="174">
        <v>0</v>
      </c>
      <c r="AO1342" s="174">
        <v>0</v>
      </c>
      <c r="AP1342" s="174">
        <v>0</v>
      </c>
      <c r="AQ1342" s="174">
        <v>0</v>
      </c>
      <c r="AR1342" s="174">
        <v>0</v>
      </c>
      <c r="AS1342" s="174">
        <v>0</v>
      </c>
      <c r="AT1342" s="177">
        <v>0</v>
      </c>
      <c r="AU1342" s="174" t="s">
        <v>198</v>
      </c>
      <c r="AV1342" s="174"/>
      <c r="AW1342" s="175" t="s">
        <v>198</v>
      </c>
      <c r="AX1342" s="174">
        <v>0</v>
      </c>
      <c r="AY1342" s="178">
        <v>0</v>
      </c>
      <c r="AZ1342" s="178">
        <v>0</v>
      </c>
      <c r="BA1342" s="175" t="s">
        <v>198</v>
      </c>
      <c r="BB1342" s="174">
        <v>0</v>
      </c>
      <c r="BC1342" s="176"/>
      <c r="BD1342" s="176"/>
      <c r="BE1342" s="208" t="s">
        <v>2690</v>
      </c>
      <c r="BF1342" s="208" t="s">
        <v>2691</v>
      </c>
      <c r="BG1342" s="174">
        <v>0</v>
      </c>
      <c r="BH1342" s="174">
        <v>0</v>
      </c>
      <c r="BI1342" s="174">
        <v>0</v>
      </c>
      <c r="BJ1342" s="174">
        <v>0</v>
      </c>
      <c r="BK1342" s="174">
        <v>0</v>
      </c>
      <c r="BL1342" s="174">
        <v>0</v>
      </c>
      <c r="BM1342" s="180">
        <v>0</v>
      </c>
      <c r="BN1342" s="177">
        <v>0</v>
      </c>
      <c r="BO1342" s="177">
        <v>0</v>
      </c>
      <c r="BP1342" s="177">
        <v>0</v>
      </c>
      <c r="BQ1342" s="177">
        <v>0</v>
      </c>
      <c r="BR1342" s="177">
        <v>0</v>
      </c>
      <c r="BS1342" s="177">
        <v>0</v>
      </c>
      <c r="BT1342" s="13">
        <v>0</v>
      </c>
      <c r="BU1342" s="49">
        <v>0</v>
      </c>
      <c r="BV1342" s="49"/>
      <c r="BW1342" s="49"/>
    </row>
    <row r="1343" spans="3:75" ht="20.100000000000001" customHeight="1">
      <c r="C1343" s="174">
        <v>63202003</v>
      </c>
      <c r="D1343" s="175" t="s">
        <v>2829</v>
      </c>
      <c r="E1343" s="175" t="s">
        <v>2830</v>
      </c>
      <c r="F1343" s="174">
        <v>1</v>
      </c>
      <c r="G1343" s="174">
        <v>1000005</v>
      </c>
      <c r="H1343" s="174">
        <v>0</v>
      </c>
      <c r="I1343" s="176">
        <v>0</v>
      </c>
      <c r="J1343" s="178">
        <v>1</v>
      </c>
      <c r="K1343" s="178">
        <v>0</v>
      </c>
      <c r="L1343" s="174">
        <v>0</v>
      </c>
      <c r="M1343" s="174">
        <v>0</v>
      </c>
      <c r="N1343" s="174">
        <v>0</v>
      </c>
      <c r="O1343" s="174">
        <v>8</v>
      </c>
      <c r="P1343" s="174">
        <v>8</v>
      </c>
      <c r="Q1343" s="174">
        <v>2</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90000006</v>
      </c>
      <c r="AU1343" s="174" t="s">
        <v>198</v>
      </c>
      <c r="AV1343" s="174"/>
      <c r="AW1343" s="175" t="s">
        <v>198</v>
      </c>
      <c r="AX1343" s="174">
        <v>0</v>
      </c>
      <c r="AY1343" s="178">
        <v>0</v>
      </c>
      <c r="AZ1343" s="178">
        <v>0</v>
      </c>
      <c r="BA1343" s="175" t="s">
        <v>198</v>
      </c>
      <c r="BB1343" s="174" t="s">
        <v>2846</v>
      </c>
      <c r="BC1343" s="176"/>
      <c r="BD1343" s="176"/>
      <c r="BE1343" s="208" t="s">
        <v>2847</v>
      </c>
      <c r="BF1343" s="208" t="s">
        <v>2848</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spans="3:75" ht="20.100000000000001" customHeight="1">
      <c r="C1344" s="174">
        <v>63202004</v>
      </c>
      <c r="D1344" s="212" t="s">
        <v>2849</v>
      </c>
      <c r="E1344" s="212" t="s">
        <v>2850</v>
      </c>
      <c r="F1344" s="204">
        <v>1</v>
      </c>
      <c r="G1344" s="204">
        <v>63001004</v>
      </c>
      <c r="H1344" s="204">
        <v>0</v>
      </c>
      <c r="I1344" s="204">
        <v>0</v>
      </c>
      <c r="J1344" s="204">
        <v>1</v>
      </c>
      <c r="K1344" s="204">
        <v>0</v>
      </c>
      <c r="L1344" s="204">
        <v>0</v>
      </c>
      <c r="M1344" s="204">
        <v>0</v>
      </c>
      <c r="N1344" s="204">
        <v>0</v>
      </c>
      <c r="O1344" s="204">
        <v>2</v>
      </c>
      <c r="P1344" s="204">
        <v>1</v>
      </c>
      <c r="Q1344" s="204">
        <v>0.2</v>
      </c>
      <c r="R1344" s="204">
        <v>0</v>
      </c>
      <c r="S1344" s="204">
        <v>0</v>
      </c>
      <c r="T1344" s="204">
        <v>0</v>
      </c>
      <c r="U1344" s="204">
        <v>1</v>
      </c>
      <c r="V1344" s="204">
        <v>2</v>
      </c>
      <c r="W1344" s="204">
        <v>0</v>
      </c>
      <c r="X1344" s="204">
        <v>0</v>
      </c>
      <c r="Y1344" s="13">
        <v>0</v>
      </c>
      <c r="Z1344" s="204">
        <v>0</v>
      </c>
      <c r="AA1344" s="204">
        <v>0</v>
      </c>
      <c r="AB1344" s="204">
        <v>0</v>
      </c>
      <c r="AC1344" s="204">
        <v>0</v>
      </c>
      <c r="AD1344" s="174">
        <v>1</v>
      </c>
      <c r="AE1344" s="204">
        <v>0</v>
      </c>
      <c r="AF1344" s="204">
        <v>6</v>
      </c>
      <c r="AG1344" s="204">
        <v>0</v>
      </c>
      <c r="AH1344" s="204">
        <v>0</v>
      </c>
      <c r="AI1344" s="204">
        <v>7</v>
      </c>
      <c r="AJ1344" s="204">
        <v>0</v>
      </c>
      <c r="AK1344" s="204">
        <v>0</v>
      </c>
      <c r="AL1344" s="204">
        <v>3</v>
      </c>
      <c r="AM1344" s="204">
        <v>0</v>
      </c>
      <c r="AN1344" s="204">
        <v>0</v>
      </c>
      <c r="AO1344" s="204">
        <v>0</v>
      </c>
      <c r="AP1344" s="204">
        <v>0</v>
      </c>
      <c r="AQ1344" s="204">
        <v>3000</v>
      </c>
      <c r="AR1344" s="204">
        <v>0.5</v>
      </c>
      <c r="AS1344" s="204">
        <v>0</v>
      </c>
      <c r="AT1344" s="204">
        <v>0</v>
      </c>
      <c r="AU1344" s="204">
        <v>90000009</v>
      </c>
      <c r="AV1344" s="204"/>
      <c r="AW1344" s="212" t="s">
        <v>198</v>
      </c>
      <c r="AX1344" s="204">
        <v>0</v>
      </c>
      <c r="AY1344" s="204">
        <v>0</v>
      </c>
      <c r="AZ1344" s="204">
        <v>0</v>
      </c>
      <c r="BA1344" s="212" t="s">
        <v>200</v>
      </c>
      <c r="BB1344" s="212">
        <v>0</v>
      </c>
      <c r="BC1344" s="204">
        <v>0</v>
      </c>
      <c r="BD1344" s="204">
        <v>0</v>
      </c>
      <c r="BE1344" s="205" t="s">
        <v>2851</v>
      </c>
      <c r="BF1344" s="205" t="s">
        <v>2852</v>
      </c>
      <c r="BG1344" s="204">
        <v>0</v>
      </c>
      <c r="BH1344" s="204">
        <v>0</v>
      </c>
      <c r="BI1344" s="204">
        <v>0</v>
      </c>
      <c r="BJ1344" s="204">
        <v>0</v>
      </c>
      <c r="BK1344" s="204">
        <v>0</v>
      </c>
      <c r="BL1344" s="204">
        <v>0</v>
      </c>
      <c r="BM1344" s="217">
        <v>0</v>
      </c>
      <c r="BN1344" s="204">
        <v>0</v>
      </c>
      <c r="BO1344" s="177">
        <v>0</v>
      </c>
      <c r="BP1344" s="177">
        <v>0</v>
      </c>
      <c r="BQ1344" s="177">
        <v>0</v>
      </c>
      <c r="BR1344" s="177">
        <v>0</v>
      </c>
      <c r="BS1344" s="177">
        <v>0</v>
      </c>
      <c r="BT1344" s="13">
        <v>0</v>
      </c>
      <c r="BU1344" s="49">
        <v>0</v>
      </c>
      <c r="BV1344" s="49"/>
      <c r="BW1344" s="49"/>
    </row>
    <row r="1345" spans="1:75" ht="20.100000000000001" customHeight="1">
      <c r="C1345" s="174">
        <v>63202005</v>
      </c>
      <c r="D1345" s="212" t="s">
        <v>2849</v>
      </c>
      <c r="E1345" s="212" t="s">
        <v>2850</v>
      </c>
      <c r="F1345" s="204">
        <v>1</v>
      </c>
      <c r="G1345" s="204">
        <v>63001004</v>
      </c>
      <c r="H1345" s="204">
        <v>0</v>
      </c>
      <c r="I1345" s="204">
        <v>0</v>
      </c>
      <c r="J1345" s="204">
        <v>1</v>
      </c>
      <c r="K1345" s="204">
        <v>0</v>
      </c>
      <c r="L1345" s="204">
        <v>0</v>
      </c>
      <c r="M1345" s="204">
        <v>0</v>
      </c>
      <c r="N1345" s="204">
        <v>0</v>
      </c>
      <c r="O1345" s="204">
        <v>2</v>
      </c>
      <c r="P1345" s="204">
        <v>1</v>
      </c>
      <c r="Q1345" s="204">
        <v>0.3</v>
      </c>
      <c r="R1345" s="204">
        <v>0</v>
      </c>
      <c r="S1345" s="204">
        <v>0</v>
      </c>
      <c r="T1345" s="204">
        <v>0</v>
      </c>
      <c r="U1345" s="204">
        <v>1</v>
      </c>
      <c r="V1345" s="204">
        <v>2</v>
      </c>
      <c r="W1345" s="204">
        <v>0</v>
      </c>
      <c r="X1345" s="204">
        <v>0</v>
      </c>
      <c r="Y1345" s="13">
        <v>0</v>
      </c>
      <c r="Z1345" s="204">
        <v>0</v>
      </c>
      <c r="AA1345" s="204">
        <v>0</v>
      </c>
      <c r="AB1345" s="204">
        <v>0</v>
      </c>
      <c r="AC1345" s="204">
        <v>0</v>
      </c>
      <c r="AD1345" s="174">
        <v>1</v>
      </c>
      <c r="AE1345" s="204">
        <v>0</v>
      </c>
      <c r="AF1345" s="204">
        <v>3</v>
      </c>
      <c r="AG1345" s="204">
        <v>0</v>
      </c>
      <c r="AH1345" s="204">
        <v>0</v>
      </c>
      <c r="AI1345" s="204">
        <v>7</v>
      </c>
      <c r="AJ1345" s="204">
        <v>0</v>
      </c>
      <c r="AK1345" s="204">
        <v>0</v>
      </c>
      <c r="AL1345" s="204">
        <v>3</v>
      </c>
      <c r="AM1345" s="204">
        <v>0</v>
      </c>
      <c r="AN1345" s="204">
        <v>0</v>
      </c>
      <c r="AO1345" s="204">
        <v>0</v>
      </c>
      <c r="AP1345" s="204">
        <v>0</v>
      </c>
      <c r="AQ1345" s="204">
        <v>3000</v>
      </c>
      <c r="AR1345" s="204">
        <v>0.5</v>
      </c>
      <c r="AS1345" s="204">
        <v>0</v>
      </c>
      <c r="AT1345" s="381" t="s">
        <v>2853</v>
      </c>
      <c r="AU1345" s="204">
        <v>90000015</v>
      </c>
      <c r="AV1345" s="204"/>
      <c r="AW1345" s="212" t="s">
        <v>198</v>
      </c>
      <c r="AX1345" s="204">
        <v>0</v>
      </c>
      <c r="AY1345" s="204">
        <v>0</v>
      </c>
      <c r="AZ1345" s="204">
        <v>0</v>
      </c>
      <c r="BA1345" s="212" t="s">
        <v>200</v>
      </c>
      <c r="BB1345" s="212">
        <v>0</v>
      </c>
      <c r="BC1345" s="204">
        <v>0</v>
      </c>
      <c r="BD1345" s="204">
        <v>1</v>
      </c>
      <c r="BE1345" s="214" t="s">
        <v>2854</v>
      </c>
      <c r="BF1345" s="214" t="s">
        <v>2855</v>
      </c>
      <c r="BG1345" s="204">
        <v>0</v>
      </c>
      <c r="BH1345" s="204">
        <v>0</v>
      </c>
      <c r="BI1345" s="204">
        <v>0</v>
      </c>
      <c r="BJ1345" s="204">
        <v>0</v>
      </c>
      <c r="BK1345" s="204">
        <v>0</v>
      </c>
      <c r="BL1345" s="204">
        <v>0</v>
      </c>
      <c r="BM1345" s="217">
        <v>0</v>
      </c>
      <c r="BN1345" s="204">
        <v>0</v>
      </c>
      <c r="BO1345" s="177">
        <v>0</v>
      </c>
      <c r="BP1345" s="177">
        <v>0</v>
      </c>
      <c r="BQ1345" s="177">
        <v>0</v>
      </c>
      <c r="BR1345" s="177">
        <v>0</v>
      </c>
      <c r="BS1345" s="177">
        <v>0</v>
      </c>
      <c r="BT1345" s="13">
        <v>0</v>
      </c>
      <c r="BU1345" s="49">
        <v>0</v>
      </c>
      <c r="BV1345" s="49"/>
      <c r="BW1345" s="49"/>
    </row>
    <row r="1346" spans="1:75" ht="20.100000000000001" customHeight="1">
      <c r="C1346" s="174">
        <v>63203001</v>
      </c>
      <c r="D1346" s="175" t="s">
        <v>2856</v>
      </c>
      <c r="E1346" s="175" t="s">
        <v>2857</v>
      </c>
      <c r="F1346" s="174">
        <v>1</v>
      </c>
      <c r="G1346" s="174">
        <v>63003001</v>
      </c>
      <c r="H1346" s="174">
        <v>0</v>
      </c>
      <c r="I1346" s="176">
        <v>0</v>
      </c>
      <c r="J1346" s="178">
        <v>1</v>
      </c>
      <c r="K1346" s="178">
        <v>0</v>
      </c>
      <c r="L1346" s="174">
        <v>0</v>
      </c>
      <c r="M1346" s="174">
        <v>0</v>
      </c>
      <c r="N1346" s="174">
        <v>0</v>
      </c>
      <c r="O1346" s="174">
        <v>2</v>
      </c>
      <c r="P1346" s="174">
        <v>12</v>
      </c>
      <c r="Q1346" s="174">
        <v>1</v>
      </c>
      <c r="R1346" s="174">
        <v>0</v>
      </c>
      <c r="S1346" s="177">
        <v>0</v>
      </c>
      <c r="T1346" s="174">
        <v>0</v>
      </c>
      <c r="U1346" s="174">
        <v>1</v>
      </c>
      <c r="V1346" s="174">
        <v>2</v>
      </c>
      <c r="W1346" s="174">
        <v>0</v>
      </c>
      <c r="X1346" s="178">
        <v>0</v>
      </c>
      <c r="Y1346" s="13">
        <v>0</v>
      </c>
      <c r="Z1346" s="178">
        <v>0</v>
      </c>
      <c r="AA1346" s="174">
        <v>0</v>
      </c>
      <c r="AB1346" s="174">
        <v>0</v>
      </c>
      <c r="AC1346" s="174">
        <v>0</v>
      </c>
      <c r="AD1346" s="174">
        <v>1</v>
      </c>
      <c r="AE1346" s="174">
        <v>0</v>
      </c>
      <c r="AF1346" s="174">
        <v>60</v>
      </c>
      <c r="AG1346" s="174">
        <v>1</v>
      </c>
      <c r="AH1346" s="174">
        <v>10</v>
      </c>
      <c r="AI1346" s="177">
        <v>0</v>
      </c>
      <c r="AJ1346" s="177">
        <v>0</v>
      </c>
      <c r="AK1346" s="177">
        <v>0</v>
      </c>
      <c r="AL1346" s="177">
        <v>0</v>
      </c>
      <c r="AM1346" s="174">
        <v>0</v>
      </c>
      <c r="AN1346" s="174">
        <v>0</v>
      </c>
      <c r="AO1346" s="174">
        <v>0</v>
      </c>
      <c r="AP1346" s="174">
        <v>0</v>
      </c>
      <c r="AQ1346" s="174">
        <v>50000</v>
      </c>
      <c r="AR1346" s="174">
        <v>0</v>
      </c>
      <c r="AS1346" s="174">
        <v>0</v>
      </c>
      <c r="AT1346" s="177">
        <v>90503005</v>
      </c>
      <c r="AU1346" s="174">
        <v>90503005</v>
      </c>
      <c r="AV1346" s="174"/>
      <c r="AW1346" s="175" t="s">
        <v>198</v>
      </c>
      <c r="AX1346" s="174">
        <v>0</v>
      </c>
      <c r="AY1346" s="178">
        <v>0</v>
      </c>
      <c r="AZ1346" s="178">
        <v>0</v>
      </c>
      <c r="BA1346" s="175" t="s">
        <v>2680</v>
      </c>
      <c r="BB1346" s="174">
        <v>0</v>
      </c>
      <c r="BC1346" s="176">
        <v>0</v>
      </c>
      <c r="BD1346" s="176">
        <v>0</v>
      </c>
      <c r="BE1346" s="208" t="s">
        <v>2858</v>
      </c>
      <c r="BF1346" s="208" t="s">
        <v>2859</v>
      </c>
      <c r="BG1346" s="174">
        <v>0</v>
      </c>
      <c r="BH1346" s="174">
        <v>0</v>
      </c>
      <c r="BI1346" s="174">
        <v>0</v>
      </c>
      <c r="BJ1346" s="174">
        <v>0</v>
      </c>
      <c r="BK1346" s="174">
        <v>0</v>
      </c>
      <c r="BL1346" s="174">
        <v>0</v>
      </c>
      <c r="BM1346" s="180">
        <v>0</v>
      </c>
      <c r="BN1346" s="177">
        <v>1</v>
      </c>
      <c r="BO1346" s="177">
        <v>0</v>
      </c>
      <c r="BP1346" s="177">
        <v>0</v>
      </c>
      <c r="BQ1346" s="177">
        <v>0</v>
      </c>
      <c r="BR1346" s="177">
        <v>0</v>
      </c>
      <c r="BS1346" s="177">
        <v>0</v>
      </c>
      <c r="BT1346" s="13">
        <v>0</v>
      </c>
      <c r="BU1346" s="49">
        <v>0</v>
      </c>
      <c r="BV1346" s="49"/>
      <c r="BW1346" s="49"/>
    </row>
    <row r="1347" spans="1:75" ht="20.100000000000001" customHeight="1">
      <c r="C1347" s="174">
        <v>63203002</v>
      </c>
      <c r="D1347" s="175" t="s">
        <v>2721</v>
      </c>
      <c r="E1347" s="175" t="s">
        <v>2722</v>
      </c>
      <c r="F1347" s="174">
        <v>1</v>
      </c>
      <c r="G1347" s="174">
        <v>63003002</v>
      </c>
      <c r="H1347" s="174">
        <v>0</v>
      </c>
      <c r="I1347" s="176">
        <v>0</v>
      </c>
      <c r="J1347" s="178">
        <v>1</v>
      </c>
      <c r="K1347" s="178">
        <v>0</v>
      </c>
      <c r="L1347" s="174">
        <v>0</v>
      </c>
      <c r="M1347" s="174">
        <v>0</v>
      </c>
      <c r="N1347" s="174">
        <v>0</v>
      </c>
      <c r="O1347" s="174">
        <v>2</v>
      </c>
      <c r="P1347" s="174">
        <v>0</v>
      </c>
      <c r="Q1347" s="174">
        <v>0</v>
      </c>
      <c r="R1347" s="174">
        <v>0</v>
      </c>
      <c r="S1347" s="177">
        <v>0</v>
      </c>
      <c r="T1347" s="174">
        <v>0</v>
      </c>
      <c r="U1347" s="174">
        <v>1</v>
      </c>
      <c r="V1347" s="174">
        <v>0</v>
      </c>
      <c r="W1347" s="174">
        <v>0</v>
      </c>
      <c r="X1347" s="178">
        <v>0</v>
      </c>
      <c r="Y1347" s="13">
        <v>0</v>
      </c>
      <c r="Z1347" s="178">
        <v>0</v>
      </c>
      <c r="AA1347" s="174">
        <v>0</v>
      </c>
      <c r="AB1347" s="174">
        <v>0</v>
      </c>
      <c r="AC1347" s="174">
        <v>0</v>
      </c>
      <c r="AD1347" s="174">
        <v>1</v>
      </c>
      <c r="AE1347" s="174">
        <v>0</v>
      </c>
      <c r="AF1347" s="174">
        <v>0</v>
      </c>
      <c r="AG1347" s="174">
        <v>0</v>
      </c>
      <c r="AH1347" s="174" t="s">
        <v>198</v>
      </c>
      <c r="AI1347" s="177">
        <v>0</v>
      </c>
      <c r="AJ1347" s="177">
        <v>0</v>
      </c>
      <c r="AK1347" s="177">
        <v>0</v>
      </c>
      <c r="AL1347" s="177">
        <v>0</v>
      </c>
      <c r="AM1347" s="174">
        <v>0</v>
      </c>
      <c r="AN1347" s="174">
        <v>0</v>
      </c>
      <c r="AO1347" s="174">
        <v>0</v>
      </c>
      <c r="AP1347" s="174">
        <v>0</v>
      </c>
      <c r="AQ1347" s="174">
        <v>0</v>
      </c>
      <c r="AR1347" s="174">
        <v>0</v>
      </c>
      <c r="AS1347" s="174">
        <v>0</v>
      </c>
      <c r="AT1347" s="177">
        <v>0</v>
      </c>
      <c r="AU1347" s="174" t="s">
        <v>198</v>
      </c>
      <c r="AV1347" s="174"/>
      <c r="AW1347" s="175" t="s">
        <v>198</v>
      </c>
      <c r="AX1347" s="174">
        <v>0</v>
      </c>
      <c r="AY1347" s="178">
        <v>0</v>
      </c>
      <c r="AZ1347" s="178">
        <v>0</v>
      </c>
      <c r="BA1347" s="175" t="s">
        <v>198</v>
      </c>
      <c r="BB1347" s="174">
        <v>0</v>
      </c>
      <c r="BC1347" s="176"/>
      <c r="BD1347" s="176"/>
      <c r="BE1347" s="208" t="s">
        <v>2723</v>
      </c>
      <c r="BF1347" s="208" t="s">
        <v>2724</v>
      </c>
      <c r="BG1347" s="174">
        <v>0</v>
      </c>
      <c r="BH1347" s="174">
        <v>0</v>
      </c>
      <c r="BI1347" s="174">
        <v>0</v>
      </c>
      <c r="BJ1347" s="174">
        <v>0</v>
      </c>
      <c r="BK1347" s="174">
        <v>0</v>
      </c>
      <c r="BL1347" s="174">
        <v>0</v>
      </c>
      <c r="BM1347" s="180">
        <v>0</v>
      </c>
      <c r="BN1347" s="177">
        <v>0</v>
      </c>
      <c r="BO1347" s="177">
        <v>0</v>
      </c>
      <c r="BP1347" s="177">
        <v>0</v>
      </c>
      <c r="BQ1347" s="177">
        <v>0</v>
      </c>
      <c r="BR1347" s="177">
        <v>0</v>
      </c>
      <c r="BS1347" s="177">
        <v>0</v>
      </c>
      <c r="BT1347" s="13">
        <v>0</v>
      </c>
      <c r="BU1347" s="49">
        <v>0</v>
      </c>
      <c r="BV1347" s="49"/>
      <c r="BW1347" s="49"/>
    </row>
    <row r="1348" spans="1:75" ht="20.100000000000001" customHeight="1">
      <c r="C1348" s="174">
        <v>63203003</v>
      </c>
      <c r="D1348" s="175" t="s">
        <v>2829</v>
      </c>
      <c r="E1348" s="175" t="s">
        <v>2830</v>
      </c>
      <c r="F1348" s="174">
        <v>1</v>
      </c>
      <c r="G1348" s="174">
        <v>1000005</v>
      </c>
      <c r="H1348" s="174">
        <v>0</v>
      </c>
      <c r="I1348" s="176">
        <v>0</v>
      </c>
      <c r="J1348" s="178">
        <v>1</v>
      </c>
      <c r="K1348" s="178">
        <v>0</v>
      </c>
      <c r="L1348" s="174">
        <v>0</v>
      </c>
      <c r="M1348" s="174">
        <v>0</v>
      </c>
      <c r="N1348" s="174">
        <v>0</v>
      </c>
      <c r="O1348" s="174">
        <v>8</v>
      </c>
      <c r="P1348" s="174">
        <v>8</v>
      </c>
      <c r="Q1348" s="174">
        <v>2</v>
      </c>
      <c r="R1348" s="174">
        <v>0</v>
      </c>
      <c r="S1348" s="177">
        <v>0</v>
      </c>
      <c r="T1348" s="174">
        <v>0</v>
      </c>
      <c r="U1348" s="174">
        <v>1</v>
      </c>
      <c r="V1348" s="174">
        <v>0</v>
      </c>
      <c r="W1348" s="174">
        <v>0</v>
      </c>
      <c r="X1348" s="178">
        <v>0</v>
      </c>
      <c r="Y1348" s="13">
        <v>0</v>
      </c>
      <c r="Z1348" s="178">
        <v>0</v>
      </c>
      <c r="AA1348" s="174">
        <v>0</v>
      </c>
      <c r="AB1348" s="174">
        <v>0</v>
      </c>
      <c r="AC1348" s="174">
        <v>0</v>
      </c>
      <c r="AD1348" s="174">
        <v>1</v>
      </c>
      <c r="AE1348" s="174">
        <v>0</v>
      </c>
      <c r="AF1348" s="174">
        <v>0</v>
      </c>
      <c r="AG1348" s="174">
        <v>0</v>
      </c>
      <c r="AH1348" s="174" t="s">
        <v>198</v>
      </c>
      <c r="AI1348" s="177">
        <v>0</v>
      </c>
      <c r="AJ1348" s="177">
        <v>0</v>
      </c>
      <c r="AK1348" s="177">
        <v>0</v>
      </c>
      <c r="AL1348" s="177">
        <v>0</v>
      </c>
      <c r="AM1348" s="174">
        <v>0</v>
      </c>
      <c r="AN1348" s="174">
        <v>0</v>
      </c>
      <c r="AO1348" s="174">
        <v>0</v>
      </c>
      <c r="AP1348" s="174">
        <v>0</v>
      </c>
      <c r="AQ1348" s="174">
        <v>0</v>
      </c>
      <c r="AR1348" s="174">
        <v>0</v>
      </c>
      <c r="AS1348" s="174">
        <v>0</v>
      </c>
      <c r="AT1348" s="177">
        <v>90000006</v>
      </c>
      <c r="AU1348" s="174" t="s">
        <v>198</v>
      </c>
      <c r="AV1348" s="174"/>
      <c r="AW1348" s="175" t="s">
        <v>198</v>
      </c>
      <c r="AX1348" s="174">
        <v>0</v>
      </c>
      <c r="AY1348" s="178">
        <v>0</v>
      </c>
      <c r="AZ1348" s="178">
        <v>0</v>
      </c>
      <c r="BA1348" s="175" t="s">
        <v>198</v>
      </c>
      <c r="BB1348" s="174" t="s">
        <v>2831</v>
      </c>
      <c r="BC1348" s="176"/>
      <c r="BD1348" s="176"/>
      <c r="BE1348" s="208" t="s">
        <v>2832</v>
      </c>
      <c r="BF1348" s="208" t="s">
        <v>2833</v>
      </c>
      <c r="BG1348" s="174">
        <v>0</v>
      </c>
      <c r="BH1348" s="174">
        <v>0</v>
      </c>
      <c r="BI1348" s="174">
        <v>0</v>
      </c>
      <c r="BJ1348" s="174">
        <v>0</v>
      </c>
      <c r="BK1348" s="174">
        <v>0</v>
      </c>
      <c r="BL1348" s="174">
        <v>0</v>
      </c>
      <c r="BM1348" s="180">
        <v>0</v>
      </c>
      <c r="BN1348" s="177">
        <v>0</v>
      </c>
      <c r="BO1348" s="177">
        <v>0</v>
      </c>
      <c r="BP1348" s="177">
        <v>0</v>
      </c>
      <c r="BQ1348" s="177">
        <v>0</v>
      </c>
      <c r="BR1348" s="177">
        <v>0</v>
      </c>
      <c r="BS1348" s="177">
        <v>0</v>
      </c>
      <c r="BT1348" s="13">
        <v>0</v>
      </c>
      <c r="BU1348" s="49">
        <v>0</v>
      </c>
      <c r="BV1348" s="49"/>
      <c r="BW1348" s="49"/>
    </row>
    <row r="1349" spans="1:75" ht="20.100000000000001" customHeight="1">
      <c r="C1349" s="174">
        <v>63203004</v>
      </c>
      <c r="D1349" s="212" t="s">
        <v>2860</v>
      </c>
      <c r="E1349" s="212" t="s">
        <v>2861</v>
      </c>
      <c r="F1349" s="17">
        <v>1</v>
      </c>
      <c r="G1349" s="17">
        <v>63002003</v>
      </c>
      <c r="H1349" s="17">
        <v>0</v>
      </c>
      <c r="I1349" s="28">
        <v>0</v>
      </c>
      <c r="J1349" s="19">
        <v>1</v>
      </c>
      <c r="K1349" s="19">
        <v>0</v>
      </c>
      <c r="L1349" s="17">
        <v>0</v>
      </c>
      <c r="M1349" s="17">
        <v>0</v>
      </c>
      <c r="N1349" s="17">
        <v>0</v>
      </c>
      <c r="O1349" s="17">
        <v>8</v>
      </c>
      <c r="P1349" s="17">
        <v>8</v>
      </c>
      <c r="Q1349" s="17">
        <v>1</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90000006</v>
      </c>
      <c r="AU1349" s="17" t="s">
        <v>198</v>
      </c>
      <c r="AV1349" s="17"/>
      <c r="AW1349" s="18" t="s">
        <v>198</v>
      </c>
      <c r="AX1349" s="17">
        <v>0</v>
      </c>
      <c r="AY1349" s="19">
        <v>0</v>
      </c>
      <c r="AZ1349" s="19">
        <v>0</v>
      </c>
      <c r="BA1349" s="18" t="s">
        <v>198</v>
      </c>
      <c r="BB1349" s="17" t="s">
        <v>2862</v>
      </c>
      <c r="BC1349" s="28"/>
      <c r="BD1349" s="28"/>
      <c r="BE1349" s="46" t="s">
        <v>2863</v>
      </c>
      <c r="BF1349" s="46" t="s">
        <v>2864</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s="1" customFormat="1" ht="20.100000000000001" customHeight="1">
      <c r="A1350" s="218"/>
      <c r="B1350" s="218"/>
      <c r="C1350" s="66">
        <v>63301001</v>
      </c>
      <c r="D1350" s="61" t="s">
        <v>2865</v>
      </c>
      <c r="E1350" s="149" t="s">
        <v>2866</v>
      </c>
      <c r="F1350" s="95">
        <v>1</v>
      </c>
      <c r="G1350" s="66">
        <v>63301001</v>
      </c>
      <c r="H1350" s="66">
        <v>0</v>
      </c>
      <c r="I1350" s="68">
        <v>0</v>
      </c>
      <c r="J1350" s="66">
        <v>1</v>
      </c>
      <c r="K1350" s="62">
        <v>0</v>
      </c>
      <c r="L1350" s="66">
        <v>0</v>
      </c>
      <c r="M1350" s="62">
        <v>0</v>
      </c>
      <c r="N1350" s="62">
        <v>0</v>
      </c>
      <c r="O1350" s="62">
        <v>2</v>
      </c>
      <c r="P1350" s="62">
        <v>7</v>
      </c>
      <c r="Q1350" s="62">
        <v>0.15</v>
      </c>
      <c r="R1350" s="62">
        <v>0</v>
      </c>
      <c r="S1350" s="70">
        <v>0</v>
      </c>
      <c r="T1350" s="62">
        <v>0</v>
      </c>
      <c r="U1350" s="62">
        <v>1</v>
      </c>
      <c r="V1350" s="62">
        <v>1</v>
      </c>
      <c r="W1350" s="62">
        <v>0</v>
      </c>
      <c r="X1350" s="62">
        <v>0</v>
      </c>
      <c r="Y1350" s="13">
        <v>0</v>
      </c>
      <c r="Z1350" s="62">
        <v>0</v>
      </c>
      <c r="AA1350" s="62">
        <v>0</v>
      </c>
      <c r="AB1350" s="62">
        <v>0</v>
      </c>
      <c r="AC1350" s="62">
        <v>0</v>
      </c>
      <c r="AD1350" s="62">
        <v>0</v>
      </c>
      <c r="AE1350" s="62">
        <v>0</v>
      </c>
      <c r="AF1350" s="62">
        <v>0</v>
      </c>
      <c r="AG1350" s="62">
        <v>0</v>
      </c>
      <c r="AH1350" s="62">
        <v>0</v>
      </c>
      <c r="AI1350" s="70">
        <v>0</v>
      </c>
      <c r="AJ1350" s="70">
        <v>0</v>
      </c>
      <c r="AK1350" s="70">
        <v>0</v>
      </c>
      <c r="AL1350" s="70">
        <v>1.5</v>
      </c>
      <c r="AM1350" s="62">
        <v>0</v>
      </c>
      <c r="AN1350" s="62">
        <v>0</v>
      </c>
      <c r="AO1350" s="62">
        <v>0</v>
      </c>
      <c r="AP1350" s="66">
        <v>0</v>
      </c>
      <c r="AQ1350" s="62">
        <v>3000</v>
      </c>
      <c r="AR1350" s="62">
        <v>0.1</v>
      </c>
      <c r="AS1350" s="62">
        <v>0</v>
      </c>
      <c r="AT1350" s="70">
        <v>0</v>
      </c>
      <c r="AU1350" s="62" t="s">
        <v>198</v>
      </c>
      <c r="AV1350" s="62"/>
      <c r="AW1350" s="61" t="s">
        <v>198</v>
      </c>
      <c r="AX1350" s="62" t="s">
        <v>545</v>
      </c>
      <c r="AY1350" s="66">
        <v>0</v>
      </c>
      <c r="AZ1350" s="66">
        <v>0</v>
      </c>
      <c r="BA1350" s="61" t="s">
        <v>2363</v>
      </c>
      <c r="BB1350" s="369" t="s">
        <v>2867</v>
      </c>
      <c r="BC1350" s="68">
        <v>0</v>
      </c>
      <c r="BD1350" s="68">
        <v>0</v>
      </c>
      <c r="BE1350" s="92" t="s">
        <v>2868</v>
      </c>
      <c r="BF1350" s="92" t="s">
        <v>2869</v>
      </c>
      <c r="BG1350" s="62">
        <v>0</v>
      </c>
      <c r="BH1350" s="62">
        <v>0</v>
      </c>
      <c r="BI1350" s="62">
        <v>0</v>
      </c>
      <c r="BJ1350" s="62">
        <v>0</v>
      </c>
      <c r="BK1350" s="62">
        <v>0</v>
      </c>
      <c r="BL1350" s="62">
        <v>0</v>
      </c>
      <c r="BM1350" s="95">
        <v>0</v>
      </c>
      <c r="BN1350" s="70">
        <v>0</v>
      </c>
      <c r="BO1350" s="70">
        <v>0</v>
      </c>
      <c r="BP1350" s="70">
        <v>0</v>
      </c>
      <c r="BQ1350" s="70">
        <v>0</v>
      </c>
      <c r="BR1350" s="70">
        <v>0</v>
      </c>
      <c r="BS1350" s="70">
        <v>0</v>
      </c>
      <c r="BT1350" s="70">
        <v>0</v>
      </c>
      <c r="BU1350" s="70">
        <v>0</v>
      </c>
      <c r="BV1350" s="49"/>
      <c r="BW1350" s="49"/>
    </row>
    <row r="1351" spans="1:75" s="1" customFormat="1" ht="20.100000000000001" customHeight="1">
      <c r="C1351" s="66">
        <v>63301002</v>
      </c>
      <c r="D1351" s="61" t="s">
        <v>760</v>
      </c>
      <c r="E1351" s="149" t="s">
        <v>761</v>
      </c>
      <c r="F1351" s="95">
        <v>1</v>
      </c>
      <c r="G1351" s="95">
        <v>0</v>
      </c>
      <c r="H1351" s="62">
        <v>0</v>
      </c>
      <c r="I1351" s="68">
        <v>0</v>
      </c>
      <c r="J1351" s="66">
        <v>1</v>
      </c>
      <c r="K1351" s="66">
        <v>0</v>
      </c>
      <c r="L1351" s="66">
        <v>0</v>
      </c>
      <c r="M1351" s="62">
        <v>0</v>
      </c>
      <c r="N1351" s="62">
        <v>0</v>
      </c>
      <c r="O1351" s="62">
        <v>2</v>
      </c>
      <c r="P1351" s="62">
        <v>1</v>
      </c>
      <c r="Q1351" s="62">
        <v>0.2</v>
      </c>
      <c r="R1351" s="62">
        <v>0</v>
      </c>
      <c r="S1351" s="70">
        <v>0</v>
      </c>
      <c r="T1351" s="62">
        <v>0</v>
      </c>
      <c r="U1351" s="62">
        <v>1</v>
      </c>
      <c r="V1351" s="95">
        <v>1</v>
      </c>
      <c r="W1351" s="62">
        <v>0</v>
      </c>
      <c r="X1351" s="62">
        <v>2.5</v>
      </c>
      <c r="Y1351" s="13">
        <v>0</v>
      </c>
      <c r="Z1351" s="62">
        <v>150</v>
      </c>
      <c r="AA1351" s="62">
        <v>1</v>
      </c>
      <c r="AB1351" s="62">
        <v>0</v>
      </c>
      <c r="AC1351" s="62">
        <v>0</v>
      </c>
      <c r="AD1351" s="62">
        <v>0</v>
      </c>
      <c r="AE1351" s="62">
        <v>1</v>
      </c>
      <c r="AF1351" s="62">
        <v>10</v>
      </c>
      <c r="AG1351" s="62">
        <v>2</v>
      </c>
      <c r="AH1351" s="62" t="s">
        <v>213</v>
      </c>
      <c r="AI1351" s="70">
        <v>0</v>
      </c>
      <c r="AJ1351" s="70">
        <v>2</v>
      </c>
      <c r="AK1351" s="70">
        <v>0</v>
      </c>
      <c r="AL1351" s="70">
        <v>1.5</v>
      </c>
      <c r="AM1351" s="62">
        <v>0</v>
      </c>
      <c r="AN1351" s="62">
        <v>0</v>
      </c>
      <c r="AO1351" s="62">
        <v>0</v>
      </c>
      <c r="AP1351" s="66">
        <v>0</v>
      </c>
      <c r="AQ1351" s="62">
        <v>1600</v>
      </c>
      <c r="AR1351" s="62">
        <v>1</v>
      </c>
      <c r="AS1351" s="62">
        <v>15</v>
      </c>
      <c r="AT1351" s="70">
        <v>0</v>
      </c>
      <c r="AU1351" s="348" t="s">
        <v>2242</v>
      </c>
      <c r="AV1351" s="81"/>
      <c r="AW1351" s="61" t="s">
        <v>199</v>
      </c>
      <c r="AX1351" s="62" t="s">
        <v>215</v>
      </c>
      <c r="AY1351" s="66">
        <v>10000011</v>
      </c>
      <c r="AZ1351" s="66">
        <v>77005105</v>
      </c>
      <c r="BA1351" s="61" t="s">
        <v>216</v>
      </c>
      <c r="BB1351" s="62">
        <v>0</v>
      </c>
      <c r="BC1351" s="68">
        <v>0</v>
      </c>
      <c r="BD1351" s="68">
        <v>0</v>
      </c>
      <c r="BE1351" s="92" t="s">
        <v>2870</v>
      </c>
      <c r="BF1351" s="92" t="s">
        <v>2871</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spans="1:75" ht="20.100000000000001" customHeight="1">
      <c r="C1352" s="66">
        <v>63301003</v>
      </c>
      <c r="D1352" s="18" t="s">
        <v>2742</v>
      </c>
      <c r="E1352" s="18" t="s">
        <v>2743</v>
      </c>
      <c r="F1352" s="17">
        <v>1</v>
      </c>
      <c r="G1352" s="17">
        <v>1000003</v>
      </c>
      <c r="H1352" s="17">
        <v>0</v>
      </c>
      <c r="I1352" s="28">
        <v>0</v>
      </c>
      <c r="J1352" s="19">
        <v>1</v>
      </c>
      <c r="K1352" s="19">
        <v>0</v>
      </c>
      <c r="L1352" s="17">
        <v>0</v>
      </c>
      <c r="M1352" s="17">
        <v>0</v>
      </c>
      <c r="N1352" s="17">
        <v>0</v>
      </c>
      <c r="O1352" s="17">
        <v>8</v>
      </c>
      <c r="P1352" s="17">
        <v>8</v>
      </c>
      <c r="Q1352" s="17">
        <v>3</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2744</v>
      </c>
      <c r="BC1352" s="28"/>
      <c r="BD1352" s="28">
        <v>0</v>
      </c>
      <c r="BE1352" s="46" t="s">
        <v>2745</v>
      </c>
      <c r="BF1352" s="46" t="s">
        <v>2746</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spans="1:75" ht="20.100000000000001" customHeight="1">
      <c r="C1353" s="66">
        <v>63301004</v>
      </c>
      <c r="D1353" s="175" t="s">
        <v>2688</v>
      </c>
      <c r="E1353" s="175" t="s">
        <v>2689</v>
      </c>
      <c r="F1353" s="174">
        <v>1</v>
      </c>
      <c r="G1353" s="174">
        <v>63002002</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2690</v>
      </c>
      <c r="BF1353" s="208" t="s">
        <v>2691</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66">
        <v>63301005</v>
      </c>
      <c r="D1354" s="175" t="s">
        <v>2872</v>
      </c>
      <c r="E1354" s="175" t="s">
        <v>2873</v>
      </c>
      <c r="F1354" s="174">
        <v>1</v>
      </c>
      <c r="G1354" s="174">
        <v>63301005</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90503007</v>
      </c>
      <c r="AU1354" s="177">
        <v>90503007</v>
      </c>
      <c r="AV1354" s="174"/>
      <c r="AW1354" s="175" t="s">
        <v>198</v>
      </c>
      <c r="AX1354" s="174">
        <v>0</v>
      </c>
      <c r="AY1354" s="178">
        <v>0</v>
      </c>
      <c r="AZ1354" s="178">
        <v>0</v>
      </c>
      <c r="BA1354" s="175" t="s">
        <v>2680</v>
      </c>
      <c r="BB1354" s="174">
        <v>0</v>
      </c>
      <c r="BC1354" s="176">
        <v>0</v>
      </c>
      <c r="BD1354" s="176">
        <v>0</v>
      </c>
      <c r="BE1354" s="264" t="s">
        <v>2874</v>
      </c>
      <c r="BF1354" s="265" t="s">
        <v>2875</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pans="1:75" s="1" customFormat="1" ht="19.5" customHeight="1">
      <c r="A1355" s="218"/>
      <c r="B1355" s="218"/>
      <c r="C1355" s="66">
        <v>63302001</v>
      </c>
      <c r="D1355" s="61" t="s">
        <v>2876</v>
      </c>
      <c r="E1355" s="61" t="s">
        <v>2877</v>
      </c>
      <c r="F1355" s="66">
        <v>1</v>
      </c>
      <c r="G1355" s="66">
        <v>63302001</v>
      </c>
      <c r="H1355" s="66">
        <v>0</v>
      </c>
      <c r="I1355" s="68">
        <v>0</v>
      </c>
      <c r="J1355" s="66">
        <v>1</v>
      </c>
      <c r="K1355" s="66">
        <v>0</v>
      </c>
      <c r="L1355" s="66">
        <v>0</v>
      </c>
      <c r="M1355" s="62">
        <v>0</v>
      </c>
      <c r="N1355" s="62">
        <v>0</v>
      </c>
      <c r="O1355" s="62">
        <v>2</v>
      </c>
      <c r="P1355" s="62">
        <v>16</v>
      </c>
      <c r="Q1355" s="62">
        <v>3</v>
      </c>
      <c r="R1355" s="62">
        <v>0</v>
      </c>
      <c r="S1355" s="70">
        <v>0</v>
      </c>
      <c r="T1355" s="62">
        <v>0</v>
      </c>
      <c r="U1355" s="62">
        <v>1</v>
      </c>
      <c r="V1355" s="62">
        <v>2</v>
      </c>
      <c r="W1355" s="62">
        <v>0</v>
      </c>
      <c r="X1355" s="62">
        <v>0</v>
      </c>
      <c r="Y1355" s="13">
        <v>0</v>
      </c>
      <c r="Z1355" s="62">
        <v>0</v>
      </c>
      <c r="AA1355" s="62">
        <v>1</v>
      </c>
      <c r="AB1355" s="62">
        <v>0</v>
      </c>
      <c r="AC1355" s="62">
        <v>0</v>
      </c>
      <c r="AD1355" s="62">
        <v>0</v>
      </c>
      <c r="AE1355" s="62">
        <v>0</v>
      </c>
      <c r="AF1355" s="62">
        <v>0</v>
      </c>
      <c r="AG1355" s="62">
        <v>1</v>
      </c>
      <c r="AH1355" s="62">
        <v>1</v>
      </c>
      <c r="AI1355" s="70">
        <v>7</v>
      </c>
      <c r="AJ1355" s="70">
        <v>1</v>
      </c>
      <c r="AK1355" s="70">
        <v>0</v>
      </c>
      <c r="AL1355" s="70">
        <v>3</v>
      </c>
      <c r="AM1355" s="62">
        <v>0</v>
      </c>
      <c r="AN1355" s="62">
        <v>0</v>
      </c>
      <c r="AO1355" s="62">
        <v>0</v>
      </c>
      <c r="AP1355" s="66">
        <v>0</v>
      </c>
      <c r="AQ1355" s="62">
        <v>500</v>
      </c>
      <c r="AR1355" s="62">
        <v>0.1</v>
      </c>
      <c r="AS1355" s="62">
        <v>0</v>
      </c>
      <c r="AT1355" s="70">
        <v>0</v>
      </c>
      <c r="AU1355" s="348" t="s">
        <v>2268</v>
      </c>
      <c r="AV1355" s="81"/>
      <c r="AW1355" s="65" t="s">
        <v>198</v>
      </c>
      <c r="AX1355" s="62" t="s">
        <v>534</v>
      </c>
      <c r="AY1355" s="66">
        <v>0</v>
      </c>
      <c r="AZ1355" s="66">
        <v>0</v>
      </c>
      <c r="BA1355" s="61" t="s">
        <v>200</v>
      </c>
      <c r="BB1355" s="62">
        <v>0</v>
      </c>
      <c r="BC1355" s="68">
        <v>0</v>
      </c>
      <c r="BD1355" s="68">
        <v>0</v>
      </c>
      <c r="BE1355" s="92" t="s">
        <v>2878</v>
      </c>
      <c r="BF1355" s="92" t="s">
        <v>2879</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spans="1:75" ht="20.100000000000001" customHeight="1">
      <c r="C1356" s="66">
        <v>63302002</v>
      </c>
      <c r="D1356" s="18" t="s">
        <v>2760</v>
      </c>
      <c r="E1356" s="18" t="s">
        <v>2761</v>
      </c>
      <c r="F1356" s="17">
        <v>1</v>
      </c>
      <c r="G1356" s="17">
        <v>1000004</v>
      </c>
      <c r="H1356" s="17">
        <v>0</v>
      </c>
      <c r="I1356" s="28">
        <v>0</v>
      </c>
      <c r="J1356" s="19">
        <v>1</v>
      </c>
      <c r="K1356" s="19">
        <v>0</v>
      </c>
      <c r="L1356" s="17">
        <v>0</v>
      </c>
      <c r="M1356" s="17">
        <v>0</v>
      </c>
      <c r="N1356" s="17">
        <v>0</v>
      </c>
      <c r="O1356" s="17">
        <v>8</v>
      </c>
      <c r="P1356" s="17">
        <v>8</v>
      </c>
      <c r="Q1356" s="17">
        <v>4</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2762</v>
      </c>
      <c r="BC1356" s="28"/>
      <c r="BD1356" s="28">
        <v>0</v>
      </c>
      <c r="BE1356" s="46" t="s">
        <v>2763</v>
      </c>
      <c r="BF1356" s="46" t="s">
        <v>2764</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spans="1:75" ht="20.100000000000001" customHeight="1">
      <c r="C1357" s="66">
        <v>63302003</v>
      </c>
      <c r="D1357" s="175" t="s">
        <v>2747</v>
      </c>
      <c r="E1357" s="175" t="s">
        <v>2748</v>
      </c>
      <c r="F1357" s="174">
        <v>1</v>
      </c>
      <c r="G1357" s="174">
        <v>63001003</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2749</v>
      </c>
      <c r="BF1357" s="208" t="s">
        <v>2750</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66">
        <v>63302004</v>
      </c>
      <c r="D1358" s="175" t="s">
        <v>2880</v>
      </c>
      <c r="E1358" s="175" t="s">
        <v>2881</v>
      </c>
      <c r="F1358" s="174">
        <v>1</v>
      </c>
      <c r="G1358" s="174">
        <v>63302004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90503008</v>
      </c>
      <c r="AU1358" s="174">
        <v>90503008</v>
      </c>
      <c r="AV1358" s="174"/>
      <c r="AW1358" s="175" t="s">
        <v>198</v>
      </c>
      <c r="AX1358" s="174">
        <v>0</v>
      </c>
      <c r="AY1358" s="178">
        <v>0</v>
      </c>
      <c r="AZ1358" s="178">
        <v>0</v>
      </c>
      <c r="BA1358" s="175" t="s">
        <v>2680</v>
      </c>
      <c r="BB1358" s="174">
        <v>0</v>
      </c>
      <c r="BC1358" s="176">
        <v>0</v>
      </c>
      <c r="BD1358" s="176">
        <v>0</v>
      </c>
      <c r="BE1358" s="208" t="s">
        <v>2882</v>
      </c>
      <c r="BF1358" s="208" t="s">
        <v>2883</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1:75" s="1" customFormat="1" ht="20.100000000000001" customHeight="1">
      <c r="A1359" s="218"/>
      <c r="B1359" s="218"/>
      <c r="C1359" s="66">
        <v>63303001</v>
      </c>
      <c r="D1359" s="61" t="s">
        <v>2884</v>
      </c>
      <c r="E1359" s="149" t="s">
        <v>2885</v>
      </c>
      <c r="F1359" s="95">
        <v>1</v>
      </c>
      <c r="G1359" s="66">
        <v>63303001</v>
      </c>
      <c r="H1359" s="66">
        <v>0</v>
      </c>
      <c r="I1359" s="68">
        <v>0</v>
      </c>
      <c r="J1359" s="66">
        <v>1</v>
      </c>
      <c r="K1359" s="62">
        <v>0</v>
      </c>
      <c r="L1359" s="66">
        <v>0</v>
      </c>
      <c r="M1359" s="62">
        <v>0</v>
      </c>
      <c r="N1359" s="62">
        <v>0</v>
      </c>
      <c r="O1359" s="62">
        <v>2</v>
      </c>
      <c r="P1359" s="62">
        <v>1</v>
      </c>
      <c r="Q1359" s="62">
        <v>0.15</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18</v>
      </c>
      <c r="AG1359" s="62">
        <v>0</v>
      </c>
      <c r="AH1359" s="62">
        <v>0</v>
      </c>
      <c r="AI1359" s="70">
        <v>0</v>
      </c>
      <c r="AJ1359" s="70">
        <v>0</v>
      </c>
      <c r="AK1359" s="70">
        <v>0</v>
      </c>
      <c r="AL1359" s="70">
        <v>1.5</v>
      </c>
      <c r="AM1359" s="62">
        <v>0</v>
      </c>
      <c r="AN1359" s="62">
        <v>0</v>
      </c>
      <c r="AO1359" s="62">
        <v>0</v>
      </c>
      <c r="AP1359" s="66">
        <v>0</v>
      </c>
      <c r="AQ1359" s="62">
        <v>3000</v>
      </c>
      <c r="AR1359" s="62">
        <v>0.15</v>
      </c>
      <c r="AS1359" s="62">
        <v>0</v>
      </c>
      <c r="AT1359" s="70">
        <v>0</v>
      </c>
      <c r="AU1359" s="62" t="s">
        <v>198</v>
      </c>
      <c r="AV1359" s="62"/>
      <c r="AW1359" s="61" t="s">
        <v>198</v>
      </c>
      <c r="AX1359" s="62" t="s">
        <v>545</v>
      </c>
      <c r="AY1359" s="66">
        <v>0</v>
      </c>
      <c r="AZ1359" s="66">
        <v>0</v>
      </c>
      <c r="BA1359" s="61" t="s">
        <v>2363</v>
      </c>
      <c r="BB1359" s="369" t="s">
        <v>2886</v>
      </c>
      <c r="BC1359" s="68">
        <v>0</v>
      </c>
      <c r="BD1359" s="68">
        <v>0</v>
      </c>
      <c r="BE1359" s="92" t="s">
        <v>2887</v>
      </c>
      <c r="BF1359" s="92" t="s">
        <v>2888</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pans="1:75" ht="20.100000000000001" customHeight="1">
      <c r="C1360" s="66">
        <v>63303002</v>
      </c>
      <c r="D1360" s="18" t="s">
        <v>2774</v>
      </c>
      <c r="E1360" s="18" t="s">
        <v>2775</v>
      </c>
      <c r="F1360" s="17">
        <v>1</v>
      </c>
      <c r="G1360" s="17">
        <v>63003003</v>
      </c>
      <c r="H1360" s="17">
        <v>0</v>
      </c>
      <c r="I1360" s="28">
        <v>0</v>
      </c>
      <c r="J1360" s="19">
        <v>1</v>
      </c>
      <c r="K1360" s="19">
        <v>0</v>
      </c>
      <c r="L1360" s="17">
        <v>0</v>
      </c>
      <c r="M1360" s="17">
        <v>0</v>
      </c>
      <c r="N1360" s="17">
        <v>0</v>
      </c>
      <c r="O1360" s="17">
        <v>8</v>
      </c>
      <c r="P1360" s="17">
        <v>0</v>
      </c>
      <c r="Q1360" s="17">
        <v>0</v>
      </c>
      <c r="R1360" s="17">
        <v>0</v>
      </c>
      <c r="S1360" s="13">
        <v>0</v>
      </c>
      <c r="T1360" s="17">
        <v>0</v>
      </c>
      <c r="U1360" s="17">
        <v>1</v>
      </c>
      <c r="V1360" s="17">
        <v>0</v>
      </c>
      <c r="W1360" s="17">
        <v>0</v>
      </c>
      <c r="X1360" s="19">
        <v>0</v>
      </c>
      <c r="Y1360" s="13">
        <v>0</v>
      </c>
      <c r="Z1360" s="19">
        <v>0</v>
      </c>
      <c r="AA1360" s="17">
        <v>0</v>
      </c>
      <c r="AB1360" s="17">
        <v>0</v>
      </c>
      <c r="AC1360" s="17">
        <v>0</v>
      </c>
      <c r="AD1360" s="17">
        <v>1</v>
      </c>
      <c r="AE1360" s="17">
        <v>0</v>
      </c>
      <c r="AF1360" s="17">
        <v>0</v>
      </c>
      <c r="AG1360" s="17">
        <v>0</v>
      </c>
      <c r="AH1360" s="17" t="s">
        <v>198</v>
      </c>
      <c r="AI1360" s="13">
        <v>0</v>
      </c>
      <c r="AJ1360" s="13">
        <v>0</v>
      </c>
      <c r="AK1360" s="13">
        <v>0</v>
      </c>
      <c r="AL1360" s="13">
        <v>0</v>
      </c>
      <c r="AM1360" s="17">
        <v>0</v>
      </c>
      <c r="AN1360" s="17">
        <v>0</v>
      </c>
      <c r="AO1360" s="17">
        <v>0</v>
      </c>
      <c r="AP1360" s="17">
        <v>0</v>
      </c>
      <c r="AQ1360" s="17">
        <v>0</v>
      </c>
      <c r="AR1360" s="17">
        <v>0</v>
      </c>
      <c r="AS1360" s="17">
        <v>0</v>
      </c>
      <c r="AT1360" s="13">
        <v>0</v>
      </c>
      <c r="AU1360" s="17" t="s">
        <v>198</v>
      </c>
      <c r="AV1360" s="17"/>
      <c r="AW1360" s="18" t="s">
        <v>198</v>
      </c>
      <c r="AX1360" s="17">
        <v>0</v>
      </c>
      <c r="AY1360" s="19">
        <v>0</v>
      </c>
      <c r="AZ1360" s="19">
        <v>0</v>
      </c>
      <c r="BA1360" s="18" t="s">
        <v>198</v>
      </c>
      <c r="BB1360" s="17" t="s">
        <v>2776</v>
      </c>
      <c r="BC1360" s="28">
        <v>0</v>
      </c>
      <c r="BD1360" s="28">
        <v>0</v>
      </c>
      <c r="BE1360" s="46" t="s">
        <v>2777</v>
      </c>
      <c r="BF1360" s="46" t="s">
        <v>2778</v>
      </c>
      <c r="BG1360" s="17">
        <v>0</v>
      </c>
      <c r="BH1360" s="17">
        <v>0</v>
      </c>
      <c r="BI1360" s="17">
        <v>0</v>
      </c>
      <c r="BJ1360" s="17">
        <v>0</v>
      </c>
      <c r="BK1360" s="17">
        <v>0</v>
      </c>
      <c r="BL1360" s="17">
        <v>0</v>
      </c>
      <c r="BM1360" s="16">
        <v>0</v>
      </c>
      <c r="BN1360" s="13">
        <v>0</v>
      </c>
      <c r="BO1360" s="13">
        <v>0</v>
      </c>
      <c r="BP1360" s="13">
        <v>0</v>
      </c>
      <c r="BQ1360" s="13">
        <v>0</v>
      </c>
      <c r="BR1360" s="13">
        <v>0</v>
      </c>
      <c r="BS1360" s="13">
        <v>0</v>
      </c>
      <c r="BT1360" s="13">
        <v>0</v>
      </c>
      <c r="BU1360" s="49">
        <v>0</v>
      </c>
      <c r="BV1360" s="49"/>
      <c r="BW1360" s="49"/>
    </row>
    <row r="1361" spans="1:75" ht="20.100000000000001" customHeight="1">
      <c r="C1361" s="66">
        <v>63303003</v>
      </c>
      <c r="D1361" s="175" t="s">
        <v>2721</v>
      </c>
      <c r="E1361" s="175" t="s">
        <v>2722</v>
      </c>
      <c r="F1361" s="174">
        <v>1</v>
      </c>
      <c r="G1361" s="174">
        <v>63003002</v>
      </c>
      <c r="H1361" s="174">
        <v>0</v>
      </c>
      <c r="I1361" s="176">
        <v>0</v>
      </c>
      <c r="J1361" s="178">
        <v>1</v>
      </c>
      <c r="K1361" s="178">
        <v>0</v>
      </c>
      <c r="L1361" s="174">
        <v>0</v>
      </c>
      <c r="M1361" s="174">
        <v>0</v>
      </c>
      <c r="N1361" s="174">
        <v>0</v>
      </c>
      <c r="O1361" s="174">
        <v>2</v>
      </c>
      <c r="P1361" s="174">
        <v>0</v>
      </c>
      <c r="Q1361" s="174">
        <v>0</v>
      </c>
      <c r="R1361" s="174">
        <v>0</v>
      </c>
      <c r="S1361" s="177">
        <v>0</v>
      </c>
      <c r="T1361" s="174">
        <v>0</v>
      </c>
      <c r="U1361" s="174">
        <v>1</v>
      </c>
      <c r="V1361" s="174">
        <v>0</v>
      </c>
      <c r="W1361" s="174">
        <v>0</v>
      </c>
      <c r="X1361" s="178">
        <v>0</v>
      </c>
      <c r="Y1361" s="13">
        <v>0</v>
      </c>
      <c r="Z1361" s="178">
        <v>0</v>
      </c>
      <c r="AA1361" s="174">
        <v>0</v>
      </c>
      <c r="AB1361" s="174">
        <v>0</v>
      </c>
      <c r="AC1361" s="174">
        <v>0</v>
      </c>
      <c r="AD1361" s="174">
        <v>1</v>
      </c>
      <c r="AE1361" s="174">
        <v>0</v>
      </c>
      <c r="AF1361" s="174">
        <v>0</v>
      </c>
      <c r="AG1361" s="174">
        <v>0</v>
      </c>
      <c r="AH1361" s="174" t="s">
        <v>198</v>
      </c>
      <c r="AI1361" s="177">
        <v>0</v>
      </c>
      <c r="AJ1361" s="177">
        <v>0</v>
      </c>
      <c r="AK1361" s="177">
        <v>0</v>
      </c>
      <c r="AL1361" s="177">
        <v>0</v>
      </c>
      <c r="AM1361" s="174">
        <v>0</v>
      </c>
      <c r="AN1361" s="174">
        <v>0</v>
      </c>
      <c r="AO1361" s="174">
        <v>0</v>
      </c>
      <c r="AP1361" s="174">
        <v>0</v>
      </c>
      <c r="AQ1361" s="174">
        <v>0</v>
      </c>
      <c r="AR1361" s="174">
        <v>0</v>
      </c>
      <c r="AS1361" s="174">
        <v>0</v>
      </c>
      <c r="AT1361" s="177">
        <v>0</v>
      </c>
      <c r="AU1361" s="174" t="s">
        <v>198</v>
      </c>
      <c r="AV1361" s="174"/>
      <c r="AW1361" s="175" t="s">
        <v>198</v>
      </c>
      <c r="AX1361" s="174">
        <v>0</v>
      </c>
      <c r="AY1361" s="178">
        <v>0</v>
      </c>
      <c r="AZ1361" s="178">
        <v>0</v>
      </c>
      <c r="BA1361" s="175" t="s">
        <v>198</v>
      </c>
      <c r="BB1361" s="174">
        <v>0</v>
      </c>
      <c r="BC1361" s="176"/>
      <c r="BD1361" s="176"/>
      <c r="BE1361" s="208" t="s">
        <v>2723</v>
      </c>
      <c r="BF1361" s="208" t="s">
        <v>2724</v>
      </c>
      <c r="BG1361" s="174">
        <v>0</v>
      </c>
      <c r="BH1361" s="174">
        <v>0</v>
      </c>
      <c r="BI1361" s="174">
        <v>0</v>
      </c>
      <c r="BJ1361" s="174">
        <v>0</v>
      </c>
      <c r="BK1361" s="174">
        <v>0</v>
      </c>
      <c r="BL1361" s="174">
        <v>0</v>
      </c>
      <c r="BM1361" s="180">
        <v>0</v>
      </c>
      <c r="BN1361" s="177">
        <v>0</v>
      </c>
      <c r="BO1361" s="177">
        <v>0</v>
      </c>
      <c r="BP1361" s="177">
        <v>0</v>
      </c>
      <c r="BQ1361" s="177">
        <v>0</v>
      </c>
      <c r="BR1361" s="177">
        <v>0</v>
      </c>
      <c r="BS1361" s="177">
        <v>0</v>
      </c>
      <c r="BT1361" s="13">
        <v>0</v>
      </c>
      <c r="BU1361" s="49">
        <v>0</v>
      </c>
      <c r="BV1361" s="49"/>
      <c r="BW1361" s="49"/>
    </row>
    <row r="1362" spans="1:75" ht="20.100000000000001" customHeight="1">
      <c r="C1362" s="66">
        <v>63303004</v>
      </c>
      <c r="D1362" s="175" t="s">
        <v>2889</v>
      </c>
      <c r="E1362" s="175" t="s">
        <v>2890</v>
      </c>
      <c r="F1362" s="174">
        <v>1</v>
      </c>
      <c r="G1362" s="174">
        <v>63303004</v>
      </c>
      <c r="H1362" s="174">
        <v>0</v>
      </c>
      <c r="I1362" s="176">
        <v>0</v>
      </c>
      <c r="J1362" s="178">
        <v>1</v>
      </c>
      <c r="K1362" s="178">
        <v>0</v>
      </c>
      <c r="L1362" s="174">
        <v>0</v>
      </c>
      <c r="M1362" s="174">
        <v>0</v>
      </c>
      <c r="N1362" s="174">
        <v>0</v>
      </c>
      <c r="O1362" s="174">
        <v>2</v>
      </c>
      <c r="P1362" s="174">
        <v>12</v>
      </c>
      <c r="Q1362" s="174">
        <v>1</v>
      </c>
      <c r="R1362" s="174">
        <v>0</v>
      </c>
      <c r="S1362" s="177">
        <v>0</v>
      </c>
      <c r="T1362" s="174">
        <v>0</v>
      </c>
      <c r="U1362" s="174">
        <v>1</v>
      </c>
      <c r="V1362" s="174">
        <v>2</v>
      </c>
      <c r="W1362" s="174">
        <v>0</v>
      </c>
      <c r="X1362" s="178">
        <v>0</v>
      </c>
      <c r="Y1362" s="13">
        <v>0</v>
      </c>
      <c r="Z1362" s="178">
        <v>0</v>
      </c>
      <c r="AA1362" s="174">
        <v>0</v>
      </c>
      <c r="AB1362" s="174">
        <v>0</v>
      </c>
      <c r="AC1362" s="174">
        <v>0</v>
      </c>
      <c r="AD1362" s="174">
        <v>1</v>
      </c>
      <c r="AE1362" s="174">
        <v>0</v>
      </c>
      <c r="AF1362" s="174">
        <v>60</v>
      </c>
      <c r="AG1362" s="174">
        <v>1</v>
      </c>
      <c r="AH1362" s="174">
        <v>10</v>
      </c>
      <c r="AI1362" s="177">
        <v>0</v>
      </c>
      <c r="AJ1362" s="177">
        <v>0</v>
      </c>
      <c r="AK1362" s="177">
        <v>0</v>
      </c>
      <c r="AL1362" s="177">
        <v>0</v>
      </c>
      <c r="AM1362" s="174">
        <v>0</v>
      </c>
      <c r="AN1362" s="174">
        <v>0</v>
      </c>
      <c r="AO1362" s="174">
        <v>0</v>
      </c>
      <c r="AP1362" s="174">
        <v>0</v>
      </c>
      <c r="AQ1362" s="174">
        <v>50000</v>
      </c>
      <c r="AR1362" s="174">
        <v>0</v>
      </c>
      <c r="AS1362" s="174">
        <v>0</v>
      </c>
      <c r="AT1362" s="177">
        <v>90503009</v>
      </c>
      <c r="AU1362" s="177">
        <v>90503009</v>
      </c>
      <c r="AV1362" s="174"/>
      <c r="AW1362" s="175" t="s">
        <v>198</v>
      </c>
      <c r="AX1362" s="174">
        <v>0</v>
      </c>
      <c r="AY1362" s="178">
        <v>0</v>
      </c>
      <c r="AZ1362" s="178">
        <v>0</v>
      </c>
      <c r="BA1362" s="175" t="s">
        <v>2680</v>
      </c>
      <c r="BB1362" s="174">
        <v>0</v>
      </c>
      <c r="BC1362" s="176">
        <v>0</v>
      </c>
      <c r="BD1362" s="176">
        <v>0</v>
      </c>
      <c r="BE1362" s="208" t="s">
        <v>2858</v>
      </c>
      <c r="BF1362" s="208" t="s">
        <v>2859</v>
      </c>
      <c r="BG1362" s="174">
        <v>0</v>
      </c>
      <c r="BH1362" s="174">
        <v>0</v>
      </c>
      <c r="BI1362" s="174">
        <v>0</v>
      </c>
      <c r="BJ1362" s="174">
        <v>0</v>
      </c>
      <c r="BK1362" s="174">
        <v>0</v>
      </c>
      <c r="BL1362" s="174">
        <v>0</v>
      </c>
      <c r="BM1362" s="180">
        <v>0</v>
      </c>
      <c r="BN1362" s="177">
        <v>1</v>
      </c>
      <c r="BO1362" s="177">
        <v>0</v>
      </c>
      <c r="BP1362" s="177">
        <v>0</v>
      </c>
      <c r="BQ1362" s="177">
        <v>0</v>
      </c>
      <c r="BR1362" s="177">
        <v>0</v>
      </c>
      <c r="BS1362" s="177">
        <v>0</v>
      </c>
      <c r="BT1362" s="13">
        <v>0</v>
      </c>
      <c r="BU1362" s="49">
        <v>0</v>
      </c>
      <c r="BV1362" s="49"/>
      <c r="BW1362" s="49"/>
    </row>
    <row r="1363" spans="1:75" s="1" customFormat="1" ht="20.100000000000001" customHeight="1">
      <c r="A1363" s="218"/>
      <c r="B1363" s="218"/>
      <c r="C1363" s="66">
        <v>63304001</v>
      </c>
      <c r="D1363" s="61" t="s">
        <v>2891</v>
      </c>
      <c r="E1363" s="149" t="s">
        <v>2892</v>
      </c>
      <c r="F1363" s="95">
        <v>1</v>
      </c>
      <c r="G1363" s="62">
        <v>0</v>
      </c>
      <c r="H1363" s="66">
        <v>0</v>
      </c>
      <c r="I1363" s="68">
        <v>0</v>
      </c>
      <c r="J1363" s="66">
        <v>1</v>
      </c>
      <c r="K1363" s="62">
        <v>0</v>
      </c>
      <c r="L1363" s="66">
        <v>0</v>
      </c>
      <c r="M1363" s="62">
        <v>0</v>
      </c>
      <c r="N1363" s="62">
        <v>0</v>
      </c>
      <c r="O1363" s="62">
        <v>2</v>
      </c>
      <c r="P1363" s="62">
        <v>1</v>
      </c>
      <c r="Q1363" s="62">
        <v>0.3</v>
      </c>
      <c r="R1363" s="62">
        <v>0</v>
      </c>
      <c r="S1363" s="70">
        <v>0</v>
      </c>
      <c r="T1363" s="62">
        <v>0</v>
      </c>
      <c r="U1363" s="62">
        <v>1</v>
      </c>
      <c r="V1363" s="62">
        <v>1</v>
      </c>
      <c r="W1363" s="62">
        <v>0</v>
      </c>
      <c r="X1363" s="62">
        <v>0</v>
      </c>
      <c r="Y1363" s="13">
        <v>0</v>
      </c>
      <c r="Z1363" s="62">
        <v>0</v>
      </c>
      <c r="AA1363" s="62">
        <v>0</v>
      </c>
      <c r="AB1363" s="62">
        <v>0</v>
      </c>
      <c r="AC1363" s="62">
        <v>0</v>
      </c>
      <c r="AD1363" s="62">
        <v>0</v>
      </c>
      <c r="AE1363" s="62">
        <v>0</v>
      </c>
      <c r="AF1363" s="62">
        <v>0</v>
      </c>
      <c r="AG1363" s="62">
        <v>0</v>
      </c>
      <c r="AH1363" s="62">
        <v>0</v>
      </c>
      <c r="AI1363" s="70">
        <v>0</v>
      </c>
      <c r="AJ1363" s="70">
        <v>0</v>
      </c>
      <c r="AK1363" s="70">
        <v>0</v>
      </c>
      <c r="AL1363" s="70">
        <v>1.5</v>
      </c>
      <c r="AM1363" s="62">
        <v>0</v>
      </c>
      <c r="AN1363" s="62">
        <v>0</v>
      </c>
      <c r="AO1363" s="62">
        <v>0</v>
      </c>
      <c r="AP1363" s="66">
        <v>0</v>
      </c>
      <c r="AQ1363" s="62">
        <v>1000</v>
      </c>
      <c r="AR1363" s="62">
        <v>0</v>
      </c>
      <c r="AS1363" s="62">
        <v>0</v>
      </c>
      <c r="AT1363" s="70">
        <v>95201001</v>
      </c>
      <c r="AU1363" s="62">
        <v>0</v>
      </c>
      <c r="AV1363" s="62"/>
      <c r="AW1363" s="61" t="s">
        <v>198</v>
      </c>
      <c r="AX1363" s="62" t="s">
        <v>545</v>
      </c>
      <c r="AY1363" s="66">
        <v>0</v>
      </c>
      <c r="AZ1363" s="66">
        <v>0</v>
      </c>
      <c r="BA1363" s="61" t="s">
        <v>200</v>
      </c>
      <c r="BB1363" s="62">
        <v>0</v>
      </c>
      <c r="BC1363" s="68">
        <v>0</v>
      </c>
      <c r="BD1363" s="68">
        <v>0</v>
      </c>
      <c r="BE1363" s="92" t="s">
        <v>2893</v>
      </c>
      <c r="BF1363" s="92" t="s">
        <v>2894</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20.100000000000001" customHeight="1">
      <c r="A1364" s="218"/>
      <c r="B1364" s="218"/>
      <c r="C1364" s="66">
        <v>63304002</v>
      </c>
      <c r="D1364" s="61" t="s">
        <v>2895</v>
      </c>
      <c r="E1364" s="149" t="s">
        <v>2896</v>
      </c>
      <c r="F1364" s="95">
        <v>1</v>
      </c>
      <c r="G1364" s="62">
        <v>0</v>
      </c>
      <c r="H1364" s="66">
        <v>0</v>
      </c>
      <c r="I1364" s="68">
        <v>0</v>
      </c>
      <c r="J1364" s="66">
        <v>1</v>
      </c>
      <c r="K1364" s="62">
        <v>0</v>
      </c>
      <c r="L1364" s="66">
        <v>0</v>
      </c>
      <c r="M1364" s="62">
        <v>0</v>
      </c>
      <c r="N1364" s="62">
        <v>0</v>
      </c>
      <c r="O1364" s="62">
        <v>2</v>
      </c>
      <c r="P1364" s="62">
        <v>16</v>
      </c>
      <c r="Q1364" s="62">
        <v>5</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7</v>
      </c>
      <c r="AJ1364" s="70">
        <v>1</v>
      </c>
      <c r="AK1364" s="70">
        <v>0</v>
      </c>
      <c r="AL1364" s="70">
        <v>1.5</v>
      </c>
      <c r="AM1364" s="62">
        <v>0</v>
      </c>
      <c r="AN1364" s="62">
        <v>0</v>
      </c>
      <c r="AO1364" s="62">
        <v>0</v>
      </c>
      <c r="AP1364" s="66">
        <v>0</v>
      </c>
      <c r="AQ1364" s="62">
        <v>1000</v>
      </c>
      <c r="AR1364" s="62">
        <v>0</v>
      </c>
      <c r="AS1364" s="62">
        <v>0</v>
      </c>
      <c r="AT1364" s="70">
        <v>0</v>
      </c>
      <c r="AU1364" s="62">
        <v>95201002</v>
      </c>
      <c r="AV1364" s="62"/>
      <c r="AW1364" s="61" t="s">
        <v>198</v>
      </c>
      <c r="AX1364" s="62" t="s">
        <v>545</v>
      </c>
      <c r="AY1364" s="66">
        <v>0</v>
      </c>
      <c r="AZ1364" s="66">
        <v>0</v>
      </c>
      <c r="BA1364" s="61" t="s">
        <v>200</v>
      </c>
      <c r="BB1364" s="62">
        <v>0</v>
      </c>
      <c r="BC1364" s="68">
        <v>0</v>
      </c>
      <c r="BD1364" s="68">
        <v>0</v>
      </c>
      <c r="BE1364" s="92" t="s">
        <v>2897</v>
      </c>
      <c r="BF1364" s="92" t="s">
        <v>2898</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19.5" customHeight="1">
      <c r="C1365" s="66">
        <v>63304003</v>
      </c>
      <c r="D1365" s="61" t="s">
        <v>731</v>
      </c>
      <c r="E1365" s="61" t="s">
        <v>674</v>
      </c>
      <c r="F1365" s="66">
        <v>1</v>
      </c>
      <c r="G1365" s="66">
        <v>0</v>
      </c>
      <c r="H1365" s="66">
        <v>0</v>
      </c>
      <c r="I1365" s="68">
        <v>0</v>
      </c>
      <c r="J1365" s="66">
        <v>1</v>
      </c>
      <c r="K1365" s="66">
        <v>0</v>
      </c>
      <c r="L1365" s="66">
        <v>0</v>
      </c>
      <c r="M1365" s="62">
        <v>0</v>
      </c>
      <c r="N1365" s="62">
        <v>0</v>
      </c>
      <c r="O1365" s="62">
        <v>2</v>
      </c>
      <c r="P1365" s="62">
        <v>3</v>
      </c>
      <c r="Q1365" s="62">
        <v>0.3</v>
      </c>
      <c r="R1365" s="62">
        <v>0</v>
      </c>
      <c r="S1365" s="70">
        <v>1</v>
      </c>
      <c r="T1365" s="62">
        <v>0</v>
      </c>
      <c r="U1365" s="62">
        <v>1</v>
      </c>
      <c r="V1365" s="62">
        <v>2</v>
      </c>
      <c r="W1365" s="62">
        <v>0</v>
      </c>
      <c r="X1365" s="62">
        <v>1.2</v>
      </c>
      <c r="Y1365" s="13">
        <v>0</v>
      </c>
      <c r="Z1365" s="62">
        <v>0</v>
      </c>
      <c r="AA1365" s="62">
        <v>1</v>
      </c>
      <c r="AB1365" s="62">
        <v>0</v>
      </c>
      <c r="AC1365" s="62">
        <v>0</v>
      </c>
      <c r="AD1365" s="62">
        <v>1</v>
      </c>
      <c r="AE1365" s="62">
        <v>1</v>
      </c>
      <c r="AF1365" s="62">
        <v>4</v>
      </c>
      <c r="AG1365" s="62">
        <v>1</v>
      </c>
      <c r="AH1365" s="62">
        <v>3</v>
      </c>
      <c r="AI1365" s="70">
        <v>0</v>
      </c>
      <c r="AJ1365" s="70">
        <v>1</v>
      </c>
      <c r="AK1365" s="70">
        <v>0</v>
      </c>
      <c r="AL1365" s="70">
        <v>3</v>
      </c>
      <c r="AM1365" s="62">
        <v>0</v>
      </c>
      <c r="AN1365" s="62">
        <v>0</v>
      </c>
      <c r="AO1365" s="62">
        <v>0</v>
      </c>
      <c r="AP1365" s="62">
        <v>0</v>
      </c>
      <c r="AQ1365" s="62">
        <v>500</v>
      </c>
      <c r="AR1365" s="62">
        <v>0.3</v>
      </c>
      <c r="AS1365" s="62">
        <v>0</v>
      </c>
      <c r="AT1365" s="70">
        <v>0</v>
      </c>
      <c r="AU1365" s="348" t="s">
        <v>2899</v>
      </c>
      <c r="AV1365" s="81"/>
      <c r="AW1365" s="65" t="s">
        <v>198</v>
      </c>
      <c r="AX1365" s="62" t="s">
        <v>534</v>
      </c>
      <c r="AY1365" s="66">
        <v>0</v>
      </c>
      <c r="AZ1365" s="66">
        <v>77005401</v>
      </c>
      <c r="BA1365" s="61" t="s">
        <v>200</v>
      </c>
      <c r="BB1365" s="62">
        <v>0</v>
      </c>
      <c r="BC1365" s="68">
        <v>0</v>
      </c>
      <c r="BD1365" s="68">
        <v>0</v>
      </c>
      <c r="BE1365" s="92" t="s">
        <v>2900</v>
      </c>
      <c r="BF1365" s="92" t="s">
        <v>2901</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s="1" customFormat="1" ht="19.5" customHeight="1">
      <c r="C1366" s="66">
        <v>63304004</v>
      </c>
      <c r="D1366" s="61" t="s">
        <v>2902</v>
      </c>
      <c r="E1366" s="61" t="s">
        <v>2903</v>
      </c>
      <c r="F1366" s="66">
        <v>1</v>
      </c>
      <c r="G1366" s="66">
        <v>0</v>
      </c>
      <c r="H1366" s="66">
        <v>0</v>
      </c>
      <c r="I1366" s="68">
        <v>0</v>
      </c>
      <c r="J1366" s="66">
        <v>1</v>
      </c>
      <c r="K1366" s="66">
        <v>0</v>
      </c>
      <c r="L1366" s="66">
        <v>0</v>
      </c>
      <c r="M1366" s="62">
        <v>0</v>
      </c>
      <c r="N1366" s="62">
        <v>0</v>
      </c>
      <c r="O1366" s="62">
        <v>2</v>
      </c>
      <c r="P1366" s="62">
        <v>3</v>
      </c>
      <c r="Q1366" s="62">
        <v>1</v>
      </c>
      <c r="R1366" s="62">
        <v>1</v>
      </c>
      <c r="S1366" s="70">
        <v>1</v>
      </c>
      <c r="T1366" s="62">
        <v>0</v>
      </c>
      <c r="U1366" s="62">
        <v>1</v>
      </c>
      <c r="V1366" s="62">
        <v>2</v>
      </c>
      <c r="W1366" s="62">
        <v>0</v>
      </c>
      <c r="X1366" s="62">
        <v>0</v>
      </c>
      <c r="Y1366" s="13">
        <v>0</v>
      </c>
      <c r="Z1366" s="62">
        <v>0</v>
      </c>
      <c r="AA1366" s="62">
        <v>1</v>
      </c>
      <c r="AB1366" s="62">
        <v>0</v>
      </c>
      <c r="AC1366" s="62">
        <v>0</v>
      </c>
      <c r="AD1366" s="62">
        <v>1</v>
      </c>
      <c r="AE1366" s="62">
        <v>1</v>
      </c>
      <c r="AF1366" s="62">
        <v>0</v>
      </c>
      <c r="AG1366" s="62">
        <v>1</v>
      </c>
      <c r="AH1366" s="62">
        <v>3</v>
      </c>
      <c r="AI1366" s="70">
        <v>0</v>
      </c>
      <c r="AJ1366" s="70">
        <v>1</v>
      </c>
      <c r="AK1366" s="70">
        <v>0</v>
      </c>
      <c r="AL1366" s="70">
        <v>3</v>
      </c>
      <c r="AM1366" s="62">
        <v>0</v>
      </c>
      <c r="AN1366" s="62">
        <v>0</v>
      </c>
      <c r="AO1366" s="62">
        <v>0</v>
      </c>
      <c r="AP1366" s="62">
        <v>0</v>
      </c>
      <c r="AQ1366" s="62">
        <v>500</v>
      </c>
      <c r="AR1366" s="62">
        <v>0</v>
      </c>
      <c r="AS1366" s="62">
        <v>0</v>
      </c>
      <c r="AT1366" s="70">
        <v>95201004</v>
      </c>
      <c r="AU1366" s="81">
        <v>0</v>
      </c>
      <c r="AV1366" s="81"/>
      <c r="AW1366" s="65" t="s">
        <v>198</v>
      </c>
      <c r="AX1366" s="62" t="s">
        <v>534</v>
      </c>
      <c r="AY1366" s="66">
        <v>0</v>
      </c>
      <c r="AZ1366" s="66">
        <v>0</v>
      </c>
      <c r="BA1366" s="61" t="s">
        <v>200</v>
      </c>
      <c r="BB1366" s="62">
        <v>0</v>
      </c>
      <c r="BC1366" s="68">
        <v>0</v>
      </c>
      <c r="BD1366" s="68">
        <v>0</v>
      </c>
      <c r="BE1366" s="92" t="s">
        <v>2904</v>
      </c>
      <c r="BF1366" s="92" t="s">
        <v>2905</v>
      </c>
      <c r="BG1366" s="62">
        <v>0</v>
      </c>
      <c r="BH1366" s="62">
        <v>0</v>
      </c>
      <c r="BI1366" s="62">
        <v>0</v>
      </c>
      <c r="BJ1366" s="62">
        <v>0</v>
      </c>
      <c r="BK1366" s="62">
        <v>0</v>
      </c>
      <c r="BL1366" s="62">
        <v>0</v>
      </c>
      <c r="BM1366" s="95">
        <v>0</v>
      </c>
      <c r="BN1366" s="70">
        <v>0</v>
      </c>
      <c r="BO1366" s="70">
        <v>0</v>
      </c>
      <c r="BP1366" s="70">
        <v>0</v>
      </c>
      <c r="BQ1366" s="70">
        <v>0</v>
      </c>
      <c r="BR1366" s="70">
        <v>0</v>
      </c>
      <c r="BS1366" s="70">
        <v>0</v>
      </c>
      <c r="BT1366" s="70">
        <v>0</v>
      </c>
      <c r="BU1366" s="70">
        <v>0</v>
      </c>
      <c r="BV1366" s="49"/>
      <c r="BW1366" s="49"/>
    </row>
    <row r="1367" spans="1:75" s="1" customFormat="1" ht="19.5" customHeight="1">
      <c r="C1367" s="66">
        <v>63304005</v>
      </c>
      <c r="D1367" s="61" t="s">
        <v>2906</v>
      </c>
      <c r="E1367" s="61" t="s">
        <v>2907</v>
      </c>
      <c r="F1367" s="66">
        <v>1</v>
      </c>
      <c r="G1367" s="66">
        <v>0</v>
      </c>
      <c r="H1367" s="66">
        <v>0</v>
      </c>
      <c r="I1367" s="68">
        <v>0</v>
      </c>
      <c r="J1367" s="66">
        <v>1</v>
      </c>
      <c r="K1367" s="66">
        <v>0</v>
      </c>
      <c r="L1367" s="66">
        <v>0</v>
      </c>
      <c r="M1367" s="62">
        <v>0</v>
      </c>
      <c r="N1367" s="62">
        <v>0</v>
      </c>
      <c r="O1367" s="62">
        <v>2</v>
      </c>
      <c r="P1367" s="62">
        <v>3</v>
      </c>
      <c r="Q1367" s="62">
        <v>1</v>
      </c>
      <c r="R1367" s="62">
        <v>1</v>
      </c>
      <c r="S1367" s="70">
        <v>1</v>
      </c>
      <c r="T1367" s="62">
        <v>0</v>
      </c>
      <c r="U1367" s="62">
        <v>1</v>
      </c>
      <c r="V1367" s="62">
        <v>2</v>
      </c>
      <c r="W1367" s="62">
        <v>0</v>
      </c>
      <c r="X1367" s="62">
        <v>0</v>
      </c>
      <c r="Y1367" s="13">
        <v>0</v>
      </c>
      <c r="Z1367" s="62">
        <v>0</v>
      </c>
      <c r="AA1367" s="62">
        <v>1</v>
      </c>
      <c r="AB1367" s="62">
        <v>0</v>
      </c>
      <c r="AC1367" s="62">
        <v>0</v>
      </c>
      <c r="AD1367" s="62">
        <v>1</v>
      </c>
      <c r="AE1367" s="62">
        <v>1</v>
      </c>
      <c r="AF1367" s="62">
        <v>0</v>
      </c>
      <c r="AG1367" s="62">
        <v>1</v>
      </c>
      <c r="AH1367" s="62">
        <v>3</v>
      </c>
      <c r="AI1367" s="70">
        <v>0</v>
      </c>
      <c r="AJ1367" s="70">
        <v>1</v>
      </c>
      <c r="AK1367" s="70">
        <v>0</v>
      </c>
      <c r="AL1367" s="70">
        <v>3</v>
      </c>
      <c r="AM1367" s="62">
        <v>0</v>
      </c>
      <c r="AN1367" s="62">
        <v>0</v>
      </c>
      <c r="AO1367" s="62">
        <v>0</v>
      </c>
      <c r="AP1367" s="62">
        <v>0</v>
      </c>
      <c r="AQ1367" s="62">
        <v>500</v>
      </c>
      <c r="AR1367" s="62">
        <v>0</v>
      </c>
      <c r="AS1367" s="62">
        <v>0</v>
      </c>
      <c r="AT1367" s="70">
        <v>95201005</v>
      </c>
      <c r="AU1367" s="81">
        <v>0</v>
      </c>
      <c r="AV1367" s="81"/>
      <c r="AW1367" s="65" t="s">
        <v>198</v>
      </c>
      <c r="AX1367" s="62" t="s">
        <v>534</v>
      </c>
      <c r="AY1367" s="66">
        <v>0</v>
      </c>
      <c r="AZ1367" s="66">
        <v>0</v>
      </c>
      <c r="BA1367" s="61" t="s">
        <v>200</v>
      </c>
      <c r="BB1367" s="62">
        <v>0</v>
      </c>
      <c r="BC1367" s="68">
        <v>0</v>
      </c>
      <c r="BD1367" s="68">
        <v>0</v>
      </c>
      <c r="BE1367" s="92" t="s">
        <v>2908</v>
      </c>
      <c r="BF1367" s="92" t="s">
        <v>2909</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spans="1:75" s="1" customFormat="1" ht="20.100000000000001" customHeight="1">
      <c r="A1368" s="218"/>
      <c r="B1368" s="218"/>
      <c r="C1368" s="66">
        <v>63304006</v>
      </c>
      <c r="D1368" s="61" t="s">
        <v>2910</v>
      </c>
      <c r="E1368" s="149" t="s">
        <v>2911</v>
      </c>
      <c r="F1368" s="95">
        <v>1</v>
      </c>
      <c r="G1368" s="62">
        <v>0</v>
      </c>
      <c r="H1368" s="66">
        <v>0</v>
      </c>
      <c r="I1368" s="68">
        <v>0</v>
      </c>
      <c r="J1368" s="66">
        <v>1</v>
      </c>
      <c r="K1368" s="62">
        <v>0</v>
      </c>
      <c r="L1368" s="66">
        <v>0</v>
      </c>
      <c r="M1368" s="62">
        <v>0</v>
      </c>
      <c r="N1368" s="62">
        <v>0</v>
      </c>
      <c r="O1368" s="62">
        <v>2</v>
      </c>
      <c r="P1368" s="62">
        <v>1</v>
      </c>
      <c r="Q1368" s="62">
        <v>1</v>
      </c>
      <c r="R1368" s="62">
        <v>0</v>
      </c>
      <c r="S1368" s="70">
        <v>0</v>
      </c>
      <c r="T1368" s="62">
        <v>0</v>
      </c>
      <c r="U1368" s="62">
        <v>1</v>
      </c>
      <c r="V1368" s="62">
        <v>1</v>
      </c>
      <c r="W1368" s="62">
        <v>0</v>
      </c>
      <c r="X1368" s="62">
        <v>0</v>
      </c>
      <c r="Y1368" s="13">
        <v>0</v>
      </c>
      <c r="Z1368" s="62">
        <v>0</v>
      </c>
      <c r="AA1368" s="62">
        <v>0</v>
      </c>
      <c r="AB1368" s="62">
        <v>0</v>
      </c>
      <c r="AC1368" s="62">
        <v>0</v>
      </c>
      <c r="AD1368" s="62">
        <v>0</v>
      </c>
      <c r="AE1368" s="62">
        <v>0</v>
      </c>
      <c r="AF1368" s="62">
        <v>0</v>
      </c>
      <c r="AG1368" s="62">
        <v>1</v>
      </c>
      <c r="AH1368" s="62">
        <v>1</v>
      </c>
      <c r="AI1368" s="70">
        <v>0</v>
      </c>
      <c r="AJ1368" s="70">
        <v>1</v>
      </c>
      <c r="AK1368" s="70">
        <v>0</v>
      </c>
      <c r="AL1368" s="70">
        <v>1.5</v>
      </c>
      <c r="AM1368" s="62">
        <v>0</v>
      </c>
      <c r="AN1368" s="62">
        <v>0</v>
      </c>
      <c r="AO1368" s="62">
        <v>0</v>
      </c>
      <c r="AP1368" s="66">
        <v>0</v>
      </c>
      <c r="AQ1368" s="62">
        <v>500</v>
      </c>
      <c r="AR1368" s="62">
        <v>0</v>
      </c>
      <c r="AS1368" s="62">
        <v>0</v>
      </c>
      <c r="AT1368" s="356" t="s">
        <v>2912</v>
      </c>
      <c r="AU1368" s="62">
        <v>0</v>
      </c>
      <c r="AV1368" s="62"/>
      <c r="AW1368" s="61" t="s">
        <v>198</v>
      </c>
      <c r="AX1368" s="62" t="s">
        <v>545</v>
      </c>
      <c r="AY1368" s="66">
        <v>0</v>
      </c>
      <c r="AZ1368" s="66">
        <v>0</v>
      </c>
      <c r="BA1368" s="61" t="s">
        <v>200</v>
      </c>
      <c r="BB1368" s="62">
        <v>0</v>
      </c>
      <c r="BC1368" s="68">
        <v>0</v>
      </c>
      <c r="BD1368" s="68">
        <v>0</v>
      </c>
      <c r="BE1368" s="92" t="s">
        <v>2897</v>
      </c>
      <c r="BF1368" s="92" t="s">
        <v>2898</v>
      </c>
      <c r="BG1368" s="62">
        <v>0</v>
      </c>
      <c r="BH1368" s="62">
        <v>0</v>
      </c>
      <c r="BI1368" s="62">
        <v>0</v>
      </c>
      <c r="BJ1368" s="62">
        <v>0</v>
      </c>
      <c r="BK1368" s="62">
        <v>0</v>
      </c>
      <c r="BL1368" s="62">
        <v>0</v>
      </c>
      <c r="BM1368" s="95">
        <v>0</v>
      </c>
      <c r="BN1368" s="70">
        <v>0</v>
      </c>
      <c r="BO1368" s="70">
        <v>0</v>
      </c>
      <c r="BP1368" s="70">
        <v>0</v>
      </c>
      <c r="BQ1368" s="70">
        <v>0</v>
      </c>
      <c r="BR1368" s="70">
        <v>0</v>
      </c>
      <c r="BS1368" s="70">
        <v>0</v>
      </c>
      <c r="BT1368" s="70">
        <v>0</v>
      </c>
      <c r="BU1368" s="70">
        <v>0</v>
      </c>
      <c r="BV1368" s="49"/>
      <c r="BW1368" s="49"/>
    </row>
    <row r="1369" spans="1:75" ht="20.100000000000001" customHeight="1">
      <c r="C1369" s="17">
        <v>63401001</v>
      </c>
      <c r="D1369" s="18" t="s">
        <v>2913</v>
      </c>
      <c r="E1369" s="18"/>
      <c r="F1369" s="17">
        <v>1</v>
      </c>
      <c r="G1369" s="17">
        <v>63001001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364" t="s">
        <v>2914</v>
      </c>
      <c r="AV1369" s="17"/>
      <c r="AW1369" s="18" t="s">
        <v>198</v>
      </c>
      <c r="AX1369" s="17">
        <v>0</v>
      </c>
      <c r="AY1369" s="19">
        <v>0</v>
      </c>
      <c r="AZ1369" s="19">
        <v>0</v>
      </c>
      <c r="BA1369" s="18" t="s">
        <v>2680</v>
      </c>
      <c r="BB1369" s="17">
        <v>0</v>
      </c>
      <c r="BC1369" s="28">
        <v>0</v>
      </c>
      <c r="BD1369" s="28">
        <v>0</v>
      </c>
      <c r="BE1369" s="46" t="s">
        <v>2915</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spans="1:75" ht="20.100000000000001" customHeight="1">
      <c r="C1370" s="17">
        <v>63401002</v>
      </c>
      <c r="D1370" s="18" t="s">
        <v>2725</v>
      </c>
      <c r="E1370" s="18"/>
      <c r="F1370" s="17">
        <v>1</v>
      </c>
      <c r="G1370" s="17">
        <v>1000002</v>
      </c>
      <c r="H1370" s="17">
        <v>0</v>
      </c>
      <c r="I1370" s="28">
        <v>0</v>
      </c>
      <c r="J1370" s="19">
        <v>1</v>
      </c>
      <c r="K1370" s="19">
        <v>0</v>
      </c>
      <c r="L1370" s="17">
        <v>0</v>
      </c>
      <c r="M1370" s="17">
        <v>0</v>
      </c>
      <c r="N1370" s="17">
        <v>0</v>
      </c>
      <c r="O1370" s="17">
        <v>8</v>
      </c>
      <c r="P1370" s="17">
        <v>8</v>
      </c>
      <c r="Q1370" s="17">
        <v>2</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t="s">
        <v>2726</v>
      </c>
      <c r="BC1370" s="28"/>
      <c r="BD1370" s="28">
        <v>0</v>
      </c>
      <c r="BE1370" s="46" t="s">
        <v>2727</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spans="1:75" ht="20.100000000000001" customHeight="1">
      <c r="C1371" s="17">
        <v>63401003</v>
      </c>
      <c r="D1371" s="18" t="s">
        <v>2721</v>
      </c>
      <c r="E1371" s="18"/>
      <c r="F1371" s="17">
        <v>1</v>
      </c>
      <c r="G1371" s="17">
        <v>63003002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v>0</v>
      </c>
      <c r="BE1371" s="46" t="s">
        <v>2723</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257">
        <v>63401004</v>
      </c>
      <c r="D1372" s="258" t="s">
        <v>2916</v>
      </c>
      <c r="E1372" s="258"/>
      <c r="F1372" s="259">
        <v>1</v>
      </c>
      <c r="G1372" s="259">
        <v>63001004</v>
      </c>
      <c r="H1372" s="259">
        <v>0</v>
      </c>
      <c r="I1372" s="259">
        <v>0</v>
      </c>
      <c r="J1372" s="260">
        <v>1</v>
      </c>
      <c r="K1372" s="260">
        <v>0</v>
      </c>
      <c r="L1372" s="257">
        <v>0</v>
      </c>
      <c r="M1372" s="259">
        <v>0</v>
      </c>
      <c r="N1372" s="259">
        <v>0</v>
      </c>
      <c r="O1372" s="259">
        <v>2</v>
      </c>
      <c r="P1372" s="259">
        <v>21</v>
      </c>
      <c r="Q1372" s="259">
        <v>0.05</v>
      </c>
      <c r="R1372" s="259">
        <v>0</v>
      </c>
      <c r="S1372" s="261">
        <v>0</v>
      </c>
      <c r="T1372" s="259">
        <v>0</v>
      </c>
      <c r="U1372" s="259">
        <v>1</v>
      </c>
      <c r="V1372" s="259">
        <v>2</v>
      </c>
      <c r="W1372" s="259">
        <v>0</v>
      </c>
      <c r="X1372" s="259">
        <v>0</v>
      </c>
      <c r="Y1372" s="261">
        <v>0</v>
      </c>
      <c r="Z1372" s="259">
        <v>0</v>
      </c>
      <c r="AA1372" s="259">
        <v>0</v>
      </c>
      <c r="AB1372" s="259">
        <v>0</v>
      </c>
      <c r="AC1372" s="259">
        <v>0</v>
      </c>
      <c r="AD1372" s="257">
        <v>1</v>
      </c>
      <c r="AE1372" s="259">
        <v>0</v>
      </c>
      <c r="AF1372" s="259">
        <v>15</v>
      </c>
      <c r="AG1372" s="259">
        <v>1</v>
      </c>
      <c r="AH1372" s="259">
        <v>1</v>
      </c>
      <c r="AI1372" s="259">
        <v>7</v>
      </c>
      <c r="AJ1372" s="259">
        <v>0</v>
      </c>
      <c r="AK1372" s="261">
        <v>0</v>
      </c>
      <c r="AL1372" s="259">
        <v>2</v>
      </c>
      <c r="AM1372" s="259">
        <v>0</v>
      </c>
      <c r="AN1372" s="259">
        <v>0</v>
      </c>
      <c r="AO1372" s="259">
        <v>0</v>
      </c>
      <c r="AP1372" s="257">
        <v>0</v>
      </c>
      <c r="AQ1372" s="259">
        <v>10000</v>
      </c>
      <c r="AR1372" s="259">
        <v>0.5</v>
      </c>
      <c r="AS1372" s="259">
        <v>0</v>
      </c>
      <c r="AT1372" s="259">
        <v>0</v>
      </c>
      <c r="AU1372" s="259">
        <v>92041060</v>
      </c>
      <c r="AV1372" s="259"/>
      <c r="AW1372" s="258"/>
      <c r="AX1372" s="259">
        <v>0</v>
      </c>
      <c r="AY1372" s="259">
        <v>0</v>
      </c>
      <c r="AZ1372" s="259">
        <v>0</v>
      </c>
      <c r="BA1372" s="258" t="s">
        <v>200</v>
      </c>
      <c r="BB1372" s="258" t="s">
        <v>198</v>
      </c>
      <c r="BC1372" s="259">
        <v>0</v>
      </c>
      <c r="BD1372" s="259">
        <v>0</v>
      </c>
      <c r="BE1372" s="266" t="s">
        <v>2917</v>
      </c>
      <c r="BF1372" s="266"/>
      <c r="BG1372" s="259">
        <v>0</v>
      </c>
      <c r="BH1372" s="257">
        <v>0</v>
      </c>
      <c r="BI1372" s="259">
        <v>0</v>
      </c>
      <c r="BJ1372" s="259">
        <v>0</v>
      </c>
      <c r="BK1372" s="259">
        <v>0</v>
      </c>
      <c r="BL1372" s="259">
        <v>0</v>
      </c>
      <c r="BM1372" s="382" t="s">
        <v>2755</v>
      </c>
      <c r="BN1372" s="261">
        <v>0</v>
      </c>
      <c r="BO1372" s="261">
        <v>0</v>
      </c>
      <c r="BP1372" s="261">
        <v>0</v>
      </c>
      <c r="BQ1372" s="261">
        <v>0</v>
      </c>
      <c r="BR1372" s="261">
        <v>0</v>
      </c>
      <c r="BS1372" s="261">
        <v>0</v>
      </c>
      <c r="BT1372" s="261">
        <v>0</v>
      </c>
      <c r="BU1372" s="267">
        <v>0</v>
      </c>
      <c r="BV1372" s="267"/>
      <c r="BW1372" s="267"/>
    </row>
    <row r="1373" spans="1:75" ht="20.100000000000001" customHeight="1">
      <c r="C1373" s="17">
        <v>63402001</v>
      </c>
      <c r="D1373" s="18" t="s">
        <v>2756</v>
      </c>
      <c r="E1373" s="18"/>
      <c r="F1373" s="17">
        <v>1</v>
      </c>
      <c r="G1373" s="17">
        <v>63002001</v>
      </c>
      <c r="H1373" s="17">
        <v>0</v>
      </c>
      <c r="I1373" s="28">
        <v>0</v>
      </c>
      <c r="J1373" s="19">
        <v>1</v>
      </c>
      <c r="K1373" s="19">
        <v>0</v>
      </c>
      <c r="L1373" s="17">
        <v>0</v>
      </c>
      <c r="M1373" s="17">
        <v>0</v>
      </c>
      <c r="N1373" s="17">
        <v>0</v>
      </c>
      <c r="O1373" s="17">
        <v>2</v>
      </c>
      <c r="P1373" s="17">
        <v>12</v>
      </c>
      <c r="Q1373" s="17">
        <v>1</v>
      </c>
      <c r="R1373" s="17">
        <v>0</v>
      </c>
      <c r="S1373" s="13">
        <v>0</v>
      </c>
      <c r="T1373" s="17">
        <v>0</v>
      </c>
      <c r="U1373" s="17">
        <v>1</v>
      </c>
      <c r="V1373" s="17">
        <v>2</v>
      </c>
      <c r="W1373" s="17">
        <v>0</v>
      </c>
      <c r="X1373" s="19">
        <v>0</v>
      </c>
      <c r="Y1373" s="13">
        <v>0</v>
      </c>
      <c r="Z1373" s="19">
        <v>0</v>
      </c>
      <c r="AA1373" s="17">
        <v>0</v>
      </c>
      <c r="AB1373" s="17">
        <v>0</v>
      </c>
      <c r="AC1373" s="17">
        <v>0</v>
      </c>
      <c r="AD1373" s="17">
        <v>1</v>
      </c>
      <c r="AE1373" s="17">
        <v>0</v>
      </c>
      <c r="AF1373" s="17">
        <v>60</v>
      </c>
      <c r="AG1373" s="17">
        <v>1</v>
      </c>
      <c r="AH1373" s="17">
        <v>10</v>
      </c>
      <c r="AI1373" s="13">
        <v>0</v>
      </c>
      <c r="AJ1373" s="13">
        <v>0</v>
      </c>
      <c r="AK1373" s="13">
        <v>0</v>
      </c>
      <c r="AL1373" s="13">
        <v>0</v>
      </c>
      <c r="AM1373" s="17">
        <v>0</v>
      </c>
      <c r="AN1373" s="17">
        <v>0</v>
      </c>
      <c r="AO1373" s="17">
        <v>0</v>
      </c>
      <c r="AP1373" s="17">
        <v>0</v>
      </c>
      <c r="AQ1373" s="17">
        <v>50000</v>
      </c>
      <c r="AR1373" s="17">
        <v>0</v>
      </c>
      <c r="AS1373" s="17">
        <v>0</v>
      </c>
      <c r="AT1373" s="13">
        <v>0</v>
      </c>
      <c r="AU1373" s="17">
        <v>90512001</v>
      </c>
      <c r="AV1373" s="17"/>
      <c r="AW1373" s="18" t="s">
        <v>198</v>
      </c>
      <c r="AX1373" s="17">
        <v>0</v>
      </c>
      <c r="AY1373" s="19">
        <v>0</v>
      </c>
      <c r="AZ1373" s="19">
        <v>0</v>
      </c>
      <c r="BA1373" s="18" t="s">
        <v>2680</v>
      </c>
      <c r="BB1373" s="17">
        <v>0</v>
      </c>
      <c r="BC1373" s="28">
        <v>0</v>
      </c>
      <c r="BD1373" s="28">
        <v>0</v>
      </c>
      <c r="BE1373" s="46" t="s">
        <v>2758</v>
      </c>
      <c r="BF1373" s="46"/>
      <c r="BG1373" s="17">
        <v>0</v>
      </c>
      <c r="BH1373" s="17">
        <v>0</v>
      </c>
      <c r="BI1373" s="17">
        <v>0</v>
      </c>
      <c r="BJ1373" s="17">
        <v>0</v>
      </c>
      <c r="BK1373" s="17">
        <v>0</v>
      </c>
      <c r="BL1373" s="17">
        <v>0</v>
      </c>
      <c r="BM1373" s="16">
        <v>0</v>
      </c>
      <c r="BN1373" s="13">
        <v>1</v>
      </c>
      <c r="BO1373" s="13">
        <v>0</v>
      </c>
      <c r="BP1373" s="13">
        <v>0</v>
      </c>
      <c r="BQ1373" s="13">
        <v>0</v>
      </c>
      <c r="BR1373" s="13">
        <v>0</v>
      </c>
      <c r="BS1373" s="13">
        <v>0</v>
      </c>
      <c r="BT1373" s="13">
        <v>0</v>
      </c>
      <c r="BU1373" s="49">
        <v>0</v>
      </c>
      <c r="BV1373" s="49"/>
      <c r="BW1373" s="49"/>
    </row>
    <row r="1374" spans="1:75" ht="20.100000000000001" customHeight="1">
      <c r="C1374" s="17">
        <v>63402002</v>
      </c>
      <c r="D1374" s="18" t="s">
        <v>2688</v>
      </c>
      <c r="E1374" s="18"/>
      <c r="F1374" s="17">
        <v>1</v>
      </c>
      <c r="G1374" s="17">
        <v>63002002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c r="BE1374" s="46" t="s">
        <v>2690</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spans="1:75" ht="20.100000000000001" customHeight="1">
      <c r="C1375" s="17">
        <v>63402003</v>
      </c>
      <c r="D1375" s="18" t="s">
        <v>2725</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2726</v>
      </c>
      <c r="BC1375" s="28"/>
      <c r="BD1375" s="28">
        <v>0</v>
      </c>
      <c r="BE1375" s="46" t="s">
        <v>2727</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63402004</v>
      </c>
      <c r="D1376" s="240" t="s">
        <v>2918</v>
      </c>
      <c r="E1376" s="18" t="s">
        <v>2775</v>
      </c>
      <c r="F1376" s="17">
        <v>1</v>
      </c>
      <c r="G1376" s="17">
        <v>63003003</v>
      </c>
      <c r="H1376" s="17">
        <v>0</v>
      </c>
      <c r="I1376" s="28">
        <v>0</v>
      </c>
      <c r="J1376" s="19">
        <v>1</v>
      </c>
      <c r="K1376" s="19">
        <v>0</v>
      </c>
      <c r="L1376" s="17">
        <v>0</v>
      </c>
      <c r="M1376" s="17">
        <v>0</v>
      </c>
      <c r="N1376" s="17">
        <v>0</v>
      </c>
      <c r="O1376" s="17">
        <v>8</v>
      </c>
      <c r="P1376" s="17">
        <v>0</v>
      </c>
      <c r="Q1376" s="17">
        <v>0</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2776</v>
      </c>
      <c r="BC1376" s="28">
        <v>0</v>
      </c>
      <c r="BD1376" s="28">
        <v>0</v>
      </c>
      <c r="BE1376" s="46" t="s">
        <v>2777</v>
      </c>
      <c r="BF1376" s="46" t="s">
        <v>2778</v>
      </c>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63403001</v>
      </c>
      <c r="D1377" s="18" t="s">
        <v>2738</v>
      </c>
      <c r="E1377" s="18"/>
      <c r="F1377" s="182">
        <v>1</v>
      </c>
      <c r="G1377" s="182">
        <v>63001004</v>
      </c>
      <c r="H1377" s="182">
        <v>0</v>
      </c>
      <c r="I1377" s="182">
        <v>0</v>
      </c>
      <c r="J1377" s="182">
        <v>1</v>
      </c>
      <c r="K1377" s="182">
        <v>0</v>
      </c>
      <c r="L1377" s="182">
        <v>0</v>
      </c>
      <c r="M1377" s="182">
        <v>0</v>
      </c>
      <c r="N1377" s="182">
        <v>0</v>
      </c>
      <c r="O1377" s="182">
        <v>2</v>
      </c>
      <c r="P1377" s="182">
        <v>10</v>
      </c>
      <c r="Q1377" s="182">
        <v>1</v>
      </c>
      <c r="R1377" s="182">
        <v>0</v>
      </c>
      <c r="S1377" s="182">
        <v>0</v>
      </c>
      <c r="T1377" s="182">
        <v>0</v>
      </c>
      <c r="U1377" s="182">
        <v>1</v>
      </c>
      <c r="V1377" s="182">
        <v>2</v>
      </c>
      <c r="W1377" s="182">
        <v>0</v>
      </c>
      <c r="X1377" s="182">
        <v>0</v>
      </c>
      <c r="Y1377" s="13">
        <v>0</v>
      </c>
      <c r="Z1377" s="182">
        <v>0</v>
      </c>
      <c r="AA1377" s="182">
        <v>0</v>
      </c>
      <c r="AB1377" s="182">
        <v>0</v>
      </c>
      <c r="AC1377" s="182">
        <v>0</v>
      </c>
      <c r="AD1377" s="17">
        <v>1</v>
      </c>
      <c r="AE1377" s="182">
        <v>0</v>
      </c>
      <c r="AF1377" s="182">
        <v>30</v>
      </c>
      <c r="AG1377" s="182">
        <v>0</v>
      </c>
      <c r="AH1377" s="182">
        <v>0</v>
      </c>
      <c r="AI1377" s="182">
        <v>7</v>
      </c>
      <c r="AJ1377" s="182">
        <v>0</v>
      </c>
      <c r="AK1377" s="182">
        <v>0</v>
      </c>
      <c r="AL1377" s="182">
        <v>3</v>
      </c>
      <c r="AM1377" s="182">
        <v>0</v>
      </c>
      <c r="AN1377" s="182">
        <v>0</v>
      </c>
      <c r="AO1377" s="182">
        <v>0</v>
      </c>
      <c r="AP1377" s="182">
        <v>0</v>
      </c>
      <c r="AQ1377" s="182">
        <v>2000</v>
      </c>
      <c r="AR1377" s="182">
        <v>0</v>
      </c>
      <c r="AS1377" s="182">
        <v>0</v>
      </c>
      <c r="AT1377" s="182">
        <v>0</v>
      </c>
      <c r="AU1377" s="182">
        <v>90503221</v>
      </c>
      <c r="AV1377" s="182"/>
      <c r="AW1377" s="240" t="s">
        <v>198</v>
      </c>
      <c r="AX1377" s="182">
        <v>0</v>
      </c>
      <c r="AY1377" s="182">
        <v>0</v>
      </c>
      <c r="AZ1377" s="182">
        <v>0</v>
      </c>
      <c r="BA1377" s="240" t="s">
        <v>200</v>
      </c>
      <c r="BB1377" s="240">
        <v>0</v>
      </c>
      <c r="BC1377" s="182">
        <v>0</v>
      </c>
      <c r="BD1377" s="182">
        <v>0</v>
      </c>
      <c r="BE1377" s="46" t="s">
        <v>2919</v>
      </c>
      <c r="BF1377" s="46"/>
      <c r="BG1377" s="182">
        <v>0</v>
      </c>
      <c r="BH1377" s="182">
        <v>0</v>
      </c>
      <c r="BI1377" s="182">
        <v>0</v>
      </c>
      <c r="BJ1377" s="182">
        <v>0</v>
      </c>
      <c r="BK1377" s="182">
        <v>0</v>
      </c>
      <c r="BL1377" s="182">
        <v>0</v>
      </c>
      <c r="BM1377" s="245">
        <v>0</v>
      </c>
      <c r="BN1377" s="182">
        <v>0</v>
      </c>
      <c r="BO1377" s="13">
        <v>0</v>
      </c>
      <c r="BP1377" s="13">
        <v>0</v>
      </c>
      <c r="BQ1377" s="13">
        <v>0</v>
      </c>
      <c r="BR1377" s="13">
        <v>0</v>
      </c>
      <c r="BS1377" s="13">
        <v>0</v>
      </c>
      <c r="BT1377" s="13">
        <v>0</v>
      </c>
      <c r="BU1377" s="49">
        <v>0</v>
      </c>
      <c r="BV1377" s="49"/>
      <c r="BW1377" s="49"/>
    </row>
    <row r="1378" spans="3:75" ht="20.100000000000001" customHeight="1">
      <c r="C1378" s="17">
        <v>63403002</v>
      </c>
      <c r="D1378" s="18" t="s">
        <v>2721</v>
      </c>
      <c r="E1378" s="18"/>
      <c r="F1378" s="17">
        <v>1</v>
      </c>
      <c r="G1378" s="17">
        <v>63003002</v>
      </c>
      <c r="H1378" s="17">
        <v>0</v>
      </c>
      <c r="I1378" s="28">
        <v>0</v>
      </c>
      <c r="J1378" s="19">
        <v>1</v>
      </c>
      <c r="K1378" s="19">
        <v>0</v>
      </c>
      <c r="L1378" s="17">
        <v>0</v>
      </c>
      <c r="M1378" s="17">
        <v>0</v>
      </c>
      <c r="N1378" s="17">
        <v>0</v>
      </c>
      <c r="O1378" s="17">
        <v>2</v>
      </c>
      <c r="P1378" s="17">
        <v>0</v>
      </c>
      <c r="Q1378" s="17">
        <v>0</v>
      </c>
      <c r="R1378" s="17">
        <v>0</v>
      </c>
      <c r="S1378" s="13">
        <v>0</v>
      </c>
      <c r="T1378" s="17">
        <v>0</v>
      </c>
      <c r="U1378" s="17">
        <v>1</v>
      </c>
      <c r="V1378" s="17">
        <v>0</v>
      </c>
      <c r="W1378" s="17">
        <v>0</v>
      </c>
      <c r="X1378" s="19">
        <v>0</v>
      </c>
      <c r="Y1378" s="13">
        <v>0</v>
      </c>
      <c r="Z1378" s="19">
        <v>0</v>
      </c>
      <c r="AA1378" s="17">
        <v>0</v>
      </c>
      <c r="AB1378" s="17">
        <v>0</v>
      </c>
      <c r="AC1378" s="17">
        <v>0</v>
      </c>
      <c r="AD1378" s="17">
        <v>1</v>
      </c>
      <c r="AE1378" s="17">
        <v>0</v>
      </c>
      <c r="AF1378" s="17">
        <v>0</v>
      </c>
      <c r="AG1378" s="17">
        <v>0</v>
      </c>
      <c r="AH1378" s="17" t="s">
        <v>198</v>
      </c>
      <c r="AI1378" s="13">
        <v>0</v>
      </c>
      <c r="AJ1378" s="13">
        <v>0</v>
      </c>
      <c r="AK1378" s="13">
        <v>0</v>
      </c>
      <c r="AL1378" s="13">
        <v>0</v>
      </c>
      <c r="AM1378" s="17">
        <v>0</v>
      </c>
      <c r="AN1378" s="17">
        <v>0</v>
      </c>
      <c r="AO1378" s="17">
        <v>0</v>
      </c>
      <c r="AP1378" s="17">
        <v>0</v>
      </c>
      <c r="AQ1378" s="17">
        <v>0</v>
      </c>
      <c r="AR1378" s="17">
        <v>0</v>
      </c>
      <c r="AS1378" s="17">
        <v>0</v>
      </c>
      <c r="AT1378" s="13">
        <v>0</v>
      </c>
      <c r="AU1378" s="17" t="s">
        <v>198</v>
      </c>
      <c r="AV1378" s="17"/>
      <c r="AW1378" s="18" t="s">
        <v>198</v>
      </c>
      <c r="AX1378" s="17">
        <v>0</v>
      </c>
      <c r="AY1378" s="19">
        <v>0</v>
      </c>
      <c r="AZ1378" s="19">
        <v>0</v>
      </c>
      <c r="BA1378" s="18" t="s">
        <v>198</v>
      </c>
      <c r="BB1378" s="17">
        <v>0</v>
      </c>
      <c r="BC1378" s="28"/>
      <c r="BD1378" s="28">
        <v>0</v>
      </c>
      <c r="BE1378" s="46" t="s">
        <v>2723</v>
      </c>
      <c r="BF1378" s="46"/>
      <c r="BG1378" s="17">
        <v>0</v>
      </c>
      <c r="BH1378" s="17">
        <v>0</v>
      </c>
      <c r="BI1378" s="17">
        <v>0</v>
      </c>
      <c r="BJ1378" s="17">
        <v>0</v>
      </c>
      <c r="BK1378" s="17">
        <v>0</v>
      </c>
      <c r="BL1378" s="17">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7">
        <v>63403003</v>
      </c>
      <c r="D1379" s="18" t="s">
        <v>2725</v>
      </c>
      <c r="E1379" s="18"/>
      <c r="F1379" s="17">
        <v>1</v>
      </c>
      <c r="G1379" s="17">
        <v>1000002</v>
      </c>
      <c r="H1379" s="17">
        <v>0</v>
      </c>
      <c r="I1379" s="28">
        <v>0</v>
      </c>
      <c r="J1379" s="19">
        <v>1</v>
      </c>
      <c r="K1379" s="19">
        <v>0</v>
      </c>
      <c r="L1379" s="17">
        <v>0</v>
      </c>
      <c r="M1379" s="17">
        <v>0</v>
      </c>
      <c r="N1379" s="17">
        <v>0</v>
      </c>
      <c r="O1379" s="17">
        <v>8</v>
      </c>
      <c r="P1379" s="17">
        <v>8</v>
      </c>
      <c r="Q1379" s="17">
        <v>2</v>
      </c>
      <c r="R1379" s="17">
        <v>0</v>
      </c>
      <c r="S1379" s="13">
        <v>0</v>
      </c>
      <c r="T1379" s="17">
        <v>0</v>
      </c>
      <c r="U1379" s="17">
        <v>1</v>
      </c>
      <c r="V1379" s="17">
        <v>0</v>
      </c>
      <c r="W1379" s="17">
        <v>0</v>
      </c>
      <c r="X1379" s="19">
        <v>0</v>
      </c>
      <c r="Y1379" s="13">
        <v>0</v>
      </c>
      <c r="Z1379" s="19">
        <v>0</v>
      </c>
      <c r="AA1379" s="17">
        <v>0</v>
      </c>
      <c r="AB1379" s="17">
        <v>0</v>
      </c>
      <c r="AC1379" s="17">
        <v>0</v>
      </c>
      <c r="AD1379" s="17">
        <v>1</v>
      </c>
      <c r="AE1379" s="17">
        <v>0</v>
      </c>
      <c r="AF1379" s="17">
        <v>0</v>
      </c>
      <c r="AG1379" s="17">
        <v>0</v>
      </c>
      <c r="AH1379" s="17" t="s">
        <v>198</v>
      </c>
      <c r="AI1379" s="13">
        <v>0</v>
      </c>
      <c r="AJ1379" s="13">
        <v>0</v>
      </c>
      <c r="AK1379" s="13">
        <v>0</v>
      </c>
      <c r="AL1379" s="13">
        <v>0</v>
      </c>
      <c r="AM1379" s="17">
        <v>0</v>
      </c>
      <c r="AN1379" s="17">
        <v>0</v>
      </c>
      <c r="AO1379" s="17">
        <v>0</v>
      </c>
      <c r="AP1379" s="17">
        <v>0</v>
      </c>
      <c r="AQ1379" s="17">
        <v>0</v>
      </c>
      <c r="AR1379" s="17">
        <v>0</v>
      </c>
      <c r="AS1379" s="17">
        <v>0</v>
      </c>
      <c r="AT1379" s="13">
        <v>0</v>
      </c>
      <c r="AU1379" s="17" t="s">
        <v>198</v>
      </c>
      <c r="AV1379" s="17"/>
      <c r="AW1379" s="18" t="s">
        <v>198</v>
      </c>
      <c r="AX1379" s="17">
        <v>0</v>
      </c>
      <c r="AY1379" s="19">
        <v>0</v>
      </c>
      <c r="AZ1379" s="19">
        <v>0</v>
      </c>
      <c r="BA1379" s="18" t="s">
        <v>198</v>
      </c>
      <c r="BB1379" s="17" t="s">
        <v>2726</v>
      </c>
      <c r="BC1379" s="28"/>
      <c r="BD1379" s="28">
        <v>0</v>
      </c>
      <c r="BE1379" s="46" t="s">
        <v>2727</v>
      </c>
      <c r="BF1379" s="46"/>
      <c r="BG1379" s="17">
        <v>0</v>
      </c>
      <c r="BH1379" s="17">
        <v>0</v>
      </c>
      <c r="BI1379" s="17">
        <v>0</v>
      </c>
      <c r="BJ1379" s="17">
        <v>0</v>
      </c>
      <c r="BK1379" s="17">
        <v>0</v>
      </c>
      <c r="BL1379" s="17">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7">
        <v>63403004</v>
      </c>
      <c r="D1380" s="240" t="s">
        <v>2920</v>
      </c>
      <c r="E1380" s="212" t="s">
        <v>2850</v>
      </c>
      <c r="F1380" s="204">
        <v>1</v>
      </c>
      <c r="G1380" s="204">
        <v>63001004</v>
      </c>
      <c r="H1380" s="204">
        <v>0</v>
      </c>
      <c r="I1380" s="204">
        <v>0</v>
      </c>
      <c r="J1380" s="204">
        <v>1</v>
      </c>
      <c r="K1380" s="204">
        <v>0</v>
      </c>
      <c r="L1380" s="204">
        <v>0</v>
      </c>
      <c r="M1380" s="204">
        <v>0</v>
      </c>
      <c r="N1380" s="204">
        <v>0</v>
      </c>
      <c r="O1380" s="204">
        <v>2</v>
      </c>
      <c r="P1380" s="204">
        <v>1</v>
      </c>
      <c r="Q1380" s="204">
        <v>0.15</v>
      </c>
      <c r="R1380" s="204">
        <v>0</v>
      </c>
      <c r="S1380" s="204">
        <v>0</v>
      </c>
      <c r="T1380" s="204">
        <v>0</v>
      </c>
      <c r="U1380" s="204">
        <v>1</v>
      </c>
      <c r="V1380" s="204">
        <v>2</v>
      </c>
      <c r="W1380" s="204">
        <v>0</v>
      </c>
      <c r="X1380" s="204">
        <v>0</v>
      </c>
      <c r="Y1380" s="13">
        <v>0</v>
      </c>
      <c r="Z1380" s="204">
        <v>0</v>
      </c>
      <c r="AA1380" s="204">
        <v>0</v>
      </c>
      <c r="AB1380" s="204">
        <v>0</v>
      </c>
      <c r="AC1380" s="204">
        <v>0</v>
      </c>
      <c r="AD1380" s="174">
        <v>1</v>
      </c>
      <c r="AE1380" s="204">
        <v>0</v>
      </c>
      <c r="AF1380" s="204">
        <v>3</v>
      </c>
      <c r="AG1380" s="204">
        <v>0</v>
      </c>
      <c r="AH1380" s="204">
        <v>0</v>
      </c>
      <c r="AI1380" s="204">
        <v>7</v>
      </c>
      <c r="AJ1380" s="204">
        <v>0</v>
      </c>
      <c r="AK1380" s="204">
        <v>0</v>
      </c>
      <c r="AL1380" s="204">
        <v>3</v>
      </c>
      <c r="AM1380" s="204">
        <v>0</v>
      </c>
      <c r="AN1380" s="204">
        <v>0</v>
      </c>
      <c r="AO1380" s="204">
        <v>0</v>
      </c>
      <c r="AP1380" s="204">
        <v>0</v>
      </c>
      <c r="AQ1380" s="204">
        <v>3000</v>
      </c>
      <c r="AR1380" s="204">
        <v>0.5</v>
      </c>
      <c r="AS1380" s="204">
        <v>0</v>
      </c>
      <c r="AT1380" s="381" t="s">
        <v>2921</v>
      </c>
      <c r="AU1380" s="204">
        <v>0</v>
      </c>
      <c r="AV1380" s="204"/>
      <c r="AW1380" s="212" t="s">
        <v>198</v>
      </c>
      <c r="AX1380" s="204">
        <v>0</v>
      </c>
      <c r="AY1380" s="204">
        <v>0</v>
      </c>
      <c r="AZ1380" s="204">
        <v>0</v>
      </c>
      <c r="BA1380" s="212" t="s">
        <v>200</v>
      </c>
      <c r="BB1380" s="212">
        <v>0</v>
      </c>
      <c r="BC1380" s="204">
        <v>0</v>
      </c>
      <c r="BD1380" s="204">
        <v>1</v>
      </c>
      <c r="BE1380" s="214" t="s">
        <v>2922</v>
      </c>
      <c r="BF1380" s="214" t="s">
        <v>2855</v>
      </c>
      <c r="BG1380" s="204">
        <v>0</v>
      </c>
      <c r="BH1380" s="204">
        <v>0</v>
      </c>
      <c r="BI1380" s="204">
        <v>0</v>
      </c>
      <c r="BJ1380" s="204">
        <v>0</v>
      </c>
      <c r="BK1380" s="204">
        <v>0</v>
      </c>
      <c r="BL1380" s="204">
        <v>0</v>
      </c>
      <c r="BM1380" s="217">
        <v>0</v>
      </c>
      <c r="BN1380" s="204">
        <v>0</v>
      </c>
      <c r="BO1380" s="177">
        <v>0</v>
      </c>
      <c r="BP1380" s="177">
        <v>0</v>
      </c>
      <c r="BQ1380" s="177">
        <v>0</v>
      </c>
      <c r="BR1380" s="177">
        <v>0</v>
      </c>
      <c r="BS1380" s="177">
        <v>0</v>
      </c>
      <c r="BT1380" s="13">
        <v>0</v>
      </c>
      <c r="BU1380" s="49">
        <v>0</v>
      </c>
      <c r="BV1380" s="49"/>
      <c r="BW1380" s="49"/>
    </row>
    <row r="1381" spans="3:75" ht="20.100000000000001" customHeight="1">
      <c r="C1381" s="19">
        <v>64000001</v>
      </c>
      <c r="D1381" s="20" t="s">
        <v>440</v>
      </c>
      <c r="E1381" s="20" t="s">
        <v>441</v>
      </c>
      <c r="F1381" s="19">
        <v>1</v>
      </c>
      <c r="G1381" s="19">
        <v>10041</v>
      </c>
      <c r="H1381" s="19">
        <v>0</v>
      </c>
      <c r="I1381" s="28">
        <v>0</v>
      </c>
      <c r="J1381" s="19">
        <v>1</v>
      </c>
      <c r="K1381" s="19">
        <v>0</v>
      </c>
      <c r="L1381" s="17">
        <v>0</v>
      </c>
      <c r="M1381" s="19">
        <v>0</v>
      </c>
      <c r="N1381" s="19">
        <v>0</v>
      </c>
      <c r="O1381" s="19">
        <v>2</v>
      </c>
      <c r="P1381" s="19">
        <v>1</v>
      </c>
      <c r="Q1381" s="19">
        <v>0.5</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9">
        <v>18</v>
      </c>
      <c r="AG1381" s="19">
        <v>0</v>
      </c>
      <c r="AH1381" s="19">
        <v>0</v>
      </c>
      <c r="AI1381" s="13">
        <v>2</v>
      </c>
      <c r="AJ1381" s="13">
        <v>0</v>
      </c>
      <c r="AK1381" s="13">
        <v>0</v>
      </c>
      <c r="AL1381" s="13">
        <v>0</v>
      </c>
      <c r="AM1381" s="19">
        <v>0</v>
      </c>
      <c r="AN1381" s="19">
        <v>0</v>
      </c>
      <c r="AO1381" s="19">
        <v>0</v>
      </c>
      <c r="AP1381" s="17">
        <v>0</v>
      </c>
      <c r="AQ1381" s="19">
        <v>1000</v>
      </c>
      <c r="AR1381" s="19">
        <v>0</v>
      </c>
      <c r="AS1381" s="19">
        <v>0</v>
      </c>
      <c r="AT1381" s="13">
        <v>90600010</v>
      </c>
      <c r="AU1381" s="19">
        <v>0</v>
      </c>
      <c r="AV1381" s="19"/>
      <c r="AW1381" s="20" t="s">
        <v>199</v>
      </c>
      <c r="AX1381" s="19" t="s">
        <v>1814</v>
      </c>
      <c r="AY1381" s="19">
        <v>0</v>
      </c>
      <c r="AZ1381" s="19">
        <v>40000003</v>
      </c>
      <c r="BA1381" s="20" t="s">
        <v>200</v>
      </c>
      <c r="BB1381" s="20" t="s">
        <v>198</v>
      </c>
      <c r="BC1381" s="28">
        <v>0</v>
      </c>
      <c r="BD1381" s="28">
        <v>0</v>
      </c>
      <c r="BE1381" s="89" t="s">
        <v>2923</v>
      </c>
      <c r="BF1381" s="89" t="s">
        <v>2924</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64000002</v>
      </c>
      <c r="D1382" s="20" t="s">
        <v>2530</v>
      </c>
      <c r="E1382" s="20" t="s">
        <v>2531</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7">
        <v>0</v>
      </c>
      <c r="AQ1382" s="19">
        <v>1000</v>
      </c>
      <c r="AR1382" s="19">
        <v>0</v>
      </c>
      <c r="AS1382" s="19">
        <v>0</v>
      </c>
      <c r="AT1382" s="13">
        <v>90600020</v>
      </c>
      <c r="AU1382" s="19">
        <v>0</v>
      </c>
      <c r="AV1382" s="19"/>
      <c r="AW1382" s="20" t="s">
        <v>199</v>
      </c>
      <c r="AX1382" s="19" t="s">
        <v>1814</v>
      </c>
      <c r="AY1382" s="19">
        <v>0</v>
      </c>
      <c r="AZ1382" s="19">
        <v>0</v>
      </c>
      <c r="BA1382" s="20" t="s">
        <v>200</v>
      </c>
      <c r="BB1382" s="20" t="s">
        <v>198</v>
      </c>
      <c r="BC1382" s="28">
        <v>0</v>
      </c>
      <c r="BD1382" s="28">
        <v>0</v>
      </c>
      <c r="BE1382" s="89" t="s">
        <v>2925</v>
      </c>
      <c r="BF1382" s="89" t="s">
        <v>2926</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64000003</v>
      </c>
      <c r="D1383" s="20" t="s">
        <v>2927</v>
      </c>
      <c r="E1383" s="20" t="s">
        <v>2928</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90600030</v>
      </c>
      <c r="AU1383" s="19">
        <v>0</v>
      </c>
      <c r="AV1383" s="19"/>
      <c r="AW1383" s="20" t="s">
        <v>199</v>
      </c>
      <c r="AX1383" s="19" t="s">
        <v>1814</v>
      </c>
      <c r="AY1383" s="19">
        <v>0</v>
      </c>
      <c r="AZ1383" s="19">
        <v>0</v>
      </c>
      <c r="BA1383" s="20" t="s">
        <v>200</v>
      </c>
      <c r="BB1383" s="20" t="s">
        <v>198</v>
      </c>
      <c r="BC1383" s="28">
        <v>0</v>
      </c>
      <c r="BD1383" s="28">
        <v>0</v>
      </c>
      <c r="BE1383" s="89" t="s">
        <v>2929</v>
      </c>
      <c r="BF1383" s="89" t="s">
        <v>2930</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64000004</v>
      </c>
      <c r="D1384" s="20" t="s">
        <v>2931</v>
      </c>
      <c r="E1384" s="20" t="s">
        <v>2932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90600040</v>
      </c>
      <c r="AU1384" s="19">
        <v>0</v>
      </c>
      <c r="AV1384" s="19"/>
      <c r="AW1384" s="20" t="s">
        <v>199</v>
      </c>
      <c r="AX1384" s="19" t="s">
        <v>1814</v>
      </c>
      <c r="AY1384" s="19">
        <v>0</v>
      </c>
      <c r="AZ1384" s="19">
        <v>0</v>
      </c>
      <c r="BA1384" s="20" t="s">
        <v>200</v>
      </c>
      <c r="BB1384" s="20" t="s">
        <v>198</v>
      </c>
      <c r="BC1384" s="28">
        <v>0</v>
      </c>
      <c r="BD1384" s="28">
        <v>0</v>
      </c>
      <c r="BE1384" s="89" t="s">
        <v>2933</v>
      </c>
      <c r="BF1384" s="89" t="s">
        <v>2934</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64000005</v>
      </c>
      <c r="D1385" s="20" t="s">
        <v>567</v>
      </c>
      <c r="E1385" s="20" t="s">
        <v>568</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90600050</v>
      </c>
      <c r="AU1385" s="19">
        <v>0</v>
      </c>
      <c r="AV1385" s="19"/>
      <c r="AW1385" s="20" t="s">
        <v>199</v>
      </c>
      <c r="AX1385" s="19" t="s">
        <v>1814</v>
      </c>
      <c r="AY1385" s="19">
        <v>0</v>
      </c>
      <c r="AZ1385" s="19">
        <v>0</v>
      </c>
      <c r="BA1385" s="20" t="s">
        <v>200</v>
      </c>
      <c r="BB1385" s="20" t="s">
        <v>198</v>
      </c>
      <c r="BC1385" s="28">
        <v>0</v>
      </c>
      <c r="BD1385" s="28">
        <v>0</v>
      </c>
      <c r="BE1385" s="89" t="s">
        <v>2935</v>
      </c>
      <c r="BF1385" s="89" t="s">
        <v>2936</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64000006</v>
      </c>
      <c r="D1386" s="20" t="s">
        <v>2937</v>
      </c>
      <c r="E1386" s="20" t="s">
        <v>2938</v>
      </c>
      <c r="F1386" s="19">
        <v>1</v>
      </c>
      <c r="G1386" s="19">
        <v>60010500</v>
      </c>
      <c r="H1386" s="19">
        <v>0</v>
      </c>
      <c r="I1386" s="28">
        <v>0</v>
      </c>
      <c r="J1386" s="19">
        <v>1</v>
      </c>
      <c r="K1386" s="19">
        <v>0</v>
      </c>
      <c r="L1386" s="17">
        <v>0</v>
      </c>
      <c r="M1386" s="19">
        <v>0</v>
      </c>
      <c r="N1386" s="19">
        <v>0</v>
      </c>
      <c r="O1386" s="19">
        <v>2</v>
      </c>
      <c r="P1386" s="19">
        <v>2</v>
      </c>
      <c r="Q1386" s="19">
        <v>0.6</v>
      </c>
      <c r="R1386" s="19">
        <v>0</v>
      </c>
      <c r="S1386" s="13">
        <v>0</v>
      </c>
      <c r="T1386" s="28">
        <v>0</v>
      </c>
      <c r="U1386" s="17">
        <v>1</v>
      </c>
      <c r="V1386" s="19">
        <v>2</v>
      </c>
      <c r="W1386" s="19">
        <v>0</v>
      </c>
      <c r="X1386" s="19">
        <v>0</v>
      </c>
      <c r="Y1386" s="13">
        <v>0</v>
      </c>
      <c r="Z1386" s="19">
        <v>0</v>
      </c>
      <c r="AA1386" s="19">
        <v>0</v>
      </c>
      <c r="AB1386" s="19">
        <v>0</v>
      </c>
      <c r="AC1386" s="19">
        <v>0</v>
      </c>
      <c r="AD1386" s="17">
        <v>1</v>
      </c>
      <c r="AE1386" s="19">
        <v>0</v>
      </c>
      <c r="AF1386" s="17">
        <v>99999</v>
      </c>
      <c r="AG1386" s="19">
        <v>0</v>
      </c>
      <c r="AH1386" s="19">
        <v>0</v>
      </c>
      <c r="AI1386" s="13">
        <v>2</v>
      </c>
      <c r="AJ1386" s="13">
        <v>0</v>
      </c>
      <c r="AK1386" s="13">
        <v>0</v>
      </c>
      <c r="AL1386" s="13">
        <v>0</v>
      </c>
      <c r="AM1386" s="19">
        <v>0</v>
      </c>
      <c r="AN1386" s="19">
        <v>0</v>
      </c>
      <c r="AO1386" s="19">
        <v>0</v>
      </c>
      <c r="AP1386" s="19">
        <v>0</v>
      </c>
      <c r="AQ1386" s="19">
        <v>1000</v>
      </c>
      <c r="AR1386" s="19">
        <v>0</v>
      </c>
      <c r="AS1386" s="19">
        <v>0</v>
      </c>
      <c r="AT1386" s="13">
        <v>90600060</v>
      </c>
      <c r="AU1386" s="19">
        <v>0</v>
      </c>
      <c r="AV1386" s="19"/>
      <c r="AW1386" s="20" t="s">
        <v>199</v>
      </c>
      <c r="AX1386" s="19" t="s">
        <v>1814</v>
      </c>
      <c r="AY1386" s="19">
        <v>0</v>
      </c>
      <c r="AZ1386" s="19">
        <v>0</v>
      </c>
      <c r="BA1386" s="20" t="s">
        <v>200</v>
      </c>
      <c r="BB1386" s="20" t="s">
        <v>198</v>
      </c>
      <c r="BC1386" s="28">
        <v>0</v>
      </c>
      <c r="BD1386" s="28">
        <v>0</v>
      </c>
      <c r="BE1386" s="89" t="s">
        <v>2939</v>
      </c>
      <c r="BF1386" s="89" t="s">
        <v>2940</v>
      </c>
      <c r="BG1386" s="19">
        <v>0</v>
      </c>
      <c r="BH1386" s="17">
        <v>0</v>
      </c>
      <c r="BI1386" s="19">
        <v>0</v>
      </c>
      <c r="BJ1386" s="19">
        <v>0</v>
      </c>
      <c r="BK1386" s="19">
        <v>0</v>
      </c>
      <c r="BL1386" s="19">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64000007</v>
      </c>
      <c r="D1387" s="20" t="s">
        <v>2941</v>
      </c>
      <c r="E1387" s="20" t="s">
        <v>2942</v>
      </c>
      <c r="F1387" s="19">
        <v>1</v>
      </c>
      <c r="G1387" s="19">
        <v>60010500</v>
      </c>
      <c r="H1387" s="19">
        <v>0</v>
      </c>
      <c r="I1387" s="28">
        <v>0</v>
      </c>
      <c r="J1387" s="19">
        <v>1</v>
      </c>
      <c r="K1387" s="19">
        <v>0</v>
      </c>
      <c r="L1387" s="17">
        <v>0</v>
      </c>
      <c r="M1387" s="19">
        <v>0</v>
      </c>
      <c r="N1387" s="19">
        <v>0</v>
      </c>
      <c r="O1387" s="19">
        <v>2</v>
      </c>
      <c r="P1387" s="19">
        <v>2</v>
      </c>
      <c r="Q1387" s="19">
        <v>0.6</v>
      </c>
      <c r="R1387" s="19">
        <v>0</v>
      </c>
      <c r="S1387" s="13">
        <v>0</v>
      </c>
      <c r="T1387" s="28">
        <v>0</v>
      </c>
      <c r="U1387" s="17">
        <v>1</v>
      </c>
      <c r="V1387" s="19">
        <v>2</v>
      </c>
      <c r="W1387" s="19">
        <v>0</v>
      </c>
      <c r="X1387" s="19">
        <v>0</v>
      </c>
      <c r="Y1387" s="13">
        <v>0</v>
      </c>
      <c r="Z1387" s="19">
        <v>0</v>
      </c>
      <c r="AA1387" s="19">
        <v>0</v>
      </c>
      <c r="AB1387" s="19">
        <v>0</v>
      </c>
      <c r="AC1387" s="19">
        <v>0</v>
      </c>
      <c r="AD1387" s="17">
        <v>1</v>
      </c>
      <c r="AE1387" s="19">
        <v>0</v>
      </c>
      <c r="AF1387" s="17">
        <v>99999</v>
      </c>
      <c r="AG1387" s="19">
        <v>0</v>
      </c>
      <c r="AH1387" s="19">
        <v>0</v>
      </c>
      <c r="AI1387" s="13">
        <v>2</v>
      </c>
      <c r="AJ1387" s="13">
        <v>0</v>
      </c>
      <c r="AK1387" s="13">
        <v>0</v>
      </c>
      <c r="AL1387" s="13">
        <v>0</v>
      </c>
      <c r="AM1387" s="19">
        <v>0</v>
      </c>
      <c r="AN1387" s="19">
        <v>0</v>
      </c>
      <c r="AO1387" s="19">
        <v>0</v>
      </c>
      <c r="AP1387" s="19">
        <v>0</v>
      </c>
      <c r="AQ1387" s="19">
        <v>1000</v>
      </c>
      <c r="AR1387" s="19">
        <v>0</v>
      </c>
      <c r="AS1387" s="19">
        <v>0</v>
      </c>
      <c r="AT1387" s="13">
        <v>90600070</v>
      </c>
      <c r="AU1387" s="19">
        <v>0</v>
      </c>
      <c r="AV1387" s="19"/>
      <c r="AW1387" s="20" t="s">
        <v>199</v>
      </c>
      <c r="AX1387" s="19" t="s">
        <v>1814</v>
      </c>
      <c r="AY1387" s="19">
        <v>0</v>
      </c>
      <c r="AZ1387" s="19">
        <v>0</v>
      </c>
      <c r="BA1387" s="20" t="s">
        <v>200</v>
      </c>
      <c r="BB1387" s="20" t="s">
        <v>198</v>
      </c>
      <c r="BC1387" s="28">
        <v>0</v>
      </c>
      <c r="BD1387" s="28">
        <v>0</v>
      </c>
      <c r="BE1387" s="89" t="s">
        <v>2943</v>
      </c>
      <c r="BF1387" s="89" t="s">
        <v>2944</v>
      </c>
      <c r="BG1387" s="19">
        <v>0</v>
      </c>
      <c r="BH1387" s="17">
        <v>0</v>
      </c>
      <c r="BI1387" s="19">
        <v>0</v>
      </c>
      <c r="BJ1387" s="19">
        <v>0</v>
      </c>
      <c r="BK1387" s="19">
        <v>0</v>
      </c>
      <c r="BL1387" s="19">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64000008</v>
      </c>
      <c r="D1388" s="20" t="s">
        <v>621</v>
      </c>
      <c r="E1388" s="20" t="s">
        <v>622</v>
      </c>
      <c r="F1388" s="19">
        <v>1</v>
      </c>
      <c r="G1388" s="19">
        <v>60010500</v>
      </c>
      <c r="H1388" s="19">
        <v>0</v>
      </c>
      <c r="I1388" s="28">
        <v>0</v>
      </c>
      <c r="J1388" s="19">
        <v>1</v>
      </c>
      <c r="K1388" s="19">
        <v>0</v>
      </c>
      <c r="L1388" s="17">
        <v>0</v>
      </c>
      <c r="M1388" s="19">
        <v>0</v>
      </c>
      <c r="N1388" s="19">
        <v>0</v>
      </c>
      <c r="O1388" s="19">
        <v>2</v>
      </c>
      <c r="P1388" s="19">
        <v>2</v>
      </c>
      <c r="Q1388" s="19">
        <v>0.6</v>
      </c>
      <c r="R1388" s="19">
        <v>0</v>
      </c>
      <c r="S1388" s="13">
        <v>0</v>
      </c>
      <c r="T1388" s="28">
        <v>0</v>
      </c>
      <c r="U1388" s="17">
        <v>1</v>
      </c>
      <c r="V1388" s="19">
        <v>2</v>
      </c>
      <c r="W1388" s="19">
        <v>0</v>
      </c>
      <c r="X1388" s="19">
        <v>0</v>
      </c>
      <c r="Y1388" s="13">
        <v>0</v>
      </c>
      <c r="Z1388" s="19">
        <v>0</v>
      </c>
      <c r="AA1388" s="19">
        <v>0</v>
      </c>
      <c r="AB1388" s="19">
        <v>0</v>
      </c>
      <c r="AC1388" s="19">
        <v>0</v>
      </c>
      <c r="AD1388" s="17">
        <v>1</v>
      </c>
      <c r="AE1388" s="19">
        <v>0</v>
      </c>
      <c r="AF1388" s="17">
        <v>99999</v>
      </c>
      <c r="AG1388" s="19">
        <v>0</v>
      </c>
      <c r="AH1388" s="19">
        <v>0</v>
      </c>
      <c r="AI1388" s="13">
        <v>2</v>
      </c>
      <c r="AJ1388" s="13">
        <v>0</v>
      </c>
      <c r="AK1388" s="13">
        <v>0</v>
      </c>
      <c r="AL1388" s="13">
        <v>0</v>
      </c>
      <c r="AM1388" s="19">
        <v>0</v>
      </c>
      <c r="AN1388" s="19">
        <v>0</v>
      </c>
      <c r="AO1388" s="19">
        <v>0</v>
      </c>
      <c r="AP1388" s="19">
        <v>0</v>
      </c>
      <c r="AQ1388" s="19">
        <v>1000</v>
      </c>
      <c r="AR1388" s="19">
        <v>0</v>
      </c>
      <c r="AS1388" s="19">
        <v>0</v>
      </c>
      <c r="AT1388" s="13">
        <v>0</v>
      </c>
      <c r="AU1388" s="19" t="s">
        <v>198</v>
      </c>
      <c r="AV1388" s="19"/>
      <c r="AW1388" s="20" t="s">
        <v>199</v>
      </c>
      <c r="AX1388" s="19" t="s">
        <v>1814</v>
      </c>
      <c r="AY1388" s="19">
        <v>0</v>
      </c>
      <c r="AZ1388" s="19">
        <v>0</v>
      </c>
      <c r="BA1388" s="20" t="s">
        <v>200</v>
      </c>
      <c r="BB1388" s="20" t="s">
        <v>198</v>
      </c>
      <c r="BC1388" s="28">
        <v>0</v>
      </c>
      <c r="BD1388" s="28">
        <v>0</v>
      </c>
      <c r="BE1388" s="89" t="s">
        <v>2945</v>
      </c>
      <c r="BF1388" s="89" t="s">
        <v>2946</v>
      </c>
      <c r="BG1388" s="19">
        <v>0</v>
      </c>
      <c r="BH1388" s="17">
        <v>0</v>
      </c>
      <c r="BI1388" s="19">
        <v>0</v>
      </c>
      <c r="BJ1388" s="19">
        <v>0</v>
      </c>
      <c r="BK1388" s="19">
        <v>0</v>
      </c>
      <c r="BL1388" s="19">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64100001</v>
      </c>
      <c r="D1389" s="20" t="s">
        <v>2947</v>
      </c>
      <c r="E1389" s="20" t="s">
        <v>2948</v>
      </c>
      <c r="F1389" s="17">
        <v>1</v>
      </c>
      <c r="G1389" s="13">
        <v>0</v>
      </c>
      <c r="H1389" s="19">
        <v>0</v>
      </c>
      <c r="I1389" s="13">
        <v>0</v>
      </c>
      <c r="J1389" s="17">
        <v>0</v>
      </c>
      <c r="K1389" s="19">
        <v>0</v>
      </c>
      <c r="L1389" s="17">
        <v>0</v>
      </c>
      <c r="M1389" s="13">
        <v>0</v>
      </c>
      <c r="N1389" s="13">
        <v>0</v>
      </c>
      <c r="O1389" s="19">
        <v>2</v>
      </c>
      <c r="P1389" s="19">
        <v>3</v>
      </c>
      <c r="Q1389" s="19">
        <v>0.05</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1</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3">
        <v>0</v>
      </c>
      <c r="AU1389" s="19">
        <v>90610011</v>
      </c>
      <c r="AV1389" s="19"/>
      <c r="AW1389" s="14" t="s">
        <v>256</v>
      </c>
      <c r="AX1389" s="13" t="s">
        <v>1853</v>
      </c>
      <c r="AY1389" s="13" t="s">
        <v>198</v>
      </c>
      <c r="AZ1389" s="13">
        <v>0</v>
      </c>
      <c r="BA1389" s="14" t="s">
        <v>200</v>
      </c>
      <c r="BB1389" s="13">
        <v>0</v>
      </c>
      <c r="BC1389" s="13">
        <v>0</v>
      </c>
      <c r="BD1389" s="13">
        <v>0</v>
      </c>
      <c r="BE1389" s="44" t="s">
        <v>2949</v>
      </c>
      <c r="BF1389" s="44" t="s">
        <v>2950</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100000000000001" customHeight="1">
      <c r="C1390" s="19">
        <v>64100002</v>
      </c>
      <c r="D1390" s="20" t="s">
        <v>2951</v>
      </c>
      <c r="E1390" s="20" t="s">
        <v>2952</v>
      </c>
      <c r="F1390" s="17">
        <v>1</v>
      </c>
      <c r="G1390" s="13">
        <v>0</v>
      </c>
      <c r="H1390" s="19">
        <v>0</v>
      </c>
      <c r="I1390" s="13">
        <v>0</v>
      </c>
      <c r="J1390" s="17">
        <v>0</v>
      </c>
      <c r="K1390" s="19">
        <v>0</v>
      </c>
      <c r="L1390" s="17">
        <v>0</v>
      </c>
      <c r="M1390" s="13">
        <v>0</v>
      </c>
      <c r="N1390" s="13">
        <v>0</v>
      </c>
      <c r="O1390" s="19">
        <v>2</v>
      </c>
      <c r="P1390" s="19">
        <v>1</v>
      </c>
      <c r="Q1390" s="19">
        <v>1</v>
      </c>
      <c r="R1390" s="13">
        <v>0</v>
      </c>
      <c r="S1390" s="13">
        <v>0</v>
      </c>
      <c r="T1390" s="13">
        <v>0</v>
      </c>
      <c r="U1390" s="17">
        <v>1</v>
      </c>
      <c r="V1390" s="13">
        <v>2</v>
      </c>
      <c r="W1390" s="13">
        <v>0</v>
      </c>
      <c r="X1390" s="19">
        <v>0</v>
      </c>
      <c r="Y1390" s="13">
        <v>0</v>
      </c>
      <c r="Z1390" s="19">
        <v>0</v>
      </c>
      <c r="AA1390" s="13">
        <v>0</v>
      </c>
      <c r="AB1390" s="13">
        <v>0</v>
      </c>
      <c r="AC1390" s="13">
        <v>0</v>
      </c>
      <c r="AD1390" s="19">
        <v>0</v>
      </c>
      <c r="AE1390" s="13">
        <v>0</v>
      </c>
      <c r="AF1390" s="19">
        <v>30</v>
      </c>
      <c r="AG1390" s="13">
        <v>1</v>
      </c>
      <c r="AH1390" s="13">
        <v>3</v>
      </c>
      <c r="AI1390" s="13">
        <v>2</v>
      </c>
      <c r="AJ1390" s="13">
        <v>1</v>
      </c>
      <c r="AK1390" s="13">
        <v>1</v>
      </c>
      <c r="AL1390" s="13">
        <v>6</v>
      </c>
      <c r="AM1390" s="13">
        <v>0</v>
      </c>
      <c r="AN1390" s="13">
        <v>0</v>
      </c>
      <c r="AO1390" s="13">
        <v>0</v>
      </c>
      <c r="AP1390" s="19">
        <v>0</v>
      </c>
      <c r="AQ1390" s="13">
        <v>3000</v>
      </c>
      <c r="AR1390" s="13">
        <v>0.1</v>
      </c>
      <c r="AS1390" s="13">
        <v>0</v>
      </c>
      <c r="AT1390" s="13">
        <v>0</v>
      </c>
      <c r="AU1390" s="19">
        <v>90610021</v>
      </c>
      <c r="AV1390" s="19"/>
      <c r="AW1390" s="14" t="s">
        <v>256</v>
      </c>
      <c r="AX1390" s="13" t="s">
        <v>1853</v>
      </c>
      <c r="AY1390" s="13" t="s">
        <v>198</v>
      </c>
      <c r="AZ1390" s="13">
        <v>0</v>
      </c>
      <c r="BA1390" s="14" t="s">
        <v>200</v>
      </c>
      <c r="BB1390" s="13">
        <v>0</v>
      </c>
      <c r="BC1390" s="13">
        <v>0</v>
      </c>
      <c r="BD1390" s="13">
        <v>0</v>
      </c>
      <c r="BE1390" s="44" t="s">
        <v>2949</v>
      </c>
      <c r="BF1390" s="44" t="s">
        <v>2950</v>
      </c>
      <c r="BG1390" s="13">
        <v>0</v>
      </c>
      <c r="BH1390" s="17">
        <v>0</v>
      </c>
      <c r="BI1390" s="13">
        <v>0</v>
      </c>
      <c r="BJ1390" s="13">
        <v>0</v>
      </c>
      <c r="BK1390" s="13">
        <v>0</v>
      </c>
      <c r="BL1390" s="13">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64100003</v>
      </c>
      <c r="D1391" s="18" t="s">
        <v>2953</v>
      </c>
      <c r="E1391" s="18" t="s">
        <v>2954</v>
      </c>
      <c r="F1391" s="19">
        <v>1</v>
      </c>
      <c r="G1391" s="13">
        <v>0</v>
      </c>
      <c r="H1391" s="19">
        <v>0</v>
      </c>
      <c r="I1391" s="28">
        <v>0</v>
      </c>
      <c r="J1391" s="17">
        <v>0</v>
      </c>
      <c r="K1391" s="19">
        <v>0</v>
      </c>
      <c r="L1391" s="19">
        <v>0</v>
      </c>
      <c r="M1391" s="17">
        <v>0</v>
      </c>
      <c r="N1391" s="17">
        <v>0</v>
      </c>
      <c r="O1391" s="17">
        <v>2</v>
      </c>
      <c r="P1391" s="17">
        <v>3</v>
      </c>
      <c r="Q1391" s="17">
        <v>0.2</v>
      </c>
      <c r="R1391" s="17">
        <v>0</v>
      </c>
      <c r="S1391" s="13">
        <v>1</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10000007</v>
      </c>
      <c r="AZ1391" s="19">
        <v>70103003</v>
      </c>
      <c r="BA1391" s="18" t="s">
        <v>200</v>
      </c>
      <c r="BB1391" s="17" t="s">
        <v>2955</v>
      </c>
      <c r="BC1391" s="28">
        <v>0</v>
      </c>
      <c r="BD1391" s="28">
        <v>0</v>
      </c>
      <c r="BE1391" s="46" t="s">
        <v>2956</v>
      </c>
      <c r="BF1391" s="46" t="s">
        <v>2957</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64100004</v>
      </c>
      <c r="D1392" s="20" t="s">
        <v>2958</v>
      </c>
      <c r="E1392" s="20" t="s">
        <v>2959</v>
      </c>
      <c r="F1392" s="17">
        <v>1</v>
      </c>
      <c r="G1392" s="13">
        <v>0</v>
      </c>
      <c r="H1392" s="19">
        <v>0</v>
      </c>
      <c r="I1392" s="13">
        <v>0</v>
      </c>
      <c r="J1392" s="17">
        <v>0</v>
      </c>
      <c r="K1392" s="19">
        <v>0</v>
      </c>
      <c r="L1392" s="17">
        <v>0</v>
      </c>
      <c r="M1392" s="13">
        <v>0</v>
      </c>
      <c r="N1392" s="13">
        <v>0</v>
      </c>
      <c r="O1392" s="19">
        <v>2</v>
      </c>
      <c r="P1392" s="19">
        <v>1</v>
      </c>
      <c r="Q1392" s="19">
        <v>1</v>
      </c>
      <c r="R1392" s="13">
        <v>0</v>
      </c>
      <c r="S1392" s="13">
        <v>0</v>
      </c>
      <c r="T1392" s="13">
        <v>0</v>
      </c>
      <c r="U1392" s="17">
        <v>1</v>
      </c>
      <c r="V1392" s="13">
        <v>2</v>
      </c>
      <c r="W1392" s="13">
        <v>0</v>
      </c>
      <c r="X1392" s="19">
        <v>0</v>
      </c>
      <c r="Y1392" s="13">
        <v>0</v>
      </c>
      <c r="Z1392" s="19">
        <v>0</v>
      </c>
      <c r="AA1392" s="13">
        <v>0</v>
      </c>
      <c r="AB1392" s="13">
        <v>0</v>
      </c>
      <c r="AC1392" s="13">
        <v>0</v>
      </c>
      <c r="AD1392" s="19">
        <v>0</v>
      </c>
      <c r="AE1392" s="13">
        <v>0</v>
      </c>
      <c r="AF1392" s="19">
        <v>30</v>
      </c>
      <c r="AG1392" s="13">
        <v>1</v>
      </c>
      <c r="AH1392" s="13">
        <v>3</v>
      </c>
      <c r="AI1392" s="13">
        <v>2</v>
      </c>
      <c r="AJ1392" s="13">
        <v>1</v>
      </c>
      <c r="AK1392" s="13">
        <v>1</v>
      </c>
      <c r="AL1392" s="13">
        <v>6</v>
      </c>
      <c r="AM1392" s="13">
        <v>0</v>
      </c>
      <c r="AN1392" s="13">
        <v>0</v>
      </c>
      <c r="AO1392" s="13">
        <v>0</v>
      </c>
      <c r="AP1392" s="19">
        <v>0</v>
      </c>
      <c r="AQ1392" s="13">
        <v>3000</v>
      </c>
      <c r="AR1392" s="13">
        <v>0.1</v>
      </c>
      <c r="AS1392" s="13">
        <v>0</v>
      </c>
      <c r="AT1392" s="19">
        <v>90610041</v>
      </c>
      <c r="AU1392" s="19">
        <v>90610041</v>
      </c>
      <c r="AV1392" s="19"/>
      <c r="AW1392" s="14" t="s">
        <v>256</v>
      </c>
      <c r="AX1392" s="13" t="s">
        <v>1853</v>
      </c>
      <c r="AY1392" s="13" t="s">
        <v>198</v>
      </c>
      <c r="AZ1392" s="13">
        <v>0</v>
      </c>
      <c r="BA1392" s="14" t="s">
        <v>200</v>
      </c>
      <c r="BB1392" s="13">
        <v>0</v>
      </c>
      <c r="BC1392" s="13">
        <v>0</v>
      </c>
      <c r="BD1392" s="13">
        <v>0</v>
      </c>
      <c r="BE1392" s="44" t="s">
        <v>2949</v>
      </c>
      <c r="BF1392" s="44" t="s">
        <v>2950</v>
      </c>
      <c r="BG1392" s="13">
        <v>0</v>
      </c>
      <c r="BH1392" s="17">
        <v>0</v>
      </c>
      <c r="BI1392" s="13">
        <v>0</v>
      </c>
      <c r="BJ1392" s="13">
        <v>0</v>
      </c>
      <c r="BK1392" s="13">
        <v>0</v>
      </c>
      <c r="BL1392" s="13">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64100005</v>
      </c>
      <c r="D1393" s="20" t="s">
        <v>2649</v>
      </c>
      <c r="E1393" s="20" t="s">
        <v>2650</v>
      </c>
      <c r="F1393" s="19">
        <v>1</v>
      </c>
      <c r="G1393" s="13">
        <v>0</v>
      </c>
      <c r="H1393" s="19">
        <v>0</v>
      </c>
      <c r="I1393" s="28">
        <v>0</v>
      </c>
      <c r="J1393" s="17">
        <v>0</v>
      </c>
      <c r="K1393" s="19">
        <v>0</v>
      </c>
      <c r="L1393" s="17">
        <v>0</v>
      </c>
      <c r="M1393" s="19">
        <v>0</v>
      </c>
      <c r="N1393" s="19">
        <v>0</v>
      </c>
      <c r="O1393" s="19">
        <v>2</v>
      </c>
      <c r="P1393" s="19">
        <v>2</v>
      </c>
      <c r="Q1393" s="19">
        <v>0.3</v>
      </c>
      <c r="R1393" s="19">
        <v>0</v>
      </c>
      <c r="S1393" s="13">
        <v>0</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90610051</v>
      </c>
      <c r="AV1393" s="263"/>
      <c r="AW1393" s="18" t="s">
        <v>242</v>
      </c>
      <c r="AX1393" s="19" t="s">
        <v>1672</v>
      </c>
      <c r="AY1393" s="19">
        <v>10000011</v>
      </c>
      <c r="AZ1393" s="19">
        <v>20001010</v>
      </c>
      <c r="BA1393" s="20" t="s">
        <v>250</v>
      </c>
      <c r="BB1393" s="20" t="s">
        <v>198</v>
      </c>
      <c r="BC1393" s="28">
        <v>0</v>
      </c>
      <c r="BD1393" s="28">
        <v>0</v>
      </c>
      <c r="BE1393" s="46" t="s">
        <v>2960</v>
      </c>
      <c r="BF1393" s="46" t="s">
        <v>2961</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64100006</v>
      </c>
      <c r="D1394" s="20" t="s">
        <v>1324</v>
      </c>
      <c r="E1394" s="20" t="s">
        <v>1325</v>
      </c>
      <c r="F1394" s="19">
        <v>1</v>
      </c>
      <c r="G1394" s="19">
        <v>60010500</v>
      </c>
      <c r="H1394" s="19">
        <v>0</v>
      </c>
      <c r="I1394" s="28">
        <v>0</v>
      </c>
      <c r="J1394" s="17">
        <v>0</v>
      </c>
      <c r="K1394" s="19">
        <v>0</v>
      </c>
      <c r="L1394" s="19">
        <v>0</v>
      </c>
      <c r="M1394" s="19">
        <v>0</v>
      </c>
      <c r="N1394" s="19">
        <v>0</v>
      </c>
      <c r="O1394" s="17">
        <v>2</v>
      </c>
      <c r="P1394" s="19">
        <v>7</v>
      </c>
      <c r="Q1394" s="19">
        <v>0.1</v>
      </c>
      <c r="R1394" s="19">
        <v>0</v>
      </c>
      <c r="S1394" s="13">
        <v>0</v>
      </c>
      <c r="T1394" s="28">
        <v>0</v>
      </c>
      <c r="U1394" s="17">
        <v>1</v>
      </c>
      <c r="V1394" s="19">
        <v>1</v>
      </c>
      <c r="W1394" s="19">
        <v>0</v>
      </c>
      <c r="X1394" s="19">
        <v>1</v>
      </c>
      <c r="Y1394" s="13">
        <v>0</v>
      </c>
      <c r="Z1394" s="19">
        <v>0</v>
      </c>
      <c r="AA1394" s="19">
        <v>0</v>
      </c>
      <c r="AB1394" s="19">
        <v>0</v>
      </c>
      <c r="AC1394" s="19">
        <v>0</v>
      </c>
      <c r="AD1394" s="17">
        <v>0</v>
      </c>
      <c r="AE1394" s="19">
        <v>0</v>
      </c>
      <c r="AF1394" s="19">
        <v>15</v>
      </c>
      <c r="AG1394" s="19">
        <v>0</v>
      </c>
      <c r="AH1394" s="19">
        <v>0</v>
      </c>
      <c r="AI1394" s="13">
        <v>7</v>
      </c>
      <c r="AJ1394" s="13">
        <v>0</v>
      </c>
      <c r="AK1394" s="13">
        <v>0</v>
      </c>
      <c r="AL1394" s="13">
        <v>0</v>
      </c>
      <c r="AM1394" s="19">
        <v>0</v>
      </c>
      <c r="AN1394" s="19">
        <v>0</v>
      </c>
      <c r="AO1394" s="19">
        <v>0</v>
      </c>
      <c r="AP1394" s="19">
        <v>0</v>
      </c>
      <c r="AQ1394" s="19">
        <v>1000</v>
      </c>
      <c r="AR1394" s="19">
        <v>0.5</v>
      </c>
      <c r="AS1394" s="19">
        <v>0</v>
      </c>
      <c r="AT1394" s="13">
        <v>0</v>
      </c>
      <c r="AU1394" s="13">
        <v>90202001</v>
      </c>
      <c r="AV1394" s="13"/>
      <c r="AW1394" s="20" t="s">
        <v>741</v>
      </c>
      <c r="AX1394" s="19">
        <v>0</v>
      </c>
      <c r="AY1394" s="19">
        <v>10007001</v>
      </c>
      <c r="AZ1394" s="19">
        <v>0</v>
      </c>
      <c r="BA1394" s="20" t="s">
        <v>200</v>
      </c>
      <c r="BB1394" s="20" t="s">
        <v>198</v>
      </c>
      <c r="BC1394" s="28">
        <v>0</v>
      </c>
      <c r="BD1394" s="28">
        <v>0</v>
      </c>
      <c r="BE1394" s="89" t="s">
        <v>2962</v>
      </c>
      <c r="BF1394" s="89" t="s">
        <v>2963</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20.100000000000001" customHeight="1">
      <c r="C1395" s="19">
        <v>64100007</v>
      </c>
      <c r="D1395" s="18" t="s">
        <v>2953</v>
      </c>
      <c r="E1395" s="18" t="s">
        <v>2954</v>
      </c>
      <c r="F1395" s="19">
        <v>1</v>
      </c>
      <c r="G1395" s="13">
        <v>0</v>
      </c>
      <c r="H1395" s="19">
        <v>0</v>
      </c>
      <c r="I1395" s="28">
        <v>0</v>
      </c>
      <c r="J1395" s="17">
        <v>0</v>
      </c>
      <c r="K1395" s="19">
        <v>0</v>
      </c>
      <c r="L1395" s="19">
        <v>0</v>
      </c>
      <c r="M1395" s="17">
        <v>0</v>
      </c>
      <c r="N1395" s="17">
        <v>0</v>
      </c>
      <c r="O1395" s="17">
        <v>2</v>
      </c>
      <c r="P1395" s="17">
        <v>3</v>
      </c>
      <c r="Q1395" s="17">
        <v>0.2</v>
      </c>
      <c r="R1395" s="17">
        <v>0</v>
      </c>
      <c r="S1395" s="13">
        <v>0</v>
      </c>
      <c r="T1395" s="17">
        <v>0</v>
      </c>
      <c r="U1395" s="17">
        <v>1</v>
      </c>
      <c r="V1395" s="17">
        <v>2</v>
      </c>
      <c r="W1395" s="17">
        <v>0</v>
      </c>
      <c r="X1395" s="17">
        <v>3</v>
      </c>
      <c r="Y1395" s="13">
        <v>0</v>
      </c>
      <c r="Z1395" s="17">
        <v>0</v>
      </c>
      <c r="AA1395" s="17">
        <v>1</v>
      </c>
      <c r="AB1395" s="17">
        <v>0</v>
      </c>
      <c r="AC1395" s="17">
        <v>0</v>
      </c>
      <c r="AD1395" s="17">
        <v>0</v>
      </c>
      <c r="AE1395" s="17">
        <v>0</v>
      </c>
      <c r="AF1395" s="17">
        <v>8</v>
      </c>
      <c r="AG1395" s="17">
        <v>1</v>
      </c>
      <c r="AH1395" s="17">
        <v>3</v>
      </c>
      <c r="AI1395" s="13">
        <v>1</v>
      </c>
      <c r="AJ1395" s="13">
        <v>1</v>
      </c>
      <c r="AK1395" s="13">
        <v>0</v>
      </c>
      <c r="AL1395" s="13">
        <v>1.5</v>
      </c>
      <c r="AM1395" s="17">
        <v>0</v>
      </c>
      <c r="AN1395" s="17">
        <v>0</v>
      </c>
      <c r="AO1395" s="17">
        <v>0</v>
      </c>
      <c r="AP1395" s="17">
        <v>0</v>
      </c>
      <c r="AQ1395" s="17">
        <v>5000</v>
      </c>
      <c r="AR1395" s="17">
        <v>3</v>
      </c>
      <c r="AS1395" s="17">
        <v>0</v>
      </c>
      <c r="AT1395" s="13">
        <v>0</v>
      </c>
      <c r="AU1395" s="17" t="s">
        <v>198</v>
      </c>
      <c r="AV1395" s="17"/>
      <c r="AW1395" s="20" t="s">
        <v>199</v>
      </c>
      <c r="AX1395" s="17" t="s">
        <v>534</v>
      </c>
      <c r="AY1395" s="19">
        <v>10000011</v>
      </c>
      <c r="AZ1395" s="19">
        <v>70204001</v>
      </c>
      <c r="BA1395" s="18" t="s">
        <v>200</v>
      </c>
      <c r="BB1395" s="17" t="s">
        <v>2964</v>
      </c>
      <c r="BC1395" s="28">
        <v>0</v>
      </c>
      <c r="BD1395" s="28">
        <v>0</v>
      </c>
      <c r="BE1395" s="46" t="s">
        <v>2956</v>
      </c>
      <c r="BF1395" s="46" t="s">
        <v>2957</v>
      </c>
      <c r="BG1395" s="17">
        <v>0</v>
      </c>
      <c r="BH1395" s="17">
        <v>0</v>
      </c>
      <c r="BI1395" s="17">
        <v>0</v>
      </c>
      <c r="BJ1395" s="17">
        <v>0</v>
      </c>
      <c r="BK1395" s="17">
        <v>0</v>
      </c>
      <c r="BL1395" s="17">
        <v>0</v>
      </c>
      <c r="BM1395" s="16">
        <v>0</v>
      </c>
      <c r="BN1395" s="13">
        <v>0</v>
      </c>
      <c r="BO1395" s="13">
        <v>0</v>
      </c>
      <c r="BP1395" s="13">
        <v>0</v>
      </c>
      <c r="BQ1395" s="13">
        <v>0</v>
      </c>
      <c r="BR1395" s="13">
        <v>0</v>
      </c>
      <c r="BS1395" s="13">
        <v>0</v>
      </c>
      <c r="BT1395" s="13">
        <v>0</v>
      </c>
      <c r="BU1395" s="49">
        <v>0</v>
      </c>
      <c r="BV1395" s="49"/>
      <c r="BW1395" s="49"/>
    </row>
    <row r="1396" spans="3:75" ht="20.25" customHeight="1">
      <c r="C1396" s="19">
        <v>641000071</v>
      </c>
      <c r="D1396" s="20" t="s">
        <v>2649</v>
      </c>
      <c r="E1396" s="20" t="s">
        <v>2650</v>
      </c>
      <c r="F1396" s="19">
        <v>1</v>
      </c>
      <c r="G1396" s="13">
        <v>0</v>
      </c>
      <c r="H1396" s="19">
        <v>0</v>
      </c>
      <c r="I1396" s="28">
        <v>0</v>
      </c>
      <c r="J1396" s="17">
        <v>0</v>
      </c>
      <c r="K1396" s="19">
        <v>0</v>
      </c>
      <c r="L1396" s="17">
        <v>0</v>
      </c>
      <c r="M1396" s="19">
        <v>0</v>
      </c>
      <c r="N1396" s="19">
        <v>0</v>
      </c>
      <c r="O1396" s="19">
        <v>2</v>
      </c>
      <c r="P1396" s="19">
        <v>3</v>
      </c>
      <c r="Q1396" s="19">
        <v>0.3</v>
      </c>
      <c r="R1396" s="19">
        <v>0</v>
      </c>
      <c r="S1396" s="13">
        <v>1</v>
      </c>
      <c r="T1396" s="28">
        <v>0</v>
      </c>
      <c r="U1396" s="17">
        <v>1</v>
      </c>
      <c r="V1396" s="19">
        <v>1</v>
      </c>
      <c r="W1396" s="19">
        <v>0</v>
      </c>
      <c r="X1396" s="19">
        <v>3</v>
      </c>
      <c r="Y1396" s="13">
        <v>0</v>
      </c>
      <c r="Z1396" s="19">
        <v>0</v>
      </c>
      <c r="AA1396" s="19">
        <v>0</v>
      </c>
      <c r="AB1396" s="19">
        <v>0</v>
      </c>
      <c r="AC1396" s="19">
        <v>0</v>
      </c>
      <c r="AD1396" s="19">
        <v>1</v>
      </c>
      <c r="AE1396" s="19">
        <v>0</v>
      </c>
      <c r="AF1396" s="19">
        <v>15</v>
      </c>
      <c r="AG1396" s="19">
        <v>0</v>
      </c>
      <c r="AH1396" s="19">
        <v>3</v>
      </c>
      <c r="AI1396" s="13">
        <v>7</v>
      </c>
      <c r="AJ1396" s="13">
        <v>0</v>
      </c>
      <c r="AK1396" s="13">
        <v>1</v>
      </c>
      <c r="AL1396" s="13">
        <v>6</v>
      </c>
      <c r="AM1396" s="19">
        <v>0</v>
      </c>
      <c r="AN1396" s="19">
        <v>0</v>
      </c>
      <c r="AO1396" s="19">
        <v>0</v>
      </c>
      <c r="AP1396" s="19">
        <v>0</v>
      </c>
      <c r="AQ1396" s="19">
        <v>3000</v>
      </c>
      <c r="AR1396" s="19">
        <v>0.5</v>
      </c>
      <c r="AS1396" s="19">
        <v>20</v>
      </c>
      <c r="AT1396" s="13">
        <v>0</v>
      </c>
      <c r="AU1396" s="262">
        <v>0</v>
      </c>
      <c r="AV1396" s="263"/>
      <c r="AW1396" s="18" t="s">
        <v>242</v>
      </c>
      <c r="AX1396" s="19" t="s">
        <v>1672</v>
      </c>
      <c r="AY1396" s="19">
        <v>10000011</v>
      </c>
      <c r="AZ1396" s="19">
        <v>70204001</v>
      </c>
      <c r="BA1396" s="20" t="s">
        <v>250</v>
      </c>
      <c r="BB1396" s="20" t="s">
        <v>198</v>
      </c>
      <c r="BC1396" s="28">
        <v>0</v>
      </c>
      <c r="BD1396" s="28">
        <v>0</v>
      </c>
      <c r="BE1396" s="46" t="s">
        <v>2960</v>
      </c>
      <c r="BF1396" s="46" t="s">
        <v>2961</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64100008</v>
      </c>
      <c r="D1397" s="18" t="s">
        <v>2965</v>
      </c>
      <c r="E1397" s="18" t="s">
        <v>2966</v>
      </c>
      <c r="F1397" s="19">
        <v>1</v>
      </c>
      <c r="G1397" s="17">
        <v>62021501</v>
      </c>
      <c r="H1397" s="17">
        <v>0</v>
      </c>
      <c r="I1397" s="28">
        <v>0</v>
      </c>
      <c r="J1397" s="17">
        <v>0</v>
      </c>
      <c r="K1397" s="17">
        <v>0</v>
      </c>
      <c r="L1397" s="19">
        <v>0</v>
      </c>
      <c r="M1397" s="17">
        <v>0</v>
      </c>
      <c r="N1397" s="17">
        <v>0</v>
      </c>
      <c r="O1397" s="17">
        <v>2</v>
      </c>
      <c r="P1397" s="17">
        <v>1</v>
      </c>
      <c r="Q1397" s="17">
        <v>0.2</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30</v>
      </c>
      <c r="AG1397" s="17">
        <v>0</v>
      </c>
      <c r="AH1397" s="17">
        <v>0</v>
      </c>
      <c r="AI1397" s="13">
        <v>2</v>
      </c>
      <c r="AJ1397" s="13">
        <v>2</v>
      </c>
      <c r="AK1397" s="13">
        <v>0</v>
      </c>
      <c r="AL1397" s="13">
        <v>1.5</v>
      </c>
      <c r="AM1397" s="17">
        <v>0</v>
      </c>
      <c r="AN1397" s="17">
        <v>0</v>
      </c>
      <c r="AO1397" s="17">
        <v>0</v>
      </c>
      <c r="AP1397" s="19">
        <v>0</v>
      </c>
      <c r="AQ1397" s="17">
        <v>3000</v>
      </c>
      <c r="AR1397" s="17">
        <v>0</v>
      </c>
      <c r="AS1397" s="17">
        <v>0</v>
      </c>
      <c r="AT1397" s="13">
        <v>0</v>
      </c>
      <c r="AU1397" s="17" t="s">
        <v>198</v>
      </c>
      <c r="AV1397" s="17"/>
      <c r="AW1397" s="18" t="s">
        <v>199</v>
      </c>
      <c r="AX1397" s="17" t="s">
        <v>545</v>
      </c>
      <c r="AY1397" s="19">
        <v>0</v>
      </c>
      <c r="AZ1397" s="19">
        <v>21101051</v>
      </c>
      <c r="BA1397" s="18" t="s">
        <v>1174</v>
      </c>
      <c r="BB1397" s="366" t="s">
        <v>2967</v>
      </c>
      <c r="BC1397" s="28">
        <v>0</v>
      </c>
      <c r="BD1397" s="28">
        <v>0</v>
      </c>
      <c r="BE1397" s="46" t="s">
        <v>2968</v>
      </c>
      <c r="BF1397" s="46" t="s">
        <v>2969</v>
      </c>
      <c r="BG1397" s="17">
        <v>0</v>
      </c>
      <c r="BH1397" s="17">
        <v>0</v>
      </c>
      <c r="BI1397" s="17">
        <v>0</v>
      </c>
      <c r="BJ1397" s="17">
        <v>0</v>
      </c>
      <c r="BK1397" s="17">
        <v>0</v>
      </c>
      <c r="BL1397" s="17">
        <v>0</v>
      </c>
      <c r="BM1397" s="16">
        <v>0</v>
      </c>
      <c r="BN1397" s="13">
        <v>0</v>
      </c>
      <c r="BO1397" s="13">
        <v>0</v>
      </c>
      <c r="BP1397" s="13">
        <v>0</v>
      </c>
      <c r="BQ1397" s="13">
        <v>0</v>
      </c>
      <c r="BR1397" s="13">
        <v>0</v>
      </c>
      <c r="BS1397" s="13">
        <v>0</v>
      </c>
      <c r="BT1397" s="13">
        <v>0</v>
      </c>
      <c r="BU1397" s="49">
        <v>0</v>
      </c>
      <c r="BV1397" s="49"/>
      <c r="BW1397" s="49"/>
    </row>
    <row r="1398" spans="3:75" ht="19.5" customHeight="1">
      <c r="C1398" s="19">
        <v>64100009</v>
      </c>
      <c r="D1398" s="20" t="s">
        <v>1758</v>
      </c>
      <c r="E1398" s="20" t="s">
        <v>1759</v>
      </c>
      <c r="F1398" s="17">
        <v>1</v>
      </c>
      <c r="G1398" s="19">
        <v>62021301</v>
      </c>
      <c r="H1398" s="19">
        <v>0</v>
      </c>
      <c r="I1398" s="28">
        <v>0</v>
      </c>
      <c r="J1398" s="17">
        <v>1</v>
      </c>
      <c r="K1398" s="19">
        <v>0</v>
      </c>
      <c r="L1398" s="17">
        <v>0</v>
      </c>
      <c r="M1398" s="19">
        <v>0</v>
      </c>
      <c r="N1398" s="19">
        <v>0</v>
      </c>
      <c r="O1398" s="19">
        <v>2</v>
      </c>
      <c r="P1398" s="19">
        <v>10</v>
      </c>
      <c r="Q1398" s="19">
        <v>0.8</v>
      </c>
      <c r="R1398" s="19">
        <v>0</v>
      </c>
      <c r="S1398" s="13">
        <v>0</v>
      </c>
      <c r="T1398" s="28">
        <v>0</v>
      </c>
      <c r="U1398" s="17">
        <v>1</v>
      </c>
      <c r="V1398" s="19">
        <v>2</v>
      </c>
      <c r="W1398" s="19">
        <v>0</v>
      </c>
      <c r="X1398" s="19">
        <v>2.5</v>
      </c>
      <c r="Y1398" s="13">
        <v>0</v>
      </c>
      <c r="Z1398" s="19">
        <v>1500</v>
      </c>
      <c r="AA1398" s="19">
        <v>0</v>
      </c>
      <c r="AB1398" s="19">
        <v>0</v>
      </c>
      <c r="AC1398" s="19">
        <v>0</v>
      </c>
      <c r="AD1398" s="19">
        <v>0</v>
      </c>
      <c r="AE1398" s="19">
        <v>0</v>
      </c>
      <c r="AF1398" s="19">
        <v>5</v>
      </c>
      <c r="AG1398" s="19">
        <v>1</v>
      </c>
      <c r="AH1398" s="19">
        <v>2</v>
      </c>
      <c r="AI1398" s="13">
        <v>2</v>
      </c>
      <c r="AJ1398" s="13">
        <v>2</v>
      </c>
      <c r="AK1398" s="13">
        <v>0</v>
      </c>
      <c r="AL1398" s="13">
        <v>4</v>
      </c>
      <c r="AM1398" s="19">
        <v>0</v>
      </c>
      <c r="AN1398" s="19">
        <v>0</v>
      </c>
      <c r="AO1398" s="19">
        <v>0</v>
      </c>
      <c r="AP1398" s="19">
        <v>0</v>
      </c>
      <c r="AQ1398" s="19">
        <v>30000</v>
      </c>
      <c r="AR1398" s="19">
        <v>0.5</v>
      </c>
      <c r="AS1398" s="19">
        <v>10</v>
      </c>
      <c r="AT1398" s="13">
        <v>0</v>
      </c>
      <c r="AU1398" s="19">
        <v>92002001</v>
      </c>
      <c r="AV1398" s="19"/>
      <c r="AW1398" s="20" t="s">
        <v>199</v>
      </c>
      <c r="AX1398" s="19" t="s">
        <v>545</v>
      </c>
      <c r="AY1398" s="19">
        <v>10003002</v>
      </c>
      <c r="AZ1398" s="19">
        <v>70204006</v>
      </c>
      <c r="BA1398" s="20" t="s">
        <v>586</v>
      </c>
      <c r="BB1398" s="20">
        <v>0</v>
      </c>
      <c r="BC1398" s="28">
        <v>0</v>
      </c>
      <c r="BD1398" s="28">
        <v>0</v>
      </c>
      <c r="BE1398" s="186" t="str">
        <f t="shared" ref="BE1398" si="142">"立即对指定前方区域释放冲击波,冲击波对触碰的怪物造成"&amp;X1398*100&amp;"%攻击伤害+"&amp;Z1398&amp;"点固定伤害"</f>
        <v>立即对指定前方区域释放冲击波,冲击波对触碰的怪物造成250%攻击伤害+1500点固定伤害</v>
      </c>
      <c r="BF1398" s="186" t="s">
        <v>1760</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spans="3:75" ht="19.5" customHeight="1">
      <c r="C1399" s="19">
        <v>64100010</v>
      </c>
      <c r="D1399" s="20" t="s">
        <v>1761</v>
      </c>
      <c r="E1399" s="20" t="s">
        <v>1762</v>
      </c>
      <c r="F1399" s="17">
        <v>1</v>
      </c>
      <c r="G1399" s="19">
        <v>62011101</v>
      </c>
      <c r="H1399" s="17">
        <v>0</v>
      </c>
      <c r="I1399" s="28">
        <v>0</v>
      </c>
      <c r="J1399" s="17">
        <v>1</v>
      </c>
      <c r="K1399" s="17">
        <v>0</v>
      </c>
      <c r="L1399" s="17">
        <v>0</v>
      </c>
      <c r="M1399" s="19">
        <v>0</v>
      </c>
      <c r="N1399" s="19">
        <v>0</v>
      </c>
      <c r="O1399" s="19">
        <v>2</v>
      </c>
      <c r="P1399" s="19">
        <v>10</v>
      </c>
      <c r="Q1399" s="19">
        <v>0.8</v>
      </c>
      <c r="R1399" s="19">
        <v>0</v>
      </c>
      <c r="S1399" s="13">
        <v>0</v>
      </c>
      <c r="T1399" s="28">
        <v>0</v>
      </c>
      <c r="U1399" s="17">
        <v>1</v>
      </c>
      <c r="V1399" s="19">
        <v>2</v>
      </c>
      <c r="W1399" s="19">
        <v>0</v>
      </c>
      <c r="X1399" s="19">
        <v>2.5</v>
      </c>
      <c r="Y1399" s="13">
        <v>0</v>
      </c>
      <c r="Z1399" s="19">
        <v>1000</v>
      </c>
      <c r="AA1399" s="19">
        <v>0</v>
      </c>
      <c r="AB1399" s="19">
        <v>0</v>
      </c>
      <c r="AC1399" s="19">
        <v>0</v>
      </c>
      <c r="AD1399" s="19">
        <v>0</v>
      </c>
      <c r="AE1399" s="19">
        <v>0</v>
      </c>
      <c r="AF1399" s="19">
        <v>8</v>
      </c>
      <c r="AG1399" s="19">
        <v>1</v>
      </c>
      <c r="AH1399" s="19">
        <v>3</v>
      </c>
      <c r="AI1399" s="13">
        <v>2</v>
      </c>
      <c r="AJ1399" s="13">
        <v>1</v>
      </c>
      <c r="AK1399" s="13">
        <v>0</v>
      </c>
      <c r="AL1399" s="13">
        <v>6</v>
      </c>
      <c r="AM1399" s="19">
        <v>0</v>
      </c>
      <c r="AN1399" s="19">
        <v>0</v>
      </c>
      <c r="AO1399" s="19">
        <v>0</v>
      </c>
      <c r="AP1399" s="19">
        <v>0.25</v>
      </c>
      <c r="AQ1399" s="19">
        <v>3000</v>
      </c>
      <c r="AR1399" s="19">
        <v>0.5</v>
      </c>
      <c r="AS1399" s="19">
        <v>0</v>
      </c>
      <c r="AT1399" s="13">
        <v>0</v>
      </c>
      <c r="AU1399" s="19">
        <v>0</v>
      </c>
      <c r="AV1399" s="19"/>
      <c r="AW1399" s="20" t="s">
        <v>199</v>
      </c>
      <c r="AX1399" s="19" t="s">
        <v>1672</v>
      </c>
      <c r="AY1399" s="19">
        <v>10000006</v>
      </c>
      <c r="AZ1399" s="19">
        <v>21100010</v>
      </c>
      <c r="BA1399" s="20" t="s">
        <v>200</v>
      </c>
      <c r="BB1399" s="20">
        <v>0</v>
      </c>
      <c r="BC1399" s="28">
        <v>0</v>
      </c>
      <c r="BD1399" s="28">
        <v>0</v>
      </c>
      <c r="BE1399" s="186" t="str">
        <f t="shared" ref="BE1399" si="143">"立即对目标范围内的怪物造成"&amp;X1399*100&amp;"%攻击伤害+"&amp;Z1399&amp;"点固定伤害"</f>
        <v>立即对目标范围内的怪物造成250%攻击伤害+1000点固定伤害</v>
      </c>
      <c r="BF1399" s="186" t="s">
        <v>2970</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spans="3:75" ht="20.100000000000001" customHeight="1">
      <c r="C1400" s="19">
        <v>64100011</v>
      </c>
      <c r="D1400" s="18" t="s">
        <v>2032</v>
      </c>
      <c r="E1400" s="18" t="s">
        <v>2033</v>
      </c>
      <c r="F1400" s="17">
        <v>1</v>
      </c>
      <c r="G1400" s="17">
        <v>60010500</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0.5</v>
      </c>
      <c r="AS1400" s="17">
        <v>0</v>
      </c>
      <c r="AT1400" s="13">
        <v>0</v>
      </c>
      <c r="AU1400" s="17" t="s">
        <v>198</v>
      </c>
      <c r="AV1400" s="17"/>
      <c r="AW1400" s="18" t="s">
        <v>199</v>
      </c>
      <c r="AX1400" s="17">
        <v>0</v>
      </c>
      <c r="AY1400" s="19">
        <v>0</v>
      </c>
      <c r="AZ1400" s="19">
        <v>0</v>
      </c>
      <c r="BA1400" s="18" t="s">
        <v>200</v>
      </c>
      <c r="BB1400" s="17" t="s">
        <v>2034</v>
      </c>
      <c r="BC1400" s="28">
        <v>0</v>
      </c>
      <c r="BD1400" s="28">
        <v>0</v>
      </c>
      <c r="BE1400" s="46" t="s">
        <v>2035</v>
      </c>
      <c r="BF1400" s="46" t="s">
        <v>2036</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19">
        <v>64100012</v>
      </c>
      <c r="D1401" s="18" t="s">
        <v>2037</v>
      </c>
      <c r="E1401" s="18" t="s">
        <v>2038</v>
      </c>
      <c r="F1401" s="17">
        <v>1</v>
      </c>
      <c r="G1401" s="17">
        <v>60010500</v>
      </c>
      <c r="H1401" s="19">
        <v>0</v>
      </c>
      <c r="I1401" s="28">
        <v>0</v>
      </c>
      <c r="J1401" s="19">
        <v>1</v>
      </c>
      <c r="K1401" s="19">
        <v>0</v>
      </c>
      <c r="L1401" s="19">
        <v>0</v>
      </c>
      <c r="M1401" s="17">
        <v>0</v>
      </c>
      <c r="N1401" s="17">
        <v>0</v>
      </c>
      <c r="O1401" s="17">
        <v>5</v>
      </c>
      <c r="P1401" s="17">
        <v>0</v>
      </c>
      <c r="Q1401" s="17">
        <v>0</v>
      </c>
      <c r="R1401" s="17">
        <v>0</v>
      </c>
      <c r="S1401" s="13">
        <v>0</v>
      </c>
      <c r="T1401" s="17">
        <v>0</v>
      </c>
      <c r="U1401" s="17">
        <v>1</v>
      </c>
      <c r="V1401" s="17">
        <v>2</v>
      </c>
      <c r="W1401" s="17">
        <v>0</v>
      </c>
      <c r="X1401" s="17">
        <v>0</v>
      </c>
      <c r="Y1401" s="13">
        <v>0</v>
      </c>
      <c r="Z1401" s="17">
        <v>0</v>
      </c>
      <c r="AA1401" s="17">
        <v>0</v>
      </c>
      <c r="AB1401" s="17">
        <v>0</v>
      </c>
      <c r="AC1401" s="17">
        <v>0</v>
      </c>
      <c r="AD1401" s="17">
        <v>0</v>
      </c>
      <c r="AE1401" s="17">
        <v>0</v>
      </c>
      <c r="AF1401" s="17">
        <v>9</v>
      </c>
      <c r="AG1401" s="17">
        <v>2</v>
      </c>
      <c r="AH1401" s="17" t="s">
        <v>213</v>
      </c>
      <c r="AI1401" s="13">
        <v>2</v>
      </c>
      <c r="AJ1401" s="13">
        <v>2</v>
      </c>
      <c r="AK1401" s="13">
        <v>0</v>
      </c>
      <c r="AL1401" s="13">
        <v>1.5</v>
      </c>
      <c r="AM1401" s="17">
        <v>0</v>
      </c>
      <c r="AN1401" s="17">
        <v>0</v>
      </c>
      <c r="AO1401" s="17">
        <v>0</v>
      </c>
      <c r="AP1401" s="17">
        <v>0</v>
      </c>
      <c r="AQ1401" s="17">
        <v>3000</v>
      </c>
      <c r="AR1401" s="17">
        <v>0.5</v>
      </c>
      <c r="AS1401" s="17">
        <v>0</v>
      </c>
      <c r="AT1401" s="13">
        <v>0</v>
      </c>
      <c r="AU1401" s="17" t="s">
        <v>198</v>
      </c>
      <c r="AV1401" s="17"/>
      <c r="AW1401" s="18" t="s">
        <v>199</v>
      </c>
      <c r="AX1401" s="17">
        <v>0</v>
      </c>
      <c r="AY1401" s="19">
        <v>0</v>
      </c>
      <c r="AZ1401" s="19">
        <v>0</v>
      </c>
      <c r="BA1401" s="18" t="s">
        <v>200</v>
      </c>
      <c r="BB1401" s="17" t="s">
        <v>2039</v>
      </c>
      <c r="BC1401" s="28">
        <v>0</v>
      </c>
      <c r="BD1401" s="28">
        <v>0</v>
      </c>
      <c r="BE1401" s="46" t="s">
        <v>2040</v>
      </c>
      <c r="BF1401" s="46" t="s">
        <v>2041</v>
      </c>
      <c r="BG1401" s="17"/>
      <c r="BH1401" s="17">
        <v>0</v>
      </c>
      <c r="BI1401" s="17"/>
      <c r="BJ1401" s="17"/>
      <c r="BK1401" s="17"/>
      <c r="BL1401" s="19"/>
      <c r="BM1401" s="17">
        <v>0</v>
      </c>
      <c r="BN1401" s="13">
        <v>0</v>
      </c>
      <c r="BO1401" s="13">
        <v>0</v>
      </c>
      <c r="BP1401" s="13">
        <v>0</v>
      </c>
      <c r="BQ1401" s="13">
        <v>0</v>
      </c>
      <c r="BR1401" s="13">
        <v>0</v>
      </c>
      <c r="BS1401" s="13">
        <v>0</v>
      </c>
      <c r="BT1401" s="13">
        <v>0</v>
      </c>
      <c r="BU1401" s="49">
        <v>0</v>
      </c>
      <c r="BV1401" s="49"/>
      <c r="BW1401" s="49"/>
    </row>
    <row r="1402" spans="3:75" ht="20.100000000000001" customHeight="1">
      <c r="C1402" s="19">
        <v>64100013</v>
      </c>
      <c r="D1402" s="18" t="s">
        <v>1764</v>
      </c>
      <c r="E1402" s="18" t="s">
        <v>1765</v>
      </c>
      <c r="F1402" s="17">
        <v>1</v>
      </c>
      <c r="G1402" s="17">
        <v>60010500</v>
      </c>
      <c r="H1402" s="19">
        <v>0</v>
      </c>
      <c r="I1402" s="28">
        <v>0</v>
      </c>
      <c r="J1402" s="19">
        <v>1</v>
      </c>
      <c r="K1402" s="19">
        <v>0</v>
      </c>
      <c r="L1402" s="19">
        <v>0</v>
      </c>
      <c r="M1402" s="17">
        <v>0</v>
      </c>
      <c r="N1402" s="17">
        <v>0</v>
      </c>
      <c r="O1402" s="17">
        <v>5</v>
      </c>
      <c r="P1402" s="17">
        <v>0</v>
      </c>
      <c r="Q1402" s="17">
        <v>0</v>
      </c>
      <c r="R1402" s="17">
        <v>0</v>
      </c>
      <c r="S1402" s="13">
        <v>0</v>
      </c>
      <c r="T1402" s="17">
        <v>0</v>
      </c>
      <c r="U1402" s="17">
        <v>1</v>
      </c>
      <c r="V1402" s="17">
        <v>2</v>
      </c>
      <c r="W1402" s="17">
        <v>0</v>
      </c>
      <c r="X1402" s="17">
        <v>0</v>
      </c>
      <c r="Y1402" s="13">
        <v>0</v>
      </c>
      <c r="Z1402" s="17">
        <v>0</v>
      </c>
      <c r="AA1402" s="17">
        <v>0</v>
      </c>
      <c r="AB1402" s="17">
        <v>0</v>
      </c>
      <c r="AC1402" s="17">
        <v>0</v>
      </c>
      <c r="AD1402" s="17">
        <v>0</v>
      </c>
      <c r="AE1402" s="17">
        <v>0</v>
      </c>
      <c r="AF1402" s="17">
        <v>9</v>
      </c>
      <c r="AG1402" s="17">
        <v>2</v>
      </c>
      <c r="AH1402" s="17" t="s">
        <v>213</v>
      </c>
      <c r="AI1402" s="13">
        <v>2</v>
      </c>
      <c r="AJ1402" s="13">
        <v>2</v>
      </c>
      <c r="AK1402" s="13">
        <v>0</v>
      </c>
      <c r="AL1402" s="13">
        <v>1.5</v>
      </c>
      <c r="AM1402" s="17">
        <v>0</v>
      </c>
      <c r="AN1402" s="17">
        <v>0</v>
      </c>
      <c r="AO1402" s="17">
        <v>0</v>
      </c>
      <c r="AP1402" s="17">
        <v>0</v>
      </c>
      <c r="AQ1402" s="17">
        <v>3000</v>
      </c>
      <c r="AR1402" s="17">
        <v>0</v>
      </c>
      <c r="AS1402" s="17">
        <v>0</v>
      </c>
      <c r="AT1402" s="13">
        <v>0</v>
      </c>
      <c r="AU1402" s="17" t="s">
        <v>198</v>
      </c>
      <c r="AV1402" s="17"/>
      <c r="AW1402" s="18" t="s">
        <v>199</v>
      </c>
      <c r="AX1402" s="17">
        <v>0</v>
      </c>
      <c r="AY1402" s="19">
        <v>0</v>
      </c>
      <c r="AZ1402" s="19">
        <v>0</v>
      </c>
      <c r="BA1402" s="18" t="s">
        <v>200</v>
      </c>
      <c r="BB1402" s="17" t="s">
        <v>2971</v>
      </c>
      <c r="BC1402" s="28">
        <v>0</v>
      </c>
      <c r="BD1402" s="28">
        <v>0</v>
      </c>
      <c r="BE1402" s="46" t="s">
        <v>1917</v>
      </c>
      <c r="BF1402" s="46" t="s">
        <v>1918</v>
      </c>
      <c r="BG1402" s="17"/>
      <c r="BH1402" s="17">
        <v>0</v>
      </c>
      <c r="BI1402" s="17"/>
      <c r="BJ1402" s="17"/>
      <c r="BK1402" s="17"/>
      <c r="BL1402" s="19"/>
      <c r="BM1402" s="17">
        <v>0</v>
      </c>
      <c r="BN1402" s="13">
        <v>0</v>
      </c>
      <c r="BO1402" s="13">
        <v>0</v>
      </c>
      <c r="BP1402" s="13">
        <v>0</v>
      </c>
      <c r="BQ1402" s="13">
        <v>0</v>
      </c>
      <c r="BR1402" s="13">
        <v>0</v>
      </c>
      <c r="BS1402" s="13">
        <v>0</v>
      </c>
      <c r="BT1402" s="13">
        <v>0</v>
      </c>
      <c r="BU1402" s="49">
        <v>0</v>
      </c>
      <c r="BV1402" s="49"/>
      <c r="BW1402" s="49"/>
    </row>
    <row r="1403" spans="3:75" ht="20.100000000000001" customHeight="1">
      <c r="C1403" s="19">
        <v>64100014</v>
      </c>
      <c r="D1403" s="18" t="s">
        <v>1764</v>
      </c>
      <c r="E1403" s="18" t="s">
        <v>1765</v>
      </c>
      <c r="F1403" s="17">
        <v>1</v>
      </c>
      <c r="G1403" s="17">
        <v>60011301</v>
      </c>
      <c r="H1403" s="19">
        <v>0</v>
      </c>
      <c r="I1403" s="28">
        <v>0</v>
      </c>
      <c r="J1403" s="19">
        <v>1</v>
      </c>
      <c r="K1403" s="19">
        <v>0</v>
      </c>
      <c r="L1403" s="19">
        <v>0</v>
      </c>
      <c r="M1403" s="17">
        <v>0</v>
      </c>
      <c r="N1403" s="17">
        <v>0</v>
      </c>
      <c r="O1403" s="17">
        <v>5</v>
      </c>
      <c r="P1403" s="17">
        <v>0</v>
      </c>
      <c r="Q1403" s="17">
        <v>0</v>
      </c>
      <c r="R1403" s="17">
        <v>0</v>
      </c>
      <c r="S1403" s="13">
        <v>0</v>
      </c>
      <c r="T1403" s="17">
        <v>0</v>
      </c>
      <c r="U1403" s="17">
        <v>1</v>
      </c>
      <c r="V1403" s="17">
        <v>2</v>
      </c>
      <c r="W1403" s="17">
        <v>0</v>
      </c>
      <c r="X1403" s="17">
        <v>0</v>
      </c>
      <c r="Y1403" s="13">
        <v>0</v>
      </c>
      <c r="Z1403" s="17">
        <v>0</v>
      </c>
      <c r="AA1403" s="17">
        <v>0</v>
      </c>
      <c r="AB1403" s="17">
        <v>0</v>
      </c>
      <c r="AC1403" s="17">
        <v>0</v>
      </c>
      <c r="AD1403" s="17">
        <v>0</v>
      </c>
      <c r="AE1403" s="17">
        <v>0</v>
      </c>
      <c r="AF1403" s="17">
        <v>9</v>
      </c>
      <c r="AG1403" s="17">
        <v>2</v>
      </c>
      <c r="AH1403" s="17" t="s">
        <v>213</v>
      </c>
      <c r="AI1403" s="13">
        <v>2</v>
      </c>
      <c r="AJ1403" s="13">
        <v>2</v>
      </c>
      <c r="AK1403" s="13">
        <v>0</v>
      </c>
      <c r="AL1403" s="13">
        <v>1.5</v>
      </c>
      <c r="AM1403" s="17">
        <v>0</v>
      </c>
      <c r="AN1403" s="17">
        <v>0</v>
      </c>
      <c r="AO1403" s="17">
        <v>0</v>
      </c>
      <c r="AP1403" s="17">
        <v>0</v>
      </c>
      <c r="AQ1403" s="17">
        <v>3000</v>
      </c>
      <c r="AR1403" s="17">
        <v>0</v>
      </c>
      <c r="AS1403" s="17">
        <v>0</v>
      </c>
      <c r="AT1403" s="13">
        <v>0</v>
      </c>
      <c r="AU1403" s="17" t="s">
        <v>198</v>
      </c>
      <c r="AV1403" s="17"/>
      <c r="AW1403" s="18" t="s">
        <v>199</v>
      </c>
      <c r="AX1403" s="17">
        <v>0</v>
      </c>
      <c r="AY1403" s="19">
        <v>0</v>
      </c>
      <c r="AZ1403" s="19">
        <v>0</v>
      </c>
      <c r="BA1403" s="18" t="s">
        <v>200</v>
      </c>
      <c r="BB1403" s="17" t="s">
        <v>2972</v>
      </c>
      <c r="BC1403" s="28">
        <v>0</v>
      </c>
      <c r="BD1403" s="28">
        <v>0</v>
      </c>
      <c r="BE1403" s="46" t="s">
        <v>2150</v>
      </c>
      <c r="BF1403" s="46" t="s">
        <v>2151</v>
      </c>
      <c r="BG1403" s="17"/>
      <c r="BH1403" s="17">
        <v>0</v>
      </c>
      <c r="BI1403" s="17"/>
      <c r="BJ1403" s="17"/>
      <c r="BK1403" s="17"/>
      <c r="BL1403" s="19"/>
      <c r="BM1403" s="17">
        <v>0</v>
      </c>
      <c r="BN1403" s="13">
        <v>0</v>
      </c>
      <c r="BO1403" s="13">
        <v>0</v>
      </c>
      <c r="BP1403" s="13">
        <v>0</v>
      </c>
      <c r="BQ1403" s="13">
        <v>0</v>
      </c>
      <c r="BR1403" s="13">
        <v>0</v>
      </c>
      <c r="BS1403" s="13">
        <v>0</v>
      </c>
      <c r="BT1403" s="13">
        <v>0</v>
      </c>
      <c r="BU1403" s="49">
        <v>0</v>
      </c>
      <c r="BV1403" s="49"/>
      <c r="BW1403" s="49"/>
    </row>
    <row r="1404" spans="3:75" ht="20.100000000000001" customHeight="1">
      <c r="C1404" s="31">
        <v>65000001</v>
      </c>
      <c r="D1404" s="39" t="s">
        <v>1443</v>
      </c>
      <c r="E1404" s="39" t="s">
        <v>1444</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95000001</v>
      </c>
      <c r="AU1404" s="31" t="s">
        <v>198</v>
      </c>
      <c r="AV1404" s="31"/>
      <c r="AW1404" s="39" t="s">
        <v>199</v>
      </c>
      <c r="AX1404" s="31" t="s">
        <v>2973</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65000002</v>
      </c>
      <c r="D1405" s="39" t="s">
        <v>1443</v>
      </c>
      <c r="E1405" s="39" t="s">
        <v>1444</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95000002</v>
      </c>
      <c r="AU1405" s="31" t="s">
        <v>198</v>
      </c>
      <c r="AV1405" s="31"/>
      <c r="AW1405" s="39" t="s">
        <v>199</v>
      </c>
      <c r="AX1405" s="31" t="s">
        <v>2973</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31">
        <v>65000003</v>
      </c>
      <c r="D1406" s="39" t="s">
        <v>1443</v>
      </c>
      <c r="E1406" s="39" t="s">
        <v>1444</v>
      </c>
      <c r="F1406" s="31">
        <v>1</v>
      </c>
      <c r="G1406" s="31">
        <v>0</v>
      </c>
      <c r="H1406" s="31">
        <v>0</v>
      </c>
      <c r="I1406" s="31">
        <v>0</v>
      </c>
      <c r="J1406" s="31">
        <v>1</v>
      </c>
      <c r="K1406" s="31">
        <v>0</v>
      </c>
      <c r="L1406" s="31">
        <v>0</v>
      </c>
      <c r="M1406" s="31">
        <v>0</v>
      </c>
      <c r="N1406" s="31">
        <v>0</v>
      </c>
      <c r="O1406" s="31">
        <v>2</v>
      </c>
      <c r="P1406" s="31">
        <v>0</v>
      </c>
      <c r="Q1406" s="31">
        <v>0</v>
      </c>
      <c r="R1406" s="31">
        <v>0</v>
      </c>
      <c r="S1406" s="31">
        <v>0</v>
      </c>
      <c r="T1406" s="31">
        <v>0</v>
      </c>
      <c r="U1406" s="31">
        <v>1</v>
      </c>
      <c r="V1406" s="31">
        <v>2</v>
      </c>
      <c r="W1406" s="31">
        <v>0</v>
      </c>
      <c r="X1406" s="31">
        <v>0</v>
      </c>
      <c r="Y1406" s="13">
        <v>0</v>
      </c>
      <c r="Z1406" s="31">
        <v>0</v>
      </c>
      <c r="AA1406" s="31">
        <v>0</v>
      </c>
      <c r="AB1406" s="31">
        <v>0</v>
      </c>
      <c r="AC1406" s="31">
        <v>0</v>
      </c>
      <c r="AD1406" s="31">
        <v>1</v>
      </c>
      <c r="AE1406" s="31">
        <v>0</v>
      </c>
      <c r="AF1406" s="31">
        <v>18</v>
      </c>
      <c r="AG1406" s="31">
        <v>0</v>
      </c>
      <c r="AH1406" s="31">
        <v>0</v>
      </c>
      <c r="AI1406" s="31">
        <v>2</v>
      </c>
      <c r="AJ1406" s="31">
        <v>0</v>
      </c>
      <c r="AK1406" s="31">
        <v>0</v>
      </c>
      <c r="AL1406" s="31">
        <v>0</v>
      </c>
      <c r="AM1406" s="31">
        <v>0</v>
      </c>
      <c r="AN1406" s="31">
        <v>0</v>
      </c>
      <c r="AO1406" s="31">
        <v>0</v>
      </c>
      <c r="AP1406" s="31">
        <v>0</v>
      </c>
      <c r="AQ1406" s="31">
        <v>1000</v>
      </c>
      <c r="AR1406" s="31">
        <v>0</v>
      </c>
      <c r="AS1406" s="31">
        <v>0</v>
      </c>
      <c r="AT1406" s="31">
        <v>95000003</v>
      </c>
      <c r="AU1406" s="31" t="s">
        <v>198</v>
      </c>
      <c r="AV1406" s="31"/>
      <c r="AW1406" s="39" t="s">
        <v>199</v>
      </c>
      <c r="AX1406" s="31" t="s">
        <v>2973</v>
      </c>
      <c r="AY1406" s="31">
        <v>0</v>
      </c>
      <c r="AZ1406" s="31">
        <v>40000003</v>
      </c>
      <c r="BA1406" s="39" t="s">
        <v>200</v>
      </c>
      <c r="BB1406" s="39" t="s">
        <v>198</v>
      </c>
      <c r="BC1406" s="31">
        <v>0</v>
      </c>
      <c r="BD1406" s="31">
        <v>0</v>
      </c>
      <c r="BE1406" s="216"/>
      <c r="BF1406" s="216"/>
      <c r="BG1406" s="31">
        <v>0</v>
      </c>
      <c r="BH1406" s="31">
        <v>0</v>
      </c>
      <c r="BI1406" s="31">
        <v>0</v>
      </c>
      <c r="BJ1406" s="31">
        <v>0</v>
      </c>
      <c r="BK1406" s="31">
        <v>0</v>
      </c>
      <c r="BL1406" s="31">
        <v>0</v>
      </c>
      <c r="BM1406" s="22">
        <v>0</v>
      </c>
      <c r="BN1406" s="31">
        <v>0</v>
      </c>
      <c r="BO1406" s="13">
        <v>0</v>
      </c>
      <c r="BP1406" s="13">
        <v>0</v>
      </c>
      <c r="BQ1406" s="13">
        <v>0</v>
      </c>
      <c r="BR1406" s="13">
        <v>0</v>
      </c>
      <c r="BS1406" s="13">
        <v>0</v>
      </c>
      <c r="BT1406" s="13">
        <v>0</v>
      </c>
      <c r="BU1406" s="49">
        <v>0</v>
      </c>
      <c r="BV1406" s="49"/>
      <c r="BW1406" s="49"/>
    </row>
    <row r="1407" spans="3:75" ht="20.100000000000001" customHeight="1">
      <c r="C1407" s="31">
        <v>65000004</v>
      </c>
      <c r="D1407" s="39" t="s">
        <v>1443</v>
      </c>
      <c r="E1407" s="39" t="s">
        <v>1444</v>
      </c>
      <c r="F1407" s="31">
        <v>1</v>
      </c>
      <c r="G1407" s="31">
        <v>0</v>
      </c>
      <c r="H1407" s="31">
        <v>0</v>
      </c>
      <c r="I1407" s="31">
        <v>0</v>
      </c>
      <c r="J1407" s="31">
        <v>1</v>
      </c>
      <c r="K1407" s="31">
        <v>0</v>
      </c>
      <c r="L1407" s="31">
        <v>0</v>
      </c>
      <c r="M1407" s="31">
        <v>0</v>
      </c>
      <c r="N1407" s="31">
        <v>0</v>
      </c>
      <c r="O1407" s="31">
        <v>2</v>
      </c>
      <c r="P1407" s="31">
        <v>0</v>
      </c>
      <c r="Q1407" s="31">
        <v>0</v>
      </c>
      <c r="R1407" s="31">
        <v>0</v>
      </c>
      <c r="S1407" s="31">
        <v>0</v>
      </c>
      <c r="T1407" s="31">
        <v>0</v>
      </c>
      <c r="U1407" s="31">
        <v>1</v>
      </c>
      <c r="V1407" s="31">
        <v>2</v>
      </c>
      <c r="W1407" s="31">
        <v>0</v>
      </c>
      <c r="X1407" s="31">
        <v>0</v>
      </c>
      <c r="Y1407" s="13">
        <v>0</v>
      </c>
      <c r="Z1407" s="31">
        <v>0</v>
      </c>
      <c r="AA1407" s="31">
        <v>0</v>
      </c>
      <c r="AB1407" s="31">
        <v>0</v>
      </c>
      <c r="AC1407" s="31">
        <v>0</v>
      </c>
      <c r="AD1407" s="31">
        <v>1</v>
      </c>
      <c r="AE1407" s="31">
        <v>0</v>
      </c>
      <c r="AF1407" s="31">
        <v>18</v>
      </c>
      <c r="AG1407" s="31">
        <v>0</v>
      </c>
      <c r="AH1407" s="31">
        <v>0</v>
      </c>
      <c r="AI1407" s="31">
        <v>2</v>
      </c>
      <c r="AJ1407" s="31">
        <v>0</v>
      </c>
      <c r="AK1407" s="31">
        <v>0</v>
      </c>
      <c r="AL1407" s="31">
        <v>0</v>
      </c>
      <c r="AM1407" s="31">
        <v>0</v>
      </c>
      <c r="AN1407" s="31">
        <v>0</v>
      </c>
      <c r="AO1407" s="31">
        <v>0</v>
      </c>
      <c r="AP1407" s="31">
        <v>0</v>
      </c>
      <c r="AQ1407" s="31">
        <v>1000</v>
      </c>
      <c r="AR1407" s="31">
        <v>0</v>
      </c>
      <c r="AS1407" s="31">
        <v>0</v>
      </c>
      <c r="AT1407" s="31">
        <v>95000004</v>
      </c>
      <c r="AU1407" s="31" t="s">
        <v>198</v>
      </c>
      <c r="AV1407" s="31"/>
      <c r="AW1407" s="39" t="s">
        <v>199</v>
      </c>
      <c r="AX1407" s="31" t="s">
        <v>2973</v>
      </c>
      <c r="AY1407" s="31">
        <v>0</v>
      </c>
      <c r="AZ1407" s="31">
        <v>40000003</v>
      </c>
      <c r="BA1407" s="39" t="s">
        <v>200</v>
      </c>
      <c r="BB1407" s="39" t="s">
        <v>198</v>
      </c>
      <c r="BC1407" s="31">
        <v>0</v>
      </c>
      <c r="BD1407" s="31">
        <v>0</v>
      </c>
      <c r="BE1407" s="216"/>
      <c r="BF1407" s="216"/>
      <c r="BG1407" s="31">
        <v>0</v>
      </c>
      <c r="BH1407" s="31">
        <v>0</v>
      </c>
      <c r="BI1407" s="31">
        <v>0</v>
      </c>
      <c r="BJ1407" s="31">
        <v>0</v>
      </c>
      <c r="BK1407" s="31">
        <v>0</v>
      </c>
      <c r="BL1407" s="31">
        <v>0</v>
      </c>
      <c r="BM1407" s="22">
        <v>0</v>
      </c>
      <c r="BN1407" s="31">
        <v>0</v>
      </c>
      <c r="BO1407" s="13">
        <v>0</v>
      </c>
      <c r="BP1407" s="13">
        <v>0</v>
      </c>
      <c r="BQ1407" s="13">
        <v>0</v>
      </c>
      <c r="BR1407" s="13">
        <v>0</v>
      </c>
      <c r="BS1407" s="13">
        <v>0</v>
      </c>
      <c r="BT1407" s="13">
        <v>0</v>
      </c>
      <c r="BU1407" s="49">
        <v>0</v>
      </c>
      <c r="BV1407" s="49"/>
      <c r="BW1407" s="49"/>
    </row>
    <row r="1408" spans="3:75" ht="20.100000000000001" customHeight="1">
      <c r="C1408" s="31">
        <v>65000005</v>
      </c>
      <c r="D1408" s="39" t="s">
        <v>1443</v>
      </c>
      <c r="E1408" s="39" t="s">
        <v>1444</v>
      </c>
      <c r="F1408" s="31">
        <v>1</v>
      </c>
      <c r="G1408" s="31">
        <v>0</v>
      </c>
      <c r="H1408" s="31">
        <v>0</v>
      </c>
      <c r="I1408" s="31">
        <v>0</v>
      </c>
      <c r="J1408" s="31">
        <v>1</v>
      </c>
      <c r="K1408" s="31">
        <v>0</v>
      </c>
      <c r="L1408" s="31">
        <v>0</v>
      </c>
      <c r="M1408" s="31">
        <v>0</v>
      </c>
      <c r="N1408" s="31">
        <v>0</v>
      </c>
      <c r="O1408" s="31">
        <v>2</v>
      </c>
      <c r="P1408" s="31">
        <v>0</v>
      </c>
      <c r="Q1408" s="31">
        <v>0</v>
      </c>
      <c r="R1408" s="31">
        <v>0</v>
      </c>
      <c r="S1408" s="31">
        <v>0</v>
      </c>
      <c r="T1408" s="31">
        <v>0</v>
      </c>
      <c r="U1408" s="31">
        <v>1</v>
      </c>
      <c r="V1408" s="31">
        <v>2</v>
      </c>
      <c r="W1408" s="31">
        <v>0</v>
      </c>
      <c r="X1408" s="31">
        <v>0</v>
      </c>
      <c r="Y1408" s="13">
        <v>0</v>
      </c>
      <c r="Z1408" s="31">
        <v>0</v>
      </c>
      <c r="AA1408" s="31">
        <v>0</v>
      </c>
      <c r="AB1408" s="31">
        <v>0</v>
      </c>
      <c r="AC1408" s="31">
        <v>0</v>
      </c>
      <c r="AD1408" s="31">
        <v>1</v>
      </c>
      <c r="AE1408" s="31">
        <v>0</v>
      </c>
      <c r="AF1408" s="31">
        <v>18</v>
      </c>
      <c r="AG1408" s="31">
        <v>0</v>
      </c>
      <c r="AH1408" s="31">
        <v>0</v>
      </c>
      <c r="AI1408" s="31">
        <v>2</v>
      </c>
      <c r="AJ1408" s="31">
        <v>0</v>
      </c>
      <c r="AK1408" s="31">
        <v>0</v>
      </c>
      <c r="AL1408" s="31">
        <v>0</v>
      </c>
      <c r="AM1408" s="31">
        <v>0</v>
      </c>
      <c r="AN1408" s="31">
        <v>0</v>
      </c>
      <c r="AO1408" s="31">
        <v>0</v>
      </c>
      <c r="AP1408" s="31">
        <v>0</v>
      </c>
      <c r="AQ1408" s="31">
        <v>1000</v>
      </c>
      <c r="AR1408" s="31">
        <v>0</v>
      </c>
      <c r="AS1408" s="31">
        <v>0</v>
      </c>
      <c r="AT1408" s="31">
        <v>95000005</v>
      </c>
      <c r="AU1408" s="31" t="s">
        <v>198</v>
      </c>
      <c r="AV1408" s="31"/>
      <c r="AW1408" s="39" t="s">
        <v>199</v>
      </c>
      <c r="AX1408" s="31" t="s">
        <v>2973</v>
      </c>
      <c r="AY1408" s="31">
        <v>0</v>
      </c>
      <c r="AZ1408" s="31">
        <v>40000003</v>
      </c>
      <c r="BA1408" s="39" t="s">
        <v>200</v>
      </c>
      <c r="BB1408" s="39" t="s">
        <v>198</v>
      </c>
      <c r="BC1408" s="31">
        <v>0</v>
      </c>
      <c r="BD1408" s="31">
        <v>0</v>
      </c>
      <c r="BE1408" s="216"/>
      <c r="BF1408" s="216"/>
      <c r="BG1408" s="31">
        <v>0</v>
      </c>
      <c r="BH1408" s="31">
        <v>0</v>
      </c>
      <c r="BI1408" s="31">
        <v>0</v>
      </c>
      <c r="BJ1408" s="31">
        <v>0</v>
      </c>
      <c r="BK1408" s="31">
        <v>0</v>
      </c>
      <c r="BL1408" s="31">
        <v>0</v>
      </c>
      <c r="BM1408" s="22">
        <v>0</v>
      </c>
      <c r="BN1408" s="31">
        <v>0</v>
      </c>
      <c r="BO1408" s="13">
        <v>0</v>
      </c>
      <c r="BP1408" s="13">
        <v>0</v>
      </c>
      <c r="BQ1408" s="13">
        <v>0</v>
      </c>
      <c r="BR1408" s="13">
        <v>0</v>
      </c>
      <c r="BS1408" s="13">
        <v>0</v>
      </c>
      <c r="BT1408" s="13">
        <v>0</v>
      </c>
      <c r="BU1408" s="49">
        <v>0</v>
      </c>
      <c r="BV1408" s="49"/>
      <c r="BW1408" s="49"/>
    </row>
    <row r="1409" spans="3:75" ht="20.100000000000001" customHeight="1">
      <c r="C1409" s="19">
        <v>65001001</v>
      </c>
      <c r="D1409" s="20" t="s">
        <v>2974</v>
      </c>
      <c r="E1409" s="20" t="s">
        <v>2975</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10</v>
      </c>
      <c r="AG1409" s="19">
        <v>0</v>
      </c>
      <c r="AH1409" s="19">
        <v>0</v>
      </c>
      <c r="AI1409" s="13">
        <v>2</v>
      </c>
      <c r="AJ1409" s="13">
        <v>0</v>
      </c>
      <c r="AK1409" s="13">
        <v>0</v>
      </c>
      <c r="AL1409" s="13">
        <v>0</v>
      </c>
      <c r="AM1409" s="19">
        <v>0</v>
      </c>
      <c r="AN1409" s="19">
        <v>0</v>
      </c>
      <c r="AO1409" s="19">
        <v>0</v>
      </c>
      <c r="AP1409" s="19">
        <v>0</v>
      </c>
      <c r="AQ1409" s="19">
        <v>1000</v>
      </c>
      <c r="AR1409" s="19">
        <v>0</v>
      </c>
      <c r="AS1409" s="19">
        <v>0</v>
      </c>
      <c r="AT1409" s="355" t="s">
        <v>2976</v>
      </c>
      <c r="AU1409" s="19" t="s">
        <v>198</v>
      </c>
      <c r="AV1409" s="19"/>
      <c r="AW1409" s="20" t="s">
        <v>199</v>
      </c>
      <c r="AX1409" s="19" t="s">
        <v>2973</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65001002</v>
      </c>
      <c r="D1410" s="20" t="s">
        <v>2977</v>
      </c>
      <c r="E1410" s="20" t="s">
        <v>2978</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95001021</v>
      </c>
      <c r="AU1410" s="19" t="s">
        <v>198</v>
      </c>
      <c r="AV1410" s="19"/>
      <c r="AW1410" s="20" t="s">
        <v>199</v>
      </c>
      <c r="AX1410" s="19" t="s">
        <v>2973</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65001003</v>
      </c>
      <c r="D1411" s="20" t="s">
        <v>2979</v>
      </c>
      <c r="E1411" s="20" t="s">
        <v>2980</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2981</v>
      </c>
      <c r="AU1411" s="19" t="s">
        <v>198</v>
      </c>
      <c r="AV1411" s="19"/>
      <c r="AW1411" s="20" t="s">
        <v>199</v>
      </c>
      <c r="AX1411" s="19" t="s">
        <v>2973</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65001004</v>
      </c>
      <c r="D1412" s="20" t="s">
        <v>2982</v>
      </c>
      <c r="E1412" s="20" t="s">
        <v>2983</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95001041</v>
      </c>
      <c r="AU1412" s="19" t="s">
        <v>198</v>
      </c>
      <c r="AV1412" s="19"/>
      <c r="AW1412" s="20" t="s">
        <v>199</v>
      </c>
      <c r="AX1412" s="19" t="s">
        <v>2973</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65001005</v>
      </c>
      <c r="D1413" s="20" t="s">
        <v>2984</v>
      </c>
      <c r="E1413" s="20" t="s">
        <v>2978</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95001051</v>
      </c>
      <c r="AU1413" s="19" t="s">
        <v>198</v>
      </c>
      <c r="AV1413" s="19"/>
      <c r="AW1413" s="20" t="s">
        <v>199</v>
      </c>
      <c r="AX1413" s="19" t="s">
        <v>2973</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65001006</v>
      </c>
      <c r="D1414" s="20" t="s">
        <v>2985</v>
      </c>
      <c r="E1414" s="20" t="s">
        <v>2986</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t="s">
        <v>2987</v>
      </c>
      <c r="AU1414" s="19" t="s">
        <v>198</v>
      </c>
      <c r="AV1414" s="19"/>
      <c r="AW1414" s="20" t="s">
        <v>199</v>
      </c>
      <c r="AX1414" s="19" t="s">
        <v>2973</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65001101</v>
      </c>
      <c r="D1415" s="20" t="s">
        <v>2988</v>
      </c>
      <c r="E1415" s="20" t="s">
        <v>2989</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95001101</v>
      </c>
      <c r="AU1415" s="19" t="s">
        <v>198</v>
      </c>
      <c r="AV1415" s="19"/>
      <c r="AW1415" s="20" t="s">
        <v>199</v>
      </c>
      <c r="AX1415" s="19" t="s">
        <v>2973</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65001102</v>
      </c>
      <c r="D1416" s="20" t="s">
        <v>2990</v>
      </c>
      <c r="E1416" s="20" t="s">
        <v>2991</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95001102</v>
      </c>
      <c r="AU1416" s="19" t="s">
        <v>198</v>
      </c>
      <c r="AV1416" s="19"/>
      <c r="AW1416" s="20" t="s">
        <v>199</v>
      </c>
      <c r="AX1416" s="19" t="s">
        <v>2973</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65001103</v>
      </c>
      <c r="D1417" s="20" t="s">
        <v>2992</v>
      </c>
      <c r="E1417" s="20" t="s">
        <v>2993</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95001103</v>
      </c>
      <c r="AU1417" s="19" t="s">
        <v>198</v>
      </c>
      <c r="AV1417" s="19"/>
      <c r="AW1417" s="20" t="s">
        <v>199</v>
      </c>
      <c r="AX1417" s="19" t="s">
        <v>2973</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65001104</v>
      </c>
      <c r="D1418" s="20" t="s">
        <v>2994</v>
      </c>
      <c r="E1418" s="20" t="s">
        <v>2995</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95001104</v>
      </c>
      <c r="AU1418" s="19" t="s">
        <v>198</v>
      </c>
      <c r="AV1418" s="19"/>
      <c r="AW1418" s="20" t="s">
        <v>199</v>
      </c>
      <c r="AX1418" s="19" t="s">
        <v>2973</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65001105</v>
      </c>
      <c r="D1419" s="20" t="s">
        <v>2996</v>
      </c>
      <c r="E1419" s="20" t="s">
        <v>2997</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95001105</v>
      </c>
      <c r="AU1419" s="19" t="s">
        <v>198</v>
      </c>
      <c r="AV1419" s="19"/>
      <c r="AW1419" s="20" t="s">
        <v>199</v>
      </c>
      <c r="AX1419" s="19" t="s">
        <v>2973</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65002001</v>
      </c>
      <c r="D1420" s="20" t="s">
        <v>2998</v>
      </c>
      <c r="E1420" s="20" t="s">
        <v>2999</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10</v>
      </c>
      <c r="AG1420" s="19">
        <v>0</v>
      </c>
      <c r="AH1420" s="19">
        <v>0</v>
      </c>
      <c r="AI1420" s="13">
        <v>2</v>
      </c>
      <c r="AJ1420" s="13">
        <v>0</v>
      </c>
      <c r="AK1420" s="13">
        <v>0</v>
      </c>
      <c r="AL1420" s="13">
        <v>0</v>
      </c>
      <c r="AM1420" s="19">
        <v>0</v>
      </c>
      <c r="AN1420" s="19">
        <v>0</v>
      </c>
      <c r="AO1420" s="19">
        <v>0</v>
      </c>
      <c r="AP1420" s="19">
        <v>0</v>
      </c>
      <c r="AQ1420" s="19">
        <v>1000</v>
      </c>
      <c r="AR1420" s="19">
        <v>0</v>
      </c>
      <c r="AS1420" s="19">
        <v>0</v>
      </c>
      <c r="AT1420" s="355" t="s">
        <v>3000</v>
      </c>
      <c r="AU1420" s="19" t="s">
        <v>198</v>
      </c>
      <c r="AV1420" s="19"/>
      <c r="AW1420" s="20" t="s">
        <v>199</v>
      </c>
      <c r="AX1420" s="19" t="s">
        <v>2973</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65002002</v>
      </c>
      <c r="D1421" s="20" t="s">
        <v>3001</v>
      </c>
      <c r="E1421" s="20" t="s">
        <v>3002</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95002021</v>
      </c>
      <c r="AU1421" s="19" t="s">
        <v>198</v>
      </c>
      <c r="AV1421" s="19"/>
      <c r="AW1421" s="20" t="s">
        <v>199</v>
      </c>
      <c r="AX1421" s="19" t="s">
        <v>2973</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65002003</v>
      </c>
      <c r="D1422" s="20" t="s">
        <v>3003</v>
      </c>
      <c r="E1422" s="20" t="s">
        <v>3004</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3005</v>
      </c>
      <c r="AU1422" s="19" t="s">
        <v>198</v>
      </c>
      <c r="AV1422" s="19"/>
      <c r="AW1422" s="20" t="s">
        <v>199</v>
      </c>
      <c r="AX1422" s="19" t="s">
        <v>2973</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65002004</v>
      </c>
      <c r="D1423" s="20" t="s">
        <v>3006</v>
      </c>
      <c r="E1423" s="20" t="s">
        <v>3007</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95002041</v>
      </c>
      <c r="AU1423" s="19" t="s">
        <v>198</v>
      </c>
      <c r="AV1423" s="19"/>
      <c r="AW1423" s="20" t="s">
        <v>199</v>
      </c>
      <c r="AX1423" s="19" t="s">
        <v>2973</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65002005</v>
      </c>
      <c r="D1424" s="20" t="s">
        <v>3008</v>
      </c>
      <c r="E1424" s="20" t="s">
        <v>3009</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95002051</v>
      </c>
      <c r="AU1424" s="19" t="s">
        <v>198</v>
      </c>
      <c r="AV1424" s="19"/>
      <c r="AW1424" s="20" t="s">
        <v>199</v>
      </c>
      <c r="AX1424" s="19" t="s">
        <v>2973</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65002006</v>
      </c>
      <c r="D1425" s="20" t="s">
        <v>3010</v>
      </c>
      <c r="E1425" s="20" t="s">
        <v>3011</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t="s">
        <v>3012</v>
      </c>
      <c r="AU1425" s="19" t="s">
        <v>198</v>
      </c>
      <c r="AV1425" s="19"/>
      <c r="AW1425" s="20" t="s">
        <v>199</v>
      </c>
      <c r="AX1425" s="19" t="s">
        <v>2973</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65002101</v>
      </c>
      <c r="D1426" s="20" t="s">
        <v>3013</v>
      </c>
      <c r="E1426" s="20" t="s">
        <v>3014</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95002101</v>
      </c>
      <c r="AU1426" s="19" t="s">
        <v>198</v>
      </c>
      <c r="AV1426" s="19"/>
      <c r="AW1426" s="20" t="s">
        <v>199</v>
      </c>
      <c r="AX1426" s="19" t="s">
        <v>2973</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65002102</v>
      </c>
      <c r="D1427" s="20" t="s">
        <v>3015</v>
      </c>
      <c r="E1427" s="20" t="s">
        <v>3016</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95002102</v>
      </c>
      <c r="AU1427" s="19" t="s">
        <v>198</v>
      </c>
      <c r="AV1427" s="19"/>
      <c r="AW1427" s="20" t="s">
        <v>199</v>
      </c>
      <c r="AX1427" s="19" t="s">
        <v>2973</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65002103</v>
      </c>
      <c r="D1428" s="20" t="s">
        <v>3017</v>
      </c>
      <c r="E1428" s="20" t="s">
        <v>3018</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95002103</v>
      </c>
      <c r="AU1428" s="19" t="s">
        <v>198</v>
      </c>
      <c r="AV1428" s="19"/>
      <c r="AW1428" s="20" t="s">
        <v>199</v>
      </c>
      <c r="AX1428" s="19" t="s">
        <v>2973</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65002104</v>
      </c>
      <c r="D1429" s="20" t="s">
        <v>3019</v>
      </c>
      <c r="E1429" s="20" t="s">
        <v>3020</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95002104</v>
      </c>
      <c r="AU1429" s="19" t="s">
        <v>198</v>
      </c>
      <c r="AV1429" s="19"/>
      <c r="AW1429" s="20" t="s">
        <v>199</v>
      </c>
      <c r="AX1429" s="19" t="s">
        <v>2973</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65002105</v>
      </c>
      <c r="D1430" s="20" t="s">
        <v>3021</v>
      </c>
      <c r="E1430" s="20" t="s">
        <v>3022</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95002105</v>
      </c>
      <c r="AU1430" s="19" t="s">
        <v>198</v>
      </c>
      <c r="AV1430" s="19"/>
      <c r="AW1430" s="20" t="s">
        <v>199</v>
      </c>
      <c r="AX1430" s="19" t="s">
        <v>2973</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65003001</v>
      </c>
      <c r="D1431" s="20" t="s">
        <v>3023</v>
      </c>
      <c r="E1431" s="20" t="s">
        <v>3024</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10</v>
      </c>
      <c r="AG1431" s="19">
        <v>0</v>
      </c>
      <c r="AH1431" s="19">
        <v>0</v>
      </c>
      <c r="AI1431" s="13">
        <v>2</v>
      </c>
      <c r="AJ1431" s="13">
        <v>0</v>
      </c>
      <c r="AK1431" s="13">
        <v>0</v>
      </c>
      <c r="AL1431" s="13">
        <v>0</v>
      </c>
      <c r="AM1431" s="19">
        <v>0</v>
      </c>
      <c r="AN1431" s="19">
        <v>0</v>
      </c>
      <c r="AO1431" s="19">
        <v>0</v>
      </c>
      <c r="AP1431" s="19">
        <v>0</v>
      </c>
      <c r="AQ1431" s="19">
        <v>1000</v>
      </c>
      <c r="AR1431" s="19">
        <v>0</v>
      </c>
      <c r="AS1431" s="19">
        <v>0</v>
      </c>
      <c r="AT1431" s="355" t="s">
        <v>3025</v>
      </c>
      <c r="AU1431" s="19" t="s">
        <v>198</v>
      </c>
      <c r="AV1431" s="19"/>
      <c r="AW1431" s="20" t="s">
        <v>199</v>
      </c>
      <c r="AX1431" s="19" t="s">
        <v>2973</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65003002</v>
      </c>
      <c r="D1432" s="20" t="s">
        <v>3026</v>
      </c>
      <c r="E1432" s="20" t="s">
        <v>3027</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95003021</v>
      </c>
      <c r="AU1432" s="19" t="s">
        <v>198</v>
      </c>
      <c r="AV1432" s="19"/>
      <c r="AW1432" s="20" t="s">
        <v>199</v>
      </c>
      <c r="AX1432" s="19" t="s">
        <v>2973</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65003003</v>
      </c>
      <c r="D1433" s="20" t="s">
        <v>3028</v>
      </c>
      <c r="E1433" s="20" t="s">
        <v>3029</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3030</v>
      </c>
      <c r="AU1433" s="19" t="s">
        <v>198</v>
      </c>
      <c r="AV1433" s="19"/>
      <c r="AW1433" s="20" t="s">
        <v>199</v>
      </c>
      <c r="AX1433" s="19" t="s">
        <v>2973</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65003004</v>
      </c>
      <c r="D1434" s="20" t="s">
        <v>3031</v>
      </c>
      <c r="E1434" s="20" t="s">
        <v>3032</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95003041</v>
      </c>
      <c r="AU1434" s="19" t="s">
        <v>198</v>
      </c>
      <c r="AV1434" s="19"/>
      <c r="AW1434" s="20" t="s">
        <v>199</v>
      </c>
      <c r="AX1434" s="19" t="s">
        <v>2973</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65003005</v>
      </c>
      <c r="D1435" s="20" t="s">
        <v>3033</v>
      </c>
      <c r="E1435" s="20" t="s">
        <v>3034</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95003051</v>
      </c>
      <c r="AU1435" s="19" t="s">
        <v>198</v>
      </c>
      <c r="AV1435" s="19"/>
      <c r="AW1435" s="20" t="s">
        <v>199</v>
      </c>
      <c r="AX1435" s="19" t="s">
        <v>2973</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65003006</v>
      </c>
      <c r="D1436" s="20" t="s">
        <v>3035</v>
      </c>
      <c r="E1436" s="20" t="s">
        <v>3036</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t="s">
        <v>3037</v>
      </c>
      <c r="AU1436" s="19" t="s">
        <v>198</v>
      </c>
      <c r="AV1436" s="19"/>
      <c r="AW1436" s="20" t="s">
        <v>199</v>
      </c>
      <c r="AX1436" s="19" t="s">
        <v>2973</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65003101</v>
      </c>
      <c r="D1437" s="20" t="s">
        <v>3038</v>
      </c>
      <c r="E1437" s="20" t="s">
        <v>3039</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95003101</v>
      </c>
      <c r="AU1437" s="19" t="s">
        <v>198</v>
      </c>
      <c r="AV1437" s="19"/>
      <c r="AW1437" s="20" t="s">
        <v>199</v>
      </c>
      <c r="AX1437" s="19" t="s">
        <v>2973</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65003102</v>
      </c>
      <c r="D1438" s="20" t="s">
        <v>3040</v>
      </c>
      <c r="E1438" s="20" t="s">
        <v>3041</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95003102</v>
      </c>
      <c r="AU1438" s="19" t="s">
        <v>198</v>
      </c>
      <c r="AV1438" s="19"/>
      <c r="AW1438" s="20" t="s">
        <v>199</v>
      </c>
      <c r="AX1438" s="19" t="s">
        <v>2973</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65003103</v>
      </c>
      <c r="D1439" s="20" t="s">
        <v>3042</v>
      </c>
      <c r="E1439" s="20" t="s">
        <v>3043</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95003103</v>
      </c>
      <c r="AU1439" s="19" t="s">
        <v>198</v>
      </c>
      <c r="AV1439" s="19"/>
      <c r="AW1439" s="20" t="s">
        <v>199</v>
      </c>
      <c r="AX1439" s="19" t="s">
        <v>2973</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65003104</v>
      </c>
      <c r="D1440" s="20" t="s">
        <v>3044</v>
      </c>
      <c r="E1440" s="20" t="s">
        <v>3045</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95003104</v>
      </c>
      <c r="AU1440" s="19" t="s">
        <v>198</v>
      </c>
      <c r="AV1440" s="19"/>
      <c r="AW1440" s="20" t="s">
        <v>199</v>
      </c>
      <c r="AX1440" s="19" t="s">
        <v>2973</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65003105</v>
      </c>
      <c r="D1441" s="20" t="s">
        <v>3046</v>
      </c>
      <c r="E1441" s="20" t="s">
        <v>3047</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95003105</v>
      </c>
      <c r="AU1441" s="19" t="s">
        <v>198</v>
      </c>
      <c r="AV1441" s="19"/>
      <c r="AW1441" s="20" t="s">
        <v>199</v>
      </c>
      <c r="AX1441" s="19" t="s">
        <v>2973</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65004001</v>
      </c>
      <c r="D1442" s="20" t="s">
        <v>3048</v>
      </c>
      <c r="E1442" s="20" t="s">
        <v>3049</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10</v>
      </c>
      <c r="AG1442" s="19">
        <v>0</v>
      </c>
      <c r="AH1442" s="19">
        <v>0</v>
      </c>
      <c r="AI1442" s="13">
        <v>2</v>
      </c>
      <c r="AJ1442" s="13">
        <v>0</v>
      </c>
      <c r="AK1442" s="13">
        <v>0</v>
      </c>
      <c r="AL1442" s="13">
        <v>0</v>
      </c>
      <c r="AM1442" s="19">
        <v>0</v>
      </c>
      <c r="AN1442" s="19">
        <v>0</v>
      </c>
      <c r="AO1442" s="19">
        <v>0</v>
      </c>
      <c r="AP1442" s="19">
        <v>0</v>
      </c>
      <c r="AQ1442" s="19">
        <v>1000</v>
      </c>
      <c r="AR1442" s="19">
        <v>0</v>
      </c>
      <c r="AS1442" s="19">
        <v>0</v>
      </c>
      <c r="AT1442" s="355" t="s">
        <v>3050</v>
      </c>
      <c r="AU1442" s="19" t="s">
        <v>198</v>
      </c>
      <c r="AV1442" s="19"/>
      <c r="AW1442" s="20" t="s">
        <v>199</v>
      </c>
      <c r="AX1442" s="19" t="s">
        <v>2973</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65004002</v>
      </c>
      <c r="D1443" s="20" t="s">
        <v>3051</v>
      </c>
      <c r="E1443" s="20" t="s">
        <v>3052</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95004021</v>
      </c>
      <c r="AU1443" s="19" t="s">
        <v>198</v>
      </c>
      <c r="AV1443" s="19"/>
      <c r="AW1443" s="20" t="s">
        <v>199</v>
      </c>
      <c r="AX1443" s="19" t="s">
        <v>2973</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65004003</v>
      </c>
      <c r="D1444" s="20" t="s">
        <v>3053</v>
      </c>
      <c r="E1444" s="20" t="s">
        <v>3054</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3055</v>
      </c>
      <c r="AU1444" s="19" t="s">
        <v>198</v>
      </c>
      <c r="AV1444" s="19"/>
      <c r="AW1444" s="20" t="s">
        <v>199</v>
      </c>
      <c r="AX1444" s="19" t="s">
        <v>2973</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65004004</v>
      </c>
      <c r="D1445" s="20" t="s">
        <v>3056</v>
      </c>
      <c r="E1445" s="20" t="s">
        <v>3057</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95004041</v>
      </c>
      <c r="AU1445" s="19" t="s">
        <v>198</v>
      </c>
      <c r="AV1445" s="19"/>
      <c r="AW1445" s="20" t="s">
        <v>199</v>
      </c>
      <c r="AX1445" s="19" t="s">
        <v>2973</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65004005</v>
      </c>
      <c r="D1446" s="20" t="s">
        <v>3058</v>
      </c>
      <c r="E1446" s="20" t="s">
        <v>3059</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95004051</v>
      </c>
      <c r="AU1446" s="19" t="s">
        <v>198</v>
      </c>
      <c r="AV1446" s="19"/>
      <c r="AW1446" s="20" t="s">
        <v>199</v>
      </c>
      <c r="AX1446" s="19" t="s">
        <v>2973</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65004006</v>
      </c>
      <c r="D1447" s="20" t="s">
        <v>3060</v>
      </c>
      <c r="E1447" s="20" t="s">
        <v>3061</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t="s">
        <v>3062</v>
      </c>
      <c r="AU1447" s="19" t="s">
        <v>198</v>
      </c>
      <c r="AV1447" s="19"/>
      <c r="AW1447" s="20" t="s">
        <v>199</v>
      </c>
      <c r="AX1447" s="19" t="s">
        <v>2973</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65004101</v>
      </c>
      <c r="D1448" s="20" t="s">
        <v>3063</v>
      </c>
      <c r="E1448" s="20" t="s">
        <v>3064</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95004101</v>
      </c>
      <c r="AU1448" s="19" t="s">
        <v>198</v>
      </c>
      <c r="AV1448" s="19"/>
      <c r="AW1448" s="20" t="s">
        <v>199</v>
      </c>
      <c r="AX1448" s="19" t="s">
        <v>2973</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65004102</v>
      </c>
      <c r="D1449" s="20" t="s">
        <v>3065</v>
      </c>
      <c r="E1449" s="20" t="s">
        <v>3066</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95004102</v>
      </c>
      <c r="AU1449" s="19" t="s">
        <v>198</v>
      </c>
      <c r="AV1449" s="19"/>
      <c r="AW1449" s="20" t="s">
        <v>199</v>
      </c>
      <c r="AX1449" s="19" t="s">
        <v>2973</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65004103</v>
      </c>
      <c r="D1450" s="20" t="s">
        <v>3067</v>
      </c>
      <c r="E1450" s="20" t="s">
        <v>3043</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95004103</v>
      </c>
      <c r="AU1450" s="19" t="s">
        <v>198</v>
      </c>
      <c r="AV1450" s="19"/>
      <c r="AW1450" s="20" t="s">
        <v>199</v>
      </c>
      <c r="AX1450" s="19" t="s">
        <v>2973</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65004104</v>
      </c>
      <c r="D1451" s="20" t="s">
        <v>3068</v>
      </c>
      <c r="E1451" s="20" t="s">
        <v>3069</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95004104</v>
      </c>
      <c r="AU1451" s="19" t="s">
        <v>198</v>
      </c>
      <c r="AV1451" s="19"/>
      <c r="AW1451" s="20" t="s">
        <v>199</v>
      </c>
      <c r="AX1451" s="19" t="s">
        <v>2973</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65004105</v>
      </c>
      <c r="D1452" s="20" t="s">
        <v>3070</v>
      </c>
      <c r="E1452" s="20" t="s">
        <v>3071</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95004105</v>
      </c>
      <c r="AU1452" s="19" t="s">
        <v>198</v>
      </c>
      <c r="AV1452" s="19"/>
      <c r="AW1452" s="20" t="s">
        <v>199</v>
      </c>
      <c r="AX1452" s="19" t="s">
        <v>2973</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65005001</v>
      </c>
      <c r="D1453" s="20" t="s">
        <v>3072</v>
      </c>
      <c r="E1453" s="20" t="s">
        <v>3073</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10</v>
      </c>
      <c r="AG1453" s="19">
        <v>0</v>
      </c>
      <c r="AH1453" s="19">
        <v>0</v>
      </c>
      <c r="AI1453" s="13">
        <v>2</v>
      </c>
      <c r="AJ1453" s="13">
        <v>0</v>
      </c>
      <c r="AK1453" s="13">
        <v>0</v>
      </c>
      <c r="AL1453" s="13">
        <v>0</v>
      </c>
      <c r="AM1453" s="19">
        <v>0</v>
      </c>
      <c r="AN1453" s="19">
        <v>0</v>
      </c>
      <c r="AO1453" s="19">
        <v>0</v>
      </c>
      <c r="AP1453" s="19">
        <v>0</v>
      </c>
      <c r="AQ1453" s="19">
        <v>1000</v>
      </c>
      <c r="AR1453" s="19">
        <v>0</v>
      </c>
      <c r="AS1453" s="19">
        <v>0</v>
      </c>
      <c r="AT1453" s="355" t="s">
        <v>3074</v>
      </c>
      <c r="AU1453" s="19" t="s">
        <v>198</v>
      </c>
      <c r="AV1453" s="19"/>
      <c r="AW1453" s="20" t="s">
        <v>199</v>
      </c>
      <c r="AX1453" s="19" t="s">
        <v>2973</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65005002</v>
      </c>
      <c r="D1454" s="20" t="s">
        <v>3075</v>
      </c>
      <c r="E1454" s="20" t="s">
        <v>3076</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95005021</v>
      </c>
      <c r="AU1454" s="19" t="s">
        <v>198</v>
      </c>
      <c r="AV1454" s="19"/>
      <c r="AW1454" s="20" t="s">
        <v>199</v>
      </c>
      <c r="AX1454" s="19" t="s">
        <v>2973</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65005003</v>
      </c>
      <c r="D1455" s="20" t="s">
        <v>3077</v>
      </c>
      <c r="E1455" s="20" t="s">
        <v>3078</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3079</v>
      </c>
      <c r="AU1455" s="19" t="s">
        <v>198</v>
      </c>
      <c r="AV1455" s="19"/>
      <c r="AW1455" s="20" t="s">
        <v>199</v>
      </c>
      <c r="AX1455" s="19" t="s">
        <v>2973</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65005004</v>
      </c>
      <c r="D1456" s="20" t="s">
        <v>3080</v>
      </c>
      <c r="E1456" s="20" t="s">
        <v>3081</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95005041</v>
      </c>
      <c r="AU1456" s="19" t="s">
        <v>198</v>
      </c>
      <c r="AV1456" s="19"/>
      <c r="AW1456" s="20" t="s">
        <v>199</v>
      </c>
      <c r="AX1456" s="19" t="s">
        <v>2973</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65005005</v>
      </c>
      <c r="D1457" s="20" t="s">
        <v>3082</v>
      </c>
      <c r="E1457" s="20" t="s">
        <v>3083</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95005051</v>
      </c>
      <c r="AU1457" s="19" t="s">
        <v>198</v>
      </c>
      <c r="AV1457" s="19"/>
      <c r="AW1457" s="20" t="s">
        <v>199</v>
      </c>
      <c r="AX1457" s="19" t="s">
        <v>2973</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65005006</v>
      </c>
      <c r="D1458" s="20" t="s">
        <v>3084</v>
      </c>
      <c r="E1458" s="20" t="s">
        <v>3085</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t="s">
        <v>3086</v>
      </c>
      <c r="AU1458" s="19" t="s">
        <v>198</v>
      </c>
      <c r="AV1458" s="19"/>
      <c r="AW1458" s="20" t="s">
        <v>199</v>
      </c>
      <c r="AX1458" s="19" t="s">
        <v>2973</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65005101</v>
      </c>
      <c r="D1459" s="20" t="s">
        <v>3087</v>
      </c>
      <c r="E1459" s="20" t="s">
        <v>3088</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95005101</v>
      </c>
      <c r="AU1459" s="19" t="s">
        <v>198</v>
      </c>
      <c r="AV1459" s="19"/>
      <c r="AW1459" s="20" t="s">
        <v>199</v>
      </c>
      <c r="AX1459" s="19" t="s">
        <v>2973</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65005102</v>
      </c>
      <c r="D1460" s="20" t="s">
        <v>3089</v>
      </c>
      <c r="E1460" s="20" t="s">
        <v>3090</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95005102</v>
      </c>
      <c r="AU1460" s="19" t="s">
        <v>198</v>
      </c>
      <c r="AV1460" s="19"/>
      <c r="AW1460" s="20" t="s">
        <v>199</v>
      </c>
      <c r="AX1460" s="19" t="s">
        <v>2973</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65005103</v>
      </c>
      <c r="D1461" s="20" t="s">
        <v>3091</v>
      </c>
      <c r="E1461" s="20" t="s">
        <v>3092</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95005103</v>
      </c>
      <c r="AU1461" s="19" t="s">
        <v>198</v>
      </c>
      <c r="AV1461" s="19"/>
      <c r="AW1461" s="20" t="s">
        <v>199</v>
      </c>
      <c r="AX1461" s="19" t="s">
        <v>2973</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65005104</v>
      </c>
      <c r="D1462" s="20" t="s">
        <v>3093</v>
      </c>
      <c r="E1462" s="20" t="s">
        <v>3094</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95005104</v>
      </c>
      <c r="AU1462" s="19" t="s">
        <v>198</v>
      </c>
      <c r="AV1462" s="19"/>
      <c r="AW1462" s="20" t="s">
        <v>199</v>
      </c>
      <c r="AX1462" s="19" t="s">
        <v>2973</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20.100000000000001" customHeight="1">
      <c r="C1463" s="19">
        <v>65005105</v>
      </c>
      <c r="D1463" s="20" t="s">
        <v>3095</v>
      </c>
      <c r="E1463" s="20" t="s">
        <v>3096</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95005105</v>
      </c>
      <c r="AU1463" s="19" t="s">
        <v>198</v>
      </c>
      <c r="AV1463" s="19"/>
      <c r="AW1463" s="20" t="s">
        <v>199</v>
      </c>
      <c r="AX1463" s="19" t="s">
        <v>2973</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65006001</v>
      </c>
      <c r="D1464" s="20" t="s">
        <v>3097</v>
      </c>
      <c r="E1464" s="20" t="s">
        <v>3098</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10</v>
      </c>
      <c r="AG1464" s="19">
        <v>0</v>
      </c>
      <c r="AH1464" s="19">
        <v>0</v>
      </c>
      <c r="AI1464" s="13">
        <v>2</v>
      </c>
      <c r="AJ1464" s="13">
        <v>0</v>
      </c>
      <c r="AK1464" s="13">
        <v>0</v>
      </c>
      <c r="AL1464" s="13">
        <v>0</v>
      </c>
      <c r="AM1464" s="19">
        <v>0</v>
      </c>
      <c r="AN1464" s="19">
        <v>0</v>
      </c>
      <c r="AO1464" s="19">
        <v>0</v>
      </c>
      <c r="AP1464" s="19">
        <v>0</v>
      </c>
      <c r="AQ1464" s="19">
        <v>1000</v>
      </c>
      <c r="AR1464" s="19">
        <v>0</v>
      </c>
      <c r="AS1464" s="19">
        <v>0</v>
      </c>
      <c r="AT1464" s="355" t="s">
        <v>3099</v>
      </c>
      <c r="AU1464" s="19" t="s">
        <v>198</v>
      </c>
      <c r="AV1464" s="19"/>
      <c r="AW1464" s="20" t="s">
        <v>199</v>
      </c>
      <c r="AX1464" s="19" t="s">
        <v>2973</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65006002</v>
      </c>
      <c r="D1465" s="20" t="s">
        <v>3100</v>
      </c>
      <c r="E1465" s="20" t="s">
        <v>3101</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v>95006021</v>
      </c>
      <c r="AU1465" s="19" t="s">
        <v>198</v>
      </c>
      <c r="AV1465" s="19"/>
      <c r="AW1465" s="20" t="s">
        <v>199</v>
      </c>
      <c r="AX1465" s="19" t="s">
        <v>2973</v>
      </c>
      <c r="AY1465" s="19">
        <v>0</v>
      </c>
      <c r="AZ1465" s="19">
        <v>40000003</v>
      </c>
      <c r="BA1465" s="20" t="s">
        <v>200</v>
      </c>
      <c r="BB1465" s="20" t="s">
        <v>198</v>
      </c>
      <c r="BC1465" s="28">
        <v>0</v>
      </c>
      <c r="BD1465" s="28">
        <v>0</v>
      </c>
      <c r="BE1465" s="89" t="s">
        <v>3102</v>
      </c>
      <c r="BF1465" s="89" t="s">
        <v>3103</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19.5" customHeight="1">
      <c r="C1466" s="19">
        <v>65006003</v>
      </c>
      <c r="D1466" s="18" t="s">
        <v>3104</v>
      </c>
      <c r="E1466" s="18" t="s">
        <v>3105</v>
      </c>
      <c r="F1466" s="19">
        <v>1</v>
      </c>
      <c r="G1466" s="17">
        <v>60010100</v>
      </c>
      <c r="H1466" s="19">
        <v>0</v>
      </c>
      <c r="I1466" s="28">
        <v>0</v>
      </c>
      <c r="J1466" s="19">
        <v>1</v>
      </c>
      <c r="K1466" s="19">
        <v>0</v>
      </c>
      <c r="L1466" s="19">
        <v>0</v>
      </c>
      <c r="M1466" s="17">
        <v>0</v>
      </c>
      <c r="N1466" s="17">
        <v>0</v>
      </c>
      <c r="O1466" s="17">
        <v>1</v>
      </c>
      <c r="P1466" s="17">
        <v>0</v>
      </c>
      <c r="Q1466" s="17">
        <v>0</v>
      </c>
      <c r="R1466" s="17">
        <v>0</v>
      </c>
      <c r="S1466" s="13">
        <v>0</v>
      </c>
      <c r="T1466" s="17">
        <v>0</v>
      </c>
      <c r="U1466" s="17">
        <v>1</v>
      </c>
      <c r="V1466" s="17">
        <v>2</v>
      </c>
      <c r="W1466" s="17">
        <v>0</v>
      </c>
      <c r="X1466" s="17">
        <v>2.5</v>
      </c>
      <c r="Y1466" s="13">
        <v>0</v>
      </c>
      <c r="Z1466" s="17">
        <v>0</v>
      </c>
      <c r="AA1466" s="17">
        <v>1</v>
      </c>
      <c r="AB1466" s="17">
        <v>0</v>
      </c>
      <c r="AC1466" s="17">
        <v>0</v>
      </c>
      <c r="AD1466" s="17">
        <v>0</v>
      </c>
      <c r="AE1466" s="17">
        <v>0</v>
      </c>
      <c r="AF1466" s="17">
        <v>10</v>
      </c>
      <c r="AG1466" s="17">
        <v>1</v>
      </c>
      <c r="AH1466" s="17">
        <v>3</v>
      </c>
      <c r="AI1466" s="13">
        <v>2</v>
      </c>
      <c r="AJ1466" s="13">
        <v>1</v>
      </c>
      <c r="AK1466" s="13">
        <v>0</v>
      </c>
      <c r="AL1466" s="13">
        <v>6</v>
      </c>
      <c r="AM1466" s="17">
        <v>0</v>
      </c>
      <c r="AN1466" s="17">
        <v>0</v>
      </c>
      <c r="AO1466" s="17">
        <v>0</v>
      </c>
      <c r="AP1466" s="17">
        <v>0</v>
      </c>
      <c r="AQ1466" s="17">
        <v>1000</v>
      </c>
      <c r="AR1466" s="17">
        <v>0.5</v>
      </c>
      <c r="AS1466" s="17">
        <v>0</v>
      </c>
      <c r="AT1466" s="13">
        <v>0</v>
      </c>
      <c r="AU1466" s="17">
        <v>0</v>
      </c>
      <c r="AV1466" s="17"/>
      <c r="AW1466" s="20" t="s">
        <v>199</v>
      </c>
      <c r="AX1466" s="62" t="s">
        <v>215</v>
      </c>
      <c r="AY1466" s="19">
        <v>10000007</v>
      </c>
      <c r="AZ1466" s="19">
        <v>70203006</v>
      </c>
      <c r="BA1466" s="18" t="s">
        <v>200</v>
      </c>
      <c r="BB1466" s="17">
        <v>0</v>
      </c>
      <c r="BC1466" s="28">
        <v>0</v>
      </c>
      <c r="BD1466" s="28">
        <v>0</v>
      </c>
      <c r="BE1466" s="46" t="s">
        <v>3106</v>
      </c>
      <c r="BF1466" s="46" t="s">
        <v>3107</v>
      </c>
      <c r="BG1466" s="17">
        <v>0</v>
      </c>
      <c r="BH1466" s="17">
        <v>0</v>
      </c>
      <c r="BI1466" s="17">
        <v>0</v>
      </c>
      <c r="BJ1466" s="17">
        <v>0</v>
      </c>
      <c r="BK1466" s="17">
        <v>0</v>
      </c>
      <c r="BL1466" s="17">
        <v>0</v>
      </c>
      <c r="BM1466" s="16">
        <v>0</v>
      </c>
      <c r="BN1466" s="13">
        <v>1</v>
      </c>
      <c r="BO1466" s="13">
        <v>0</v>
      </c>
      <c r="BP1466" s="13">
        <v>0</v>
      </c>
      <c r="BQ1466" s="13">
        <v>0</v>
      </c>
      <c r="BR1466" s="13">
        <v>0</v>
      </c>
      <c r="BS1466" s="13">
        <v>0</v>
      </c>
      <c r="BT1466" s="13">
        <v>0</v>
      </c>
      <c r="BU1466" s="49">
        <v>0</v>
      </c>
      <c r="BV1466" s="49"/>
      <c r="BW1466" s="49"/>
    </row>
    <row r="1467" spans="3:75" ht="19.5" customHeight="1">
      <c r="C1467" s="19">
        <v>65006004</v>
      </c>
      <c r="D1467" s="18" t="s">
        <v>3108</v>
      </c>
      <c r="E1467" s="18" t="s">
        <v>3109</v>
      </c>
      <c r="F1467" s="19">
        <v>1</v>
      </c>
      <c r="G1467" s="17">
        <v>60010100</v>
      </c>
      <c r="H1467" s="19">
        <v>0</v>
      </c>
      <c r="I1467" s="28">
        <v>0</v>
      </c>
      <c r="J1467" s="19">
        <v>1</v>
      </c>
      <c r="K1467" s="19">
        <v>0</v>
      </c>
      <c r="L1467" s="19">
        <v>0</v>
      </c>
      <c r="M1467" s="17">
        <v>0</v>
      </c>
      <c r="N1467" s="17">
        <v>0</v>
      </c>
      <c r="O1467" s="17">
        <v>1</v>
      </c>
      <c r="P1467" s="17">
        <v>0</v>
      </c>
      <c r="Q1467" s="17">
        <v>0</v>
      </c>
      <c r="R1467" s="17">
        <v>0</v>
      </c>
      <c r="S1467" s="13">
        <v>0</v>
      </c>
      <c r="T1467" s="17">
        <v>0</v>
      </c>
      <c r="U1467" s="17">
        <v>1</v>
      </c>
      <c r="V1467" s="17">
        <v>2</v>
      </c>
      <c r="W1467" s="17">
        <v>0</v>
      </c>
      <c r="X1467" s="17">
        <v>0.8</v>
      </c>
      <c r="Y1467" s="13">
        <v>0</v>
      </c>
      <c r="Z1467" s="17">
        <v>0</v>
      </c>
      <c r="AA1467" s="17">
        <v>1</v>
      </c>
      <c r="AB1467" s="17">
        <v>0</v>
      </c>
      <c r="AC1467" s="17">
        <v>0</v>
      </c>
      <c r="AD1467" s="17">
        <v>0</v>
      </c>
      <c r="AE1467" s="17">
        <v>0</v>
      </c>
      <c r="AF1467" s="17">
        <v>15</v>
      </c>
      <c r="AG1467" s="17">
        <v>1</v>
      </c>
      <c r="AH1467" s="17">
        <v>3</v>
      </c>
      <c r="AI1467" s="13">
        <v>2</v>
      </c>
      <c r="AJ1467" s="13">
        <v>1</v>
      </c>
      <c r="AK1467" s="13">
        <v>0</v>
      </c>
      <c r="AL1467" s="13">
        <v>6</v>
      </c>
      <c r="AM1467" s="17">
        <v>0</v>
      </c>
      <c r="AN1467" s="17">
        <v>0</v>
      </c>
      <c r="AO1467" s="17">
        <v>0</v>
      </c>
      <c r="AP1467" s="17">
        <v>0</v>
      </c>
      <c r="AQ1467" s="17">
        <v>6000</v>
      </c>
      <c r="AR1467" s="17">
        <v>0.5</v>
      </c>
      <c r="AS1467" s="17">
        <v>0</v>
      </c>
      <c r="AT1467" s="13">
        <v>0</v>
      </c>
      <c r="AU1467" s="17">
        <v>95006031</v>
      </c>
      <c r="AV1467" s="17"/>
      <c r="AW1467" s="20" t="s">
        <v>617</v>
      </c>
      <c r="AX1467" s="13" t="s">
        <v>1672</v>
      </c>
      <c r="AY1467" s="19">
        <v>10000007</v>
      </c>
      <c r="AZ1467" s="19">
        <v>70203007</v>
      </c>
      <c r="BA1467" s="20" t="s">
        <v>315</v>
      </c>
      <c r="BB1467" s="20" t="s">
        <v>371</v>
      </c>
      <c r="BC1467" s="28">
        <v>0</v>
      </c>
      <c r="BD1467" s="28">
        <v>0</v>
      </c>
      <c r="BE1467" s="46" t="s">
        <v>3110</v>
      </c>
      <c r="BF1467" s="46" t="s">
        <v>3111</v>
      </c>
      <c r="BG1467" s="17">
        <v>0</v>
      </c>
      <c r="BH1467" s="17">
        <v>0</v>
      </c>
      <c r="BI1467" s="17">
        <v>0</v>
      </c>
      <c r="BJ1467" s="17">
        <v>0</v>
      </c>
      <c r="BK1467" s="17">
        <v>0</v>
      </c>
      <c r="BL1467" s="17">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66001001</v>
      </c>
      <c r="D1468" s="20" t="s">
        <v>381</v>
      </c>
      <c r="E1468" s="20" t="s">
        <v>382</v>
      </c>
      <c r="F1468" s="19">
        <v>1</v>
      </c>
      <c r="G1468" s="19">
        <v>66001001</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t="s">
        <v>3112</v>
      </c>
      <c r="AU1468" s="19" t="s">
        <v>198</v>
      </c>
      <c r="AV1468" s="19"/>
      <c r="AW1468" s="20" t="s">
        <v>199</v>
      </c>
      <c r="AX1468" s="19" t="s">
        <v>2973</v>
      </c>
      <c r="AY1468" s="19">
        <v>0</v>
      </c>
      <c r="AZ1468" s="19">
        <v>66001001</v>
      </c>
      <c r="BA1468" s="20" t="s">
        <v>200</v>
      </c>
      <c r="BB1468" s="20" t="s">
        <v>198</v>
      </c>
      <c r="BC1468" s="28">
        <v>0</v>
      </c>
      <c r="BD1468" s="28">
        <v>0</v>
      </c>
      <c r="BE1468" s="89" t="s">
        <v>3113</v>
      </c>
      <c r="BF1468" s="89" t="s">
        <v>3114</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66001002</v>
      </c>
      <c r="D1469" s="20" t="s">
        <v>3115</v>
      </c>
      <c r="E1469" s="20" t="s">
        <v>3116</v>
      </c>
      <c r="F1469" s="17">
        <v>1</v>
      </c>
      <c r="G1469" s="19">
        <v>66001002</v>
      </c>
      <c r="H1469" s="19">
        <v>0</v>
      </c>
      <c r="I1469" s="28">
        <v>0</v>
      </c>
      <c r="J1469" s="19">
        <v>1</v>
      </c>
      <c r="K1469" s="19">
        <v>0</v>
      </c>
      <c r="L1469" s="17">
        <v>0</v>
      </c>
      <c r="M1469" s="19">
        <v>0</v>
      </c>
      <c r="N1469" s="19">
        <v>0</v>
      </c>
      <c r="O1469" s="19">
        <v>1</v>
      </c>
      <c r="P1469" s="19">
        <v>0</v>
      </c>
      <c r="Q1469" s="19">
        <v>0</v>
      </c>
      <c r="R1469" s="19">
        <v>0</v>
      </c>
      <c r="S1469" s="13">
        <v>0</v>
      </c>
      <c r="T1469" s="28">
        <v>0</v>
      </c>
      <c r="U1469" s="17">
        <v>1</v>
      </c>
      <c r="V1469" s="19">
        <v>2</v>
      </c>
      <c r="W1469" s="19">
        <v>0</v>
      </c>
      <c r="X1469" s="19">
        <v>0.75</v>
      </c>
      <c r="Y1469" s="13">
        <v>0</v>
      </c>
      <c r="Z1469" s="19">
        <v>0</v>
      </c>
      <c r="AA1469" s="19">
        <v>0</v>
      </c>
      <c r="AB1469" s="19">
        <v>0</v>
      </c>
      <c r="AC1469" s="19">
        <v>0</v>
      </c>
      <c r="AD1469" s="19">
        <v>0</v>
      </c>
      <c r="AE1469" s="19">
        <v>0</v>
      </c>
      <c r="AF1469" s="19">
        <v>24</v>
      </c>
      <c r="AG1469" s="19">
        <v>1</v>
      </c>
      <c r="AH1469" s="19">
        <v>4</v>
      </c>
      <c r="AI1469" s="13">
        <v>2</v>
      </c>
      <c r="AJ1469" s="13">
        <v>1</v>
      </c>
      <c r="AK1469" s="13">
        <v>0</v>
      </c>
      <c r="AL1469" s="13">
        <v>6</v>
      </c>
      <c r="AM1469" s="19">
        <v>0</v>
      </c>
      <c r="AN1469" s="19">
        <v>0</v>
      </c>
      <c r="AO1469" s="19">
        <v>0</v>
      </c>
      <c r="AP1469" s="19">
        <v>0.5</v>
      </c>
      <c r="AQ1469" s="19">
        <v>9000</v>
      </c>
      <c r="AR1469" s="19">
        <v>0.5</v>
      </c>
      <c r="AS1469" s="19">
        <v>0</v>
      </c>
      <c r="AT1469" s="13">
        <v>0</v>
      </c>
      <c r="AU1469" s="19" t="s">
        <v>198</v>
      </c>
      <c r="AV1469" s="19"/>
      <c r="AW1469" s="20" t="s">
        <v>1534</v>
      </c>
      <c r="AX1469" s="19" t="s">
        <v>1406</v>
      </c>
      <c r="AY1469" s="19">
        <v>10002001</v>
      </c>
      <c r="AZ1469" s="19">
        <v>66001002</v>
      </c>
      <c r="BA1469" s="20" t="s">
        <v>315</v>
      </c>
      <c r="BB1469" s="20" t="s">
        <v>371</v>
      </c>
      <c r="BC1469" s="28">
        <v>0</v>
      </c>
      <c r="BD1469" s="28">
        <v>0</v>
      </c>
      <c r="BE1469" s="89" t="s">
        <v>3117</v>
      </c>
      <c r="BF1469" s="89" t="s">
        <v>3118</v>
      </c>
      <c r="BG1469" s="19">
        <v>0</v>
      </c>
      <c r="BH1469" s="17">
        <v>0</v>
      </c>
      <c r="BI1469" s="19">
        <v>0</v>
      </c>
      <c r="BJ1469" s="19">
        <v>0</v>
      </c>
      <c r="BK1469" s="19">
        <v>0</v>
      </c>
      <c r="BL1469" s="19">
        <v>0</v>
      </c>
      <c r="BM1469" s="16">
        <v>0</v>
      </c>
      <c r="BN1469" s="13">
        <v>0</v>
      </c>
      <c r="BO1469" s="13">
        <v>0</v>
      </c>
      <c r="BP1469" s="13">
        <v>0</v>
      </c>
      <c r="BQ1469" s="13">
        <v>0</v>
      </c>
      <c r="BR1469" s="13">
        <v>0</v>
      </c>
      <c r="BS1469" s="13">
        <v>0</v>
      </c>
      <c r="BT1469" s="13">
        <v>0</v>
      </c>
      <c r="BU1469" s="49">
        <v>0</v>
      </c>
      <c r="BV1469" s="49"/>
      <c r="BW1469" s="49"/>
    </row>
    <row r="1470" spans="3:75" ht="20.100000000000001" customHeight="1">
      <c r="C1470" s="19">
        <v>66001003</v>
      </c>
      <c r="D1470" s="20" t="s">
        <v>3119</v>
      </c>
      <c r="E1470" s="20" t="s">
        <v>3120</v>
      </c>
      <c r="F1470" s="19">
        <v>1</v>
      </c>
      <c r="G1470" s="19">
        <v>66001003</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96001003</v>
      </c>
      <c r="AU1470" s="19" t="s">
        <v>198</v>
      </c>
      <c r="AV1470" s="19"/>
      <c r="AW1470" s="20" t="s">
        <v>199</v>
      </c>
      <c r="AX1470" s="19" t="s">
        <v>2973</v>
      </c>
      <c r="AY1470" s="19">
        <v>0</v>
      </c>
      <c r="AZ1470" s="19">
        <v>66001003</v>
      </c>
      <c r="BA1470" s="20" t="s">
        <v>200</v>
      </c>
      <c r="BB1470" s="20" t="s">
        <v>198</v>
      </c>
      <c r="BC1470" s="28">
        <v>0</v>
      </c>
      <c r="BD1470" s="28">
        <v>0</v>
      </c>
      <c r="BE1470" s="89" t="s">
        <v>3121</v>
      </c>
      <c r="BF1470" s="89" t="s">
        <v>3122</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66001004</v>
      </c>
      <c r="D1471" s="20" t="s">
        <v>3123</v>
      </c>
      <c r="E1471" s="20" t="s">
        <v>3124</v>
      </c>
      <c r="F1471" s="19">
        <v>1</v>
      </c>
      <c r="G1471" s="19">
        <v>66001004</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0</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96001004</v>
      </c>
      <c r="AU1471" s="19" t="s">
        <v>198</v>
      </c>
      <c r="AV1471" s="19"/>
      <c r="AW1471" s="20" t="s">
        <v>199</v>
      </c>
      <c r="AX1471" s="19" t="s">
        <v>2973</v>
      </c>
      <c r="AY1471" s="19">
        <v>0</v>
      </c>
      <c r="AZ1471" s="19">
        <v>66001004</v>
      </c>
      <c r="BA1471" s="20" t="s">
        <v>200</v>
      </c>
      <c r="BB1471" s="20" t="s">
        <v>198</v>
      </c>
      <c r="BC1471" s="28">
        <v>0</v>
      </c>
      <c r="BD1471" s="28">
        <v>0</v>
      </c>
      <c r="BE1471" s="89" t="s">
        <v>3125</v>
      </c>
      <c r="BF1471" s="89" t="s">
        <v>3126</v>
      </c>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spans="3:75" ht="20.100000000000001" customHeight="1">
      <c r="C1472" s="13">
        <v>66001005</v>
      </c>
      <c r="D1472" s="14" t="s">
        <v>3127</v>
      </c>
      <c r="E1472" s="14" t="s">
        <v>3128</v>
      </c>
      <c r="F1472" s="13">
        <v>1</v>
      </c>
      <c r="G1472" s="13">
        <v>66001005</v>
      </c>
      <c r="H1472" s="13">
        <v>0</v>
      </c>
      <c r="I1472" s="13">
        <v>0</v>
      </c>
      <c r="J1472" s="19">
        <v>1</v>
      </c>
      <c r="K1472" s="19">
        <v>0</v>
      </c>
      <c r="L1472" s="13">
        <v>0</v>
      </c>
      <c r="M1472" s="13">
        <v>0</v>
      </c>
      <c r="N1472" s="13">
        <v>0</v>
      </c>
      <c r="O1472" s="13">
        <v>1</v>
      </c>
      <c r="P1472" s="13">
        <v>0</v>
      </c>
      <c r="Q1472" s="13">
        <v>0</v>
      </c>
      <c r="R1472" s="13">
        <v>0</v>
      </c>
      <c r="S1472" s="13">
        <v>0</v>
      </c>
      <c r="T1472" s="13">
        <v>0</v>
      </c>
      <c r="U1472" s="17">
        <v>1</v>
      </c>
      <c r="V1472" s="13">
        <v>2</v>
      </c>
      <c r="W1472" s="13">
        <v>0</v>
      </c>
      <c r="X1472" s="13">
        <v>0</v>
      </c>
      <c r="Y1472" s="13">
        <v>0</v>
      </c>
      <c r="Z1472" s="13">
        <v>0</v>
      </c>
      <c r="AA1472" s="13">
        <v>1</v>
      </c>
      <c r="AB1472" s="13">
        <v>0</v>
      </c>
      <c r="AC1472" s="13">
        <v>0</v>
      </c>
      <c r="AD1472" s="19">
        <v>0</v>
      </c>
      <c r="AE1472" s="13">
        <v>0</v>
      </c>
      <c r="AF1472" s="13">
        <v>18</v>
      </c>
      <c r="AG1472" s="13">
        <v>1</v>
      </c>
      <c r="AH1472" s="13">
        <v>3</v>
      </c>
      <c r="AI1472" s="13">
        <v>2</v>
      </c>
      <c r="AJ1472" s="13">
        <v>0</v>
      </c>
      <c r="AK1472" s="13">
        <v>1</v>
      </c>
      <c r="AL1472" s="13">
        <v>1.6</v>
      </c>
      <c r="AM1472" s="13">
        <v>0</v>
      </c>
      <c r="AN1472" s="13">
        <v>0</v>
      </c>
      <c r="AO1472" s="13">
        <v>0</v>
      </c>
      <c r="AP1472" s="13">
        <v>0.25</v>
      </c>
      <c r="AQ1472" s="13">
        <v>3000</v>
      </c>
      <c r="AR1472" s="13">
        <v>0.1</v>
      </c>
      <c r="AS1472" s="13">
        <v>0</v>
      </c>
      <c r="AT1472" s="13">
        <v>0</v>
      </c>
      <c r="AU1472" s="13">
        <v>96001005</v>
      </c>
      <c r="AV1472" s="13"/>
      <c r="AW1472" s="14" t="s">
        <v>256</v>
      </c>
      <c r="AX1472" s="19" t="s">
        <v>2973</v>
      </c>
      <c r="AY1472" s="13" t="s">
        <v>198</v>
      </c>
      <c r="AZ1472" s="13">
        <v>66001005</v>
      </c>
      <c r="BA1472" s="14" t="s">
        <v>200</v>
      </c>
      <c r="BB1472" s="13">
        <v>0</v>
      </c>
      <c r="BC1472" s="13">
        <v>0</v>
      </c>
      <c r="BD1472" s="13">
        <v>0</v>
      </c>
      <c r="BE1472" s="44" t="s">
        <v>3129</v>
      </c>
      <c r="BF1472" s="44" t="s">
        <v>3130</v>
      </c>
      <c r="BG1472" s="13">
        <v>0</v>
      </c>
      <c r="BH1472" s="17">
        <v>0</v>
      </c>
      <c r="BI1472" s="13">
        <v>0</v>
      </c>
      <c r="BJ1472" s="13">
        <v>0</v>
      </c>
      <c r="BK1472" s="13">
        <v>0</v>
      </c>
      <c r="BL1472" s="13">
        <v>0</v>
      </c>
      <c r="BM1472" s="16">
        <v>0</v>
      </c>
      <c r="BN1472" s="13">
        <v>1</v>
      </c>
      <c r="BO1472" s="13">
        <v>0</v>
      </c>
      <c r="BP1472" s="13">
        <v>0</v>
      </c>
      <c r="BQ1472" s="13">
        <v>0</v>
      </c>
      <c r="BR1472" s="13">
        <v>0</v>
      </c>
      <c r="BS1472" s="13">
        <v>0</v>
      </c>
      <c r="BT1472" s="13">
        <v>0</v>
      </c>
      <c r="BU1472" s="49">
        <v>0</v>
      </c>
      <c r="BV1472" s="49"/>
      <c r="BW1472" s="49"/>
    </row>
    <row r="1473" spans="3:75" ht="20.100000000000001" customHeight="1">
      <c r="C1473" s="19">
        <v>66001006</v>
      </c>
      <c r="D1473" s="20" t="s">
        <v>3131</v>
      </c>
      <c r="E1473" s="20" t="s">
        <v>3132</v>
      </c>
      <c r="F1473" s="19">
        <v>1</v>
      </c>
      <c r="G1473" s="19">
        <v>66001006</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96001006</v>
      </c>
      <c r="AU1473" s="19" t="s">
        <v>198</v>
      </c>
      <c r="AV1473" s="19"/>
      <c r="AW1473" s="20" t="s">
        <v>199</v>
      </c>
      <c r="AX1473" s="19" t="s">
        <v>2973</v>
      </c>
      <c r="AY1473" s="19">
        <v>0</v>
      </c>
      <c r="AZ1473" s="19">
        <v>66001006</v>
      </c>
      <c r="BA1473" s="20" t="s">
        <v>200</v>
      </c>
      <c r="BB1473" s="20" t="s">
        <v>198</v>
      </c>
      <c r="BC1473" s="28">
        <v>0</v>
      </c>
      <c r="BD1473" s="28">
        <v>0</v>
      </c>
      <c r="BE1473" s="89" t="s">
        <v>3133</v>
      </c>
      <c r="BF1473" s="89" t="s">
        <v>3134</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66001007</v>
      </c>
      <c r="D1474" s="14" t="s">
        <v>3135</v>
      </c>
      <c r="E1474" s="14" t="s">
        <v>3136</v>
      </c>
      <c r="F1474" s="19">
        <v>1</v>
      </c>
      <c r="G1474" s="19">
        <v>66001007</v>
      </c>
      <c r="H1474" s="13">
        <v>0</v>
      </c>
      <c r="I1474" s="13">
        <v>0</v>
      </c>
      <c r="J1474" s="19">
        <v>1</v>
      </c>
      <c r="K1474" s="19">
        <v>0</v>
      </c>
      <c r="L1474" s="13">
        <v>0</v>
      </c>
      <c r="M1474" s="13">
        <v>0</v>
      </c>
      <c r="N1474" s="13">
        <v>0</v>
      </c>
      <c r="O1474" s="13">
        <v>1</v>
      </c>
      <c r="P1474" s="13">
        <v>0</v>
      </c>
      <c r="Q1474" s="13">
        <v>0</v>
      </c>
      <c r="R1474" s="13">
        <v>0</v>
      </c>
      <c r="S1474" s="13">
        <v>0</v>
      </c>
      <c r="T1474" s="13">
        <v>0</v>
      </c>
      <c r="U1474" s="17">
        <v>1</v>
      </c>
      <c r="V1474" s="13">
        <v>2</v>
      </c>
      <c r="W1474" s="13">
        <v>0</v>
      </c>
      <c r="X1474" s="13">
        <v>2.75</v>
      </c>
      <c r="Y1474" s="13">
        <v>0</v>
      </c>
      <c r="Z1474" s="13">
        <v>0</v>
      </c>
      <c r="AA1474" s="13">
        <v>0</v>
      </c>
      <c r="AB1474" s="13">
        <v>0</v>
      </c>
      <c r="AC1474" s="13">
        <v>0</v>
      </c>
      <c r="AD1474" s="19">
        <v>0</v>
      </c>
      <c r="AE1474" s="13">
        <v>0</v>
      </c>
      <c r="AF1474" s="13">
        <v>15</v>
      </c>
      <c r="AG1474" s="13">
        <v>0</v>
      </c>
      <c r="AH1474" s="13">
        <v>0</v>
      </c>
      <c r="AI1474" s="13">
        <v>7</v>
      </c>
      <c r="AJ1474" s="13">
        <v>0</v>
      </c>
      <c r="AK1474" s="13">
        <v>0</v>
      </c>
      <c r="AL1474" s="13">
        <v>6</v>
      </c>
      <c r="AM1474" s="13">
        <v>0</v>
      </c>
      <c r="AN1474" s="13">
        <v>0</v>
      </c>
      <c r="AO1474" s="13">
        <v>0</v>
      </c>
      <c r="AP1474" s="13">
        <v>0.25</v>
      </c>
      <c r="AQ1474" s="13">
        <v>1000</v>
      </c>
      <c r="AR1474" s="13">
        <v>0</v>
      </c>
      <c r="AS1474" s="13">
        <v>0</v>
      </c>
      <c r="AT1474" s="13">
        <v>0</v>
      </c>
      <c r="AU1474" s="13" t="s">
        <v>198</v>
      </c>
      <c r="AV1474" s="13"/>
      <c r="AW1474" s="14" t="s">
        <v>256</v>
      </c>
      <c r="AX1474" s="13" t="s">
        <v>1672</v>
      </c>
      <c r="AY1474" s="13" t="s">
        <v>198</v>
      </c>
      <c r="AZ1474" s="13" t="s">
        <v>1906</v>
      </c>
      <c r="BA1474" s="14" t="s">
        <v>200</v>
      </c>
      <c r="BB1474" s="13">
        <v>0</v>
      </c>
      <c r="BC1474" s="28">
        <v>0</v>
      </c>
      <c r="BD1474" s="28">
        <v>0</v>
      </c>
      <c r="BE1474" s="44" t="s">
        <v>3137</v>
      </c>
      <c r="BF1474" s="44" t="s">
        <v>3138</v>
      </c>
      <c r="BG1474" s="13">
        <v>0</v>
      </c>
      <c r="BH1474" s="17">
        <v>0</v>
      </c>
      <c r="BI1474" s="13">
        <v>0</v>
      </c>
      <c r="BJ1474" s="13">
        <v>0</v>
      </c>
      <c r="BK1474" s="13">
        <v>0</v>
      </c>
      <c r="BL1474" s="13">
        <v>0</v>
      </c>
      <c r="BM1474" s="16">
        <v>0</v>
      </c>
      <c r="BN1474" s="13">
        <v>0</v>
      </c>
      <c r="BO1474" s="13">
        <v>0</v>
      </c>
      <c r="BP1474" s="13">
        <v>0</v>
      </c>
      <c r="BQ1474" s="13">
        <v>0</v>
      </c>
      <c r="BR1474" s="13">
        <v>0</v>
      </c>
      <c r="BS1474" s="13">
        <v>0</v>
      </c>
      <c r="BT1474" s="13">
        <v>0</v>
      </c>
      <c r="BU1474" s="49">
        <v>0</v>
      </c>
      <c r="BV1474" s="49"/>
      <c r="BW1474" s="49"/>
    </row>
    <row r="1475" spans="3:75" ht="19.5" customHeight="1">
      <c r="C1475" s="19">
        <v>66001008</v>
      </c>
      <c r="D1475" s="20" t="s">
        <v>3139</v>
      </c>
      <c r="E1475" s="20" t="s">
        <v>3140</v>
      </c>
      <c r="F1475" s="17">
        <v>1</v>
      </c>
      <c r="G1475" s="19">
        <v>66001008</v>
      </c>
      <c r="H1475" s="19">
        <v>0</v>
      </c>
      <c r="I1475" s="28">
        <v>0</v>
      </c>
      <c r="J1475" s="19">
        <v>1</v>
      </c>
      <c r="K1475" s="19">
        <v>0</v>
      </c>
      <c r="L1475" s="17">
        <v>0</v>
      </c>
      <c r="M1475" s="19">
        <v>0</v>
      </c>
      <c r="N1475" s="19">
        <v>0</v>
      </c>
      <c r="O1475" s="19">
        <v>1</v>
      </c>
      <c r="P1475" s="19">
        <v>0</v>
      </c>
      <c r="Q1475" s="19">
        <v>0</v>
      </c>
      <c r="R1475" s="19">
        <v>0</v>
      </c>
      <c r="S1475" s="13">
        <v>0</v>
      </c>
      <c r="T1475" s="28">
        <v>0</v>
      </c>
      <c r="U1475" s="17">
        <v>1</v>
      </c>
      <c r="V1475" s="19">
        <v>2</v>
      </c>
      <c r="W1475" s="19">
        <v>0</v>
      </c>
      <c r="X1475" s="19">
        <v>2.5</v>
      </c>
      <c r="Y1475" s="13">
        <v>0</v>
      </c>
      <c r="Z1475" s="19">
        <v>0</v>
      </c>
      <c r="AA1475" s="19">
        <v>0</v>
      </c>
      <c r="AB1475" s="19">
        <v>0</v>
      </c>
      <c r="AC1475" s="19">
        <v>0</v>
      </c>
      <c r="AD1475" s="19">
        <v>0</v>
      </c>
      <c r="AE1475" s="19">
        <v>0</v>
      </c>
      <c r="AF1475" s="19">
        <v>15</v>
      </c>
      <c r="AG1475" s="19">
        <v>1</v>
      </c>
      <c r="AH1475" s="19">
        <v>3</v>
      </c>
      <c r="AI1475" s="13">
        <v>2</v>
      </c>
      <c r="AJ1475" s="13">
        <v>1</v>
      </c>
      <c r="AK1475" s="13">
        <v>0</v>
      </c>
      <c r="AL1475" s="13">
        <v>6</v>
      </c>
      <c r="AM1475" s="19">
        <v>0</v>
      </c>
      <c r="AN1475" s="19">
        <v>0</v>
      </c>
      <c r="AO1475" s="19">
        <v>0</v>
      </c>
      <c r="AP1475" s="19">
        <v>0.75</v>
      </c>
      <c r="AQ1475" s="19">
        <v>3000</v>
      </c>
      <c r="AR1475" s="19">
        <v>0.75</v>
      </c>
      <c r="AS1475" s="19">
        <v>0</v>
      </c>
      <c r="AT1475" s="13">
        <v>0</v>
      </c>
      <c r="AU1475" s="19" t="s">
        <v>198</v>
      </c>
      <c r="AV1475" s="19"/>
      <c r="AW1475" s="20" t="s">
        <v>1524</v>
      </c>
      <c r="AX1475" s="19" t="s">
        <v>1525</v>
      </c>
      <c r="AY1475" s="19">
        <v>10000006</v>
      </c>
      <c r="AZ1475" s="19">
        <v>66001008</v>
      </c>
      <c r="BA1475" s="20" t="s">
        <v>200</v>
      </c>
      <c r="BB1475" s="20">
        <v>0</v>
      </c>
      <c r="BC1475" s="28">
        <v>0</v>
      </c>
      <c r="BD1475" s="28">
        <v>0</v>
      </c>
      <c r="BE1475" s="89" t="s">
        <v>3141</v>
      </c>
      <c r="BF1475" s="89" t="s">
        <v>3142</v>
      </c>
      <c r="BG1475" s="19">
        <v>0</v>
      </c>
      <c r="BH1475" s="17">
        <v>0</v>
      </c>
      <c r="BI1475" s="19">
        <v>0</v>
      </c>
      <c r="BJ1475" s="19">
        <v>0</v>
      </c>
      <c r="BK1475" s="19">
        <v>0</v>
      </c>
      <c r="BL1475" s="19">
        <v>0</v>
      </c>
      <c r="BM1475" s="16">
        <v>0</v>
      </c>
      <c r="BN1475" s="13">
        <v>0</v>
      </c>
      <c r="BO1475" s="13">
        <v>0</v>
      </c>
      <c r="BP1475" s="13">
        <v>0</v>
      </c>
      <c r="BQ1475" s="13">
        <v>0</v>
      </c>
      <c r="BR1475" s="13">
        <v>0</v>
      </c>
      <c r="BS1475" s="13">
        <v>0</v>
      </c>
      <c r="BT1475" s="13">
        <v>0</v>
      </c>
      <c r="BU1475" s="49">
        <v>0</v>
      </c>
      <c r="BV1475" s="49"/>
      <c r="BW1475" s="49"/>
    </row>
    <row r="1476" spans="3:75" ht="19.5" customHeight="1">
      <c r="C1476" s="19">
        <v>66001009</v>
      </c>
      <c r="D1476" s="20" t="s">
        <v>3143</v>
      </c>
      <c r="E1476" s="20" t="s">
        <v>3144</v>
      </c>
      <c r="F1476" s="17">
        <v>1</v>
      </c>
      <c r="G1476" s="19">
        <v>66001009</v>
      </c>
      <c r="H1476" s="19">
        <v>0</v>
      </c>
      <c r="I1476" s="28">
        <v>0</v>
      </c>
      <c r="J1476" s="19">
        <v>1</v>
      </c>
      <c r="K1476" s="19">
        <v>0</v>
      </c>
      <c r="L1476" s="17">
        <v>0</v>
      </c>
      <c r="M1476" s="19">
        <v>0</v>
      </c>
      <c r="N1476" s="19">
        <v>0</v>
      </c>
      <c r="O1476" s="19">
        <v>1</v>
      </c>
      <c r="P1476" s="19">
        <v>0</v>
      </c>
      <c r="Q1476" s="19">
        <v>0</v>
      </c>
      <c r="R1476" s="19">
        <v>0</v>
      </c>
      <c r="S1476" s="13">
        <v>0</v>
      </c>
      <c r="T1476" s="28">
        <v>0</v>
      </c>
      <c r="U1476" s="17">
        <v>1</v>
      </c>
      <c r="V1476" s="19">
        <v>2</v>
      </c>
      <c r="W1476" s="19">
        <v>0</v>
      </c>
      <c r="X1476" s="19">
        <v>2</v>
      </c>
      <c r="Y1476" s="13">
        <v>0</v>
      </c>
      <c r="Z1476" s="19">
        <v>0</v>
      </c>
      <c r="AA1476" s="19">
        <v>0</v>
      </c>
      <c r="AB1476" s="19">
        <v>0</v>
      </c>
      <c r="AC1476" s="19">
        <v>0</v>
      </c>
      <c r="AD1476" s="19">
        <v>0</v>
      </c>
      <c r="AE1476" s="19">
        <v>0</v>
      </c>
      <c r="AF1476" s="19">
        <v>15</v>
      </c>
      <c r="AG1476" s="19">
        <v>1</v>
      </c>
      <c r="AH1476" s="19">
        <v>3</v>
      </c>
      <c r="AI1476" s="13">
        <v>2</v>
      </c>
      <c r="AJ1476" s="13">
        <v>1</v>
      </c>
      <c r="AK1476" s="13">
        <v>0</v>
      </c>
      <c r="AL1476" s="13">
        <v>6</v>
      </c>
      <c r="AM1476" s="19">
        <v>0</v>
      </c>
      <c r="AN1476" s="19">
        <v>0</v>
      </c>
      <c r="AO1476" s="19">
        <v>0</v>
      </c>
      <c r="AP1476" s="19">
        <v>0.75</v>
      </c>
      <c r="AQ1476" s="19">
        <v>3000</v>
      </c>
      <c r="AR1476" s="19">
        <v>0.75</v>
      </c>
      <c r="AS1476" s="19">
        <v>0</v>
      </c>
      <c r="AT1476" s="13">
        <v>0</v>
      </c>
      <c r="AU1476" s="19">
        <v>96001009</v>
      </c>
      <c r="AV1476" s="19"/>
      <c r="AW1476" s="20" t="s">
        <v>1524</v>
      </c>
      <c r="AX1476" s="19" t="s">
        <v>1525</v>
      </c>
      <c r="AY1476" s="19">
        <v>10000006</v>
      </c>
      <c r="AZ1476" s="19">
        <v>66001009</v>
      </c>
      <c r="BA1476" s="20" t="s">
        <v>200</v>
      </c>
      <c r="BB1476" s="20">
        <v>0</v>
      </c>
      <c r="BC1476" s="28">
        <v>0</v>
      </c>
      <c r="BD1476" s="28">
        <v>0</v>
      </c>
      <c r="BE1476" s="89" t="s">
        <v>3145</v>
      </c>
      <c r="BF1476" s="89" t="s">
        <v>3146</v>
      </c>
      <c r="BG1476" s="19">
        <v>0</v>
      </c>
      <c r="BH1476" s="17">
        <v>0</v>
      </c>
      <c r="BI1476" s="19">
        <v>0</v>
      </c>
      <c r="BJ1476" s="19">
        <v>0</v>
      </c>
      <c r="BK1476" s="19">
        <v>0</v>
      </c>
      <c r="BL1476" s="19">
        <v>0</v>
      </c>
      <c r="BM1476" s="16">
        <v>0</v>
      </c>
      <c r="BN1476" s="13">
        <v>0</v>
      </c>
      <c r="BO1476" s="13">
        <v>0</v>
      </c>
      <c r="BP1476" s="13">
        <v>0</v>
      </c>
      <c r="BQ1476" s="13">
        <v>0</v>
      </c>
      <c r="BR1476" s="13">
        <v>0</v>
      </c>
      <c r="BS1476" s="13">
        <v>0</v>
      </c>
      <c r="BT1476" s="13">
        <v>0</v>
      </c>
      <c r="BU1476" s="49">
        <v>0</v>
      </c>
      <c r="BV1476" s="49"/>
      <c r="BW1476" s="49"/>
    </row>
    <row r="1477" spans="3:75" ht="20.100000000000001" customHeight="1">
      <c r="C1477" s="19">
        <v>66001010</v>
      </c>
      <c r="D1477" s="20" t="s">
        <v>907</v>
      </c>
      <c r="E1477" s="20" t="s">
        <v>382</v>
      </c>
      <c r="F1477" s="19">
        <v>1</v>
      </c>
      <c r="G1477" s="19">
        <v>66001010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0</v>
      </c>
      <c r="AE1477" s="19">
        <v>0</v>
      </c>
      <c r="AF1477" s="19">
        <v>18</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96001010</v>
      </c>
      <c r="AU1477" s="19" t="s">
        <v>198</v>
      </c>
      <c r="AV1477" s="19"/>
      <c r="AW1477" s="20" t="s">
        <v>199</v>
      </c>
      <c r="AX1477" s="19" t="s">
        <v>2973</v>
      </c>
      <c r="AY1477" s="19">
        <v>0</v>
      </c>
      <c r="AZ1477" s="19">
        <v>66001010</v>
      </c>
      <c r="BA1477" s="20" t="s">
        <v>200</v>
      </c>
      <c r="BB1477" s="20" t="s">
        <v>198</v>
      </c>
      <c r="BC1477" s="28">
        <v>0</v>
      </c>
      <c r="BD1477" s="28">
        <v>0</v>
      </c>
      <c r="BE1477" s="89" t="s">
        <v>3147</v>
      </c>
      <c r="BF1477" s="89" t="s">
        <v>3148</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spans="3:75" ht="20.100000000000001" customHeight="1">
      <c r="C1478" s="19">
        <v>66001011</v>
      </c>
      <c r="D1478" s="18" t="s">
        <v>3149</v>
      </c>
      <c r="E1478" s="18" t="s">
        <v>3150</v>
      </c>
      <c r="F1478" s="17">
        <v>1</v>
      </c>
      <c r="G1478" s="19">
        <v>66001011</v>
      </c>
      <c r="H1478" s="17">
        <v>0</v>
      </c>
      <c r="I1478" s="28">
        <v>0</v>
      </c>
      <c r="J1478" s="19">
        <v>1</v>
      </c>
      <c r="K1478" s="19">
        <v>0</v>
      </c>
      <c r="L1478" s="17">
        <v>0</v>
      </c>
      <c r="M1478" s="17">
        <v>0</v>
      </c>
      <c r="N1478" s="17">
        <v>0</v>
      </c>
      <c r="O1478" s="17">
        <v>1</v>
      </c>
      <c r="P1478" s="17">
        <v>0</v>
      </c>
      <c r="Q1478" s="17">
        <v>0</v>
      </c>
      <c r="R1478" s="17">
        <v>0</v>
      </c>
      <c r="S1478" s="13">
        <v>0</v>
      </c>
      <c r="T1478" s="17">
        <v>0</v>
      </c>
      <c r="U1478" s="17">
        <v>1</v>
      </c>
      <c r="V1478" s="17">
        <v>2</v>
      </c>
      <c r="W1478" s="17">
        <v>0</v>
      </c>
      <c r="X1478" s="17">
        <v>3</v>
      </c>
      <c r="Y1478" s="13">
        <v>0</v>
      </c>
      <c r="Z1478" s="17">
        <v>0</v>
      </c>
      <c r="AA1478" s="17">
        <v>0</v>
      </c>
      <c r="AB1478" s="17">
        <v>0</v>
      </c>
      <c r="AC1478" s="17">
        <v>0</v>
      </c>
      <c r="AD1478" s="19">
        <v>0</v>
      </c>
      <c r="AE1478" s="17">
        <v>0</v>
      </c>
      <c r="AF1478" s="17">
        <v>18</v>
      </c>
      <c r="AG1478" s="17">
        <v>2</v>
      </c>
      <c r="AH1478" s="17" t="s">
        <v>1474</v>
      </c>
      <c r="AI1478" s="13">
        <v>2</v>
      </c>
      <c r="AJ1478" s="13">
        <v>2</v>
      </c>
      <c r="AK1478" s="13">
        <v>0</v>
      </c>
      <c r="AL1478" s="13">
        <v>1.5</v>
      </c>
      <c r="AM1478" s="17">
        <v>0</v>
      </c>
      <c r="AN1478" s="17">
        <v>0</v>
      </c>
      <c r="AO1478" s="17">
        <v>0</v>
      </c>
      <c r="AP1478" s="17">
        <v>0.25</v>
      </c>
      <c r="AQ1478" s="17">
        <v>3000</v>
      </c>
      <c r="AR1478" s="17">
        <v>0.25</v>
      </c>
      <c r="AS1478" s="17">
        <v>0</v>
      </c>
      <c r="AT1478" s="13">
        <v>0</v>
      </c>
      <c r="AU1478" s="17" t="s">
        <v>198</v>
      </c>
      <c r="AV1478" s="17"/>
      <c r="AW1478" s="18" t="s">
        <v>287</v>
      </c>
      <c r="AX1478" s="17" t="s">
        <v>1475</v>
      </c>
      <c r="AY1478" s="19">
        <v>10001007</v>
      </c>
      <c r="AZ1478" s="19">
        <v>66001011</v>
      </c>
      <c r="BA1478" s="18" t="s">
        <v>200</v>
      </c>
      <c r="BB1478" s="17">
        <v>0</v>
      </c>
      <c r="BC1478" s="28">
        <v>0</v>
      </c>
      <c r="BD1478" s="28">
        <v>0</v>
      </c>
      <c r="BE1478" s="46" t="s">
        <v>3151</v>
      </c>
      <c r="BF1478" s="46" t="s">
        <v>3152</v>
      </c>
      <c r="BG1478" s="17">
        <v>0</v>
      </c>
      <c r="BH1478" s="17">
        <v>0</v>
      </c>
      <c r="BI1478" s="17">
        <v>0</v>
      </c>
      <c r="BJ1478" s="17">
        <v>0</v>
      </c>
      <c r="BK1478" s="17">
        <v>0</v>
      </c>
      <c r="BL1478" s="17">
        <v>0</v>
      </c>
      <c r="BM1478" s="16">
        <v>0</v>
      </c>
      <c r="BN1478" s="13">
        <v>0</v>
      </c>
      <c r="BO1478" s="13">
        <v>0</v>
      </c>
      <c r="BP1478" s="13">
        <v>0</v>
      </c>
      <c r="BQ1478" s="13">
        <v>0</v>
      </c>
      <c r="BR1478" s="13">
        <v>0</v>
      </c>
      <c r="BS1478" s="13">
        <v>0</v>
      </c>
      <c r="BT1478" s="13">
        <v>0</v>
      </c>
      <c r="BU1478" s="49">
        <v>0</v>
      </c>
      <c r="BV1478" s="49"/>
      <c r="BW1478" s="49"/>
    </row>
    <row r="1479" spans="3:75" ht="19.5" customHeight="1">
      <c r="C1479" s="66">
        <v>66001012</v>
      </c>
      <c r="D1479" s="65" t="s">
        <v>951</v>
      </c>
      <c r="E1479" s="65" t="s">
        <v>952</v>
      </c>
      <c r="F1479" s="62">
        <v>1</v>
      </c>
      <c r="G1479" s="66">
        <v>66001012</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2.75</v>
      </c>
      <c r="Y1479" s="13">
        <v>0</v>
      </c>
      <c r="Z1479" s="66">
        <v>0</v>
      </c>
      <c r="AA1479" s="66">
        <v>0</v>
      </c>
      <c r="AB1479" s="66">
        <v>0</v>
      </c>
      <c r="AC1479" s="66">
        <v>0</v>
      </c>
      <c r="AD1479" s="66">
        <v>0</v>
      </c>
      <c r="AE1479" s="66">
        <v>0</v>
      </c>
      <c r="AF1479" s="66">
        <v>15</v>
      </c>
      <c r="AG1479" s="66">
        <v>1</v>
      </c>
      <c r="AH1479" s="66">
        <v>3</v>
      </c>
      <c r="AI1479" s="70">
        <v>2</v>
      </c>
      <c r="AJ1479" s="70">
        <v>1</v>
      </c>
      <c r="AK1479" s="13">
        <v>0</v>
      </c>
      <c r="AL1479" s="70">
        <v>6</v>
      </c>
      <c r="AM1479" s="66">
        <v>0</v>
      </c>
      <c r="AN1479" s="66">
        <v>0</v>
      </c>
      <c r="AO1479" s="66">
        <v>0</v>
      </c>
      <c r="AP1479" s="66">
        <v>0.75</v>
      </c>
      <c r="AQ1479" s="66">
        <v>3000</v>
      </c>
      <c r="AR1479" s="66">
        <v>1.5</v>
      </c>
      <c r="AS1479" s="66">
        <v>0</v>
      </c>
      <c r="AT1479" s="70">
        <v>0</v>
      </c>
      <c r="AU1479" s="66" t="s">
        <v>198</v>
      </c>
      <c r="AV1479" s="66"/>
      <c r="AW1479" s="65" t="s">
        <v>1524</v>
      </c>
      <c r="AX1479" s="66" t="s">
        <v>1525</v>
      </c>
      <c r="AY1479" s="66">
        <v>10000006</v>
      </c>
      <c r="AZ1479" s="66">
        <v>70405004</v>
      </c>
      <c r="BA1479" s="65" t="s">
        <v>200</v>
      </c>
      <c r="BB1479" s="65">
        <v>0</v>
      </c>
      <c r="BC1479" s="68">
        <v>0</v>
      </c>
      <c r="BD1479" s="68">
        <v>0</v>
      </c>
      <c r="BE1479" s="94" t="s">
        <v>3153</v>
      </c>
      <c r="BF1479" s="94" t="s">
        <v>3154</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66001013</v>
      </c>
      <c r="D1480" s="65" t="s">
        <v>3155</v>
      </c>
      <c r="E1480" s="65" t="s">
        <v>1064</v>
      </c>
      <c r="F1480" s="62">
        <v>1</v>
      </c>
      <c r="G1480" s="66">
        <v>66001013</v>
      </c>
      <c r="H1480" s="66">
        <v>0</v>
      </c>
      <c r="I1480" s="68">
        <v>0</v>
      </c>
      <c r="J1480" s="66">
        <v>1</v>
      </c>
      <c r="K1480" s="66">
        <v>0</v>
      </c>
      <c r="L1480" s="62">
        <v>0</v>
      </c>
      <c r="M1480" s="66">
        <v>0</v>
      </c>
      <c r="N1480" s="66">
        <v>0</v>
      </c>
      <c r="O1480" s="66">
        <v>1</v>
      </c>
      <c r="P1480" s="66">
        <v>1</v>
      </c>
      <c r="Q1480" s="66">
        <v>0</v>
      </c>
      <c r="R1480" s="66">
        <v>0</v>
      </c>
      <c r="S1480" s="70">
        <v>0</v>
      </c>
      <c r="T1480" s="68">
        <v>0</v>
      </c>
      <c r="U1480" s="62">
        <v>1</v>
      </c>
      <c r="V1480" s="66">
        <v>2</v>
      </c>
      <c r="W1480" s="66">
        <v>0</v>
      </c>
      <c r="X1480" s="66">
        <v>0.5</v>
      </c>
      <c r="Y1480" s="13">
        <v>0</v>
      </c>
      <c r="Z1480" s="66">
        <v>0</v>
      </c>
      <c r="AA1480" s="66">
        <v>0</v>
      </c>
      <c r="AB1480" s="66">
        <v>0</v>
      </c>
      <c r="AC1480" s="66">
        <v>0</v>
      </c>
      <c r="AD1480" s="66">
        <v>0</v>
      </c>
      <c r="AE1480" s="66">
        <v>0</v>
      </c>
      <c r="AF1480" s="66">
        <v>9</v>
      </c>
      <c r="AG1480" s="66">
        <v>1</v>
      </c>
      <c r="AH1480" s="66">
        <v>4</v>
      </c>
      <c r="AI1480" s="70">
        <v>9</v>
      </c>
      <c r="AJ1480" s="70">
        <v>0</v>
      </c>
      <c r="AK1480" s="13">
        <v>0</v>
      </c>
      <c r="AL1480" s="70">
        <v>6</v>
      </c>
      <c r="AM1480" s="66">
        <v>0</v>
      </c>
      <c r="AN1480" s="66">
        <v>0</v>
      </c>
      <c r="AO1480" s="66">
        <v>0</v>
      </c>
      <c r="AP1480" s="66">
        <v>0.5</v>
      </c>
      <c r="AQ1480" s="66">
        <v>30000</v>
      </c>
      <c r="AR1480" s="66">
        <v>0.5</v>
      </c>
      <c r="AS1480" s="66">
        <v>0</v>
      </c>
      <c r="AT1480" s="70">
        <v>0</v>
      </c>
      <c r="AU1480" s="66">
        <v>96001013</v>
      </c>
      <c r="AV1480" s="66"/>
      <c r="AW1480" s="65" t="s">
        <v>199</v>
      </c>
      <c r="AX1480" s="66" t="s">
        <v>1406</v>
      </c>
      <c r="AY1480" s="66">
        <v>10000009</v>
      </c>
      <c r="AZ1480" s="66">
        <v>70405005</v>
      </c>
      <c r="BA1480" s="65" t="s">
        <v>315</v>
      </c>
      <c r="BB1480" s="65" t="s">
        <v>371</v>
      </c>
      <c r="BC1480" s="68">
        <v>0</v>
      </c>
      <c r="BD1480" s="68">
        <v>0</v>
      </c>
      <c r="BE1480" s="209" t="s">
        <v>3156</v>
      </c>
      <c r="BF1480" s="209" t="s">
        <v>3157</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66001014</v>
      </c>
      <c r="D1481" s="65" t="s">
        <v>3158</v>
      </c>
      <c r="E1481" s="65" t="s">
        <v>3159</v>
      </c>
      <c r="F1481" s="62">
        <v>1</v>
      </c>
      <c r="G1481" s="66">
        <v>66001014</v>
      </c>
      <c r="H1481" s="66">
        <v>0</v>
      </c>
      <c r="I1481" s="68">
        <v>0</v>
      </c>
      <c r="J1481" s="66">
        <v>1</v>
      </c>
      <c r="K1481" s="66">
        <v>0</v>
      </c>
      <c r="L1481" s="62">
        <v>0</v>
      </c>
      <c r="M1481" s="66">
        <v>0</v>
      </c>
      <c r="N1481" s="66">
        <v>0</v>
      </c>
      <c r="O1481" s="66">
        <v>1</v>
      </c>
      <c r="P1481" s="66">
        <v>0</v>
      </c>
      <c r="Q1481" s="66">
        <v>0</v>
      </c>
      <c r="R1481" s="66">
        <v>0</v>
      </c>
      <c r="S1481" s="70">
        <v>0</v>
      </c>
      <c r="T1481" s="68">
        <v>0</v>
      </c>
      <c r="U1481" s="62">
        <v>1</v>
      </c>
      <c r="V1481" s="66">
        <v>2</v>
      </c>
      <c r="W1481" s="66">
        <v>0</v>
      </c>
      <c r="X1481" s="66">
        <v>2</v>
      </c>
      <c r="Y1481" s="13">
        <v>0</v>
      </c>
      <c r="Z1481" s="66">
        <v>0</v>
      </c>
      <c r="AA1481" s="66">
        <v>0</v>
      </c>
      <c r="AB1481" s="66">
        <v>0</v>
      </c>
      <c r="AC1481" s="66">
        <v>0</v>
      </c>
      <c r="AD1481" s="66">
        <v>0</v>
      </c>
      <c r="AE1481" s="66">
        <v>0</v>
      </c>
      <c r="AF1481" s="66">
        <v>12</v>
      </c>
      <c r="AG1481" s="66">
        <v>1</v>
      </c>
      <c r="AH1481" s="66">
        <v>3.5</v>
      </c>
      <c r="AI1481" s="70">
        <v>0</v>
      </c>
      <c r="AJ1481" s="70">
        <v>0</v>
      </c>
      <c r="AK1481" s="13">
        <v>0</v>
      </c>
      <c r="AL1481" s="70">
        <v>4</v>
      </c>
      <c r="AM1481" s="66">
        <v>0</v>
      </c>
      <c r="AN1481" s="66">
        <v>0</v>
      </c>
      <c r="AO1481" s="66">
        <v>0</v>
      </c>
      <c r="AP1481" s="66">
        <v>0.5</v>
      </c>
      <c r="AQ1481" s="66">
        <v>3000</v>
      </c>
      <c r="AR1481" s="66">
        <v>0</v>
      </c>
      <c r="AS1481" s="66">
        <v>0</v>
      </c>
      <c r="AT1481" s="70">
        <v>0</v>
      </c>
      <c r="AU1481" s="66">
        <v>92005001</v>
      </c>
      <c r="AV1481" s="66"/>
      <c r="AW1481" s="65" t="s">
        <v>199</v>
      </c>
      <c r="AX1481" s="66" t="s">
        <v>534</v>
      </c>
      <c r="AY1481" s="66">
        <v>10000009</v>
      </c>
      <c r="AZ1481" s="66">
        <v>70405006</v>
      </c>
      <c r="BA1481" s="65" t="s">
        <v>200</v>
      </c>
      <c r="BB1481" s="65">
        <v>0</v>
      </c>
      <c r="BC1481" s="68">
        <v>0</v>
      </c>
      <c r="BD1481" s="68">
        <v>0</v>
      </c>
      <c r="BE1481" s="209" t="s">
        <v>3160</v>
      </c>
      <c r="BF1481" s="209" t="s">
        <v>3161</v>
      </c>
      <c r="BG1481" s="66">
        <v>0</v>
      </c>
      <c r="BH1481" s="62">
        <v>0</v>
      </c>
      <c r="BI1481" s="66">
        <v>0</v>
      </c>
      <c r="BJ1481" s="66">
        <v>0</v>
      </c>
      <c r="BK1481" s="66">
        <v>0</v>
      </c>
      <c r="BL1481" s="66">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66001015</v>
      </c>
      <c r="D1482" s="65" t="s">
        <v>3162</v>
      </c>
      <c r="E1482" s="65" t="s">
        <v>3163</v>
      </c>
      <c r="F1482" s="62">
        <v>1</v>
      </c>
      <c r="G1482" s="66">
        <v>66001015</v>
      </c>
      <c r="H1482" s="66">
        <v>0</v>
      </c>
      <c r="I1482" s="68">
        <v>0</v>
      </c>
      <c r="J1482" s="66">
        <v>1</v>
      </c>
      <c r="K1482" s="66">
        <v>0</v>
      </c>
      <c r="L1482" s="62">
        <v>0</v>
      </c>
      <c r="M1482" s="66">
        <v>0</v>
      </c>
      <c r="N1482" s="66">
        <v>0</v>
      </c>
      <c r="O1482" s="66">
        <v>2</v>
      </c>
      <c r="P1482" s="66">
        <v>1</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5</v>
      </c>
      <c r="AT1482" s="70">
        <v>0</v>
      </c>
      <c r="AU1482" s="66">
        <v>92003001</v>
      </c>
      <c r="AV1482" s="66"/>
      <c r="AW1482" s="65" t="s">
        <v>199</v>
      </c>
      <c r="AX1482" s="66" t="s">
        <v>545</v>
      </c>
      <c r="AY1482" s="66">
        <v>10003002</v>
      </c>
      <c r="AZ1482" s="66">
        <v>70405009</v>
      </c>
      <c r="BA1482" s="65" t="s">
        <v>586</v>
      </c>
      <c r="BB1482" s="65">
        <v>0</v>
      </c>
      <c r="BC1482" s="68">
        <v>0</v>
      </c>
      <c r="BD1482" s="68">
        <v>0</v>
      </c>
      <c r="BE1482" s="209" t="s">
        <v>3164</v>
      </c>
      <c r="BF1482" s="209" t="s">
        <v>3165</v>
      </c>
      <c r="BG1482" s="66">
        <v>0</v>
      </c>
      <c r="BH1482" s="62">
        <v>0</v>
      </c>
      <c r="BI1482" s="66">
        <v>0</v>
      </c>
      <c r="BJ1482" s="66">
        <v>0</v>
      </c>
      <c r="BK1482" s="66">
        <v>0</v>
      </c>
      <c r="BL1482" s="66">
        <v>0</v>
      </c>
      <c r="BM1482" s="95">
        <v>0</v>
      </c>
      <c r="BN1482" s="13">
        <v>0</v>
      </c>
      <c r="BO1482" s="13">
        <v>0</v>
      </c>
      <c r="BP1482" s="13">
        <v>0</v>
      </c>
      <c r="BQ1482" s="13">
        <v>0</v>
      </c>
      <c r="BR1482" s="13">
        <v>0</v>
      </c>
      <c r="BS1482" s="13">
        <v>0</v>
      </c>
      <c r="BT1482" s="13">
        <v>0</v>
      </c>
      <c r="BU1482" s="49">
        <v>0</v>
      </c>
      <c r="BV1482" s="49"/>
      <c r="BW1482" s="49"/>
    </row>
    <row r="1483" spans="3:75" ht="20.100000000000001" customHeight="1">
      <c r="C1483" s="66">
        <v>66001016</v>
      </c>
      <c r="D1483" s="65" t="s">
        <v>3166</v>
      </c>
      <c r="E1483" s="65" t="s">
        <v>3167</v>
      </c>
      <c r="F1483" s="62">
        <v>1</v>
      </c>
      <c r="G1483" s="66">
        <v>66001016</v>
      </c>
      <c r="H1483" s="66">
        <v>0</v>
      </c>
      <c r="I1483" s="68">
        <v>0</v>
      </c>
      <c r="J1483" s="66">
        <v>1</v>
      </c>
      <c r="K1483" s="66">
        <v>0</v>
      </c>
      <c r="L1483" s="62">
        <v>0</v>
      </c>
      <c r="M1483" s="66">
        <v>0</v>
      </c>
      <c r="N1483" s="66">
        <v>0</v>
      </c>
      <c r="O1483" s="66">
        <v>1</v>
      </c>
      <c r="P1483" s="66">
        <v>0</v>
      </c>
      <c r="Q1483" s="66">
        <v>0</v>
      </c>
      <c r="R1483" s="66">
        <v>0</v>
      </c>
      <c r="S1483" s="70">
        <v>0</v>
      </c>
      <c r="T1483" s="68">
        <v>0</v>
      </c>
      <c r="U1483" s="62">
        <v>1</v>
      </c>
      <c r="V1483" s="66">
        <v>2</v>
      </c>
      <c r="W1483" s="66">
        <v>0</v>
      </c>
      <c r="X1483" s="66">
        <v>0.75</v>
      </c>
      <c r="Y1483" s="13">
        <v>0</v>
      </c>
      <c r="Z1483" s="66">
        <v>0</v>
      </c>
      <c r="AA1483" s="66">
        <v>0</v>
      </c>
      <c r="AB1483" s="66">
        <v>0</v>
      </c>
      <c r="AC1483" s="66">
        <v>0</v>
      </c>
      <c r="AD1483" s="66">
        <v>0</v>
      </c>
      <c r="AE1483" s="66">
        <v>0</v>
      </c>
      <c r="AF1483" s="66">
        <v>24</v>
      </c>
      <c r="AG1483" s="66">
        <v>1</v>
      </c>
      <c r="AH1483" s="66">
        <v>4</v>
      </c>
      <c r="AI1483" s="70">
        <v>2</v>
      </c>
      <c r="AJ1483" s="70">
        <v>1</v>
      </c>
      <c r="AK1483" s="13">
        <v>0</v>
      </c>
      <c r="AL1483" s="70">
        <v>6</v>
      </c>
      <c r="AM1483" s="66">
        <v>0</v>
      </c>
      <c r="AN1483" s="66">
        <v>0</v>
      </c>
      <c r="AO1483" s="66">
        <v>0</v>
      </c>
      <c r="AP1483" s="66">
        <v>0.5</v>
      </c>
      <c r="AQ1483" s="66">
        <v>9000</v>
      </c>
      <c r="AR1483" s="66">
        <v>0.5</v>
      </c>
      <c r="AS1483" s="66">
        <v>0</v>
      </c>
      <c r="AT1483" s="70">
        <v>0</v>
      </c>
      <c r="AU1483" s="66">
        <v>92002002</v>
      </c>
      <c r="AV1483" s="66"/>
      <c r="AW1483" s="65" t="s">
        <v>1534</v>
      </c>
      <c r="AX1483" s="66" t="s">
        <v>1406</v>
      </c>
      <c r="AY1483" s="66">
        <v>10002001</v>
      </c>
      <c r="AZ1483" s="66">
        <v>70405008</v>
      </c>
      <c r="BA1483" s="65" t="s">
        <v>315</v>
      </c>
      <c r="BB1483" s="65" t="s">
        <v>371</v>
      </c>
      <c r="BC1483" s="68">
        <v>0</v>
      </c>
      <c r="BD1483" s="68">
        <v>0</v>
      </c>
      <c r="BE1483" s="94" t="s">
        <v>3168</v>
      </c>
      <c r="BF1483" s="94" t="s">
        <v>3169</v>
      </c>
      <c r="BG1483" s="66">
        <v>0</v>
      </c>
      <c r="BH1483" s="62">
        <v>0</v>
      </c>
      <c r="BI1483" s="66">
        <v>0</v>
      </c>
      <c r="BJ1483" s="66">
        <v>0</v>
      </c>
      <c r="BK1483" s="66">
        <v>0</v>
      </c>
      <c r="BL1483" s="66">
        <v>0</v>
      </c>
      <c r="BM1483" s="95">
        <v>0</v>
      </c>
      <c r="BN1483" s="13">
        <v>0</v>
      </c>
      <c r="BO1483" s="13">
        <v>0</v>
      </c>
      <c r="BP1483" s="13">
        <v>0</v>
      </c>
      <c r="BQ1483" s="13">
        <v>0</v>
      </c>
      <c r="BR1483" s="13">
        <v>0</v>
      </c>
      <c r="BS1483" s="13">
        <v>0</v>
      </c>
      <c r="BT1483" s="13">
        <v>0</v>
      </c>
      <c r="BU1483" s="49">
        <v>0</v>
      </c>
      <c r="BV1483" s="49"/>
      <c r="BW1483" s="49"/>
    </row>
    <row r="1484" spans="3:75" ht="20.100000000000001" customHeight="1">
      <c r="C1484" s="66">
        <v>66001017</v>
      </c>
      <c r="D1484" s="61" t="s">
        <v>3170</v>
      </c>
      <c r="E1484" s="61" t="s">
        <v>3171</v>
      </c>
      <c r="F1484" s="66">
        <v>1</v>
      </c>
      <c r="G1484" s="66">
        <v>66001017</v>
      </c>
      <c r="H1484" s="66">
        <v>0</v>
      </c>
      <c r="I1484" s="68">
        <v>0</v>
      </c>
      <c r="J1484" s="66">
        <v>1</v>
      </c>
      <c r="K1484" s="66">
        <v>0</v>
      </c>
      <c r="L1484" s="66">
        <v>0</v>
      </c>
      <c r="M1484" s="62">
        <v>0</v>
      </c>
      <c r="N1484" s="62">
        <v>0</v>
      </c>
      <c r="O1484" s="62">
        <v>1</v>
      </c>
      <c r="P1484" s="62">
        <v>0</v>
      </c>
      <c r="Q1484" s="62">
        <v>0</v>
      </c>
      <c r="R1484" s="62">
        <v>0</v>
      </c>
      <c r="S1484" s="70">
        <v>0</v>
      </c>
      <c r="T1484" s="62">
        <v>0</v>
      </c>
      <c r="U1484" s="62">
        <v>1</v>
      </c>
      <c r="V1484" s="62">
        <v>2</v>
      </c>
      <c r="W1484" s="62">
        <v>0</v>
      </c>
      <c r="X1484" s="62">
        <v>0</v>
      </c>
      <c r="Y1484" s="13">
        <v>0</v>
      </c>
      <c r="Z1484" s="62">
        <v>0</v>
      </c>
      <c r="AA1484" s="62">
        <v>0</v>
      </c>
      <c r="AB1484" s="62">
        <v>0</v>
      </c>
      <c r="AC1484" s="62">
        <v>0</v>
      </c>
      <c r="AD1484" s="62">
        <v>0</v>
      </c>
      <c r="AE1484" s="62">
        <v>0</v>
      </c>
      <c r="AF1484" s="62">
        <v>15</v>
      </c>
      <c r="AG1484" s="62">
        <v>0</v>
      </c>
      <c r="AH1484" s="62">
        <v>0</v>
      </c>
      <c r="AI1484" s="70">
        <v>0</v>
      </c>
      <c r="AJ1484" s="70">
        <v>0</v>
      </c>
      <c r="AK1484" s="13">
        <v>0</v>
      </c>
      <c r="AL1484" s="70">
        <f>H67+AL7731</f>
        <v>60010602</v>
      </c>
      <c r="AM1484" s="62">
        <v>0</v>
      </c>
      <c r="AN1484" s="62">
        <v>0</v>
      </c>
      <c r="AO1484" s="62">
        <v>0</v>
      </c>
      <c r="AP1484" s="66">
        <v>0.5</v>
      </c>
      <c r="AQ1484" s="62">
        <v>3000</v>
      </c>
      <c r="AR1484" s="62">
        <v>0.5</v>
      </c>
      <c r="AS1484" s="62">
        <v>0</v>
      </c>
      <c r="AT1484" s="70">
        <v>0</v>
      </c>
      <c r="AU1484" s="62" t="s">
        <v>198</v>
      </c>
      <c r="AV1484" s="62"/>
      <c r="AW1484" s="61" t="s">
        <v>199</v>
      </c>
      <c r="AX1484" s="62" t="s">
        <v>545</v>
      </c>
      <c r="AY1484" s="66">
        <v>0</v>
      </c>
      <c r="AZ1484" s="66">
        <v>21101051</v>
      </c>
      <c r="BA1484" s="61" t="s">
        <v>1174</v>
      </c>
      <c r="BB1484" s="379" t="s">
        <v>3172</v>
      </c>
      <c r="BC1484" s="68">
        <v>0</v>
      </c>
      <c r="BD1484" s="68">
        <v>0</v>
      </c>
      <c r="BE1484" s="92" t="s">
        <v>3173</v>
      </c>
      <c r="BF1484" s="92" t="s">
        <v>3174</v>
      </c>
      <c r="BG1484" s="62">
        <v>0</v>
      </c>
      <c r="BH1484" s="62">
        <v>0</v>
      </c>
      <c r="BI1484" s="62">
        <v>0</v>
      </c>
      <c r="BJ1484" s="62">
        <v>0</v>
      </c>
      <c r="BK1484" s="62">
        <v>0</v>
      </c>
      <c r="BL1484" s="62">
        <v>0</v>
      </c>
      <c r="BM1484" s="95">
        <v>0</v>
      </c>
      <c r="BN1484" s="13">
        <v>0</v>
      </c>
      <c r="BO1484" s="13">
        <v>0</v>
      </c>
      <c r="BP1484" s="13">
        <v>0</v>
      </c>
      <c r="BQ1484" s="13">
        <v>0</v>
      </c>
      <c r="BR1484" s="13">
        <v>0</v>
      </c>
      <c r="BS1484" s="13">
        <v>0</v>
      </c>
      <c r="BT1484" s="13">
        <v>0</v>
      </c>
      <c r="BU1484" s="49">
        <v>0</v>
      </c>
      <c r="BV1484" s="49"/>
      <c r="BW1484" s="49"/>
    </row>
    <row r="1485" spans="3:75" ht="20.100000000000001" customHeight="1">
      <c r="C1485" s="66">
        <v>66001018</v>
      </c>
      <c r="D1485" s="65" t="s">
        <v>3175</v>
      </c>
      <c r="E1485" s="65" t="s">
        <v>3176</v>
      </c>
      <c r="F1485" s="62">
        <v>1</v>
      </c>
      <c r="G1485" s="66">
        <v>66001018</v>
      </c>
      <c r="H1485" s="66">
        <v>0</v>
      </c>
      <c r="I1485" s="68">
        <v>0</v>
      </c>
      <c r="J1485" s="66">
        <v>1</v>
      </c>
      <c r="K1485" s="66">
        <v>0</v>
      </c>
      <c r="L1485" s="62">
        <v>0</v>
      </c>
      <c r="M1485" s="66">
        <v>0</v>
      </c>
      <c r="N1485" s="66">
        <v>0</v>
      </c>
      <c r="O1485" s="66">
        <v>2</v>
      </c>
      <c r="P1485" s="66">
        <v>3</v>
      </c>
      <c r="Q1485" s="66">
        <v>0.05</v>
      </c>
      <c r="R1485" s="66">
        <v>0</v>
      </c>
      <c r="S1485" s="70">
        <v>0</v>
      </c>
      <c r="T1485" s="68">
        <v>0</v>
      </c>
      <c r="U1485" s="62">
        <v>1</v>
      </c>
      <c r="V1485" s="66">
        <v>2</v>
      </c>
      <c r="W1485" s="66">
        <v>0</v>
      </c>
      <c r="X1485" s="66">
        <v>1.8</v>
      </c>
      <c r="Y1485" s="13">
        <v>0</v>
      </c>
      <c r="Z1485" s="66">
        <v>700</v>
      </c>
      <c r="AA1485" s="66">
        <v>0</v>
      </c>
      <c r="AB1485" s="66">
        <v>0</v>
      </c>
      <c r="AC1485" s="66">
        <v>0</v>
      </c>
      <c r="AD1485" s="66">
        <v>1</v>
      </c>
      <c r="AE1485" s="66">
        <v>0</v>
      </c>
      <c r="AF1485" s="66">
        <v>10</v>
      </c>
      <c r="AG1485" s="66">
        <v>1</v>
      </c>
      <c r="AH1485" s="66">
        <v>1</v>
      </c>
      <c r="AI1485" s="70">
        <v>2</v>
      </c>
      <c r="AJ1485" s="70">
        <v>2</v>
      </c>
      <c r="AK1485" s="13">
        <v>0</v>
      </c>
      <c r="AL1485" s="70">
        <v>4</v>
      </c>
      <c r="AM1485" s="66">
        <v>0</v>
      </c>
      <c r="AN1485" s="66">
        <v>0</v>
      </c>
      <c r="AO1485" s="66">
        <v>0</v>
      </c>
      <c r="AP1485" s="66">
        <v>0.5</v>
      </c>
      <c r="AQ1485" s="66">
        <v>30000</v>
      </c>
      <c r="AR1485" s="66">
        <v>0.5</v>
      </c>
      <c r="AS1485" s="66">
        <v>10</v>
      </c>
      <c r="AT1485" s="70">
        <v>0</v>
      </c>
      <c r="AU1485" s="66">
        <v>93000208</v>
      </c>
      <c r="AV1485" s="66"/>
      <c r="AW1485" s="65" t="s">
        <v>199</v>
      </c>
      <c r="AX1485" s="66" t="s">
        <v>545</v>
      </c>
      <c r="AY1485" s="66">
        <v>10003002</v>
      </c>
      <c r="AZ1485" s="66">
        <v>21100020</v>
      </c>
      <c r="BA1485" s="65" t="s">
        <v>586</v>
      </c>
      <c r="BB1485" s="65">
        <v>0</v>
      </c>
      <c r="BC1485" s="68">
        <v>0</v>
      </c>
      <c r="BD1485" s="68">
        <v>0</v>
      </c>
      <c r="BE1485" s="209" t="s">
        <v>3177</v>
      </c>
      <c r="BF1485" s="209" t="s">
        <v>3178</v>
      </c>
      <c r="BG1485" s="66">
        <v>0</v>
      </c>
      <c r="BH1485" s="62">
        <v>0</v>
      </c>
      <c r="BI1485" s="66">
        <v>0</v>
      </c>
      <c r="BJ1485" s="66">
        <v>0</v>
      </c>
      <c r="BK1485" s="66">
        <v>0</v>
      </c>
      <c r="BL1485" s="66">
        <v>0</v>
      </c>
      <c r="BM1485" s="95">
        <v>0</v>
      </c>
      <c r="BN1485" s="13">
        <v>1</v>
      </c>
      <c r="BO1485" s="13">
        <v>0</v>
      </c>
      <c r="BP1485" s="13">
        <v>0</v>
      </c>
      <c r="BQ1485" s="13">
        <v>0</v>
      </c>
      <c r="BR1485" s="13">
        <v>0</v>
      </c>
      <c r="BS1485" s="13">
        <v>0</v>
      </c>
      <c r="BT1485" s="13">
        <v>0</v>
      </c>
      <c r="BU1485" s="49">
        <v>0</v>
      </c>
      <c r="BV1485" s="49"/>
      <c r="BW1485" s="49"/>
    </row>
    <row r="1486" spans="3:75" ht="20.100000000000001" customHeight="1">
      <c r="C1486" s="66">
        <v>66001019</v>
      </c>
      <c r="D1486" s="61" t="s">
        <v>3179</v>
      </c>
      <c r="E1486" s="61" t="s">
        <v>3180</v>
      </c>
      <c r="F1486" s="62">
        <v>1</v>
      </c>
      <c r="G1486" s="66">
        <v>66001019</v>
      </c>
      <c r="H1486" s="62">
        <v>0</v>
      </c>
      <c r="I1486" s="68">
        <v>0</v>
      </c>
      <c r="J1486" s="66">
        <v>1</v>
      </c>
      <c r="K1486" s="66">
        <v>0</v>
      </c>
      <c r="L1486" s="62">
        <v>0</v>
      </c>
      <c r="M1486" s="62">
        <v>0</v>
      </c>
      <c r="N1486" s="62">
        <v>0</v>
      </c>
      <c r="O1486" s="62">
        <v>2</v>
      </c>
      <c r="P1486" s="62">
        <v>12</v>
      </c>
      <c r="Q1486" s="62">
        <v>1</v>
      </c>
      <c r="R1486" s="62">
        <v>0</v>
      </c>
      <c r="S1486" s="70">
        <v>0</v>
      </c>
      <c r="T1486" s="62">
        <v>0</v>
      </c>
      <c r="U1486" s="62">
        <v>1</v>
      </c>
      <c r="V1486" s="62">
        <v>2</v>
      </c>
      <c r="W1486" s="62">
        <v>0</v>
      </c>
      <c r="X1486" s="66">
        <v>0</v>
      </c>
      <c r="Y1486" s="13">
        <v>0</v>
      </c>
      <c r="Z1486" s="66">
        <v>0</v>
      </c>
      <c r="AA1486" s="62">
        <v>0</v>
      </c>
      <c r="AB1486" s="62">
        <v>0</v>
      </c>
      <c r="AC1486" s="62">
        <v>0</v>
      </c>
      <c r="AD1486" s="62">
        <v>1</v>
      </c>
      <c r="AE1486" s="62">
        <v>0</v>
      </c>
      <c r="AF1486" s="62">
        <v>60</v>
      </c>
      <c r="AG1486" s="62">
        <v>1</v>
      </c>
      <c r="AH1486" s="62">
        <v>10</v>
      </c>
      <c r="AI1486" s="70">
        <v>0</v>
      </c>
      <c r="AJ1486" s="70">
        <v>0</v>
      </c>
      <c r="AK1486" s="13">
        <v>0</v>
      </c>
      <c r="AL1486" s="70">
        <v>0</v>
      </c>
      <c r="AM1486" s="62">
        <v>0</v>
      </c>
      <c r="AN1486" s="62">
        <v>0</v>
      </c>
      <c r="AO1486" s="62">
        <v>0</v>
      </c>
      <c r="AP1486" s="62">
        <v>1</v>
      </c>
      <c r="AQ1486" s="62">
        <v>50000</v>
      </c>
      <c r="AR1486" s="62">
        <v>0</v>
      </c>
      <c r="AS1486" s="62">
        <v>0</v>
      </c>
      <c r="AT1486" s="70">
        <v>90503002</v>
      </c>
      <c r="AU1486" s="62">
        <v>90503002</v>
      </c>
      <c r="AV1486" s="62"/>
      <c r="AW1486" s="61" t="s">
        <v>198</v>
      </c>
      <c r="AX1486" s="62">
        <v>0</v>
      </c>
      <c r="AY1486" s="66">
        <v>0</v>
      </c>
      <c r="AZ1486" s="66">
        <v>0</v>
      </c>
      <c r="BA1486" s="61" t="s">
        <v>2680</v>
      </c>
      <c r="BB1486" s="62">
        <v>0</v>
      </c>
      <c r="BC1486" s="68">
        <v>0</v>
      </c>
      <c r="BD1486" s="68">
        <v>0</v>
      </c>
      <c r="BE1486" s="92" t="s">
        <v>3181</v>
      </c>
      <c r="BF1486" s="92" t="s">
        <v>3182</v>
      </c>
      <c r="BG1486" s="62">
        <v>0</v>
      </c>
      <c r="BH1486" s="62">
        <v>0</v>
      </c>
      <c r="BI1486" s="62">
        <v>0</v>
      </c>
      <c r="BJ1486" s="62">
        <v>0</v>
      </c>
      <c r="BK1486" s="62">
        <v>0</v>
      </c>
      <c r="BL1486" s="62">
        <v>0</v>
      </c>
      <c r="BM1486" s="95">
        <v>0</v>
      </c>
      <c r="BN1486" s="13">
        <v>1</v>
      </c>
      <c r="BO1486" s="13">
        <v>0</v>
      </c>
      <c r="BP1486" s="13">
        <v>0</v>
      </c>
      <c r="BQ1486" s="13">
        <v>0</v>
      </c>
      <c r="BR1486" s="13">
        <v>0</v>
      </c>
      <c r="BS1486" s="13">
        <v>0</v>
      </c>
      <c r="BT1486" s="13">
        <v>0</v>
      </c>
      <c r="BU1486" s="49">
        <v>0</v>
      </c>
      <c r="BV1486" s="49"/>
      <c r="BW1486" s="49"/>
    </row>
    <row r="1487" spans="3:75" ht="19.5" customHeight="1">
      <c r="C1487" s="19">
        <v>66001020</v>
      </c>
      <c r="D1487" s="20" t="s">
        <v>3183</v>
      </c>
      <c r="E1487" s="20" t="s">
        <v>3184</v>
      </c>
      <c r="F1487" s="17">
        <v>0</v>
      </c>
      <c r="G1487" s="19">
        <v>62022401</v>
      </c>
      <c r="H1487" s="19">
        <v>0</v>
      </c>
      <c r="I1487" s="28">
        <v>0</v>
      </c>
      <c r="J1487" s="17">
        <v>1</v>
      </c>
      <c r="K1487" s="19">
        <v>0</v>
      </c>
      <c r="L1487" s="17">
        <v>0</v>
      </c>
      <c r="M1487" s="19">
        <v>0</v>
      </c>
      <c r="N1487" s="19">
        <v>0</v>
      </c>
      <c r="O1487" s="19">
        <v>2</v>
      </c>
      <c r="P1487" s="19">
        <v>1</v>
      </c>
      <c r="Q1487" s="19">
        <v>1</v>
      </c>
      <c r="R1487" s="19">
        <v>0</v>
      </c>
      <c r="S1487" s="13">
        <v>0</v>
      </c>
      <c r="T1487" s="28">
        <v>0</v>
      </c>
      <c r="U1487" s="17">
        <v>1</v>
      </c>
      <c r="V1487" s="19">
        <v>2</v>
      </c>
      <c r="W1487" s="19">
        <v>0</v>
      </c>
      <c r="X1487" s="19">
        <v>3</v>
      </c>
      <c r="Y1487" s="13">
        <v>0</v>
      </c>
      <c r="Z1487" s="19">
        <v>0</v>
      </c>
      <c r="AA1487" s="19">
        <v>0</v>
      </c>
      <c r="AB1487" s="19">
        <v>0</v>
      </c>
      <c r="AC1487" s="19">
        <v>0</v>
      </c>
      <c r="AD1487" s="19">
        <v>0</v>
      </c>
      <c r="AE1487" s="19">
        <v>0</v>
      </c>
      <c r="AF1487" s="19">
        <v>1</v>
      </c>
      <c r="AG1487" s="19">
        <v>1</v>
      </c>
      <c r="AH1487" s="19">
        <v>3</v>
      </c>
      <c r="AI1487" s="13">
        <v>2</v>
      </c>
      <c r="AJ1487" s="13">
        <v>1</v>
      </c>
      <c r="AK1487" s="13">
        <v>0</v>
      </c>
      <c r="AL1487" s="13">
        <v>6</v>
      </c>
      <c r="AM1487" s="19">
        <v>0</v>
      </c>
      <c r="AN1487" s="19">
        <v>0</v>
      </c>
      <c r="AO1487" s="19">
        <v>0</v>
      </c>
      <c r="AP1487" s="19">
        <v>0</v>
      </c>
      <c r="AQ1487" s="19">
        <v>30000</v>
      </c>
      <c r="AR1487" s="19">
        <v>0</v>
      </c>
      <c r="AS1487" s="19">
        <v>0</v>
      </c>
      <c r="AT1487" s="13">
        <v>96001014</v>
      </c>
      <c r="AU1487" s="19">
        <v>0</v>
      </c>
      <c r="AV1487" s="19"/>
      <c r="AW1487" s="20" t="s">
        <v>199</v>
      </c>
      <c r="AX1487" s="19" t="s">
        <v>1803</v>
      </c>
      <c r="AY1487" s="19">
        <v>10003002</v>
      </c>
      <c r="AZ1487" s="19">
        <v>21102031</v>
      </c>
      <c r="BA1487" s="20" t="s">
        <v>200</v>
      </c>
      <c r="BB1487" s="20">
        <v>0</v>
      </c>
      <c r="BC1487" s="28">
        <v>0</v>
      </c>
      <c r="BD1487" s="28">
        <v>0</v>
      </c>
      <c r="BE1487" s="186"/>
      <c r="BF1487" s="186"/>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68000001</v>
      </c>
      <c r="D1488" s="20" t="s">
        <v>431</v>
      </c>
      <c r="E1488" s="20" t="s">
        <v>3185</v>
      </c>
      <c r="F1488" s="19">
        <v>1</v>
      </c>
      <c r="G1488" s="19">
        <v>68000001</v>
      </c>
      <c r="H1488" s="19">
        <v>0</v>
      </c>
      <c r="I1488" s="28">
        <v>0</v>
      </c>
      <c r="J1488" s="19">
        <v>1</v>
      </c>
      <c r="K1488" s="19">
        <v>0</v>
      </c>
      <c r="L1488" s="19">
        <v>0</v>
      </c>
      <c r="M1488" s="19">
        <v>0</v>
      </c>
      <c r="N1488" s="19">
        <v>0</v>
      </c>
      <c r="O1488" s="19">
        <v>5</v>
      </c>
      <c r="P1488" s="19">
        <v>0</v>
      </c>
      <c r="Q1488" s="19">
        <v>0</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0</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0</v>
      </c>
      <c r="AU1488" s="19" t="s">
        <v>198</v>
      </c>
      <c r="AV1488" s="19"/>
      <c r="AW1488" s="20" t="s">
        <v>199</v>
      </c>
      <c r="AX1488" s="19">
        <v>0</v>
      </c>
      <c r="AY1488" s="19">
        <v>0</v>
      </c>
      <c r="AZ1488" s="19">
        <v>0</v>
      </c>
      <c r="BA1488" s="20" t="s">
        <v>200</v>
      </c>
      <c r="BB1488" s="20" t="s">
        <v>3186</v>
      </c>
      <c r="BC1488" s="28">
        <v>0</v>
      </c>
      <c r="BD1488" s="28">
        <v>0</v>
      </c>
      <c r="BE1488" s="89" t="s">
        <v>3187</v>
      </c>
      <c r="BF1488" s="89" t="s">
        <v>3188</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68000002</v>
      </c>
      <c r="D1489" s="20" t="s">
        <v>3189</v>
      </c>
      <c r="E1489" s="20" t="s">
        <v>3190</v>
      </c>
      <c r="F1489" s="19">
        <v>1</v>
      </c>
      <c r="G1489" s="19">
        <v>68000002</v>
      </c>
      <c r="H1489" s="19">
        <v>0</v>
      </c>
      <c r="I1489" s="28">
        <v>0</v>
      </c>
      <c r="J1489" s="19">
        <v>1</v>
      </c>
      <c r="K1489" s="19">
        <v>0</v>
      </c>
      <c r="L1489" s="19">
        <v>0</v>
      </c>
      <c r="M1489" s="19">
        <v>0</v>
      </c>
      <c r="N1489" s="19">
        <v>0</v>
      </c>
      <c r="O1489" s="19">
        <v>2</v>
      </c>
      <c r="P1489" s="19">
        <v>2</v>
      </c>
      <c r="Q1489" s="19">
        <v>0.1</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0</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98000020</v>
      </c>
      <c r="AU1489" s="19" t="s">
        <v>198</v>
      </c>
      <c r="AV1489" s="19"/>
      <c r="AW1489" s="20" t="s">
        <v>199</v>
      </c>
      <c r="AX1489" s="19">
        <v>0</v>
      </c>
      <c r="AY1489" s="19">
        <v>0</v>
      </c>
      <c r="AZ1489" s="19">
        <v>0</v>
      </c>
      <c r="BA1489" s="20" t="s">
        <v>200</v>
      </c>
      <c r="BB1489" s="20" t="s">
        <v>198</v>
      </c>
      <c r="BC1489" s="28">
        <v>0</v>
      </c>
      <c r="BD1489" s="28">
        <v>0</v>
      </c>
      <c r="BE1489" s="89" t="s">
        <v>3191</v>
      </c>
      <c r="BF1489" s="89" t="s">
        <v>3192</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68000003</v>
      </c>
      <c r="D1490" s="20" t="s">
        <v>3193</v>
      </c>
      <c r="E1490" s="20" t="s">
        <v>3194</v>
      </c>
      <c r="F1490" s="17">
        <v>1</v>
      </c>
      <c r="G1490" s="19">
        <v>68000003</v>
      </c>
      <c r="H1490" s="17">
        <v>0</v>
      </c>
      <c r="I1490" s="28">
        <v>0</v>
      </c>
      <c r="J1490" s="19">
        <v>1</v>
      </c>
      <c r="K1490" s="19">
        <v>0</v>
      </c>
      <c r="L1490" s="17">
        <v>0</v>
      </c>
      <c r="M1490" s="17">
        <v>0</v>
      </c>
      <c r="N1490" s="17">
        <v>0</v>
      </c>
      <c r="O1490" s="17">
        <v>2</v>
      </c>
      <c r="P1490" s="17">
        <v>1</v>
      </c>
      <c r="Q1490" s="17">
        <v>1</v>
      </c>
      <c r="R1490" s="17">
        <v>0</v>
      </c>
      <c r="S1490" s="13">
        <v>0</v>
      </c>
      <c r="T1490" s="17">
        <v>0</v>
      </c>
      <c r="U1490" s="17">
        <v>0</v>
      </c>
      <c r="V1490" s="17">
        <v>1</v>
      </c>
      <c r="W1490" s="17">
        <v>0</v>
      </c>
      <c r="X1490" s="17">
        <v>0.2</v>
      </c>
      <c r="Y1490" s="13">
        <v>0</v>
      </c>
      <c r="Z1490" s="19">
        <v>0</v>
      </c>
      <c r="AA1490" s="17">
        <v>0</v>
      </c>
      <c r="AB1490" s="17">
        <v>0</v>
      </c>
      <c r="AC1490" s="17">
        <v>0</v>
      </c>
      <c r="AD1490" s="17">
        <v>1</v>
      </c>
      <c r="AE1490" s="17">
        <v>0</v>
      </c>
      <c r="AF1490" s="17">
        <v>0</v>
      </c>
      <c r="AG1490" s="17">
        <v>2</v>
      </c>
      <c r="AH1490" s="17" t="s">
        <v>231</v>
      </c>
      <c r="AI1490" s="13">
        <v>2</v>
      </c>
      <c r="AJ1490" s="13">
        <v>0</v>
      </c>
      <c r="AK1490" s="13">
        <v>0</v>
      </c>
      <c r="AL1490" s="13">
        <v>3</v>
      </c>
      <c r="AM1490" s="17">
        <v>0</v>
      </c>
      <c r="AN1490" s="17">
        <v>0</v>
      </c>
      <c r="AO1490" s="17">
        <v>0</v>
      </c>
      <c r="AP1490" s="17">
        <v>0</v>
      </c>
      <c r="AQ1490" s="17">
        <v>1000</v>
      </c>
      <c r="AR1490" s="17">
        <v>0</v>
      </c>
      <c r="AS1490" s="17">
        <v>0</v>
      </c>
      <c r="AT1490" s="13">
        <v>0</v>
      </c>
      <c r="AU1490" s="17" t="s">
        <v>198</v>
      </c>
      <c r="AV1490" s="17"/>
      <c r="AW1490" s="20" t="s">
        <v>199</v>
      </c>
      <c r="AX1490" s="17">
        <v>0</v>
      </c>
      <c r="AY1490" s="19">
        <v>0</v>
      </c>
      <c r="AZ1490" s="27">
        <v>0</v>
      </c>
      <c r="BA1490" s="18" t="s">
        <v>200</v>
      </c>
      <c r="BB1490" s="17">
        <v>0</v>
      </c>
      <c r="BC1490" s="28">
        <v>0</v>
      </c>
      <c r="BD1490" s="28">
        <v>0</v>
      </c>
      <c r="BE1490" s="89" t="s">
        <v>3195</v>
      </c>
      <c r="BF1490" s="89" t="s">
        <v>3196</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68000004</v>
      </c>
      <c r="D1491" s="20" t="s">
        <v>3197</v>
      </c>
      <c r="E1491" s="20" t="s">
        <v>3198</v>
      </c>
      <c r="F1491" s="19">
        <v>1</v>
      </c>
      <c r="G1491" s="19">
        <v>68000004</v>
      </c>
      <c r="H1491" s="17">
        <v>0</v>
      </c>
      <c r="I1491" s="28">
        <v>0</v>
      </c>
      <c r="J1491" s="19">
        <v>1</v>
      </c>
      <c r="K1491" s="19">
        <v>0</v>
      </c>
      <c r="L1491" s="19">
        <v>0</v>
      </c>
      <c r="M1491" s="17">
        <v>0</v>
      </c>
      <c r="N1491" s="17">
        <v>0</v>
      </c>
      <c r="O1491" s="17">
        <v>1</v>
      </c>
      <c r="P1491" s="17">
        <v>1</v>
      </c>
      <c r="Q1491" s="17">
        <v>0.05</v>
      </c>
      <c r="R1491" s="17">
        <v>0</v>
      </c>
      <c r="S1491" s="13">
        <v>0</v>
      </c>
      <c r="T1491" s="17">
        <v>0</v>
      </c>
      <c r="U1491" s="17">
        <v>1</v>
      </c>
      <c r="V1491" s="17">
        <v>2</v>
      </c>
      <c r="W1491" s="17">
        <v>0</v>
      </c>
      <c r="X1491" s="17">
        <v>0</v>
      </c>
      <c r="Y1491" s="13">
        <v>0</v>
      </c>
      <c r="Z1491" s="17">
        <v>0</v>
      </c>
      <c r="AA1491" s="17">
        <v>0</v>
      </c>
      <c r="AB1491" s="17">
        <v>0</v>
      </c>
      <c r="AC1491" s="17">
        <v>0</v>
      </c>
      <c r="AD1491" s="17">
        <v>1</v>
      </c>
      <c r="AE1491" s="17">
        <v>68000008</v>
      </c>
      <c r="AF1491" s="17">
        <v>30</v>
      </c>
      <c r="AG1491" s="17">
        <v>0</v>
      </c>
      <c r="AH1491" s="17">
        <v>0</v>
      </c>
      <c r="AI1491" s="13">
        <v>2</v>
      </c>
      <c r="AJ1491" s="13">
        <v>2</v>
      </c>
      <c r="AK1491" s="13">
        <v>0</v>
      </c>
      <c r="AL1491" s="13">
        <v>1.5</v>
      </c>
      <c r="AM1491" s="17">
        <v>0</v>
      </c>
      <c r="AN1491" s="17">
        <v>0</v>
      </c>
      <c r="AO1491" s="17">
        <v>0</v>
      </c>
      <c r="AP1491" s="17">
        <v>0.5</v>
      </c>
      <c r="AQ1491" s="17">
        <v>3000</v>
      </c>
      <c r="AR1491" s="17">
        <v>0.5</v>
      </c>
      <c r="AS1491" s="17">
        <v>0</v>
      </c>
      <c r="AT1491" s="13">
        <v>0</v>
      </c>
      <c r="AU1491" s="17" t="s">
        <v>198</v>
      </c>
      <c r="AV1491" s="17"/>
      <c r="AW1491" s="18" t="s">
        <v>199</v>
      </c>
      <c r="AX1491" s="17" t="s">
        <v>545</v>
      </c>
      <c r="AY1491" s="19">
        <v>0</v>
      </c>
      <c r="AZ1491" s="19">
        <v>21101051</v>
      </c>
      <c r="BA1491" s="18" t="s">
        <v>1174</v>
      </c>
      <c r="BB1491" s="366" t="s">
        <v>3199</v>
      </c>
      <c r="BC1491" s="28">
        <v>0</v>
      </c>
      <c r="BD1491" s="28">
        <v>0</v>
      </c>
      <c r="BE1491" s="46" t="s">
        <v>3200</v>
      </c>
      <c r="BF1491" s="46" t="s">
        <v>3201</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68000005</v>
      </c>
      <c r="D1492" s="20" t="s">
        <v>3202</v>
      </c>
      <c r="E1492" s="20" t="s">
        <v>3203</v>
      </c>
      <c r="F1492" s="19">
        <v>1</v>
      </c>
      <c r="G1492" s="19">
        <v>68000005</v>
      </c>
      <c r="H1492" s="19">
        <v>0</v>
      </c>
      <c r="I1492" s="28">
        <v>0</v>
      </c>
      <c r="J1492" s="19">
        <v>1</v>
      </c>
      <c r="K1492" s="19">
        <v>0</v>
      </c>
      <c r="L1492" s="19">
        <v>0</v>
      </c>
      <c r="M1492" s="19">
        <v>0</v>
      </c>
      <c r="N1492" s="19">
        <v>0</v>
      </c>
      <c r="O1492" s="19">
        <v>2</v>
      </c>
      <c r="P1492" s="19">
        <v>3</v>
      </c>
      <c r="Q1492" s="19">
        <v>0.05</v>
      </c>
      <c r="R1492" s="19">
        <v>0</v>
      </c>
      <c r="S1492" s="13">
        <v>0</v>
      </c>
      <c r="T1492" s="28">
        <v>0</v>
      </c>
      <c r="U1492" s="17">
        <v>1</v>
      </c>
      <c r="V1492" s="19">
        <v>2</v>
      </c>
      <c r="W1492" s="19">
        <v>0</v>
      </c>
      <c r="X1492" s="19">
        <v>0</v>
      </c>
      <c r="Y1492" s="13">
        <v>0</v>
      </c>
      <c r="Z1492" s="19">
        <v>0</v>
      </c>
      <c r="AA1492" s="19">
        <v>0</v>
      </c>
      <c r="AB1492" s="19">
        <v>0</v>
      </c>
      <c r="AC1492" s="19">
        <v>0</v>
      </c>
      <c r="AD1492" s="19">
        <v>1</v>
      </c>
      <c r="AE1492" s="19">
        <v>0</v>
      </c>
      <c r="AF1492" s="19">
        <v>1</v>
      </c>
      <c r="AG1492" s="19">
        <v>0</v>
      </c>
      <c r="AH1492" s="19">
        <v>0</v>
      </c>
      <c r="AI1492" s="13">
        <v>2</v>
      </c>
      <c r="AJ1492" s="13">
        <v>0</v>
      </c>
      <c r="AK1492" s="13">
        <v>0</v>
      </c>
      <c r="AL1492" s="13">
        <v>0</v>
      </c>
      <c r="AM1492" s="19">
        <v>0</v>
      </c>
      <c r="AN1492" s="19">
        <v>0</v>
      </c>
      <c r="AO1492" s="19">
        <v>0</v>
      </c>
      <c r="AP1492" s="19">
        <v>0</v>
      </c>
      <c r="AQ1492" s="19">
        <v>1000</v>
      </c>
      <c r="AR1492" s="19">
        <v>0</v>
      </c>
      <c r="AS1492" s="19">
        <v>0</v>
      </c>
      <c r="AT1492" s="13">
        <v>98000050</v>
      </c>
      <c r="AU1492" s="19" t="s">
        <v>198</v>
      </c>
      <c r="AV1492" s="19"/>
      <c r="AW1492" s="20" t="s">
        <v>199</v>
      </c>
      <c r="AX1492" s="19">
        <v>0</v>
      </c>
      <c r="AY1492" s="19">
        <v>0</v>
      </c>
      <c r="AZ1492" s="19">
        <v>0</v>
      </c>
      <c r="BA1492" s="20" t="s">
        <v>200</v>
      </c>
      <c r="BB1492" s="20" t="s">
        <v>198</v>
      </c>
      <c r="BC1492" s="28">
        <v>0</v>
      </c>
      <c r="BD1492" s="28">
        <v>0</v>
      </c>
      <c r="BE1492" s="89" t="s">
        <v>3204</v>
      </c>
      <c r="BF1492" s="89" t="s">
        <v>3205</v>
      </c>
      <c r="BG1492" s="19">
        <v>0</v>
      </c>
      <c r="BH1492" s="17">
        <v>0</v>
      </c>
      <c r="BI1492" s="19">
        <v>0</v>
      </c>
      <c r="BJ1492" s="19">
        <v>0</v>
      </c>
      <c r="BK1492" s="19">
        <v>0</v>
      </c>
      <c r="BL1492" s="19">
        <v>0</v>
      </c>
      <c r="BM1492" s="16">
        <v>0</v>
      </c>
      <c r="BN1492" s="13">
        <v>1</v>
      </c>
      <c r="BO1492" s="13">
        <v>0</v>
      </c>
      <c r="BP1492" s="13">
        <v>0</v>
      </c>
      <c r="BQ1492" s="13">
        <v>0</v>
      </c>
      <c r="BR1492" s="13">
        <v>0</v>
      </c>
      <c r="BS1492" s="13">
        <v>0</v>
      </c>
      <c r="BT1492" s="13">
        <v>0</v>
      </c>
      <c r="BU1492" s="49">
        <v>0</v>
      </c>
      <c r="BV1492" s="49"/>
      <c r="BW1492" s="49"/>
    </row>
    <row r="1493" spans="3:75" ht="20.100000000000001" customHeight="1">
      <c r="C1493" s="19">
        <v>68000006</v>
      </c>
      <c r="D1493" s="20" t="s">
        <v>3206</v>
      </c>
      <c r="E1493" s="20" t="s">
        <v>3207</v>
      </c>
      <c r="F1493" s="19">
        <v>1</v>
      </c>
      <c r="G1493" s="19">
        <v>68000006</v>
      </c>
      <c r="H1493" s="19">
        <v>0</v>
      </c>
      <c r="I1493" s="28">
        <v>0</v>
      </c>
      <c r="J1493" s="19">
        <v>1</v>
      </c>
      <c r="K1493" s="19">
        <v>0</v>
      </c>
      <c r="L1493" s="19">
        <v>0</v>
      </c>
      <c r="M1493" s="19">
        <v>0</v>
      </c>
      <c r="N1493" s="19">
        <v>0</v>
      </c>
      <c r="O1493" s="19">
        <v>2</v>
      </c>
      <c r="P1493" s="19">
        <v>1</v>
      </c>
      <c r="Q1493" s="19">
        <v>0.05</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7</v>
      </c>
      <c r="AJ1493" s="13">
        <v>0</v>
      </c>
      <c r="AK1493" s="13">
        <v>0</v>
      </c>
      <c r="AL1493" s="13">
        <v>0</v>
      </c>
      <c r="AM1493" s="19">
        <v>0</v>
      </c>
      <c r="AN1493" s="19">
        <v>0</v>
      </c>
      <c r="AO1493" s="19">
        <v>0</v>
      </c>
      <c r="AP1493" s="19">
        <v>0</v>
      </c>
      <c r="AQ1493" s="19">
        <v>1000</v>
      </c>
      <c r="AR1493" s="19">
        <v>0</v>
      </c>
      <c r="AS1493" s="19">
        <v>0</v>
      </c>
      <c r="AT1493" s="13">
        <v>0</v>
      </c>
      <c r="AU1493" s="13">
        <v>98000060</v>
      </c>
      <c r="AV1493" s="13"/>
      <c r="AW1493" s="20" t="s">
        <v>199</v>
      </c>
      <c r="AX1493" s="19">
        <v>0</v>
      </c>
      <c r="AY1493" s="19">
        <v>0</v>
      </c>
      <c r="AZ1493" s="19">
        <v>0</v>
      </c>
      <c r="BA1493" s="20" t="s">
        <v>200</v>
      </c>
      <c r="BB1493" s="20" t="s">
        <v>198</v>
      </c>
      <c r="BC1493" s="28">
        <v>0</v>
      </c>
      <c r="BD1493" s="28">
        <v>0</v>
      </c>
      <c r="BE1493" s="89" t="s">
        <v>3208</v>
      </c>
      <c r="BF1493" s="89" t="s">
        <v>3209</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68000007</v>
      </c>
      <c r="D1494" s="20" t="s">
        <v>413</v>
      </c>
      <c r="E1494" s="20" t="s">
        <v>3210</v>
      </c>
      <c r="F1494" s="19">
        <v>1</v>
      </c>
      <c r="G1494" s="19">
        <v>68000007</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98000070</v>
      </c>
      <c r="AU1494" s="19" t="s">
        <v>198</v>
      </c>
      <c r="AV1494" s="19"/>
      <c r="AW1494" s="20" t="s">
        <v>199</v>
      </c>
      <c r="AX1494" s="19">
        <v>0</v>
      </c>
      <c r="AY1494" s="19">
        <v>0</v>
      </c>
      <c r="AZ1494" s="19">
        <v>0</v>
      </c>
      <c r="BA1494" s="20" t="s">
        <v>200</v>
      </c>
      <c r="BB1494" s="20" t="s">
        <v>198</v>
      </c>
      <c r="BC1494" s="28">
        <v>0</v>
      </c>
      <c r="BD1494" s="28">
        <v>0</v>
      </c>
      <c r="BE1494" s="89" t="s">
        <v>3211</v>
      </c>
      <c r="BF1494" s="89" t="s">
        <v>3212</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68000008</v>
      </c>
      <c r="D1495" s="20" t="s">
        <v>3213</v>
      </c>
      <c r="E1495" s="20" t="s">
        <v>2938</v>
      </c>
      <c r="F1495" s="17">
        <v>1</v>
      </c>
      <c r="G1495" s="19">
        <v>68000008</v>
      </c>
      <c r="H1495" s="19">
        <v>0</v>
      </c>
      <c r="I1495" s="28">
        <v>0</v>
      </c>
      <c r="J1495" s="19">
        <v>1</v>
      </c>
      <c r="K1495" s="19">
        <v>0</v>
      </c>
      <c r="L1495" s="19">
        <v>0</v>
      </c>
      <c r="M1495" s="17">
        <v>0</v>
      </c>
      <c r="N1495" s="17">
        <v>0</v>
      </c>
      <c r="O1495" s="17">
        <v>5</v>
      </c>
      <c r="P1495" s="17">
        <v>0</v>
      </c>
      <c r="Q1495" s="17">
        <v>0</v>
      </c>
      <c r="R1495" s="17">
        <v>0</v>
      </c>
      <c r="S1495" s="13">
        <v>0</v>
      </c>
      <c r="T1495" s="17">
        <v>0</v>
      </c>
      <c r="U1495" s="17">
        <v>1</v>
      </c>
      <c r="V1495" s="17">
        <v>2</v>
      </c>
      <c r="W1495" s="17">
        <v>0</v>
      </c>
      <c r="X1495" s="19">
        <v>0</v>
      </c>
      <c r="Y1495" s="13">
        <v>0</v>
      </c>
      <c r="Z1495" s="19">
        <v>0</v>
      </c>
      <c r="AA1495" s="17">
        <v>0</v>
      </c>
      <c r="AB1495" s="17">
        <v>0</v>
      </c>
      <c r="AC1495" s="17">
        <v>0</v>
      </c>
      <c r="AD1495" s="17">
        <v>0</v>
      </c>
      <c r="AE1495" s="17">
        <v>0</v>
      </c>
      <c r="AF1495" s="17">
        <v>9</v>
      </c>
      <c r="AG1495" s="17">
        <v>2</v>
      </c>
      <c r="AH1495" s="17" t="s">
        <v>213</v>
      </c>
      <c r="AI1495" s="13">
        <v>2</v>
      </c>
      <c r="AJ1495" s="13">
        <v>0</v>
      </c>
      <c r="AK1495" s="13">
        <v>0</v>
      </c>
      <c r="AL1495" s="13">
        <v>0</v>
      </c>
      <c r="AM1495" s="17">
        <v>0</v>
      </c>
      <c r="AN1495" s="17">
        <v>0</v>
      </c>
      <c r="AO1495" s="17">
        <v>0</v>
      </c>
      <c r="AP1495" s="17">
        <v>0.5</v>
      </c>
      <c r="AQ1495" s="17">
        <v>3000</v>
      </c>
      <c r="AR1495" s="17">
        <v>0</v>
      </c>
      <c r="AS1495" s="17">
        <v>0</v>
      </c>
      <c r="AT1495" s="13">
        <v>0</v>
      </c>
      <c r="AU1495" s="17" t="s">
        <v>198</v>
      </c>
      <c r="AV1495" s="17"/>
      <c r="AW1495" s="20" t="s">
        <v>199</v>
      </c>
      <c r="AX1495" s="17">
        <v>0</v>
      </c>
      <c r="AY1495" s="19">
        <v>0</v>
      </c>
      <c r="AZ1495" s="19">
        <v>0</v>
      </c>
      <c r="BA1495" s="18" t="s">
        <v>200</v>
      </c>
      <c r="BB1495" s="17" t="s">
        <v>3214</v>
      </c>
      <c r="BC1495" s="28">
        <v>0</v>
      </c>
      <c r="BD1495" s="28">
        <v>0</v>
      </c>
      <c r="BE1495" s="89" t="s">
        <v>3215</v>
      </c>
      <c r="BF1495" s="89" t="s">
        <v>3216</v>
      </c>
      <c r="BG1495" s="17">
        <v>0</v>
      </c>
      <c r="BH1495" s="17">
        <v>0</v>
      </c>
      <c r="BI1495" s="17">
        <v>0</v>
      </c>
      <c r="BJ1495" s="17">
        <v>0</v>
      </c>
      <c r="BK1495" s="17">
        <v>0</v>
      </c>
      <c r="BL1495" s="17">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68000009</v>
      </c>
      <c r="D1496" s="20" t="s">
        <v>3217</v>
      </c>
      <c r="E1496" s="20" t="s">
        <v>3218</v>
      </c>
      <c r="F1496" s="17">
        <v>1</v>
      </c>
      <c r="G1496" s="19">
        <v>68000009</v>
      </c>
      <c r="H1496" s="19">
        <v>0</v>
      </c>
      <c r="I1496" s="28">
        <v>0</v>
      </c>
      <c r="J1496" s="19">
        <v>1</v>
      </c>
      <c r="K1496" s="19">
        <v>0</v>
      </c>
      <c r="L1496" s="19">
        <v>0</v>
      </c>
      <c r="M1496" s="17">
        <v>0</v>
      </c>
      <c r="N1496" s="17">
        <v>0</v>
      </c>
      <c r="O1496" s="17">
        <v>5</v>
      </c>
      <c r="P1496" s="17">
        <v>0</v>
      </c>
      <c r="Q1496" s="17">
        <v>0</v>
      </c>
      <c r="R1496" s="17">
        <v>0</v>
      </c>
      <c r="S1496" s="13">
        <v>0</v>
      </c>
      <c r="T1496" s="17">
        <v>0</v>
      </c>
      <c r="U1496" s="17">
        <v>1</v>
      </c>
      <c r="V1496" s="17">
        <v>2</v>
      </c>
      <c r="W1496" s="17">
        <v>0</v>
      </c>
      <c r="X1496" s="19">
        <v>0</v>
      </c>
      <c r="Y1496" s="13">
        <v>0</v>
      </c>
      <c r="Z1496" s="19">
        <v>0</v>
      </c>
      <c r="AA1496" s="17">
        <v>0</v>
      </c>
      <c r="AB1496" s="17">
        <v>0</v>
      </c>
      <c r="AC1496" s="17">
        <v>0</v>
      </c>
      <c r="AD1496" s="17">
        <v>0</v>
      </c>
      <c r="AE1496" s="17">
        <v>0</v>
      </c>
      <c r="AF1496" s="17">
        <v>9</v>
      </c>
      <c r="AG1496" s="17">
        <v>2</v>
      </c>
      <c r="AH1496" s="17" t="s">
        <v>213</v>
      </c>
      <c r="AI1496" s="13">
        <v>2</v>
      </c>
      <c r="AJ1496" s="13">
        <v>0</v>
      </c>
      <c r="AK1496" s="13">
        <v>0</v>
      </c>
      <c r="AL1496" s="13">
        <v>0</v>
      </c>
      <c r="AM1496" s="17">
        <v>0</v>
      </c>
      <c r="AN1496" s="17">
        <v>0</v>
      </c>
      <c r="AO1496" s="17">
        <v>0</v>
      </c>
      <c r="AP1496" s="17">
        <v>0.5</v>
      </c>
      <c r="AQ1496" s="17">
        <v>3000</v>
      </c>
      <c r="AR1496" s="17">
        <v>0</v>
      </c>
      <c r="AS1496" s="17">
        <v>0</v>
      </c>
      <c r="AT1496" s="13">
        <v>0</v>
      </c>
      <c r="AU1496" s="17" t="s">
        <v>198</v>
      </c>
      <c r="AV1496" s="17"/>
      <c r="AW1496" s="20" t="s">
        <v>199</v>
      </c>
      <c r="AX1496" s="17">
        <v>0</v>
      </c>
      <c r="AY1496" s="19">
        <v>0</v>
      </c>
      <c r="AZ1496" s="19">
        <v>0</v>
      </c>
      <c r="BA1496" s="18" t="s">
        <v>200</v>
      </c>
      <c r="BB1496" s="17"/>
      <c r="BC1496" s="28">
        <v>0</v>
      </c>
      <c r="BD1496" s="28">
        <v>0</v>
      </c>
      <c r="BE1496" s="89" t="s">
        <v>3219</v>
      </c>
      <c r="BF1496" s="89" t="s">
        <v>3220</v>
      </c>
      <c r="BG1496" s="17">
        <v>0</v>
      </c>
      <c r="BH1496" s="17">
        <v>0</v>
      </c>
      <c r="BI1496" s="17">
        <v>0</v>
      </c>
      <c r="BJ1496" s="17">
        <v>0</v>
      </c>
      <c r="BK1496" s="17">
        <v>0</v>
      </c>
      <c r="BL1496" s="17">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68000010</v>
      </c>
      <c r="D1497" s="20" t="s">
        <v>3221</v>
      </c>
      <c r="E1497" s="20" t="s">
        <v>3222</v>
      </c>
      <c r="F1497" s="19">
        <v>1</v>
      </c>
      <c r="G1497" s="19">
        <v>68000010</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v>0</v>
      </c>
      <c r="AU1497" s="19" t="s">
        <v>198</v>
      </c>
      <c r="AV1497" s="19"/>
      <c r="AW1497" s="20" t="s">
        <v>199</v>
      </c>
      <c r="AX1497" s="19">
        <v>0</v>
      </c>
      <c r="AY1497" s="19">
        <v>0</v>
      </c>
      <c r="AZ1497" s="19">
        <v>0</v>
      </c>
      <c r="BA1497" s="20" t="s">
        <v>200</v>
      </c>
      <c r="BB1497" s="20" t="s">
        <v>3223</v>
      </c>
      <c r="BC1497" s="28">
        <v>0</v>
      </c>
      <c r="BD1497" s="28">
        <v>0</v>
      </c>
      <c r="BE1497" s="89" t="s">
        <v>3224</v>
      </c>
      <c r="BF1497" s="89" t="s">
        <v>3225</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68000011</v>
      </c>
      <c r="D1498" s="20" t="s">
        <v>3226</v>
      </c>
      <c r="E1498" s="20" t="s">
        <v>3227</v>
      </c>
      <c r="F1498" s="19">
        <v>1</v>
      </c>
      <c r="G1498" s="19">
        <v>68000011</v>
      </c>
      <c r="H1498" s="19">
        <v>0</v>
      </c>
      <c r="I1498" s="28">
        <v>0</v>
      </c>
      <c r="J1498" s="19">
        <v>1</v>
      </c>
      <c r="K1498" s="19">
        <v>0</v>
      </c>
      <c r="L1498" s="19">
        <v>0</v>
      </c>
      <c r="M1498" s="19">
        <v>0</v>
      </c>
      <c r="N1498" s="19">
        <v>0</v>
      </c>
      <c r="O1498" s="19">
        <v>2</v>
      </c>
      <c r="P1498" s="19">
        <v>1</v>
      </c>
      <c r="Q1498" s="19">
        <v>0.05</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v>98000080</v>
      </c>
      <c r="AU1498" s="19" t="s">
        <v>198</v>
      </c>
      <c r="AV1498" s="19"/>
      <c r="AW1498" s="20" t="s">
        <v>199</v>
      </c>
      <c r="AX1498" s="19">
        <v>0</v>
      </c>
      <c r="AY1498" s="19">
        <v>0</v>
      </c>
      <c r="AZ1498" s="19">
        <v>0</v>
      </c>
      <c r="BA1498" s="20" t="s">
        <v>200</v>
      </c>
      <c r="BB1498" s="20" t="s">
        <v>198</v>
      </c>
      <c r="BC1498" s="28">
        <v>0</v>
      </c>
      <c r="BD1498" s="28">
        <v>0</v>
      </c>
      <c r="BE1498" s="89" t="s">
        <v>3228</v>
      </c>
      <c r="BF1498" s="89" t="s">
        <v>3229</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68000012</v>
      </c>
      <c r="D1499" s="20" t="s">
        <v>3230</v>
      </c>
      <c r="E1499" s="20" t="s">
        <v>295</v>
      </c>
      <c r="F1499" s="19">
        <v>1</v>
      </c>
      <c r="G1499" s="19">
        <v>68000012</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3231</v>
      </c>
      <c r="BC1499" s="28">
        <v>0</v>
      </c>
      <c r="BD1499" s="28">
        <v>0</v>
      </c>
      <c r="BE1499" s="89" t="s">
        <v>3232</v>
      </c>
      <c r="BF1499" s="89" t="s">
        <v>3233</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68000013</v>
      </c>
      <c r="D1500" s="20" t="s">
        <v>3234</v>
      </c>
      <c r="E1500" s="20" t="s">
        <v>3235</v>
      </c>
      <c r="F1500" s="19">
        <v>1</v>
      </c>
      <c r="G1500" s="19">
        <v>68000013</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3236</v>
      </c>
      <c r="BC1500" s="28">
        <v>0</v>
      </c>
      <c r="BD1500" s="28">
        <v>0</v>
      </c>
      <c r="BE1500" s="89" t="s">
        <v>3237</v>
      </c>
      <c r="BF1500" s="89" t="s">
        <v>3238</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68000014</v>
      </c>
      <c r="D1501" s="20" t="s">
        <v>3239</v>
      </c>
      <c r="E1501" s="20" t="s">
        <v>3240</v>
      </c>
      <c r="F1501" s="19">
        <v>1</v>
      </c>
      <c r="G1501" s="19">
        <v>68000014</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3241</v>
      </c>
      <c r="BC1501" s="28">
        <v>0</v>
      </c>
      <c r="BD1501" s="28">
        <v>0</v>
      </c>
      <c r="BE1501" s="89" t="s">
        <v>3242</v>
      </c>
      <c r="BF1501" s="89" t="s">
        <v>3243</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68000015</v>
      </c>
      <c r="D1502" s="20" t="s">
        <v>3244</v>
      </c>
      <c r="E1502" s="20" t="s">
        <v>3245</v>
      </c>
      <c r="F1502" s="19">
        <v>1</v>
      </c>
      <c r="G1502" s="19">
        <v>68000015</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3246</v>
      </c>
      <c r="BC1502" s="28">
        <v>0</v>
      </c>
      <c r="BD1502" s="28">
        <v>0</v>
      </c>
      <c r="BE1502" s="89" t="s">
        <v>3247</v>
      </c>
      <c r="BF1502" s="89" t="s">
        <v>3248</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68000016</v>
      </c>
      <c r="D1503" s="20" t="s">
        <v>3249</v>
      </c>
      <c r="E1503" s="20" t="s">
        <v>3250</v>
      </c>
      <c r="F1503" s="19">
        <v>1</v>
      </c>
      <c r="G1503" s="19">
        <v>68000016</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3251</v>
      </c>
      <c r="BC1503" s="28">
        <v>0</v>
      </c>
      <c r="BD1503" s="28">
        <v>0</v>
      </c>
      <c r="BE1503" s="89" t="s">
        <v>3252</v>
      </c>
      <c r="BF1503" s="89" t="s">
        <v>3253</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68000017</v>
      </c>
      <c r="D1504" s="20" t="s">
        <v>3254</v>
      </c>
      <c r="E1504" s="20" t="s">
        <v>3255</v>
      </c>
      <c r="F1504" s="19">
        <v>1</v>
      </c>
      <c r="G1504" s="19">
        <v>68000017</v>
      </c>
      <c r="H1504" s="19">
        <v>0</v>
      </c>
      <c r="I1504" s="28">
        <v>0</v>
      </c>
      <c r="J1504" s="19">
        <v>1</v>
      </c>
      <c r="K1504" s="19">
        <v>0</v>
      </c>
      <c r="L1504" s="19">
        <v>0</v>
      </c>
      <c r="M1504" s="19">
        <v>0</v>
      </c>
      <c r="N1504" s="19">
        <v>0</v>
      </c>
      <c r="O1504" s="19">
        <v>5</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3256</v>
      </c>
      <c r="BC1504" s="28">
        <v>0</v>
      </c>
      <c r="BD1504" s="28">
        <v>0</v>
      </c>
      <c r="BE1504" s="89" t="s">
        <v>3257</v>
      </c>
      <c r="BF1504" s="89" t="s">
        <v>3258</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68000018</v>
      </c>
      <c r="D1505" s="20" t="s">
        <v>3259</v>
      </c>
      <c r="E1505" s="20" t="s">
        <v>3260</v>
      </c>
      <c r="F1505" s="19">
        <v>1</v>
      </c>
      <c r="G1505" s="19">
        <v>68000004</v>
      </c>
      <c r="H1505" s="17">
        <v>0</v>
      </c>
      <c r="I1505" s="28">
        <v>0</v>
      </c>
      <c r="J1505" s="19">
        <v>1</v>
      </c>
      <c r="K1505" s="19">
        <v>0</v>
      </c>
      <c r="L1505" s="19">
        <v>0</v>
      </c>
      <c r="M1505" s="17">
        <v>0</v>
      </c>
      <c r="N1505" s="17">
        <v>0</v>
      </c>
      <c r="O1505" s="17">
        <v>2</v>
      </c>
      <c r="P1505" s="17">
        <v>1</v>
      </c>
      <c r="Q1505" s="17">
        <v>7.4999999999999997E-2</v>
      </c>
      <c r="R1505" s="17">
        <v>0</v>
      </c>
      <c r="S1505" s="13">
        <v>0</v>
      </c>
      <c r="T1505" s="17">
        <v>0</v>
      </c>
      <c r="U1505" s="17">
        <v>1</v>
      </c>
      <c r="V1505" s="17">
        <v>2</v>
      </c>
      <c r="W1505" s="17">
        <v>0</v>
      </c>
      <c r="X1505" s="17">
        <v>0</v>
      </c>
      <c r="Y1505" s="13">
        <v>0</v>
      </c>
      <c r="Z1505" s="17">
        <v>0</v>
      </c>
      <c r="AA1505" s="17">
        <v>0</v>
      </c>
      <c r="AB1505" s="17">
        <v>0</v>
      </c>
      <c r="AC1505" s="17">
        <v>0</v>
      </c>
      <c r="AD1505" s="17">
        <v>1</v>
      </c>
      <c r="AE1505" s="17">
        <v>0</v>
      </c>
      <c r="AF1505" s="17">
        <v>20</v>
      </c>
      <c r="AG1505" s="17">
        <v>0</v>
      </c>
      <c r="AH1505" s="17">
        <v>0</v>
      </c>
      <c r="AI1505" s="13">
        <v>2</v>
      </c>
      <c r="AJ1505" s="13">
        <v>2</v>
      </c>
      <c r="AK1505" s="13">
        <v>0</v>
      </c>
      <c r="AL1505" s="13">
        <v>1.5</v>
      </c>
      <c r="AM1505" s="17">
        <v>0</v>
      </c>
      <c r="AN1505" s="17">
        <v>0</v>
      </c>
      <c r="AO1505" s="17">
        <v>0</v>
      </c>
      <c r="AP1505" s="17">
        <v>0</v>
      </c>
      <c r="AQ1505" s="17">
        <v>3000</v>
      </c>
      <c r="AR1505" s="17">
        <v>0</v>
      </c>
      <c r="AS1505" s="17">
        <v>0</v>
      </c>
      <c r="AT1505" s="13">
        <v>0</v>
      </c>
      <c r="AU1505" s="17" t="s">
        <v>198</v>
      </c>
      <c r="AV1505" s="17"/>
      <c r="AW1505" s="18" t="s">
        <v>199</v>
      </c>
      <c r="AX1505" s="17" t="s">
        <v>545</v>
      </c>
      <c r="AY1505" s="19">
        <v>0</v>
      </c>
      <c r="AZ1505" s="19">
        <v>21101051</v>
      </c>
      <c r="BA1505" s="18" t="s">
        <v>528</v>
      </c>
      <c r="BB1505" s="17" t="s">
        <v>3261</v>
      </c>
      <c r="BC1505" s="28">
        <v>0</v>
      </c>
      <c r="BD1505" s="28">
        <v>0</v>
      </c>
      <c r="BE1505" s="46" t="s">
        <v>3262</v>
      </c>
      <c r="BF1505" s="46" t="s">
        <v>3263</v>
      </c>
      <c r="BG1505" s="17">
        <v>0</v>
      </c>
      <c r="BH1505" s="17">
        <v>0</v>
      </c>
      <c r="BI1505" s="17">
        <v>0</v>
      </c>
      <c r="BJ1505" s="17">
        <v>0</v>
      </c>
      <c r="BK1505" s="17">
        <v>0</v>
      </c>
      <c r="BL1505" s="17">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68000101</v>
      </c>
      <c r="D1506" s="20" t="s">
        <v>3264</v>
      </c>
      <c r="E1506" s="20" t="s">
        <v>3265</v>
      </c>
      <c r="F1506" s="19">
        <v>1</v>
      </c>
      <c r="G1506" s="19">
        <v>68000101</v>
      </c>
      <c r="H1506" s="19">
        <v>0</v>
      </c>
      <c r="I1506" s="28">
        <v>0</v>
      </c>
      <c r="J1506" s="19">
        <v>1</v>
      </c>
      <c r="K1506" s="19">
        <v>0</v>
      </c>
      <c r="L1506" s="19">
        <v>0</v>
      </c>
      <c r="M1506" s="19">
        <v>0</v>
      </c>
      <c r="N1506" s="19">
        <v>0</v>
      </c>
      <c r="O1506" s="19">
        <v>5</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3266</v>
      </c>
      <c r="BC1506" s="28">
        <v>0</v>
      </c>
      <c r="BD1506" s="28">
        <v>0</v>
      </c>
      <c r="BE1506" s="89" t="s">
        <v>3267</v>
      </c>
      <c r="BF1506" s="89" t="s">
        <v>3268</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68000102</v>
      </c>
      <c r="D1507" s="20" t="s">
        <v>3269</v>
      </c>
      <c r="E1507" s="20" t="s">
        <v>3270</v>
      </c>
      <c r="F1507" s="19">
        <v>1</v>
      </c>
      <c r="G1507" s="19">
        <v>68000102</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3271</v>
      </c>
      <c r="BF1507" s="89" t="s">
        <v>3272</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68000103</v>
      </c>
      <c r="D1508" s="20" t="s">
        <v>3273</v>
      </c>
      <c r="E1508" s="20" t="s">
        <v>3274</v>
      </c>
      <c r="F1508" s="19">
        <v>1</v>
      </c>
      <c r="G1508" s="19">
        <v>68000103</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3275</v>
      </c>
      <c r="BF1508" s="89" t="s">
        <v>3276</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68000104</v>
      </c>
      <c r="D1509" s="20" t="s">
        <v>3277</v>
      </c>
      <c r="E1509" s="20" t="s">
        <v>3278</v>
      </c>
      <c r="F1509" s="19">
        <v>1</v>
      </c>
      <c r="G1509" s="19">
        <v>68000104</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3279</v>
      </c>
      <c r="BF1509" s="89" t="s">
        <v>3280</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68000105</v>
      </c>
      <c r="D1510" s="20" t="s">
        <v>3281</v>
      </c>
      <c r="E1510" s="20" t="s">
        <v>3282</v>
      </c>
      <c r="F1510" s="19">
        <v>1</v>
      </c>
      <c r="G1510" s="19">
        <v>68000105</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3283</v>
      </c>
      <c r="BF1510" s="89" t="s">
        <v>3284</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68000106</v>
      </c>
      <c r="D1511" s="20" t="s">
        <v>3285</v>
      </c>
      <c r="E1511" s="20" t="s">
        <v>3286</v>
      </c>
      <c r="F1511" s="19">
        <v>1</v>
      </c>
      <c r="G1511" s="19">
        <v>68000106</v>
      </c>
      <c r="H1511" s="19">
        <v>0</v>
      </c>
      <c r="I1511" s="28">
        <v>0</v>
      </c>
      <c r="J1511" s="19">
        <v>1</v>
      </c>
      <c r="K1511" s="19">
        <v>0</v>
      </c>
      <c r="L1511" s="19">
        <v>0</v>
      </c>
      <c r="M1511" s="19">
        <v>0</v>
      </c>
      <c r="N1511" s="19">
        <v>0</v>
      </c>
      <c r="O1511" s="19">
        <v>2</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198</v>
      </c>
      <c r="BC1511" s="28">
        <v>0</v>
      </c>
      <c r="BD1511" s="28">
        <v>0</v>
      </c>
      <c r="BE1511" s="89" t="s">
        <v>3287</v>
      </c>
      <c r="BF1511" s="89" t="s">
        <v>3288</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68000107</v>
      </c>
      <c r="D1512" s="20" t="s">
        <v>3289</v>
      </c>
      <c r="E1512" s="20" t="s">
        <v>3290</v>
      </c>
      <c r="F1512" s="19">
        <v>1</v>
      </c>
      <c r="G1512" s="19">
        <v>68000107</v>
      </c>
      <c r="H1512" s="19">
        <v>0</v>
      </c>
      <c r="I1512" s="28">
        <v>0</v>
      </c>
      <c r="J1512" s="19">
        <v>1</v>
      </c>
      <c r="K1512" s="19">
        <v>0</v>
      </c>
      <c r="L1512" s="19">
        <v>0</v>
      </c>
      <c r="M1512" s="19">
        <v>0</v>
      </c>
      <c r="N1512" s="19">
        <v>0</v>
      </c>
      <c r="O1512" s="19">
        <v>2</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198</v>
      </c>
      <c r="BC1512" s="28">
        <v>0</v>
      </c>
      <c r="BD1512" s="28">
        <v>0</v>
      </c>
      <c r="BE1512" s="89" t="s">
        <v>3291</v>
      </c>
      <c r="BF1512" s="89" t="s">
        <v>3292</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spans="3:75" ht="20.100000000000001" customHeight="1">
      <c r="C1513" s="19">
        <v>68000108</v>
      </c>
      <c r="D1513" s="20" t="s">
        <v>3293</v>
      </c>
      <c r="E1513" s="20" t="s">
        <v>3294</v>
      </c>
      <c r="F1513" s="19">
        <v>1</v>
      </c>
      <c r="G1513" s="19">
        <v>68000108</v>
      </c>
      <c r="H1513" s="19">
        <v>0</v>
      </c>
      <c r="I1513" s="28">
        <v>0</v>
      </c>
      <c r="J1513" s="19">
        <v>1</v>
      </c>
      <c r="K1513" s="19">
        <v>0</v>
      </c>
      <c r="L1513" s="19">
        <v>0</v>
      </c>
      <c r="M1513" s="19">
        <v>0</v>
      </c>
      <c r="N1513" s="19">
        <v>0</v>
      </c>
      <c r="O1513" s="19">
        <v>2</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198</v>
      </c>
      <c r="BC1513" s="28">
        <v>0</v>
      </c>
      <c r="BD1513" s="28">
        <v>0</v>
      </c>
      <c r="BE1513" s="89" t="s">
        <v>3295</v>
      </c>
      <c r="BF1513" s="89" t="s">
        <v>3296</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spans="3:75" ht="20.100000000000001" customHeight="1">
      <c r="C1514" s="19">
        <v>68000109</v>
      </c>
      <c r="D1514" s="20" t="s">
        <v>3297</v>
      </c>
      <c r="E1514" s="20" t="s">
        <v>3298</v>
      </c>
      <c r="F1514" s="19">
        <v>1</v>
      </c>
      <c r="G1514" s="19">
        <v>68000109</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3299</v>
      </c>
      <c r="BC1514" s="28">
        <v>0</v>
      </c>
      <c r="BD1514" s="28">
        <v>0</v>
      </c>
      <c r="BE1514" s="89" t="s">
        <v>3300</v>
      </c>
      <c r="BF1514" s="89" t="s">
        <v>3301</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68000110</v>
      </c>
      <c r="D1515" s="20" t="s">
        <v>3302</v>
      </c>
      <c r="E1515" s="20" t="s">
        <v>3303</v>
      </c>
      <c r="F1515" s="19">
        <v>1</v>
      </c>
      <c r="G1515" s="19">
        <v>68000110</v>
      </c>
      <c r="H1515" s="19">
        <v>0</v>
      </c>
      <c r="I1515" s="28">
        <v>0</v>
      </c>
      <c r="J1515" s="19">
        <v>1</v>
      </c>
      <c r="K1515" s="19">
        <v>0</v>
      </c>
      <c r="L1515" s="19">
        <v>0</v>
      </c>
      <c r="M1515" s="19">
        <v>0</v>
      </c>
      <c r="N1515" s="19">
        <v>0</v>
      </c>
      <c r="O1515" s="19">
        <v>2</v>
      </c>
      <c r="P1515" s="19">
        <v>1</v>
      </c>
      <c r="Q1515" s="19">
        <v>0.05</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383" t="s">
        <v>3304</v>
      </c>
      <c r="AU1515" s="19" t="s">
        <v>198</v>
      </c>
      <c r="AV1515" s="19"/>
      <c r="AW1515" s="20" t="s">
        <v>199</v>
      </c>
      <c r="AX1515" s="19">
        <v>0</v>
      </c>
      <c r="AY1515" s="19">
        <v>0</v>
      </c>
      <c r="AZ1515" s="19">
        <v>0</v>
      </c>
      <c r="BA1515" s="20" t="s">
        <v>200</v>
      </c>
      <c r="BB1515" s="20" t="s">
        <v>198</v>
      </c>
      <c r="BC1515" s="28">
        <v>0</v>
      </c>
      <c r="BD1515" s="28">
        <v>0</v>
      </c>
      <c r="BE1515" s="89" t="s">
        <v>3305</v>
      </c>
      <c r="BF1515" s="89" t="s">
        <v>3306</v>
      </c>
      <c r="BG1515" s="19">
        <v>0</v>
      </c>
      <c r="BH1515" s="17">
        <v>0</v>
      </c>
      <c r="BI1515" s="19">
        <v>0</v>
      </c>
      <c r="BJ1515" s="19">
        <v>0</v>
      </c>
      <c r="BK1515" s="19">
        <v>0</v>
      </c>
      <c r="BL1515" s="19">
        <v>0</v>
      </c>
      <c r="BM1515" s="16">
        <v>0</v>
      </c>
      <c r="BN1515" s="13">
        <v>1</v>
      </c>
      <c r="BO1515" s="13">
        <v>0</v>
      </c>
      <c r="BP1515" s="13">
        <v>0</v>
      </c>
      <c r="BQ1515" s="13">
        <v>0</v>
      </c>
      <c r="BR1515" s="13">
        <v>0</v>
      </c>
      <c r="BS1515" s="13">
        <v>0</v>
      </c>
      <c r="BT1515" s="13">
        <v>0</v>
      </c>
      <c r="BU1515" s="49">
        <v>0</v>
      </c>
      <c r="BV1515" s="49"/>
      <c r="BW1515" s="49"/>
    </row>
    <row r="1516" spans="3:75" ht="20.100000000000001" customHeight="1">
      <c r="C1516" s="19">
        <v>68000111</v>
      </c>
      <c r="D1516" s="20" t="s">
        <v>3307</v>
      </c>
      <c r="E1516" s="20" t="s">
        <v>3308</v>
      </c>
      <c r="F1516" s="19">
        <v>1</v>
      </c>
      <c r="G1516" s="19">
        <v>68000111</v>
      </c>
      <c r="H1516" s="19">
        <v>0</v>
      </c>
      <c r="I1516" s="28">
        <v>0</v>
      </c>
      <c r="J1516" s="19">
        <v>1</v>
      </c>
      <c r="K1516" s="19">
        <v>0</v>
      </c>
      <c r="L1516" s="19">
        <v>0</v>
      </c>
      <c r="M1516" s="19">
        <v>0</v>
      </c>
      <c r="N1516" s="19">
        <v>0</v>
      </c>
      <c r="O1516" s="19">
        <v>2</v>
      </c>
      <c r="P1516" s="19">
        <v>3</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383" t="s">
        <v>3304</v>
      </c>
      <c r="AU1516" s="19" t="s">
        <v>198</v>
      </c>
      <c r="AV1516" s="19"/>
      <c r="AW1516" s="20" t="s">
        <v>199</v>
      </c>
      <c r="AX1516" s="19">
        <v>0</v>
      </c>
      <c r="AY1516" s="19">
        <v>0</v>
      </c>
      <c r="AZ1516" s="19">
        <v>0</v>
      </c>
      <c r="BA1516" s="20" t="s">
        <v>200</v>
      </c>
      <c r="BB1516" s="20" t="s">
        <v>198</v>
      </c>
      <c r="BC1516" s="28">
        <v>0</v>
      </c>
      <c r="BD1516" s="28">
        <v>0</v>
      </c>
      <c r="BE1516" s="89" t="s">
        <v>3309</v>
      </c>
      <c r="BF1516" s="89" t="s">
        <v>3310</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spans="3:75" ht="20.100000000000001" customHeight="1">
      <c r="C1517" s="19">
        <v>68000112</v>
      </c>
      <c r="D1517" s="20" t="s">
        <v>3311</v>
      </c>
      <c r="E1517" s="20" t="s">
        <v>3312</v>
      </c>
      <c r="F1517" s="19">
        <v>1</v>
      </c>
      <c r="G1517" s="19">
        <v>68000112</v>
      </c>
      <c r="H1517" s="19">
        <v>0</v>
      </c>
      <c r="I1517" s="28">
        <v>0</v>
      </c>
      <c r="J1517" s="19">
        <v>1</v>
      </c>
      <c r="K1517" s="19">
        <v>0</v>
      </c>
      <c r="L1517" s="19">
        <v>0</v>
      </c>
      <c r="M1517" s="19">
        <v>0</v>
      </c>
      <c r="N1517" s="19">
        <v>0</v>
      </c>
      <c r="O1517" s="19">
        <v>2</v>
      </c>
      <c r="P1517" s="19">
        <v>2</v>
      </c>
      <c r="Q1517" s="19">
        <v>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30</v>
      </c>
      <c r="AG1517" s="19">
        <v>0</v>
      </c>
      <c r="AH1517" s="19">
        <v>0</v>
      </c>
      <c r="AI1517" s="13">
        <v>2</v>
      </c>
      <c r="AJ1517" s="13">
        <v>0</v>
      </c>
      <c r="AK1517" s="13">
        <v>0</v>
      </c>
      <c r="AL1517" s="13">
        <v>0</v>
      </c>
      <c r="AM1517" s="19">
        <v>0</v>
      </c>
      <c r="AN1517" s="19">
        <v>0</v>
      </c>
      <c r="AO1517" s="19">
        <v>0</v>
      </c>
      <c r="AP1517" s="19">
        <v>0</v>
      </c>
      <c r="AQ1517" s="19">
        <v>1000</v>
      </c>
      <c r="AR1517" s="19">
        <v>0</v>
      </c>
      <c r="AS1517" s="19">
        <v>0</v>
      </c>
      <c r="AT1517" s="383" t="s">
        <v>3304</v>
      </c>
      <c r="AU1517" s="19" t="s">
        <v>198</v>
      </c>
      <c r="AV1517" s="19"/>
      <c r="AW1517" s="20" t="s">
        <v>199</v>
      </c>
      <c r="AX1517" s="19">
        <v>0</v>
      </c>
      <c r="AY1517" s="19">
        <v>0</v>
      </c>
      <c r="AZ1517" s="19">
        <v>0</v>
      </c>
      <c r="BA1517" s="20" t="s">
        <v>200</v>
      </c>
      <c r="BB1517" s="20" t="s">
        <v>198</v>
      </c>
      <c r="BC1517" s="28">
        <v>0</v>
      </c>
      <c r="BD1517" s="28">
        <v>0</v>
      </c>
      <c r="BE1517" s="89" t="s">
        <v>3313</v>
      </c>
      <c r="BF1517" s="89" t="s">
        <v>3314</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68000113</v>
      </c>
      <c r="D1518" s="20" t="s">
        <v>2910</v>
      </c>
      <c r="E1518" s="20" t="s">
        <v>3315</v>
      </c>
      <c r="F1518" s="19">
        <v>1</v>
      </c>
      <c r="G1518" s="19">
        <v>68000113</v>
      </c>
      <c r="H1518" s="19">
        <v>0</v>
      </c>
      <c r="I1518" s="28">
        <v>0</v>
      </c>
      <c r="J1518" s="19">
        <v>1</v>
      </c>
      <c r="K1518" s="19">
        <v>0</v>
      </c>
      <c r="L1518" s="19">
        <v>0</v>
      </c>
      <c r="M1518" s="19">
        <v>0</v>
      </c>
      <c r="N1518" s="19">
        <v>0</v>
      </c>
      <c r="O1518" s="19">
        <v>2</v>
      </c>
      <c r="P1518" s="19">
        <v>20</v>
      </c>
      <c r="Q1518" s="19">
        <v>1</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6</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v>98001104</v>
      </c>
      <c r="AU1518" s="19" t="s">
        <v>198</v>
      </c>
      <c r="AV1518" s="19"/>
      <c r="AW1518" s="20" t="s">
        <v>199</v>
      </c>
      <c r="AX1518" s="19">
        <v>0</v>
      </c>
      <c r="AY1518" s="19">
        <v>0</v>
      </c>
      <c r="AZ1518" s="19">
        <v>0</v>
      </c>
      <c r="BA1518" s="20" t="s">
        <v>200</v>
      </c>
      <c r="BB1518" s="20" t="s">
        <v>198</v>
      </c>
      <c r="BC1518" s="28">
        <v>0</v>
      </c>
      <c r="BD1518" s="28">
        <v>0</v>
      </c>
      <c r="BE1518" s="89" t="s">
        <v>3316</v>
      </c>
      <c r="BF1518" s="89" t="s">
        <v>3317</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69000001</v>
      </c>
      <c r="D1519" s="96" t="s">
        <v>3318</v>
      </c>
      <c r="E1519" s="96" t="s">
        <v>3319</v>
      </c>
      <c r="F1519" s="16">
        <v>1</v>
      </c>
      <c r="G1519" s="19">
        <v>60090002</v>
      </c>
      <c r="H1519" s="16">
        <v>0</v>
      </c>
      <c r="I1519" s="27">
        <v>0</v>
      </c>
      <c r="J1519" s="16">
        <v>1</v>
      </c>
      <c r="K1519" s="16">
        <v>0</v>
      </c>
      <c r="L1519" s="27">
        <v>0</v>
      </c>
      <c r="M1519" s="27">
        <v>0</v>
      </c>
      <c r="N1519" s="16" t="s">
        <v>3320</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6" t="s">
        <v>3321</v>
      </c>
      <c r="BF1519" s="276" t="s">
        <v>3322</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69000002</v>
      </c>
      <c r="D1520" s="20" t="s">
        <v>3323</v>
      </c>
      <c r="E1520" s="20" t="s">
        <v>3324</v>
      </c>
      <c r="F1520" s="19">
        <v>1</v>
      </c>
      <c r="G1520" s="19">
        <v>68000110</v>
      </c>
      <c r="H1520" s="19">
        <v>0</v>
      </c>
      <c r="I1520" s="28">
        <v>0</v>
      </c>
      <c r="J1520" s="16">
        <v>1</v>
      </c>
      <c r="K1520" s="19">
        <v>0</v>
      </c>
      <c r="L1520" s="19">
        <v>0</v>
      </c>
      <c r="M1520" s="19">
        <v>0</v>
      </c>
      <c r="N1520" s="19">
        <v>0</v>
      </c>
      <c r="O1520" s="19">
        <v>2</v>
      </c>
      <c r="P1520" s="19">
        <v>1</v>
      </c>
      <c r="Q1520" s="19">
        <v>0.05</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271">
        <v>69000021</v>
      </c>
      <c r="AU1520" s="19" t="s">
        <v>198</v>
      </c>
      <c r="AV1520" s="19"/>
      <c r="AW1520" s="20" t="s">
        <v>199</v>
      </c>
      <c r="AX1520" s="19">
        <v>0</v>
      </c>
      <c r="AY1520" s="19">
        <v>0</v>
      </c>
      <c r="AZ1520" s="19">
        <v>0</v>
      </c>
      <c r="BA1520" s="20" t="s">
        <v>200</v>
      </c>
      <c r="BB1520" s="20" t="s">
        <v>198</v>
      </c>
      <c r="BC1520" s="28">
        <v>0</v>
      </c>
      <c r="BD1520" s="28">
        <v>1</v>
      </c>
      <c r="BE1520" s="89" t="s">
        <v>3325</v>
      </c>
      <c r="BF1520" s="89" t="s">
        <v>3326</v>
      </c>
      <c r="BG1520" s="19">
        <v>0</v>
      </c>
      <c r="BH1520" s="17">
        <v>0</v>
      </c>
      <c r="BI1520" s="19">
        <v>0</v>
      </c>
      <c r="BJ1520" s="19">
        <v>0</v>
      </c>
      <c r="BK1520" s="19">
        <v>0</v>
      </c>
      <c r="BL1520" s="19">
        <v>0</v>
      </c>
      <c r="BM1520" s="16">
        <v>0</v>
      </c>
      <c r="BN1520" s="13">
        <v>1</v>
      </c>
      <c r="BO1520" s="13">
        <v>0</v>
      </c>
      <c r="BP1520" s="13">
        <v>0</v>
      </c>
      <c r="BQ1520" s="13">
        <v>0</v>
      </c>
      <c r="BR1520" s="13">
        <v>0</v>
      </c>
      <c r="BS1520" s="13">
        <v>0</v>
      </c>
      <c r="BT1520" s="13">
        <v>0</v>
      </c>
      <c r="BU1520" s="49">
        <v>0</v>
      </c>
      <c r="BV1520" s="49"/>
      <c r="BW1520" s="49"/>
    </row>
    <row r="1521" spans="3:75" ht="20.100000000000001" customHeight="1">
      <c r="C1521" s="19">
        <v>69000003</v>
      </c>
      <c r="D1521" s="96" t="s">
        <v>3327</v>
      </c>
      <c r="E1521" s="96" t="s">
        <v>3328</v>
      </c>
      <c r="F1521" s="16">
        <v>1</v>
      </c>
      <c r="G1521" s="19">
        <v>60090002</v>
      </c>
      <c r="H1521" s="16">
        <v>0</v>
      </c>
      <c r="I1521" s="27">
        <v>0</v>
      </c>
      <c r="J1521" s="16">
        <v>1</v>
      </c>
      <c r="K1521" s="16">
        <v>0</v>
      </c>
      <c r="L1521" s="27">
        <v>0</v>
      </c>
      <c r="M1521" s="27">
        <v>0</v>
      </c>
      <c r="N1521" s="16" t="s">
        <v>3329</v>
      </c>
      <c r="O1521" s="16">
        <v>3</v>
      </c>
      <c r="P1521" s="16">
        <v>0</v>
      </c>
      <c r="Q1521" s="16">
        <v>0</v>
      </c>
      <c r="R1521" s="16">
        <v>0</v>
      </c>
      <c r="S1521" s="13">
        <v>0</v>
      </c>
      <c r="T1521" s="16">
        <v>0</v>
      </c>
      <c r="U1521" s="17">
        <v>1</v>
      </c>
      <c r="V1521" s="16">
        <v>0</v>
      </c>
      <c r="W1521" s="27">
        <v>0</v>
      </c>
      <c r="X1521" s="16">
        <v>0</v>
      </c>
      <c r="Y1521" s="13">
        <v>0</v>
      </c>
      <c r="Z1521" s="16">
        <v>0</v>
      </c>
      <c r="AA1521" s="16">
        <v>0</v>
      </c>
      <c r="AB1521" s="16">
        <v>0</v>
      </c>
      <c r="AC1521" s="27">
        <v>0</v>
      </c>
      <c r="AD1521" s="16">
        <v>0</v>
      </c>
      <c r="AE1521" s="16">
        <v>0</v>
      </c>
      <c r="AF1521" s="16">
        <v>0</v>
      </c>
      <c r="AG1521" s="16">
        <v>0</v>
      </c>
      <c r="AH1521" s="16">
        <v>0</v>
      </c>
      <c r="AI1521" s="27">
        <v>0</v>
      </c>
      <c r="AJ1521" s="71">
        <v>0</v>
      </c>
      <c r="AK1521" s="13">
        <v>0</v>
      </c>
      <c r="AL1521" s="16">
        <v>0</v>
      </c>
      <c r="AM1521" s="34">
        <v>0</v>
      </c>
      <c r="AN1521" s="16">
        <v>0</v>
      </c>
      <c r="AO1521" s="16">
        <v>0</v>
      </c>
      <c r="AP1521" s="16">
        <v>0</v>
      </c>
      <c r="AQ1521" s="16">
        <v>0</v>
      </c>
      <c r="AR1521" s="16">
        <v>0</v>
      </c>
      <c r="AS1521" s="16">
        <v>0</v>
      </c>
      <c r="AT1521" s="13">
        <v>0</v>
      </c>
      <c r="AU1521" s="37">
        <v>0</v>
      </c>
      <c r="AV1521" s="37"/>
      <c r="AW1521" s="16">
        <v>0</v>
      </c>
      <c r="AX1521" s="27">
        <v>0</v>
      </c>
      <c r="AY1521" s="27">
        <v>0</v>
      </c>
      <c r="AZ1521" s="27">
        <v>0</v>
      </c>
      <c r="BA1521" s="20" t="s">
        <v>200</v>
      </c>
      <c r="BB1521" s="83">
        <v>0</v>
      </c>
      <c r="BC1521" s="28">
        <v>0</v>
      </c>
      <c r="BD1521" s="28">
        <v>1</v>
      </c>
      <c r="BE1521" s="276" t="s">
        <v>3321</v>
      </c>
      <c r="BF1521" s="276" t="s">
        <v>3322</v>
      </c>
      <c r="BG1521" s="16">
        <v>0</v>
      </c>
      <c r="BH1521" s="16">
        <v>0</v>
      </c>
      <c r="BI1521" s="19">
        <v>0</v>
      </c>
      <c r="BJ1521" s="16">
        <v>0</v>
      </c>
      <c r="BK1521" s="16">
        <v>0</v>
      </c>
      <c r="BL1521" s="34">
        <v>0</v>
      </c>
      <c r="BM1521" s="16">
        <v>0</v>
      </c>
      <c r="BN1521" s="13">
        <v>0</v>
      </c>
      <c r="BO1521" s="13">
        <v>0</v>
      </c>
      <c r="BP1521" s="13">
        <v>0</v>
      </c>
      <c r="BQ1521" s="13">
        <v>0</v>
      </c>
      <c r="BR1521" s="13">
        <v>0</v>
      </c>
      <c r="BS1521" s="13">
        <v>0</v>
      </c>
      <c r="BT1521" s="13">
        <v>0</v>
      </c>
      <c r="BU1521" s="49">
        <v>0</v>
      </c>
      <c r="BV1521" s="49"/>
      <c r="BW1521" s="49"/>
    </row>
    <row r="1522" spans="3:75" ht="20.100000000000001" customHeight="1">
      <c r="C1522" s="19">
        <v>69000004</v>
      </c>
      <c r="D1522" s="20" t="s">
        <v>3330</v>
      </c>
      <c r="E1522" s="20" t="s">
        <v>3331</v>
      </c>
      <c r="F1522" s="19">
        <v>1</v>
      </c>
      <c r="G1522" s="19">
        <v>68000110</v>
      </c>
      <c r="H1522" s="19">
        <v>0</v>
      </c>
      <c r="I1522" s="28">
        <v>0</v>
      </c>
      <c r="J1522" s="16">
        <v>1</v>
      </c>
      <c r="K1522" s="19">
        <v>0</v>
      </c>
      <c r="L1522" s="19">
        <v>0</v>
      </c>
      <c r="M1522" s="19">
        <v>0</v>
      </c>
      <c r="N1522" s="19">
        <v>0</v>
      </c>
      <c r="O1522" s="19">
        <v>2</v>
      </c>
      <c r="P1522" s="19">
        <v>3</v>
      </c>
      <c r="Q1522" s="19">
        <v>0.2</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69000041</v>
      </c>
      <c r="AU1522" s="19" t="s">
        <v>198</v>
      </c>
      <c r="AV1522" s="19"/>
      <c r="AW1522" s="20" t="s">
        <v>199</v>
      </c>
      <c r="AX1522" s="19">
        <v>0</v>
      </c>
      <c r="AY1522" s="19">
        <v>0</v>
      </c>
      <c r="AZ1522" s="19">
        <v>0</v>
      </c>
      <c r="BA1522" s="20" t="s">
        <v>200</v>
      </c>
      <c r="BB1522" s="20" t="s">
        <v>198</v>
      </c>
      <c r="BC1522" s="28">
        <v>0</v>
      </c>
      <c r="BD1522" s="28">
        <v>1</v>
      </c>
      <c r="BE1522" s="44" t="s">
        <v>3332</v>
      </c>
      <c r="BF1522" s="44" t="s">
        <v>3333</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69000005</v>
      </c>
      <c r="D1523" s="96" t="s">
        <v>3334</v>
      </c>
      <c r="E1523" s="96" t="s">
        <v>3335</v>
      </c>
      <c r="F1523" s="16">
        <v>1</v>
      </c>
      <c r="G1523" s="19">
        <v>60090002</v>
      </c>
      <c r="H1523" s="16">
        <v>0</v>
      </c>
      <c r="I1523" s="27">
        <v>0</v>
      </c>
      <c r="J1523" s="16">
        <v>1</v>
      </c>
      <c r="K1523" s="16">
        <v>0</v>
      </c>
      <c r="L1523" s="27">
        <v>0</v>
      </c>
      <c r="M1523" s="27">
        <v>0</v>
      </c>
      <c r="N1523" s="16" t="s">
        <v>3336</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3321</v>
      </c>
      <c r="BF1523" s="276" t="s">
        <v>3322</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69000006</v>
      </c>
      <c r="D1524" s="14" t="s">
        <v>3337</v>
      </c>
      <c r="E1524" s="14" t="s">
        <v>3338</v>
      </c>
      <c r="F1524" s="19">
        <v>1</v>
      </c>
      <c r="G1524" s="19">
        <v>66001007</v>
      </c>
      <c r="H1524" s="13">
        <v>0</v>
      </c>
      <c r="I1524" s="13">
        <v>0</v>
      </c>
      <c r="J1524" s="16">
        <v>1</v>
      </c>
      <c r="K1524" s="19">
        <v>0</v>
      </c>
      <c r="L1524" s="13">
        <v>0</v>
      </c>
      <c r="M1524" s="13">
        <v>0</v>
      </c>
      <c r="N1524" s="13">
        <v>0</v>
      </c>
      <c r="O1524" s="13">
        <v>2</v>
      </c>
      <c r="P1524" s="13">
        <v>3</v>
      </c>
      <c r="Q1524" s="13">
        <v>0.05</v>
      </c>
      <c r="R1524" s="13">
        <v>0</v>
      </c>
      <c r="S1524" s="13">
        <v>0</v>
      </c>
      <c r="T1524" s="13">
        <v>0</v>
      </c>
      <c r="U1524" s="17">
        <v>1</v>
      </c>
      <c r="V1524" s="13">
        <v>2</v>
      </c>
      <c r="W1524" s="13">
        <v>1000</v>
      </c>
      <c r="X1524" s="13">
        <v>0</v>
      </c>
      <c r="Y1524" s="13">
        <v>0</v>
      </c>
      <c r="Z1524" s="13">
        <v>0</v>
      </c>
      <c r="AA1524" s="13">
        <v>0</v>
      </c>
      <c r="AB1524" s="13">
        <v>0</v>
      </c>
      <c r="AC1524" s="13">
        <v>0</v>
      </c>
      <c r="AD1524" s="19">
        <v>0</v>
      </c>
      <c r="AE1524" s="13">
        <v>0</v>
      </c>
      <c r="AF1524" s="13">
        <v>15</v>
      </c>
      <c r="AG1524" s="13">
        <v>0</v>
      </c>
      <c r="AH1524" s="13">
        <v>0</v>
      </c>
      <c r="AI1524" s="13">
        <v>7</v>
      </c>
      <c r="AJ1524" s="13">
        <v>0</v>
      </c>
      <c r="AK1524" s="13">
        <v>0</v>
      </c>
      <c r="AL1524" s="13">
        <v>6</v>
      </c>
      <c r="AM1524" s="13">
        <v>0</v>
      </c>
      <c r="AN1524" s="13">
        <v>0</v>
      </c>
      <c r="AO1524" s="13">
        <v>0</v>
      </c>
      <c r="AP1524" s="13">
        <v>0.5</v>
      </c>
      <c r="AQ1524" s="13">
        <v>1000</v>
      </c>
      <c r="AR1524" s="13">
        <v>0</v>
      </c>
      <c r="AS1524" s="13">
        <v>0</v>
      </c>
      <c r="AT1524" s="13">
        <v>0</v>
      </c>
      <c r="AU1524" s="13" t="s">
        <v>198</v>
      </c>
      <c r="AV1524" s="13"/>
      <c r="AW1524" s="14" t="s">
        <v>256</v>
      </c>
      <c r="AX1524" s="13" t="s">
        <v>1672</v>
      </c>
      <c r="AY1524" s="13" t="s">
        <v>198</v>
      </c>
      <c r="AZ1524" s="13" t="s">
        <v>1906</v>
      </c>
      <c r="BA1524" s="14" t="s">
        <v>200</v>
      </c>
      <c r="BB1524" s="13">
        <v>0</v>
      </c>
      <c r="BC1524" s="28">
        <v>0</v>
      </c>
      <c r="BD1524" s="28">
        <v>1</v>
      </c>
      <c r="BE1524" s="44" t="s">
        <v>3339</v>
      </c>
      <c r="BF1524" s="44" t="s">
        <v>3340</v>
      </c>
      <c r="BG1524" s="13">
        <v>0</v>
      </c>
      <c r="BH1524" s="17">
        <v>0</v>
      </c>
      <c r="BI1524" s="13">
        <v>0</v>
      </c>
      <c r="BJ1524" s="13">
        <v>0</v>
      </c>
      <c r="BK1524" s="13">
        <v>0</v>
      </c>
      <c r="BL1524" s="13">
        <v>0</v>
      </c>
      <c r="BM1524" s="16">
        <v>0</v>
      </c>
      <c r="BN1524" s="13">
        <v>1</v>
      </c>
      <c r="BO1524" s="13">
        <v>0</v>
      </c>
      <c r="BP1524" s="13">
        <v>0</v>
      </c>
      <c r="BQ1524" s="13">
        <v>0</v>
      </c>
      <c r="BR1524" s="13">
        <v>0</v>
      </c>
      <c r="BS1524" s="13">
        <v>0</v>
      </c>
      <c r="BT1524" s="13">
        <v>0</v>
      </c>
      <c r="BU1524" s="49">
        <v>0</v>
      </c>
      <c r="BV1524" s="49"/>
      <c r="BW1524" s="49"/>
    </row>
    <row r="1525" spans="3:75" ht="20.100000000000001" customHeight="1">
      <c r="C1525" s="19">
        <v>69000007</v>
      </c>
      <c r="D1525" s="14" t="s">
        <v>3341</v>
      </c>
      <c r="E1525" s="14" t="s">
        <v>3342</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69000071</v>
      </c>
      <c r="AU1525" s="19" t="s">
        <v>198</v>
      </c>
      <c r="AV1525" s="19"/>
      <c r="AW1525" s="20" t="s">
        <v>199</v>
      </c>
      <c r="AX1525" s="19">
        <v>0</v>
      </c>
      <c r="AY1525" s="19">
        <v>0</v>
      </c>
      <c r="AZ1525" s="19">
        <v>0</v>
      </c>
      <c r="BA1525" s="20" t="s">
        <v>200</v>
      </c>
      <c r="BB1525" s="20" t="s">
        <v>198</v>
      </c>
      <c r="BC1525" s="28">
        <v>0</v>
      </c>
      <c r="BD1525" s="28">
        <v>1</v>
      </c>
      <c r="BE1525" s="44" t="s">
        <v>3343</v>
      </c>
      <c r="BF1525" s="44" t="s">
        <v>3344</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69000008</v>
      </c>
      <c r="D1526" s="96" t="s">
        <v>3345</v>
      </c>
      <c r="E1526" s="96" t="s">
        <v>3346</v>
      </c>
      <c r="F1526" s="16">
        <v>1</v>
      </c>
      <c r="G1526" s="19">
        <v>60090002</v>
      </c>
      <c r="H1526" s="16">
        <v>0</v>
      </c>
      <c r="I1526" s="27">
        <v>0</v>
      </c>
      <c r="J1526" s="16">
        <v>1</v>
      </c>
      <c r="K1526" s="16">
        <v>0</v>
      </c>
      <c r="L1526" s="27">
        <v>0</v>
      </c>
      <c r="M1526" s="27">
        <v>0</v>
      </c>
      <c r="N1526" s="16" t="s">
        <v>3347</v>
      </c>
      <c r="O1526" s="16">
        <v>3</v>
      </c>
      <c r="P1526" s="16">
        <v>0</v>
      </c>
      <c r="Q1526" s="16">
        <v>0</v>
      </c>
      <c r="R1526" s="16">
        <v>0</v>
      </c>
      <c r="S1526" s="13">
        <v>0</v>
      </c>
      <c r="T1526" s="16">
        <v>0</v>
      </c>
      <c r="U1526" s="17">
        <v>1</v>
      </c>
      <c r="V1526" s="16">
        <v>0</v>
      </c>
      <c r="W1526" s="27">
        <v>0</v>
      </c>
      <c r="X1526" s="16">
        <v>0</v>
      </c>
      <c r="Y1526" s="13">
        <v>0</v>
      </c>
      <c r="Z1526" s="16">
        <v>0</v>
      </c>
      <c r="AA1526" s="16">
        <v>0</v>
      </c>
      <c r="AB1526" s="16">
        <v>0</v>
      </c>
      <c r="AC1526" s="27">
        <v>0</v>
      </c>
      <c r="AD1526" s="16">
        <v>0</v>
      </c>
      <c r="AE1526" s="16">
        <v>0</v>
      </c>
      <c r="AF1526" s="16">
        <v>0</v>
      </c>
      <c r="AG1526" s="16">
        <v>0</v>
      </c>
      <c r="AH1526" s="16">
        <v>0</v>
      </c>
      <c r="AI1526" s="27">
        <v>0</v>
      </c>
      <c r="AJ1526" s="71">
        <v>0</v>
      </c>
      <c r="AK1526" s="13">
        <v>0</v>
      </c>
      <c r="AL1526" s="16">
        <v>0</v>
      </c>
      <c r="AM1526" s="34">
        <v>0</v>
      </c>
      <c r="AN1526" s="16">
        <v>0</v>
      </c>
      <c r="AO1526" s="16">
        <v>0</v>
      </c>
      <c r="AP1526" s="16">
        <v>0</v>
      </c>
      <c r="AQ1526" s="16">
        <v>0</v>
      </c>
      <c r="AR1526" s="16">
        <v>0</v>
      </c>
      <c r="AS1526" s="16">
        <v>0</v>
      </c>
      <c r="AT1526" s="13">
        <v>0</v>
      </c>
      <c r="AU1526" s="37">
        <v>0</v>
      </c>
      <c r="AV1526" s="37"/>
      <c r="AW1526" s="16">
        <v>0</v>
      </c>
      <c r="AX1526" s="27">
        <v>0</v>
      </c>
      <c r="AY1526" s="27">
        <v>0</v>
      </c>
      <c r="AZ1526" s="27">
        <v>0</v>
      </c>
      <c r="BA1526" s="20" t="s">
        <v>200</v>
      </c>
      <c r="BB1526" s="83">
        <v>0</v>
      </c>
      <c r="BC1526" s="28">
        <v>0</v>
      </c>
      <c r="BD1526" s="28">
        <v>1</v>
      </c>
      <c r="BE1526" s="276" t="s">
        <v>3321</v>
      </c>
      <c r="BF1526" s="276" t="s">
        <v>3322</v>
      </c>
      <c r="BG1526" s="16">
        <v>0</v>
      </c>
      <c r="BH1526" s="16">
        <v>0</v>
      </c>
      <c r="BI1526" s="19">
        <v>0</v>
      </c>
      <c r="BJ1526" s="16">
        <v>0</v>
      </c>
      <c r="BK1526" s="16">
        <v>0</v>
      </c>
      <c r="BL1526" s="34">
        <v>0</v>
      </c>
      <c r="BM1526" s="16">
        <v>0</v>
      </c>
      <c r="BN1526" s="13">
        <v>0</v>
      </c>
      <c r="BO1526" s="13">
        <v>0</v>
      </c>
      <c r="BP1526" s="13">
        <v>0</v>
      </c>
      <c r="BQ1526" s="13">
        <v>0</v>
      </c>
      <c r="BR1526" s="13">
        <v>0</v>
      </c>
      <c r="BS1526" s="13">
        <v>0</v>
      </c>
      <c r="BT1526" s="13">
        <v>0</v>
      </c>
      <c r="BU1526" s="49">
        <v>0</v>
      </c>
      <c r="BV1526" s="49"/>
      <c r="BW1526" s="49"/>
    </row>
    <row r="1527" spans="3:75" ht="20.100000000000001" customHeight="1">
      <c r="C1527" s="19">
        <v>69000009</v>
      </c>
      <c r="D1527" s="96" t="s">
        <v>3348</v>
      </c>
      <c r="E1527" s="96" t="s">
        <v>3349</v>
      </c>
      <c r="F1527" s="16">
        <v>1</v>
      </c>
      <c r="G1527" s="19">
        <v>60090002</v>
      </c>
      <c r="H1527" s="16">
        <v>0</v>
      </c>
      <c r="I1527" s="27">
        <v>0</v>
      </c>
      <c r="J1527" s="16">
        <v>1</v>
      </c>
      <c r="K1527" s="16">
        <v>0</v>
      </c>
      <c r="L1527" s="27">
        <v>0</v>
      </c>
      <c r="M1527" s="27">
        <v>0</v>
      </c>
      <c r="N1527" s="16" t="s">
        <v>3347</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6" t="s">
        <v>3321</v>
      </c>
      <c r="BF1527" s="276" t="s">
        <v>3322</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spans="3:75" ht="20.100000000000001" customHeight="1">
      <c r="C1528" s="19">
        <v>69000010</v>
      </c>
      <c r="D1528" s="20" t="s">
        <v>3350</v>
      </c>
      <c r="E1528" s="20" t="s">
        <v>3351</v>
      </c>
      <c r="F1528" s="19">
        <v>1</v>
      </c>
      <c r="G1528" s="19">
        <v>68000110</v>
      </c>
      <c r="H1528" s="19">
        <v>0</v>
      </c>
      <c r="I1528" s="28">
        <v>0</v>
      </c>
      <c r="J1528" s="16">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271">
        <v>69000101</v>
      </c>
      <c r="AU1528" s="19" t="s">
        <v>198</v>
      </c>
      <c r="AV1528" s="19"/>
      <c r="AW1528" s="20" t="s">
        <v>199</v>
      </c>
      <c r="AX1528" s="19">
        <v>0</v>
      </c>
      <c r="AY1528" s="19">
        <v>0</v>
      </c>
      <c r="AZ1528" s="19">
        <v>0</v>
      </c>
      <c r="BA1528" s="20" t="s">
        <v>200</v>
      </c>
      <c r="BB1528" s="20" t="s">
        <v>198</v>
      </c>
      <c r="BC1528" s="28">
        <v>0</v>
      </c>
      <c r="BD1528" s="28">
        <v>1</v>
      </c>
      <c r="BE1528" s="89" t="s">
        <v>3325</v>
      </c>
      <c r="BF1528" s="89" t="s">
        <v>3326</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spans="3:75" ht="20.100000000000001" customHeight="1">
      <c r="C1529" s="19">
        <v>69000011</v>
      </c>
      <c r="D1529" s="14" t="s">
        <v>3352</v>
      </c>
      <c r="E1529" s="14" t="s">
        <v>3353</v>
      </c>
      <c r="F1529" s="19">
        <v>1</v>
      </c>
      <c r="G1529" s="19">
        <v>68000110</v>
      </c>
      <c r="H1529" s="19">
        <v>0</v>
      </c>
      <c r="I1529" s="28">
        <v>0</v>
      </c>
      <c r="J1529" s="16">
        <v>1</v>
      </c>
      <c r="K1529" s="19">
        <v>0</v>
      </c>
      <c r="L1529" s="19">
        <v>0</v>
      </c>
      <c r="M1529" s="19">
        <v>0</v>
      </c>
      <c r="N1529" s="19">
        <v>0</v>
      </c>
      <c r="O1529" s="19">
        <v>2</v>
      </c>
      <c r="P1529" s="19">
        <v>1</v>
      </c>
      <c r="Q1529" s="19">
        <v>0.05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18</v>
      </c>
      <c r="AG1529" s="19">
        <v>0</v>
      </c>
      <c r="AH1529" s="19">
        <v>0</v>
      </c>
      <c r="AI1529" s="13">
        <v>2</v>
      </c>
      <c r="AJ1529" s="13">
        <v>0</v>
      </c>
      <c r="AK1529" s="13">
        <v>0</v>
      </c>
      <c r="AL1529" s="13">
        <v>0</v>
      </c>
      <c r="AM1529" s="19">
        <v>0</v>
      </c>
      <c r="AN1529" s="19">
        <v>0</v>
      </c>
      <c r="AO1529" s="19">
        <v>0</v>
      </c>
      <c r="AP1529" s="19">
        <v>0</v>
      </c>
      <c r="AQ1529" s="19">
        <v>1000</v>
      </c>
      <c r="AR1529" s="19">
        <v>0</v>
      </c>
      <c r="AS1529" s="19">
        <v>0</v>
      </c>
      <c r="AT1529" s="271">
        <v>69000111</v>
      </c>
      <c r="AU1529" s="19" t="s">
        <v>198</v>
      </c>
      <c r="AV1529" s="19"/>
      <c r="AW1529" s="20" t="s">
        <v>199</v>
      </c>
      <c r="AX1529" s="19">
        <v>0</v>
      </c>
      <c r="AY1529" s="19">
        <v>0</v>
      </c>
      <c r="AZ1529" s="19">
        <v>0</v>
      </c>
      <c r="BA1529" s="20" t="s">
        <v>200</v>
      </c>
      <c r="BB1529" s="20" t="s">
        <v>198</v>
      </c>
      <c r="BC1529" s="28">
        <v>0</v>
      </c>
      <c r="BD1529" s="28">
        <v>1</v>
      </c>
      <c r="BE1529" s="44" t="s">
        <v>3343</v>
      </c>
      <c r="BF1529" s="44" t="s">
        <v>3344</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spans="3:75" ht="20.100000000000001" customHeight="1">
      <c r="C1530" s="19">
        <v>69000012</v>
      </c>
      <c r="D1530" s="14" t="s">
        <v>3354</v>
      </c>
      <c r="E1530" s="14" t="s">
        <v>3355</v>
      </c>
      <c r="F1530" s="19">
        <v>1</v>
      </c>
      <c r="G1530" s="19">
        <v>66001007</v>
      </c>
      <c r="H1530" s="13">
        <v>0</v>
      </c>
      <c r="I1530" s="13">
        <v>0</v>
      </c>
      <c r="J1530" s="19">
        <v>1</v>
      </c>
      <c r="K1530" s="19">
        <v>0</v>
      </c>
      <c r="L1530" s="13">
        <v>0</v>
      </c>
      <c r="M1530" s="13">
        <v>0</v>
      </c>
      <c r="N1530" s="13">
        <v>0</v>
      </c>
      <c r="O1530" s="13">
        <v>2</v>
      </c>
      <c r="P1530" s="13">
        <v>3</v>
      </c>
      <c r="Q1530" s="13">
        <v>0.15</v>
      </c>
      <c r="R1530" s="13">
        <v>0</v>
      </c>
      <c r="S1530" s="13">
        <v>0</v>
      </c>
      <c r="T1530" s="13">
        <v>0</v>
      </c>
      <c r="U1530" s="17">
        <v>1</v>
      </c>
      <c r="V1530" s="13">
        <v>2</v>
      </c>
      <c r="W1530" s="13">
        <v>0</v>
      </c>
      <c r="X1530" s="13">
        <v>0</v>
      </c>
      <c r="Y1530" s="13">
        <v>0</v>
      </c>
      <c r="Z1530" s="13">
        <v>0</v>
      </c>
      <c r="AA1530" s="13">
        <v>0</v>
      </c>
      <c r="AB1530" s="13">
        <v>0</v>
      </c>
      <c r="AC1530" s="13">
        <v>0</v>
      </c>
      <c r="AD1530" s="19">
        <v>0</v>
      </c>
      <c r="AE1530" s="13">
        <v>0</v>
      </c>
      <c r="AF1530" s="13">
        <v>15</v>
      </c>
      <c r="AG1530" s="13">
        <v>0</v>
      </c>
      <c r="AH1530" s="13">
        <v>0</v>
      </c>
      <c r="AI1530" s="13">
        <v>7</v>
      </c>
      <c r="AJ1530" s="13">
        <v>0</v>
      </c>
      <c r="AK1530" s="13">
        <v>0</v>
      </c>
      <c r="AL1530" s="13">
        <v>6</v>
      </c>
      <c r="AM1530" s="13">
        <v>0</v>
      </c>
      <c r="AN1530" s="13">
        <v>0</v>
      </c>
      <c r="AO1530" s="13">
        <v>0</v>
      </c>
      <c r="AP1530" s="13">
        <v>0.5</v>
      </c>
      <c r="AQ1530" s="13">
        <v>1000</v>
      </c>
      <c r="AR1530" s="13">
        <v>0</v>
      </c>
      <c r="AS1530" s="13">
        <v>0</v>
      </c>
      <c r="AT1530" s="271">
        <v>0</v>
      </c>
      <c r="AU1530" s="13">
        <v>69000121</v>
      </c>
      <c r="AV1530" s="13"/>
      <c r="AW1530" s="14" t="s">
        <v>256</v>
      </c>
      <c r="AX1530" s="13" t="s">
        <v>1672</v>
      </c>
      <c r="AY1530" s="13" t="s">
        <v>198</v>
      </c>
      <c r="AZ1530" s="13" t="s">
        <v>1906</v>
      </c>
      <c r="BA1530" s="14" t="s">
        <v>200</v>
      </c>
      <c r="BB1530" s="13">
        <v>0</v>
      </c>
      <c r="BC1530" s="28">
        <v>0</v>
      </c>
      <c r="BD1530" s="28">
        <v>1</v>
      </c>
      <c r="BE1530" s="44" t="s">
        <v>3356</v>
      </c>
      <c r="BF1530" s="44" t="s">
        <v>3357</v>
      </c>
      <c r="BG1530" s="13">
        <v>0</v>
      </c>
      <c r="BH1530" s="17">
        <v>0</v>
      </c>
      <c r="BI1530" s="13">
        <v>0</v>
      </c>
      <c r="BJ1530" s="13">
        <v>0</v>
      </c>
      <c r="BK1530" s="13">
        <v>0</v>
      </c>
      <c r="BL1530" s="13">
        <v>0</v>
      </c>
      <c r="BM1530" s="16">
        <v>0</v>
      </c>
      <c r="BN1530" s="13">
        <v>1</v>
      </c>
      <c r="BO1530" s="13">
        <v>0</v>
      </c>
      <c r="BP1530" s="13">
        <v>0</v>
      </c>
      <c r="BQ1530" s="13">
        <v>0</v>
      </c>
      <c r="BR1530" s="13">
        <v>0</v>
      </c>
      <c r="BS1530" s="13">
        <v>0</v>
      </c>
      <c r="BT1530" s="13">
        <v>0</v>
      </c>
      <c r="BU1530" s="49">
        <v>0</v>
      </c>
      <c r="BV1530" s="49"/>
      <c r="BW1530" s="49"/>
    </row>
    <row r="1531" spans="3:75" ht="20.100000000000001" customHeight="1">
      <c r="C1531" s="19">
        <v>69000013</v>
      </c>
      <c r="D1531" s="268" t="s">
        <v>3358</v>
      </c>
      <c r="E1531" s="268" t="s">
        <v>3359</v>
      </c>
      <c r="F1531" s="16">
        <v>1</v>
      </c>
      <c r="G1531" s="19">
        <v>60090002</v>
      </c>
      <c r="H1531" s="16">
        <v>0</v>
      </c>
      <c r="I1531" s="27">
        <v>0</v>
      </c>
      <c r="J1531" s="16">
        <v>1</v>
      </c>
      <c r="K1531" s="16">
        <v>0</v>
      </c>
      <c r="L1531" s="27">
        <v>0</v>
      </c>
      <c r="M1531" s="27">
        <v>0</v>
      </c>
      <c r="N1531" s="16" t="s">
        <v>3360</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3321</v>
      </c>
      <c r="BF1531" s="276" t="s">
        <v>3322</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69000014</v>
      </c>
      <c r="D1532" s="268" t="s">
        <v>3361</v>
      </c>
      <c r="E1532" s="268" t="s">
        <v>3362</v>
      </c>
      <c r="F1532" s="16">
        <v>1</v>
      </c>
      <c r="G1532" s="19">
        <v>60090002</v>
      </c>
      <c r="H1532" s="16">
        <v>0</v>
      </c>
      <c r="I1532" s="27">
        <v>0</v>
      </c>
      <c r="J1532" s="16">
        <v>1</v>
      </c>
      <c r="K1532" s="16">
        <v>0</v>
      </c>
      <c r="L1532" s="27">
        <v>0</v>
      </c>
      <c r="M1532" s="27">
        <v>0</v>
      </c>
      <c r="N1532" s="16" t="s">
        <v>3363</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3321</v>
      </c>
      <c r="BF1532" s="276" t="s">
        <v>3322</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19">
        <v>69000015</v>
      </c>
      <c r="D1533" s="268" t="s">
        <v>3364</v>
      </c>
      <c r="E1533" s="268" t="s">
        <v>3365</v>
      </c>
      <c r="F1533" s="16">
        <v>1</v>
      </c>
      <c r="G1533" s="19">
        <v>60090002</v>
      </c>
      <c r="H1533" s="16">
        <v>0</v>
      </c>
      <c r="I1533" s="27">
        <v>0</v>
      </c>
      <c r="J1533" s="16">
        <v>1</v>
      </c>
      <c r="K1533" s="16">
        <v>0</v>
      </c>
      <c r="L1533" s="27">
        <v>0</v>
      </c>
      <c r="M1533" s="27">
        <v>0</v>
      </c>
      <c r="N1533" s="16" t="s">
        <v>3366</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76" t="s">
        <v>3321</v>
      </c>
      <c r="BF1533" s="276" t="s">
        <v>3322</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69000016</v>
      </c>
      <c r="D1534" s="268" t="s">
        <v>3367</v>
      </c>
      <c r="E1534" s="268" t="s">
        <v>3368</v>
      </c>
      <c r="F1534" s="16">
        <v>1</v>
      </c>
      <c r="G1534" s="19">
        <v>60090002</v>
      </c>
      <c r="H1534" s="16">
        <v>0</v>
      </c>
      <c r="I1534" s="27">
        <v>0</v>
      </c>
      <c r="J1534" s="16">
        <v>1</v>
      </c>
      <c r="K1534" s="16">
        <v>0</v>
      </c>
      <c r="L1534" s="27">
        <v>0</v>
      </c>
      <c r="M1534" s="27">
        <v>0</v>
      </c>
      <c r="N1534" s="16" t="s">
        <v>3369</v>
      </c>
      <c r="O1534" s="16">
        <v>3</v>
      </c>
      <c r="P1534" s="16">
        <v>0</v>
      </c>
      <c r="Q1534" s="16">
        <v>0</v>
      </c>
      <c r="R1534" s="16">
        <v>0</v>
      </c>
      <c r="S1534" s="13">
        <v>0</v>
      </c>
      <c r="T1534" s="16">
        <v>0</v>
      </c>
      <c r="U1534" s="17">
        <v>1</v>
      </c>
      <c r="V1534" s="16">
        <v>0</v>
      </c>
      <c r="W1534" s="27">
        <v>0</v>
      </c>
      <c r="X1534" s="16">
        <v>0</v>
      </c>
      <c r="Y1534" s="13">
        <v>0</v>
      </c>
      <c r="Z1534" s="16">
        <v>0</v>
      </c>
      <c r="AA1534" s="16">
        <v>0</v>
      </c>
      <c r="AB1534" s="16">
        <v>0</v>
      </c>
      <c r="AC1534" s="27">
        <v>0</v>
      </c>
      <c r="AD1534" s="16">
        <v>0</v>
      </c>
      <c r="AE1534" s="16">
        <v>0</v>
      </c>
      <c r="AF1534" s="16">
        <v>0</v>
      </c>
      <c r="AG1534" s="16">
        <v>0</v>
      </c>
      <c r="AH1534" s="16">
        <v>0</v>
      </c>
      <c r="AI1534" s="27">
        <v>0</v>
      </c>
      <c r="AJ1534" s="71">
        <v>0</v>
      </c>
      <c r="AK1534" s="13">
        <v>0</v>
      </c>
      <c r="AL1534" s="16">
        <v>0</v>
      </c>
      <c r="AM1534" s="34">
        <v>0</v>
      </c>
      <c r="AN1534" s="16">
        <v>0</v>
      </c>
      <c r="AO1534" s="16">
        <v>0</v>
      </c>
      <c r="AP1534" s="16">
        <v>0</v>
      </c>
      <c r="AQ1534" s="16">
        <v>0</v>
      </c>
      <c r="AR1534" s="16">
        <v>0</v>
      </c>
      <c r="AS1534" s="16">
        <v>0</v>
      </c>
      <c r="AT1534" s="13">
        <v>0</v>
      </c>
      <c r="AU1534" s="37">
        <v>0</v>
      </c>
      <c r="AV1534" s="37"/>
      <c r="AW1534" s="16">
        <v>0</v>
      </c>
      <c r="AX1534" s="27">
        <v>0</v>
      </c>
      <c r="AY1534" s="27">
        <v>0</v>
      </c>
      <c r="AZ1534" s="27">
        <v>0</v>
      </c>
      <c r="BA1534" s="20" t="s">
        <v>200</v>
      </c>
      <c r="BB1534" s="83">
        <v>0</v>
      </c>
      <c r="BC1534" s="28">
        <v>0</v>
      </c>
      <c r="BD1534" s="28">
        <v>1</v>
      </c>
      <c r="BE1534" s="276" t="s">
        <v>3321</v>
      </c>
      <c r="BF1534" s="276" t="s">
        <v>3322</v>
      </c>
      <c r="BG1534" s="16">
        <v>0</v>
      </c>
      <c r="BH1534" s="16">
        <v>0</v>
      </c>
      <c r="BI1534" s="19">
        <v>0</v>
      </c>
      <c r="BJ1534" s="16">
        <v>0</v>
      </c>
      <c r="BK1534" s="16">
        <v>0</v>
      </c>
      <c r="BL1534" s="3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69000017</v>
      </c>
      <c r="D1535" s="268" t="s">
        <v>3370</v>
      </c>
      <c r="E1535" s="268" t="s">
        <v>3371</v>
      </c>
      <c r="F1535" s="16">
        <v>1</v>
      </c>
      <c r="G1535" s="19">
        <v>60090002</v>
      </c>
      <c r="H1535" s="16">
        <v>0</v>
      </c>
      <c r="I1535" s="27">
        <v>0</v>
      </c>
      <c r="J1535" s="16">
        <v>1</v>
      </c>
      <c r="K1535" s="16">
        <v>0</v>
      </c>
      <c r="L1535" s="27">
        <v>0</v>
      </c>
      <c r="M1535" s="27">
        <v>0</v>
      </c>
      <c r="N1535" s="16" t="s">
        <v>3372</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76" t="s">
        <v>3321</v>
      </c>
      <c r="BF1535" s="276" t="s">
        <v>3322</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66">
        <v>69000018</v>
      </c>
      <c r="D1536" s="269" t="s">
        <v>3373</v>
      </c>
      <c r="E1536" s="269" t="s">
        <v>3374</v>
      </c>
      <c r="F1536" s="95">
        <v>1</v>
      </c>
      <c r="G1536" s="66">
        <v>60090002</v>
      </c>
      <c r="H1536" s="95">
        <v>0</v>
      </c>
      <c r="I1536" s="127">
        <v>0</v>
      </c>
      <c r="J1536" s="95">
        <v>1</v>
      </c>
      <c r="K1536" s="95">
        <v>0</v>
      </c>
      <c r="L1536" s="127">
        <v>0</v>
      </c>
      <c r="M1536" s="127">
        <v>0</v>
      </c>
      <c r="N1536" s="95" t="s">
        <v>3375</v>
      </c>
      <c r="O1536" s="95">
        <v>3</v>
      </c>
      <c r="P1536" s="95">
        <v>0</v>
      </c>
      <c r="Q1536" s="95">
        <v>0</v>
      </c>
      <c r="R1536" s="95">
        <v>0</v>
      </c>
      <c r="S1536" s="70">
        <v>0</v>
      </c>
      <c r="T1536" s="95">
        <v>0</v>
      </c>
      <c r="U1536" s="62">
        <v>1</v>
      </c>
      <c r="V1536" s="95">
        <v>0</v>
      </c>
      <c r="W1536" s="127">
        <v>0</v>
      </c>
      <c r="X1536" s="95">
        <v>0</v>
      </c>
      <c r="Y1536" s="13">
        <v>0</v>
      </c>
      <c r="Z1536" s="95">
        <v>0</v>
      </c>
      <c r="AA1536" s="95">
        <v>0</v>
      </c>
      <c r="AB1536" s="95">
        <v>0</v>
      </c>
      <c r="AC1536" s="127">
        <v>0</v>
      </c>
      <c r="AD1536" s="95">
        <v>0</v>
      </c>
      <c r="AE1536" s="95">
        <v>0</v>
      </c>
      <c r="AF1536" s="95">
        <v>0</v>
      </c>
      <c r="AG1536" s="95">
        <v>0</v>
      </c>
      <c r="AH1536" s="95">
        <v>0</v>
      </c>
      <c r="AI1536" s="127">
        <v>0</v>
      </c>
      <c r="AJ1536" s="128">
        <v>0</v>
      </c>
      <c r="AK1536" s="70">
        <v>0</v>
      </c>
      <c r="AL1536" s="95">
        <v>0</v>
      </c>
      <c r="AM1536" s="129">
        <v>0</v>
      </c>
      <c r="AN1536" s="95">
        <v>0</v>
      </c>
      <c r="AO1536" s="95">
        <v>0</v>
      </c>
      <c r="AP1536" s="95">
        <v>0</v>
      </c>
      <c r="AQ1536" s="95">
        <v>0</v>
      </c>
      <c r="AR1536" s="95">
        <v>0</v>
      </c>
      <c r="AS1536" s="95">
        <v>0</v>
      </c>
      <c r="AT1536" s="70">
        <v>0</v>
      </c>
      <c r="AU1536" s="272">
        <v>0</v>
      </c>
      <c r="AV1536" s="272"/>
      <c r="AW1536" s="95">
        <v>0</v>
      </c>
      <c r="AX1536" s="127">
        <v>0</v>
      </c>
      <c r="AY1536" s="127">
        <v>0</v>
      </c>
      <c r="AZ1536" s="127">
        <v>0</v>
      </c>
      <c r="BA1536" s="65" t="s">
        <v>200</v>
      </c>
      <c r="BB1536" s="274">
        <v>0</v>
      </c>
      <c r="BC1536" s="68">
        <v>0</v>
      </c>
      <c r="BD1536" s="68">
        <v>1</v>
      </c>
      <c r="BE1536" s="277" t="s">
        <v>3321</v>
      </c>
      <c r="BF1536" s="277" t="s">
        <v>3322</v>
      </c>
      <c r="BG1536" s="95">
        <v>0</v>
      </c>
      <c r="BH1536" s="95">
        <v>0</v>
      </c>
      <c r="BI1536" s="66">
        <v>0</v>
      </c>
      <c r="BJ1536" s="95">
        <v>0</v>
      </c>
      <c r="BK1536" s="95">
        <v>0</v>
      </c>
      <c r="BL1536" s="129">
        <v>0</v>
      </c>
      <c r="BM1536" s="95">
        <v>0</v>
      </c>
      <c r="BN1536" s="70">
        <v>0</v>
      </c>
      <c r="BO1536" s="70">
        <v>0</v>
      </c>
      <c r="BP1536" s="70">
        <v>0</v>
      </c>
      <c r="BQ1536" s="70">
        <v>0</v>
      </c>
      <c r="BR1536" s="70">
        <v>0</v>
      </c>
      <c r="BS1536" s="70">
        <v>0</v>
      </c>
      <c r="BT1536" s="13">
        <v>0</v>
      </c>
      <c r="BU1536" s="49">
        <v>0</v>
      </c>
      <c r="BV1536" s="49"/>
      <c r="BW1536" s="49"/>
    </row>
    <row r="1537" spans="3:75" ht="20.100000000000001" customHeight="1">
      <c r="C1537" s="19">
        <v>69011001</v>
      </c>
      <c r="D1537" s="270" t="s">
        <v>3376</v>
      </c>
      <c r="E1537" s="270" t="s">
        <v>3377</v>
      </c>
      <c r="F1537" s="76">
        <v>1</v>
      </c>
      <c r="G1537" s="76">
        <v>60090002</v>
      </c>
      <c r="H1537" s="74">
        <v>0</v>
      </c>
      <c r="I1537" s="74">
        <v>0</v>
      </c>
      <c r="J1537" s="76">
        <v>1</v>
      </c>
      <c r="K1537" s="76">
        <v>0</v>
      </c>
      <c r="L1537" s="74">
        <v>0</v>
      </c>
      <c r="M1537" s="74">
        <v>0</v>
      </c>
      <c r="N1537" s="74" t="s">
        <v>3378</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3376</v>
      </c>
      <c r="BF1537" s="270" t="s">
        <v>3377</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69011002</v>
      </c>
      <c r="D1538" s="270" t="s">
        <v>3379</v>
      </c>
      <c r="E1538" s="270" t="s">
        <v>3380</v>
      </c>
      <c r="F1538" s="76">
        <v>1</v>
      </c>
      <c r="G1538" s="76">
        <v>60090002</v>
      </c>
      <c r="H1538" s="74">
        <v>0</v>
      </c>
      <c r="I1538" s="74">
        <v>0</v>
      </c>
      <c r="J1538" s="76">
        <v>1</v>
      </c>
      <c r="K1538" s="76">
        <v>0</v>
      </c>
      <c r="L1538" s="74">
        <v>0</v>
      </c>
      <c r="M1538" s="74">
        <v>0</v>
      </c>
      <c r="N1538" s="74" t="s">
        <v>3347</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3379</v>
      </c>
      <c r="BF1538" s="270" t="s">
        <v>3380</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69011003</v>
      </c>
      <c r="D1539" s="270" t="s">
        <v>3381</v>
      </c>
      <c r="E1539" s="270" t="s">
        <v>3382</v>
      </c>
      <c r="F1539" s="76">
        <v>1</v>
      </c>
      <c r="G1539" s="76">
        <v>60090002</v>
      </c>
      <c r="H1539" s="74">
        <v>0</v>
      </c>
      <c r="I1539" s="74">
        <v>0</v>
      </c>
      <c r="J1539" s="76">
        <v>1</v>
      </c>
      <c r="K1539" s="76">
        <v>0</v>
      </c>
      <c r="L1539" s="74">
        <v>0</v>
      </c>
      <c r="M1539" s="74">
        <v>0</v>
      </c>
      <c r="N1539" s="74" t="s">
        <v>3383</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3381</v>
      </c>
      <c r="BF1539" s="270" t="s">
        <v>3382</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69011004</v>
      </c>
      <c r="D1540" s="270" t="s">
        <v>3384</v>
      </c>
      <c r="E1540" s="270" t="s">
        <v>3385</v>
      </c>
      <c r="F1540" s="76">
        <v>1</v>
      </c>
      <c r="G1540" s="76">
        <v>60090002</v>
      </c>
      <c r="H1540" s="74">
        <v>0</v>
      </c>
      <c r="I1540" s="74">
        <v>0</v>
      </c>
      <c r="J1540" s="76">
        <v>1</v>
      </c>
      <c r="K1540" s="76">
        <v>0</v>
      </c>
      <c r="L1540" s="74">
        <v>0</v>
      </c>
      <c r="M1540" s="74">
        <v>0</v>
      </c>
      <c r="N1540" s="74" t="s">
        <v>3386</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3384</v>
      </c>
      <c r="BF1540" s="270" t="s">
        <v>3385</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69011005</v>
      </c>
      <c r="D1541" s="270" t="s">
        <v>3387</v>
      </c>
      <c r="E1541" s="270" t="s">
        <v>3388</v>
      </c>
      <c r="F1541" s="76">
        <v>1</v>
      </c>
      <c r="G1541" s="76">
        <v>60090002</v>
      </c>
      <c r="H1541" s="74">
        <v>0</v>
      </c>
      <c r="I1541" s="74">
        <v>0</v>
      </c>
      <c r="J1541" s="76">
        <v>1</v>
      </c>
      <c r="K1541" s="76">
        <v>0</v>
      </c>
      <c r="L1541" s="74">
        <v>0</v>
      </c>
      <c r="M1541" s="74">
        <v>0</v>
      </c>
      <c r="N1541" s="74" t="s">
        <v>3320</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3387</v>
      </c>
      <c r="BF1541" s="270" t="s">
        <v>3388</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69011006</v>
      </c>
      <c r="D1542" s="270" t="s">
        <v>3389</v>
      </c>
      <c r="E1542" s="270" t="s">
        <v>3390</v>
      </c>
      <c r="F1542" s="76">
        <v>1</v>
      </c>
      <c r="G1542" s="76">
        <v>60090002</v>
      </c>
      <c r="H1542" s="74">
        <v>0</v>
      </c>
      <c r="I1542" s="74">
        <v>0</v>
      </c>
      <c r="J1542" s="76">
        <v>1</v>
      </c>
      <c r="K1542" s="76">
        <v>0</v>
      </c>
      <c r="L1542" s="74">
        <v>0</v>
      </c>
      <c r="M1542" s="74">
        <v>0</v>
      </c>
      <c r="N1542" s="74" t="s">
        <v>3360</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3389</v>
      </c>
      <c r="BF1542" s="270" t="s">
        <v>3390</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69011101</v>
      </c>
      <c r="D1543" s="270" t="s">
        <v>3391</v>
      </c>
      <c r="E1543" s="270" t="s">
        <v>3392</v>
      </c>
      <c r="F1543" s="76">
        <v>1</v>
      </c>
      <c r="G1543" s="76">
        <v>60090002</v>
      </c>
      <c r="H1543" s="74">
        <v>0</v>
      </c>
      <c r="I1543" s="74">
        <v>0</v>
      </c>
      <c r="J1543" s="76">
        <v>1</v>
      </c>
      <c r="K1543" s="76">
        <v>0</v>
      </c>
      <c r="L1543" s="74">
        <v>0</v>
      </c>
      <c r="M1543" s="74">
        <v>0</v>
      </c>
      <c r="N1543" s="74" t="s">
        <v>3393</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3391</v>
      </c>
      <c r="BF1543" s="270" t="s">
        <v>3392</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69011102</v>
      </c>
      <c r="D1544" s="270" t="s">
        <v>3394</v>
      </c>
      <c r="E1544" s="270" t="s">
        <v>3395</v>
      </c>
      <c r="F1544" s="76">
        <v>1</v>
      </c>
      <c r="G1544" s="76">
        <v>60090002</v>
      </c>
      <c r="H1544" s="74">
        <v>0</v>
      </c>
      <c r="I1544" s="74">
        <v>0</v>
      </c>
      <c r="J1544" s="76">
        <v>1</v>
      </c>
      <c r="K1544" s="76">
        <v>0</v>
      </c>
      <c r="L1544" s="74">
        <v>0</v>
      </c>
      <c r="M1544" s="74">
        <v>0</v>
      </c>
      <c r="N1544" s="74" t="s">
        <v>3396</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3394</v>
      </c>
      <c r="BF1544" s="270" t="s">
        <v>3395</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69011103</v>
      </c>
      <c r="D1545" s="270" t="s">
        <v>3397</v>
      </c>
      <c r="E1545" s="270" t="s">
        <v>3398</v>
      </c>
      <c r="F1545" s="76">
        <v>1</v>
      </c>
      <c r="G1545" s="76">
        <v>60090002</v>
      </c>
      <c r="H1545" s="74">
        <v>0</v>
      </c>
      <c r="I1545" s="74">
        <v>0</v>
      </c>
      <c r="J1545" s="76">
        <v>1</v>
      </c>
      <c r="K1545" s="76">
        <v>0</v>
      </c>
      <c r="L1545" s="74">
        <v>0</v>
      </c>
      <c r="M1545" s="74">
        <v>0</v>
      </c>
      <c r="N1545" s="74" t="s">
        <v>3399</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3397</v>
      </c>
      <c r="BF1545" s="270" t="s">
        <v>3398</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69011104</v>
      </c>
      <c r="D1546" s="270" t="s">
        <v>3400</v>
      </c>
      <c r="E1546" s="270" t="s">
        <v>3401</v>
      </c>
      <c r="F1546" s="76">
        <v>1</v>
      </c>
      <c r="G1546" s="76">
        <v>60090002</v>
      </c>
      <c r="H1546" s="74">
        <v>0</v>
      </c>
      <c r="I1546" s="74">
        <v>0</v>
      </c>
      <c r="J1546" s="76">
        <v>1</v>
      </c>
      <c r="K1546" s="76">
        <v>0</v>
      </c>
      <c r="L1546" s="74">
        <v>0</v>
      </c>
      <c r="M1546" s="74">
        <v>0</v>
      </c>
      <c r="N1546" s="74" t="s">
        <v>3402</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3400</v>
      </c>
      <c r="BF1546" s="270" t="s">
        <v>3401</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69011201</v>
      </c>
      <c r="D1547" s="270" t="s">
        <v>3403</v>
      </c>
      <c r="E1547" s="270" t="s">
        <v>3404</v>
      </c>
      <c r="F1547" s="76">
        <v>1</v>
      </c>
      <c r="G1547" s="76">
        <v>60090002</v>
      </c>
      <c r="H1547" s="74">
        <v>0</v>
      </c>
      <c r="I1547" s="74">
        <v>0</v>
      </c>
      <c r="J1547" s="76">
        <v>1</v>
      </c>
      <c r="K1547" s="76">
        <v>0</v>
      </c>
      <c r="L1547" s="74">
        <v>0</v>
      </c>
      <c r="M1547" s="74">
        <v>0</v>
      </c>
      <c r="N1547" s="74" t="s">
        <v>3405</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3403</v>
      </c>
      <c r="BF1547" s="270" t="s">
        <v>3404</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69011202</v>
      </c>
      <c r="D1548" s="270" t="s">
        <v>3406</v>
      </c>
      <c r="E1548" s="270" t="s">
        <v>3407</v>
      </c>
      <c r="F1548" s="76">
        <v>1</v>
      </c>
      <c r="G1548" s="76">
        <v>60090002</v>
      </c>
      <c r="H1548" s="74">
        <v>0</v>
      </c>
      <c r="I1548" s="74">
        <v>0</v>
      </c>
      <c r="J1548" s="76">
        <v>1</v>
      </c>
      <c r="K1548" s="76">
        <v>0</v>
      </c>
      <c r="L1548" s="74">
        <v>0</v>
      </c>
      <c r="M1548" s="74">
        <v>0</v>
      </c>
      <c r="N1548" s="74" t="s">
        <v>3408</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3406</v>
      </c>
      <c r="BF1548" s="270" t="s">
        <v>3407</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69011203</v>
      </c>
      <c r="D1549" s="270" t="s">
        <v>3409</v>
      </c>
      <c r="E1549" s="270" t="s">
        <v>3410</v>
      </c>
      <c r="F1549" s="76">
        <v>1</v>
      </c>
      <c r="G1549" s="76">
        <v>60090002</v>
      </c>
      <c r="H1549" s="74">
        <v>0</v>
      </c>
      <c r="I1549" s="74">
        <v>0</v>
      </c>
      <c r="J1549" s="76">
        <v>1</v>
      </c>
      <c r="K1549" s="76">
        <v>0</v>
      </c>
      <c r="L1549" s="74">
        <v>0</v>
      </c>
      <c r="M1549" s="74">
        <v>0</v>
      </c>
      <c r="N1549" s="74" t="s">
        <v>3411</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3409</v>
      </c>
      <c r="BF1549" s="270" t="s">
        <v>3410</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69011204</v>
      </c>
      <c r="D1550" s="270" t="s">
        <v>3412</v>
      </c>
      <c r="E1550" s="270" t="s">
        <v>3413</v>
      </c>
      <c r="F1550" s="76">
        <v>1</v>
      </c>
      <c r="G1550" s="76">
        <v>60090002</v>
      </c>
      <c r="H1550" s="74">
        <v>0</v>
      </c>
      <c r="I1550" s="74">
        <v>0</v>
      </c>
      <c r="J1550" s="76">
        <v>1</v>
      </c>
      <c r="K1550" s="76">
        <v>0</v>
      </c>
      <c r="L1550" s="74">
        <v>0</v>
      </c>
      <c r="M1550" s="74">
        <v>0</v>
      </c>
      <c r="N1550" s="74" t="s">
        <v>3414</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3412</v>
      </c>
      <c r="BF1550" s="270" t="s">
        <v>3413</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69011301</v>
      </c>
      <c r="D1551" s="270" t="s">
        <v>3415</v>
      </c>
      <c r="E1551" s="270" t="s">
        <v>3416</v>
      </c>
      <c r="F1551" s="76">
        <v>1</v>
      </c>
      <c r="G1551" s="76">
        <v>60090002</v>
      </c>
      <c r="H1551" s="74">
        <v>0</v>
      </c>
      <c r="I1551" s="74">
        <v>0</v>
      </c>
      <c r="J1551" s="76">
        <v>1</v>
      </c>
      <c r="K1551" s="76">
        <v>0</v>
      </c>
      <c r="L1551" s="74">
        <v>0</v>
      </c>
      <c r="M1551" s="74">
        <v>0</v>
      </c>
      <c r="N1551" s="74" t="s">
        <v>3417</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3415</v>
      </c>
      <c r="BF1551" s="270" t="s">
        <v>3416</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69011302</v>
      </c>
      <c r="D1552" s="270" t="s">
        <v>3418</v>
      </c>
      <c r="E1552" s="270" t="s">
        <v>3419</v>
      </c>
      <c r="F1552" s="76">
        <v>1</v>
      </c>
      <c r="G1552" s="76">
        <v>60090002</v>
      </c>
      <c r="H1552" s="74">
        <v>0</v>
      </c>
      <c r="I1552" s="74">
        <v>0</v>
      </c>
      <c r="J1552" s="76">
        <v>1</v>
      </c>
      <c r="K1552" s="76">
        <v>0</v>
      </c>
      <c r="L1552" s="74">
        <v>0</v>
      </c>
      <c r="M1552" s="74">
        <v>0</v>
      </c>
      <c r="N1552" s="74" t="s">
        <v>3420</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3418</v>
      </c>
      <c r="BF1552" s="270" t="s">
        <v>3419</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69011303</v>
      </c>
      <c r="D1553" s="270" t="s">
        <v>3421</v>
      </c>
      <c r="E1553" s="270" t="s">
        <v>3422</v>
      </c>
      <c r="F1553" s="76">
        <v>1</v>
      </c>
      <c r="G1553" s="76">
        <v>60090002</v>
      </c>
      <c r="H1553" s="74">
        <v>0</v>
      </c>
      <c r="I1553" s="74">
        <v>0</v>
      </c>
      <c r="J1553" s="76">
        <v>1</v>
      </c>
      <c r="K1553" s="76">
        <v>0</v>
      </c>
      <c r="L1553" s="74">
        <v>0</v>
      </c>
      <c r="M1553" s="74">
        <v>0</v>
      </c>
      <c r="N1553" s="74" t="s">
        <v>3423</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3421</v>
      </c>
      <c r="BF1553" s="270" t="s">
        <v>3422</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69011304</v>
      </c>
      <c r="D1554" s="270" t="s">
        <v>3424</v>
      </c>
      <c r="E1554" s="270" t="s">
        <v>3425</v>
      </c>
      <c r="F1554" s="76">
        <v>1</v>
      </c>
      <c r="G1554" s="76">
        <v>60090002</v>
      </c>
      <c r="H1554" s="74">
        <v>0</v>
      </c>
      <c r="I1554" s="74">
        <v>0</v>
      </c>
      <c r="J1554" s="76">
        <v>1</v>
      </c>
      <c r="K1554" s="76">
        <v>0</v>
      </c>
      <c r="L1554" s="74">
        <v>0</v>
      </c>
      <c r="M1554" s="74">
        <v>0</v>
      </c>
      <c r="N1554" s="74" t="s">
        <v>3426</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3424</v>
      </c>
      <c r="BF1554" s="270" t="s">
        <v>3425</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69012001</v>
      </c>
      <c r="D1555" s="270" t="s">
        <v>3427</v>
      </c>
      <c r="E1555" s="270" t="s">
        <v>3428</v>
      </c>
      <c r="F1555" s="76">
        <v>1</v>
      </c>
      <c r="G1555" s="76">
        <v>60090002</v>
      </c>
      <c r="H1555" s="74">
        <v>0</v>
      </c>
      <c r="I1555" s="74">
        <v>0</v>
      </c>
      <c r="J1555" s="76">
        <v>1</v>
      </c>
      <c r="K1555" s="76">
        <v>0</v>
      </c>
      <c r="L1555" s="74">
        <v>0</v>
      </c>
      <c r="M1555" s="74">
        <v>0</v>
      </c>
      <c r="N1555" s="74" t="s">
        <v>3375</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3427</v>
      </c>
      <c r="BF1555" s="270" t="s">
        <v>3428</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69012002</v>
      </c>
      <c r="D1556" s="270" t="s">
        <v>3429</v>
      </c>
      <c r="E1556" s="270" t="s">
        <v>3430</v>
      </c>
      <c r="F1556" s="76">
        <v>1</v>
      </c>
      <c r="G1556" s="76">
        <v>60090002</v>
      </c>
      <c r="H1556" s="74">
        <v>0</v>
      </c>
      <c r="I1556" s="74">
        <v>0</v>
      </c>
      <c r="J1556" s="76">
        <v>1</v>
      </c>
      <c r="K1556" s="76">
        <v>0</v>
      </c>
      <c r="L1556" s="74">
        <v>0</v>
      </c>
      <c r="M1556" s="74">
        <v>0</v>
      </c>
      <c r="N1556" s="74" t="s">
        <v>3336</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3429</v>
      </c>
      <c r="BF1556" s="270" t="s">
        <v>3430</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69012003</v>
      </c>
      <c r="D1557" s="270" t="s">
        <v>3431</v>
      </c>
      <c r="E1557" s="270" t="s">
        <v>3432</v>
      </c>
      <c r="F1557" s="76">
        <v>1</v>
      </c>
      <c r="G1557" s="76">
        <v>60090002</v>
      </c>
      <c r="H1557" s="74">
        <v>0</v>
      </c>
      <c r="I1557" s="74">
        <v>0</v>
      </c>
      <c r="J1557" s="76">
        <v>1</v>
      </c>
      <c r="K1557" s="76">
        <v>0</v>
      </c>
      <c r="L1557" s="74">
        <v>0</v>
      </c>
      <c r="M1557" s="74">
        <v>0</v>
      </c>
      <c r="N1557" s="74" t="s">
        <v>3433</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3431</v>
      </c>
      <c r="BF1557" s="270" t="s">
        <v>3432</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69012004</v>
      </c>
      <c r="D1558" s="270" t="s">
        <v>3434</v>
      </c>
      <c r="E1558" s="270" t="s">
        <v>3435</v>
      </c>
      <c r="F1558" s="76">
        <v>1</v>
      </c>
      <c r="G1558" s="76">
        <v>60090002</v>
      </c>
      <c r="H1558" s="74">
        <v>0</v>
      </c>
      <c r="I1558" s="74">
        <v>0</v>
      </c>
      <c r="J1558" s="76">
        <v>1</v>
      </c>
      <c r="K1558" s="76">
        <v>0</v>
      </c>
      <c r="L1558" s="74">
        <v>0</v>
      </c>
      <c r="M1558" s="74">
        <v>0</v>
      </c>
      <c r="N1558" s="74" t="s">
        <v>3436</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3434</v>
      </c>
      <c r="BF1558" s="270" t="s">
        <v>3435</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69012005</v>
      </c>
      <c r="D1559" s="270" t="s">
        <v>3437</v>
      </c>
      <c r="E1559" s="270" t="s">
        <v>3438</v>
      </c>
      <c r="F1559" s="76">
        <v>1</v>
      </c>
      <c r="G1559" s="76">
        <v>60090002</v>
      </c>
      <c r="H1559" s="74">
        <v>0</v>
      </c>
      <c r="I1559" s="74">
        <v>0</v>
      </c>
      <c r="J1559" s="76">
        <v>1</v>
      </c>
      <c r="K1559" s="76">
        <v>0</v>
      </c>
      <c r="L1559" s="74">
        <v>0</v>
      </c>
      <c r="M1559" s="74">
        <v>0</v>
      </c>
      <c r="N1559" s="74" t="s">
        <v>3329</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3437</v>
      </c>
      <c r="BF1559" s="270" t="s">
        <v>3438</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69012006</v>
      </c>
      <c r="D1560" s="270" t="s">
        <v>3439</v>
      </c>
      <c r="E1560" s="270" t="s">
        <v>3440</v>
      </c>
      <c r="F1560" s="76">
        <v>1</v>
      </c>
      <c r="G1560" s="76">
        <v>60090002</v>
      </c>
      <c r="H1560" s="74">
        <v>0</v>
      </c>
      <c r="I1560" s="74">
        <v>0</v>
      </c>
      <c r="J1560" s="76">
        <v>1</v>
      </c>
      <c r="K1560" s="76">
        <v>0</v>
      </c>
      <c r="L1560" s="74">
        <v>0</v>
      </c>
      <c r="M1560" s="74">
        <v>0</v>
      </c>
      <c r="N1560" s="74" t="s">
        <v>3441</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3439</v>
      </c>
      <c r="BF1560" s="270" t="s">
        <v>3440</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69012101</v>
      </c>
      <c r="D1561" s="270" t="s">
        <v>3442</v>
      </c>
      <c r="E1561" s="270" t="s">
        <v>3443</v>
      </c>
      <c r="F1561" s="76">
        <v>1</v>
      </c>
      <c r="G1561" s="76">
        <v>60090002</v>
      </c>
      <c r="H1561" s="74">
        <v>0</v>
      </c>
      <c r="I1561" s="74">
        <v>0</v>
      </c>
      <c r="J1561" s="76">
        <v>1</v>
      </c>
      <c r="K1561" s="76">
        <v>0</v>
      </c>
      <c r="L1561" s="74">
        <v>0</v>
      </c>
      <c r="M1561" s="74">
        <v>0</v>
      </c>
      <c r="N1561" s="74" t="s">
        <v>3444</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3442</v>
      </c>
      <c r="BF1561" s="270" t="s">
        <v>3443</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69012102</v>
      </c>
      <c r="D1562" s="270" t="s">
        <v>3445</v>
      </c>
      <c r="E1562" s="270" t="s">
        <v>3446</v>
      </c>
      <c r="F1562" s="76">
        <v>1</v>
      </c>
      <c r="G1562" s="76">
        <v>60090002</v>
      </c>
      <c r="H1562" s="74">
        <v>0</v>
      </c>
      <c r="I1562" s="74">
        <v>0</v>
      </c>
      <c r="J1562" s="76">
        <v>1</v>
      </c>
      <c r="K1562" s="76">
        <v>0</v>
      </c>
      <c r="L1562" s="74">
        <v>0</v>
      </c>
      <c r="M1562" s="74">
        <v>0</v>
      </c>
      <c r="N1562" s="74" t="s">
        <v>3447</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3445</v>
      </c>
      <c r="BF1562" s="270" t="s">
        <v>3446</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69012103</v>
      </c>
      <c r="D1563" s="270" t="s">
        <v>3448</v>
      </c>
      <c r="E1563" s="270" t="s">
        <v>3449</v>
      </c>
      <c r="F1563" s="76">
        <v>1</v>
      </c>
      <c r="G1563" s="76">
        <v>60090002</v>
      </c>
      <c r="H1563" s="74">
        <v>0</v>
      </c>
      <c r="I1563" s="74">
        <v>0</v>
      </c>
      <c r="J1563" s="76">
        <v>1</v>
      </c>
      <c r="K1563" s="76">
        <v>0</v>
      </c>
      <c r="L1563" s="74">
        <v>0</v>
      </c>
      <c r="M1563" s="74">
        <v>0</v>
      </c>
      <c r="N1563" s="74" t="s">
        <v>3450</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3448</v>
      </c>
      <c r="BF1563" s="270" t="s">
        <v>3449</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69012104</v>
      </c>
      <c r="D1564" s="270" t="s">
        <v>3451</v>
      </c>
      <c r="E1564" s="270" t="s">
        <v>3452</v>
      </c>
      <c r="F1564" s="76">
        <v>1</v>
      </c>
      <c r="G1564" s="76">
        <v>60090002</v>
      </c>
      <c r="H1564" s="74">
        <v>0</v>
      </c>
      <c r="I1564" s="74">
        <v>0</v>
      </c>
      <c r="J1564" s="76">
        <v>1</v>
      </c>
      <c r="K1564" s="76">
        <v>0</v>
      </c>
      <c r="L1564" s="74">
        <v>0</v>
      </c>
      <c r="M1564" s="74">
        <v>0</v>
      </c>
      <c r="N1564" s="74" t="s">
        <v>3453</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3451</v>
      </c>
      <c r="BF1564" s="270" t="s">
        <v>3452</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69012201</v>
      </c>
      <c r="D1565" s="270" t="s">
        <v>3454</v>
      </c>
      <c r="E1565" s="270" t="s">
        <v>3455</v>
      </c>
      <c r="F1565" s="76">
        <v>1</v>
      </c>
      <c r="G1565" s="76">
        <v>60090002</v>
      </c>
      <c r="H1565" s="74">
        <v>0</v>
      </c>
      <c r="I1565" s="74">
        <v>0</v>
      </c>
      <c r="J1565" s="76">
        <v>1</v>
      </c>
      <c r="K1565" s="76">
        <v>0</v>
      </c>
      <c r="L1565" s="74">
        <v>0</v>
      </c>
      <c r="M1565" s="74">
        <v>0</v>
      </c>
      <c r="N1565" s="74" t="s">
        <v>3456</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3454</v>
      </c>
      <c r="BF1565" s="270" t="s">
        <v>3455</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69012202</v>
      </c>
      <c r="D1566" s="270" t="s">
        <v>3457</v>
      </c>
      <c r="E1566" s="270" t="s">
        <v>3458</v>
      </c>
      <c r="F1566" s="76">
        <v>1</v>
      </c>
      <c r="G1566" s="76">
        <v>60090002</v>
      </c>
      <c r="H1566" s="74">
        <v>0</v>
      </c>
      <c r="I1566" s="74">
        <v>0</v>
      </c>
      <c r="J1566" s="76">
        <v>1</v>
      </c>
      <c r="K1566" s="76">
        <v>0</v>
      </c>
      <c r="L1566" s="74">
        <v>0</v>
      </c>
      <c r="M1566" s="74">
        <v>0</v>
      </c>
      <c r="N1566" s="74" t="s">
        <v>3459</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3457</v>
      </c>
      <c r="BF1566" s="270" t="s">
        <v>3458</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69012203</v>
      </c>
      <c r="D1567" s="270" t="s">
        <v>3460</v>
      </c>
      <c r="E1567" s="270" t="s">
        <v>3461</v>
      </c>
      <c r="F1567" s="76">
        <v>1</v>
      </c>
      <c r="G1567" s="76">
        <v>60090002</v>
      </c>
      <c r="H1567" s="74">
        <v>0</v>
      </c>
      <c r="I1567" s="74">
        <v>0</v>
      </c>
      <c r="J1567" s="76">
        <v>1</v>
      </c>
      <c r="K1567" s="76">
        <v>0</v>
      </c>
      <c r="L1567" s="74">
        <v>0</v>
      </c>
      <c r="M1567" s="74">
        <v>0</v>
      </c>
      <c r="N1567" s="74" t="s">
        <v>3462</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3460</v>
      </c>
      <c r="BF1567" s="270" t="s">
        <v>3461</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69012204</v>
      </c>
      <c r="D1568" s="270" t="s">
        <v>3463</v>
      </c>
      <c r="E1568" s="270" t="s">
        <v>3464</v>
      </c>
      <c r="F1568" s="76">
        <v>1</v>
      </c>
      <c r="G1568" s="76">
        <v>60090002</v>
      </c>
      <c r="H1568" s="74">
        <v>0</v>
      </c>
      <c r="I1568" s="74">
        <v>0</v>
      </c>
      <c r="J1568" s="76">
        <v>1</v>
      </c>
      <c r="K1568" s="76">
        <v>0</v>
      </c>
      <c r="L1568" s="74">
        <v>0</v>
      </c>
      <c r="M1568" s="74">
        <v>0</v>
      </c>
      <c r="N1568" s="74" t="s">
        <v>3465</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3463</v>
      </c>
      <c r="BF1568" s="270" t="s">
        <v>3464</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69012301</v>
      </c>
      <c r="D1569" s="270" t="s">
        <v>3466</v>
      </c>
      <c r="E1569" s="270" t="s">
        <v>3467</v>
      </c>
      <c r="F1569" s="76">
        <v>1</v>
      </c>
      <c r="G1569" s="76">
        <v>60090002</v>
      </c>
      <c r="H1569" s="74">
        <v>0</v>
      </c>
      <c r="I1569" s="74">
        <v>0</v>
      </c>
      <c r="J1569" s="76">
        <v>1</v>
      </c>
      <c r="K1569" s="76">
        <v>0</v>
      </c>
      <c r="L1569" s="74">
        <v>0</v>
      </c>
      <c r="M1569" s="74">
        <v>0</v>
      </c>
      <c r="N1569" s="74" t="s">
        <v>3468</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3466</v>
      </c>
      <c r="BF1569" s="270" t="s">
        <v>3467</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19">
        <v>69012302</v>
      </c>
      <c r="D1570" s="270" t="s">
        <v>3469</v>
      </c>
      <c r="E1570" s="270" t="s">
        <v>3470</v>
      </c>
      <c r="F1570" s="76">
        <v>1</v>
      </c>
      <c r="G1570" s="76">
        <v>60090002</v>
      </c>
      <c r="H1570" s="74">
        <v>0</v>
      </c>
      <c r="I1570" s="74">
        <v>0</v>
      </c>
      <c r="J1570" s="76">
        <v>1</v>
      </c>
      <c r="K1570" s="76">
        <v>0</v>
      </c>
      <c r="L1570" s="74">
        <v>0</v>
      </c>
      <c r="M1570" s="74">
        <v>0</v>
      </c>
      <c r="N1570" s="74" t="s">
        <v>3471</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3469</v>
      </c>
      <c r="BF1570" s="270" t="s">
        <v>3470</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19">
        <v>69012303</v>
      </c>
      <c r="D1571" s="270" t="s">
        <v>3472</v>
      </c>
      <c r="E1571" s="270" t="s">
        <v>3473</v>
      </c>
      <c r="F1571" s="76">
        <v>1</v>
      </c>
      <c r="G1571" s="76">
        <v>60090002</v>
      </c>
      <c r="H1571" s="74">
        <v>0</v>
      </c>
      <c r="I1571" s="74">
        <v>0</v>
      </c>
      <c r="J1571" s="76">
        <v>1</v>
      </c>
      <c r="K1571" s="76">
        <v>0</v>
      </c>
      <c r="L1571" s="74">
        <v>0</v>
      </c>
      <c r="M1571" s="74">
        <v>0</v>
      </c>
      <c r="N1571" s="74" t="s">
        <v>3474</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3472</v>
      </c>
      <c r="BF1571" s="270" t="s">
        <v>3473</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19">
        <v>69012304</v>
      </c>
      <c r="D1572" s="270" t="s">
        <v>3475</v>
      </c>
      <c r="E1572" s="270" t="s">
        <v>3476</v>
      </c>
      <c r="F1572" s="76">
        <v>1</v>
      </c>
      <c r="G1572" s="76">
        <v>60090002</v>
      </c>
      <c r="H1572" s="74">
        <v>0</v>
      </c>
      <c r="I1572" s="74">
        <v>0</v>
      </c>
      <c r="J1572" s="76">
        <v>1</v>
      </c>
      <c r="K1572" s="76">
        <v>0</v>
      </c>
      <c r="L1572" s="74">
        <v>0</v>
      </c>
      <c r="M1572" s="74">
        <v>0</v>
      </c>
      <c r="N1572" s="74" t="s">
        <v>3477</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3475</v>
      </c>
      <c r="BF1572" s="270" t="s">
        <v>3476</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69013001</v>
      </c>
      <c r="D1573" s="278" t="s">
        <v>3478</v>
      </c>
      <c r="E1573" s="278" t="s">
        <v>3479</v>
      </c>
      <c r="F1573" s="279">
        <v>1</v>
      </c>
      <c r="G1573" s="279">
        <v>60090002</v>
      </c>
      <c r="H1573" s="280">
        <v>0</v>
      </c>
      <c r="I1573" s="280">
        <v>0</v>
      </c>
      <c r="J1573" s="279">
        <v>1</v>
      </c>
      <c r="K1573" s="279">
        <v>0</v>
      </c>
      <c r="L1573" s="280">
        <v>0</v>
      </c>
      <c r="M1573" s="280">
        <v>0</v>
      </c>
      <c r="N1573" s="280" t="s">
        <v>3480</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3478</v>
      </c>
      <c r="BF1573" s="270" t="s">
        <v>3479</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69013002</v>
      </c>
      <c r="D1574" s="278" t="s">
        <v>3481</v>
      </c>
      <c r="E1574" s="278" t="s">
        <v>3482</v>
      </c>
      <c r="F1574" s="279">
        <v>1</v>
      </c>
      <c r="G1574" s="279">
        <v>60090002</v>
      </c>
      <c r="H1574" s="280">
        <v>0</v>
      </c>
      <c r="I1574" s="280">
        <v>0</v>
      </c>
      <c r="J1574" s="279">
        <v>1</v>
      </c>
      <c r="K1574" s="279">
        <v>0</v>
      </c>
      <c r="L1574" s="280">
        <v>0</v>
      </c>
      <c r="M1574" s="280">
        <v>0</v>
      </c>
      <c r="N1574" s="280" t="s">
        <v>3366</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3481</v>
      </c>
      <c r="BF1574" s="270" t="s">
        <v>3482</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69013003</v>
      </c>
      <c r="D1575" s="278" t="s">
        <v>3483</v>
      </c>
      <c r="E1575" s="278" t="s">
        <v>3484</v>
      </c>
      <c r="F1575" s="279">
        <v>1</v>
      </c>
      <c r="G1575" s="279">
        <v>60090002</v>
      </c>
      <c r="H1575" s="280">
        <v>0</v>
      </c>
      <c r="I1575" s="280">
        <v>0</v>
      </c>
      <c r="J1575" s="279">
        <v>1</v>
      </c>
      <c r="K1575" s="279">
        <v>0</v>
      </c>
      <c r="L1575" s="280">
        <v>0</v>
      </c>
      <c r="M1575" s="280">
        <v>0</v>
      </c>
      <c r="N1575" s="280" t="s">
        <v>3363</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3483</v>
      </c>
      <c r="BF1575" s="270" t="s">
        <v>3484</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69013004</v>
      </c>
      <c r="D1576" s="278" t="s">
        <v>3485</v>
      </c>
      <c r="E1576" s="278" t="s">
        <v>3486</v>
      </c>
      <c r="F1576" s="279">
        <v>1</v>
      </c>
      <c r="G1576" s="279">
        <v>60090002</v>
      </c>
      <c r="H1576" s="280">
        <v>0</v>
      </c>
      <c r="I1576" s="280">
        <v>0</v>
      </c>
      <c r="J1576" s="279">
        <v>1</v>
      </c>
      <c r="K1576" s="279">
        <v>0</v>
      </c>
      <c r="L1576" s="280">
        <v>0</v>
      </c>
      <c r="M1576" s="280">
        <v>0</v>
      </c>
      <c r="N1576" s="280" t="s">
        <v>3369</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3485</v>
      </c>
      <c r="BF1576" s="270" t="s">
        <v>3486</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69013005</v>
      </c>
      <c r="D1577" s="278" t="s">
        <v>3487</v>
      </c>
      <c r="E1577" s="278" t="s">
        <v>3488</v>
      </c>
      <c r="F1577" s="279">
        <v>1</v>
      </c>
      <c r="G1577" s="279">
        <v>60090002</v>
      </c>
      <c r="H1577" s="280">
        <v>0</v>
      </c>
      <c r="I1577" s="280">
        <v>0</v>
      </c>
      <c r="J1577" s="279">
        <v>1</v>
      </c>
      <c r="K1577" s="279">
        <v>0</v>
      </c>
      <c r="L1577" s="280">
        <v>0</v>
      </c>
      <c r="M1577" s="280">
        <v>0</v>
      </c>
      <c r="N1577" s="280" t="s">
        <v>3489</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3487</v>
      </c>
      <c r="BF1577" s="270" t="s">
        <v>3488</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69013006</v>
      </c>
      <c r="D1578" s="278" t="s">
        <v>3490</v>
      </c>
      <c r="E1578" s="278" t="s">
        <v>3491</v>
      </c>
      <c r="F1578" s="279">
        <v>1</v>
      </c>
      <c r="G1578" s="279">
        <v>60090002</v>
      </c>
      <c r="H1578" s="280">
        <v>0</v>
      </c>
      <c r="I1578" s="280">
        <v>0</v>
      </c>
      <c r="J1578" s="279">
        <v>1</v>
      </c>
      <c r="K1578" s="279">
        <v>0</v>
      </c>
      <c r="L1578" s="280">
        <v>0</v>
      </c>
      <c r="M1578" s="280">
        <v>0</v>
      </c>
      <c r="N1578" s="280" t="s">
        <v>3372</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3490</v>
      </c>
      <c r="BF1578" s="270" t="s">
        <v>3491</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69013101</v>
      </c>
      <c r="D1579" s="278" t="s">
        <v>3492</v>
      </c>
      <c r="E1579" s="278" t="s">
        <v>3493</v>
      </c>
      <c r="F1579" s="279">
        <v>1</v>
      </c>
      <c r="G1579" s="279">
        <v>60090002</v>
      </c>
      <c r="H1579" s="280">
        <v>0</v>
      </c>
      <c r="I1579" s="280">
        <v>0</v>
      </c>
      <c r="J1579" s="279">
        <v>1</v>
      </c>
      <c r="K1579" s="279">
        <v>0</v>
      </c>
      <c r="L1579" s="280">
        <v>0</v>
      </c>
      <c r="M1579" s="280">
        <v>0</v>
      </c>
      <c r="N1579" s="280" t="s">
        <v>3494</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3492</v>
      </c>
      <c r="BF1579" s="270" t="s">
        <v>3493</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69013102</v>
      </c>
      <c r="D1580" s="278" t="s">
        <v>3495</v>
      </c>
      <c r="E1580" s="278" t="s">
        <v>3496</v>
      </c>
      <c r="F1580" s="279">
        <v>1</v>
      </c>
      <c r="G1580" s="279">
        <v>60090002</v>
      </c>
      <c r="H1580" s="280">
        <v>0</v>
      </c>
      <c r="I1580" s="280">
        <v>0</v>
      </c>
      <c r="J1580" s="279">
        <v>1</v>
      </c>
      <c r="K1580" s="279">
        <v>0</v>
      </c>
      <c r="L1580" s="280">
        <v>0</v>
      </c>
      <c r="M1580" s="280">
        <v>0</v>
      </c>
      <c r="N1580" s="280" t="s">
        <v>3497</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3495</v>
      </c>
      <c r="BF1580" s="270" t="s">
        <v>3496</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69013103</v>
      </c>
      <c r="D1581" s="278" t="s">
        <v>3498</v>
      </c>
      <c r="E1581" s="278" t="s">
        <v>3499</v>
      </c>
      <c r="F1581" s="279">
        <v>1</v>
      </c>
      <c r="G1581" s="279">
        <v>60090002</v>
      </c>
      <c r="H1581" s="280">
        <v>0</v>
      </c>
      <c r="I1581" s="280">
        <v>0</v>
      </c>
      <c r="J1581" s="279">
        <v>1</v>
      </c>
      <c r="K1581" s="279">
        <v>0</v>
      </c>
      <c r="L1581" s="280">
        <v>0</v>
      </c>
      <c r="M1581" s="280">
        <v>0</v>
      </c>
      <c r="N1581" s="280" t="s">
        <v>3500</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3498</v>
      </c>
      <c r="BF1581" s="270" t="s">
        <v>3499</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69013104</v>
      </c>
      <c r="D1582" s="278" t="s">
        <v>3501</v>
      </c>
      <c r="E1582" s="278" t="s">
        <v>3502</v>
      </c>
      <c r="F1582" s="279">
        <v>1</v>
      </c>
      <c r="G1582" s="279">
        <v>60090002</v>
      </c>
      <c r="H1582" s="280">
        <v>0</v>
      </c>
      <c r="I1582" s="280">
        <v>0</v>
      </c>
      <c r="J1582" s="279">
        <v>1</v>
      </c>
      <c r="K1582" s="279">
        <v>0</v>
      </c>
      <c r="L1582" s="280">
        <v>0</v>
      </c>
      <c r="M1582" s="280">
        <v>0</v>
      </c>
      <c r="N1582" s="280" t="s">
        <v>3503</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3501</v>
      </c>
      <c r="BF1582" s="270" t="s">
        <v>3502</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69013201</v>
      </c>
      <c r="D1583" s="278" t="s">
        <v>3504</v>
      </c>
      <c r="E1583" s="278" t="s">
        <v>3505</v>
      </c>
      <c r="F1583" s="279">
        <v>1</v>
      </c>
      <c r="G1583" s="279">
        <v>60090002</v>
      </c>
      <c r="H1583" s="280">
        <v>0</v>
      </c>
      <c r="I1583" s="280">
        <v>0</v>
      </c>
      <c r="J1583" s="279">
        <v>1</v>
      </c>
      <c r="K1583" s="279">
        <v>0</v>
      </c>
      <c r="L1583" s="280">
        <v>0</v>
      </c>
      <c r="M1583" s="280">
        <v>0</v>
      </c>
      <c r="N1583" s="280" t="s">
        <v>3506</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3504</v>
      </c>
      <c r="BF1583" s="270" t="s">
        <v>3505</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69013202</v>
      </c>
      <c r="D1584" s="278" t="s">
        <v>3507</v>
      </c>
      <c r="E1584" s="278" t="s">
        <v>3508</v>
      </c>
      <c r="F1584" s="279">
        <v>1</v>
      </c>
      <c r="G1584" s="279">
        <v>60090002</v>
      </c>
      <c r="H1584" s="280">
        <v>0</v>
      </c>
      <c r="I1584" s="280">
        <v>0</v>
      </c>
      <c r="J1584" s="279">
        <v>1</v>
      </c>
      <c r="K1584" s="279">
        <v>0</v>
      </c>
      <c r="L1584" s="280">
        <v>0</v>
      </c>
      <c r="M1584" s="280">
        <v>0</v>
      </c>
      <c r="N1584" s="280" t="s">
        <v>3509</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3507</v>
      </c>
      <c r="BF1584" s="270" t="s">
        <v>3508</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69013203</v>
      </c>
      <c r="D1585" s="278" t="s">
        <v>3510</v>
      </c>
      <c r="E1585" s="278" t="s">
        <v>3511</v>
      </c>
      <c r="F1585" s="279">
        <v>1</v>
      </c>
      <c r="G1585" s="279">
        <v>60090002</v>
      </c>
      <c r="H1585" s="280">
        <v>0</v>
      </c>
      <c r="I1585" s="280">
        <v>0</v>
      </c>
      <c r="J1585" s="279">
        <v>1</v>
      </c>
      <c r="K1585" s="279">
        <v>0</v>
      </c>
      <c r="L1585" s="280">
        <v>0</v>
      </c>
      <c r="M1585" s="280">
        <v>0</v>
      </c>
      <c r="N1585" s="280" t="s">
        <v>3512</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3510</v>
      </c>
      <c r="BF1585" s="270" t="s">
        <v>3511</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69013204</v>
      </c>
      <c r="D1586" s="278" t="s">
        <v>3513</v>
      </c>
      <c r="E1586" s="278" t="s">
        <v>3514</v>
      </c>
      <c r="F1586" s="279">
        <v>1</v>
      </c>
      <c r="G1586" s="279">
        <v>60090002</v>
      </c>
      <c r="H1586" s="280">
        <v>0</v>
      </c>
      <c r="I1586" s="280">
        <v>0</v>
      </c>
      <c r="J1586" s="279">
        <v>1</v>
      </c>
      <c r="K1586" s="279">
        <v>0</v>
      </c>
      <c r="L1586" s="280">
        <v>0</v>
      </c>
      <c r="M1586" s="280">
        <v>0</v>
      </c>
      <c r="N1586" s="280" t="s">
        <v>3515</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3513</v>
      </c>
      <c r="BF1586" s="270" t="s">
        <v>3514</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69013301</v>
      </c>
      <c r="D1587" s="278" t="s">
        <v>3516</v>
      </c>
      <c r="E1587" s="278" t="s">
        <v>3517</v>
      </c>
      <c r="F1587" s="279">
        <v>1</v>
      </c>
      <c r="G1587" s="279">
        <v>60090002</v>
      </c>
      <c r="H1587" s="280">
        <v>0</v>
      </c>
      <c r="I1587" s="280">
        <v>0</v>
      </c>
      <c r="J1587" s="279">
        <v>1</v>
      </c>
      <c r="K1587" s="279">
        <v>0</v>
      </c>
      <c r="L1587" s="280">
        <v>0</v>
      </c>
      <c r="M1587" s="280">
        <v>0</v>
      </c>
      <c r="N1587" s="280" t="s">
        <v>3518</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3516</v>
      </c>
      <c r="BF1587" s="270" t="s">
        <v>3517</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66">
        <v>69013302</v>
      </c>
      <c r="D1588" s="278" t="s">
        <v>3519</v>
      </c>
      <c r="E1588" s="278" t="s">
        <v>3520</v>
      </c>
      <c r="F1588" s="279">
        <v>1</v>
      </c>
      <c r="G1588" s="279">
        <v>60090002</v>
      </c>
      <c r="H1588" s="280">
        <v>0</v>
      </c>
      <c r="I1588" s="280">
        <v>0</v>
      </c>
      <c r="J1588" s="279">
        <v>1</v>
      </c>
      <c r="K1588" s="279">
        <v>0</v>
      </c>
      <c r="L1588" s="280">
        <v>0</v>
      </c>
      <c r="M1588" s="280">
        <v>0</v>
      </c>
      <c r="N1588" s="280" t="s">
        <v>3521</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73">
        <v>0</v>
      </c>
      <c r="AU1588" s="74">
        <v>0</v>
      </c>
      <c r="AV1588" s="74"/>
      <c r="AW1588" s="270">
        <v>0</v>
      </c>
      <c r="AX1588" s="74">
        <v>0</v>
      </c>
      <c r="AY1588" s="74">
        <v>0</v>
      </c>
      <c r="AZ1588" s="74">
        <v>0</v>
      </c>
      <c r="BA1588" s="14" t="s">
        <v>200</v>
      </c>
      <c r="BB1588" s="74">
        <v>0</v>
      </c>
      <c r="BC1588" s="275">
        <v>0</v>
      </c>
      <c r="BD1588" s="28">
        <v>1</v>
      </c>
      <c r="BE1588" s="270" t="s">
        <v>3519</v>
      </c>
      <c r="BF1588" s="270" t="s">
        <v>3520</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66">
        <v>69013303</v>
      </c>
      <c r="D1589" s="278" t="s">
        <v>3522</v>
      </c>
      <c r="E1589" s="278" t="s">
        <v>3523</v>
      </c>
      <c r="F1589" s="279">
        <v>1</v>
      </c>
      <c r="G1589" s="279">
        <v>60090002</v>
      </c>
      <c r="H1589" s="280">
        <v>0</v>
      </c>
      <c r="I1589" s="280">
        <v>0</v>
      </c>
      <c r="J1589" s="279">
        <v>1</v>
      </c>
      <c r="K1589" s="279">
        <v>0</v>
      </c>
      <c r="L1589" s="280">
        <v>0</v>
      </c>
      <c r="M1589" s="280">
        <v>0</v>
      </c>
      <c r="N1589" s="280" t="s">
        <v>3524</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73">
        <v>0</v>
      </c>
      <c r="AU1589" s="74">
        <v>0</v>
      </c>
      <c r="AV1589" s="74"/>
      <c r="AW1589" s="270">
        <v>0</v>
      </c>
      <c r="AX1589" s="74">
        <v>0</v>
      </c>
      <c r="AY1589" s="74">
        <v>0</v>
      </c>
      <c r="AZ1589" s="74">
        <v>0</v>
      </c>
      <c r="BA1589" s="14" t="s">
        <v>200</v>
      </c>
      <c r="BB1589" s="74">
        <v>0</v>
      </c>
      <c r="BC1589" s="275">
        <v>0</v>
      </c>
      <c r="BD1589" s="28">
        <v>1</v>
      </c>
      <c r="BE1589" s="270" t="s">
        <v>3522</v>
      </c>
      <c r="BF1589" s="270" t="s">
        <v>3523</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66">
        <v>69013304</v>
      </c>
      <c r="D1590" s="278" t="s">
        <v>3525</v>
      </c>
      <c r="E1590" s="278" t="s">
        <v>3526</v>
      </c>
      <c r="F1590" s="279">
        <v>1</v>
      </c>
      <c r="G1590" s="279">
        <v>60090002</v>
      </c>
      <c r="H1590" s="280">
        <v>0</v>
      </c>
      <c r="I1590" s="280">
        <v>0</v>
      </c>
      <c r="J1590" s="279">
        <v>1</v>
      </c>
      <c r="K1590" s="279">
        <v>0</v>
      </c>
      <c r="L1590" s="280">
        <v>0</v>
      </c>
      <c r="M1590" s="280">
        <v>0</v>
      </c>
      <c r="N1590" s="280" t="s">
        <v>3527</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73">
        <v>0</v>
      </c>
      <c r="AU1590" s="74">
        <v>0</v>
      </c>
      <c r="AV1590" s="74"/>
      <c r="AW1590" s="270">
        <v>0</v>
      </c>
      <c r="AX1590" s="74">
        <v>0</v>
      </c>
      <c r="AY1590" s="74">
        <v>0</v>
      </c>
      <c r="AZ1590" s="74">
        <v>0</v>
      </c>
      <c r="BA1590" s="14" t="s">
        <v>200</v>
      </c>
      <c r="BB1590" s="74">
        <v>0</v>
      </c>
      <c r="BC1590" s="275">
        <v>0</v>
      </c>
      <c r="BD1590" s="28">
        <v>1</v>
      </c>
      <c r="BE1590" s="270" t="s">
        <v>3525</v>
      </c>
      <c r="BF1590" s="270" t="s">
        <v>3526</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69021001</v>
      </c>
      <c r="D1591" s="20" t="s">
        <v>3528</v>
      </c>
      <c r="E1591" s="20" t="s">
        <v>3529</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3530</v>
      </c>
      <c r="BC1591" s="28">
        <v>0</v>
      </c>
      <c r="BD1591" s="28">
        <v>1</v>
      </c>
      <c r="BE1591" s="20" t="s">
        <v>3531</v>
      </c>
      <c r="BF1591" s="20" t="s">
        <v>3532</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69021002</v>
      </c>
      <c r="D1592" s="20" t="s">
        <v>3533</v>
      </c>
      <c r="E1592" s="20" t="s">
        <v>3534</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3535</v>
      </c>
      <c r="BC1592" s="28">
        <v>0</v>
      </c>
      <c r="BD1592" s="28">
        <v>1</v>
      </c>
      <c r="BE1592" s="20" t="s">
        <v>3536</v>
      </c>
      <c r="BF1592" s="20" t="s">
        <v>3537</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69021003</v>
      </c>
      <c r="D1593" s="20" t="s">
        <v>3538</v>
      </c>
      <c r="E1593" s="20" t="s">
        <v>3539</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3540</v>
      </c>
      <c r="BC1593" s="28">
        <v>0</v>
      </c>
      <c r="BD1593" s="28">
        <v>1</v>
      </c>
      <c r="BE1593" s="20" t="s">
        <v>3541</v>
      </c>
      <c r="BF1593" s="20" t="s">
        <v>3542</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69021004</v>
      </c>
      <c r="D1594" s="20" t="s">
        <v>3543</v>
      </c>
      <c r="E1594" s="20" t="s">
        <v>3544</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3545</v>
      </c>
      <c r="BC1594" s="28">
        <v>0</v>
      </c>
      <c r="BD1594" s="28">
        <v>1</v>
      </c>
      <c r="BE1594" s="20" t="s">
        <v>3546</v>
      </c>
      <c r="BF1594" s="20" t="s">
        <v>3547</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69021005</v>
      </c>
      <c r="D1595" s="20" t="s">
        <v>3548</v>
      </c>
      <c r="E1595" s="20" t="s">
        <v>3549</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3550</v>
      </c>
      <c r="BC1595" s="28">
        <v>0</v>
      </c>
      <c r="BD1595" s="28">
        <v>1</v>
      </c>
      <c r="BE1595" s="20" t="s">
        <v>3551</v>
      </c>
      <c r="BF1595" s="20" t="s">
        <v>3552</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69021006</v>
      </c>
      <c r="D1596" s="20" t="s">
        <v>3553</v>
      </c>
      <c r="E1596" s="20" t="s">
        <v>3554</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3555</v>
      </c>
      <c r="BC1596" s="28">
        <v>0</v>
      </c>
      <c r="BD1596" s="28">
        <v>1</v>
      </c>
      <c r="BE1596" s="20" t="s">
        <v>3556</v>
      </c>
      <c r="BF1596" s="20" t="s">
        <v>3557</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69021007</v>
      </c>
      <c r="D1597" s="20" t="s">
        <v>3558</v>
      </c>
      <c r="E1597" s="20" t="s">
        <v>3559</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3560</v>
      </c>
      <c r="BC1597" s="28">
        <v>0</v>
      </c>
      <c r="BD1597" s="28">
        <v>1</v>
      </c>
      <c r="BE1597" s="20" t="s">
        <v>3561</v>
      </c>
      <c r="BF1597" s="20" t="s">
        <v>3562</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69021008</v>
      </c>
      <c r="D1598" s="20" t="s">
        <v>3563</v>
      </c>
      <c r="E1598" s="20" t="s">
        <v>3564</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3565</v>
      </c>
      <c r="BC1598" s="28">
        <v>0</v>
      </c>
      <c r="BD1598" s="28">
        <v>1</v>
      </c>
      <c r="BE1598" s="20" t="s">
        <v>3566</v>
      </c>
      <c r="BF1598" s="20" t="s">
        <v>3567</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69021009</v>
      </c>
      <c r="D1599" s="20" t="s">
        <v>3568</v>
      </c>
      <c r="E1599" s="20" t="s">
        <v>3569</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3246</v>
      </c>
      <c r="BC1599" s="28">
        <v>0</v>
      </c>
      <c r="BD1599" s="28">
        <v>1</v>
      </c>
      <c r="BE1599" s="20" t="s">
        <v>3570</v>
      </c>
      <c r="BF1599" s="20" t="s">
        <v>3571</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69021010</v>
      </c>
      <c r="D1600" s="20" t="s">
        <v>3572</v>
      </c>
      <c r="E1600" s="20" t="s">
        <v>3573</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3574</v>
      </c>
      <c r="BC1600" s="28">
        <v>0</v>
      </c>
      <c r="BD1600" s="28">
        <v>1</v>
      </c>
      <c r="BE1600" s="20" t="s">
        <v>3575</v>
      </c>
      <c r="BF1600" s="20" t="s">
        <v>3576</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69021011</v>
      </c>
      <c r="D1601" s="20" t="s">
        <v>3577</v>
      </c>
      <c r="E1601" s="20" t="s">
        <v>3578</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3579</v>
      </c>
      <c r="BC1601" s="28">
        <v>0</v>
      </c>
      <c r="BD1601" s="28">
        <v>1</v>
      </c>
      <c r="BE1601" s="20" t="s">
        <v>3580</v>
      </c>
      <c r="BF1601" s="20" t="s">
        <v>3581</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69021012</v>
      </c>
      <c r="D1602" s="20" t="s">
        <v>3577</v>
      </c>
      <c r="E1602" s="20" t="s">
        <v>3578</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2707</v>
      </c>
      <c r="BC1602" s="28">
        <v>0</v>
      </c>
      <c r="BD1602" s="28">
        <v>1</v>
      </c>
      <c r="BE1602" s="20" t="s">
        <v>3582</v>
      </c>
      <c r="BF1602" s="20" t="s">
        <v>3583</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69021013</v>
      </c>
      <c r="D1603" s="20" t="s">
        <v>3577</v>
      </c>
      <c r="E1603" s="20" t="s">
        <v>3578</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2762</v>
      </c>
      <c r="BC1603" s="28">
        <v>0</v>
      </c>
      <c r="BD1603" s="28">
        <v>1</v>
      </c>
      <c r="BE1603" s="20" t="s">
        <v>3584</v>
      </c>
      <c r="BF1603" s="20" t="s">
        <v>3585</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69021014</v>
      </c>
      <c r="D1604" s="20" t="s">
        <v>3577</v>
      </c>
      <c r="E1604" s="20" t="s">
        <v>3578</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2744</v>
      </c>
      <c r="BC1604" s="28">
        <v>0</v>
      </c>
      <c r="BD1604" s="28">
        <v>1</v>
      </c>
      <c r="BE1604" s="20" t="s">
        <v>3586</v>
      </c>
      <c r="BF1604" s="20" t="s">
        <v>3587</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69031001</v>
      </c>
      <c r="D1605" s="20" t="s">
        <v>757</v>
      </c>
      <c r="E1605" s="20" t="s">
        <v>399</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69000021</v>
      </c>
      <c r="AU1605" s="19" t="s">
        <v>198</v>
      </c>
      <c r="AV1605" s="19"/>
      <c r="AW1605" s="20" t="s">
        <v>199</v>
      </c>
      <c r="AX1605" s="19">
        <v>0</v>
      </c>
      <c r="AY1605" s="19">
        <v>0</v>
      </c>
      <c r="AZ1605" s="19">
        <v>0</v>
      </c>
      <c r="BA1605" s="20" t="s">
        <v>200</v>
      </c>
      <c r="BB1605" s="20" t="s">
        <v>198</v>
      </c>
      <c r="BC1605" s="28">
        <v>0</v>
      </c>
      <c r="BD1605" s="28">
        <v>1</v>
      </c>
      <c r="BE1605" s="89" t="s">
        <v>3588</v>
      </c>
      <c r="BF1605" s="89" t="s">
        <v>3589</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spans="3:75" ht="20.100000000000001" customHeight="1">
      <c r="C1606" s="19">
        <v>69031002</v>
      </c>
      <c r="D1606" s="20" t="s">
        <v>3590</v>
      </c>
      <c r="E1606" s="20" t="s">
        <v>3591</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3592</v>
      </c>
      <c r="BC1606" s="28">
        <v>0</v>
      </c>
      <c r="BD1606" s="28">
        <v>1</v>
      </c>
      <c r="BE1606" s="20" t="s">
        <v>3593</v>
      </c>
      <c r="BF1606" s="20" t="s">
        <v>3594</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spans="3:75" ht="20.100000000000001" customHeight="1">
      <c r="C1607" s="19">
        <v>69031003</v>
      </c>
      <c r="D1607" s="20" t="s">
        <v>3595</v>
      </c>
      <c r="E1607" s="20" t="s">
        <v>3596</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3597</v>
      </c>
      <c r="BC1607" s="28">
        <v>0</v>
      </c>
      <c r="BD1607" s="28">
        <v>1</v>
      </c>
      <c r="BE1607" s="20" t="s">
        <v>3598</v>
      </c>
      <c r="BF1607" s="20" t="s">
        <v>3599</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spans="3:75" ht="20.100000000000001" customHeight="1">
      <c r="C1608" s="19">
        <v>69031004</v>
      </c>
      <c r="D1608" s="20" t="s">
        <v>3600</v>
      </c>
      <c r="E1608" s="20" t="s">
        <v>3601</v>
      </c>
      <c r="F1608" s="19">
        <v>1</v>
      </c>
      <c r="G1608" s="19">
        <v>68000110</v>
      </c>
      <c r="H1608" s="19">
        <v>0</v>
      </c>
      <c r="I1608" s="28">
        <v>0</v>
      </c>
      <c r="J1608" s="16">
        <v>1</v>
      </c>
      <c r="K1608" s="19">
        <v>0</v>
      </c>
      <c r="L1608" s="19">
        <v>0</v>
      </c>
      <c r="M1608" s="19">
        <v>0</v>
      </c>
      <c r="N1608" s="19">
        <v>0</v>
      </c>
      <c r="O1608" s="19">
        <v>2</v>
      </c>
      <c r="P1608" s="19">
        <v>1</v>
      </c>
      <c r="Q1608" s="19">
        <v>0.05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271">
        <v>69000071</v>
      </c>
      <c r="AU1608" s="19" t="s">
        <v>198</v>
      </c>
      <c r="AV1608" s="19"/>
      <c r="AW1608" s="20" t="s">
        <v>199</v>
      </c>
      <c r="AX1608" s="19">
        <v>0</v>
      </c>
      <c r="AY1608" s="19">
        <v>0</v>
      </c>
      <c r="AZ1608" s="19">
        <v>0</v>
      </c>
      <c r="BA1608" s="20" t="s">
        <v>200</v>
      </c>
      <c r="BB1608" s="20" t="s">
        <v>198</v>
      </c>
      <c r="BC1608" s="28">
        <v>0</v>
      </c>
      <c r="BD1608" s="28">
        <v>1</v>
      </c>
      <c r="BE1608" s="44" t="s">
        <v>3602</v>
      </c>
      <c r="BF1608" s="44" t="s">
        <v>3603</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69031005</v>
      </c>
      <c r="D1609" s="20" t="s">
        <v>2593</v>
      </c>
      <c r="E1609" s="20" t="s">
        <v>2594</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3604</v>
      </c>
      <c r="BC1609" s="28">
        <v>0</v>
      </c>
      <c r="BD1609" s="28">
        <v>1</v>
      </c>
      <c r="BE1609" s="20" t="s">
        <v>3605</v>
      </c>
      <c r="BF1609" s="20" t="s">
        <v>3606</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69031006</v>
      </c>
      <c r="D1610" s="20" t="s">
        <v>3607</v>
      </c>
      <c r="E1610" s="20" t="s">
        <v>3608</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3609</v>
      </c>
      <c r="BC1610" s="28">
        <v>0</v>
      </c>
      <c r="BD1610" s="28">
        <v>1</v>
      </c>
      <c r="BE1610" s="20" t="s">
        <v>3610</v>
      </c>
      <c r="BF1610" s="20" t="s">
        <v>3611</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69031007</v>
      </c>
      <c r="D1611" s="20" t="s">
        <v>3612</v>
      </c>
      <c r="E1611" s="20" t="s">
        <v>3613</v>
      </c>
      <c r="F1611" s="19">
        <v>1</v>
      </c>
      <c r="G1611" s="19">
        <v>68000110</v>
      </c>
      <c r="H1611" s="19">
        <v>0</v>
      </c>
      <c r="I1611" s="28">
        <v>0</v>
      </c>
      <c r="J1611" s="16">
        <v>1</v>
      </c>
      <c r="K1611" s="19">
        <v>0</v>
      </c>
      <c r="L1611" s="19">
        <v>0</v>
      </c>
      <c r="M1611" s="19">
        <v>0</v>
      </c>
      <c r="N1611" s="19">
        <v>0</v>
      </c>
      <c r="O1611" s="19">
        <v>2</v>
      </c>
      <c r="P1611" s="19">
        <v>1</v>
      </c>
      <c r="Q1611" s="19">
        <v>0.15</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5</v>
      </c>
      <c r="AG1611" s="19">
        <v>0</v>
      </c>
      <c r="AH1611" s="19">
        <v>0</v>
      </c>
      <c r="AI1611" s="13">
        <v>2</v>
      </c>
      <c r="AJ1611" s="13">
        <v>0</v>
      </c>
      <c r="AK1611" s="13">
        <v>0</v>
      </c>
      <c r="AL1611" s="13">
        <v>0</v>
      </c>
      <c r="AM1611" s="19">
        <v>0</v>
      </c>
      <c r="AN1611" s="19">
        <v>0</v>
      </c>
      <c r="AO1611" s="19">
        <v>0</v>
      </c>
      <c r="AP1611" s="19">
        <v>0</v>
      </c>
      <c r="AQ1611" s="19">
        <v>1000</v>
      </c>
      <c r="AR1611" s="19">
        <v>0</v>
      </c>
      <c r="AS1611" s="19">
        <v>0</v>
      </c>
      <c r="AT1611" s="281">
        <v>10001001</v>
      </c>
      <c r="AU1611" s="19" t="s">
        <v>198</v>
      </c>
      <c r="AV1611" s="19"/>
      <c r="AW1611" s="20" t="s">
        <v>199</v>
      </c>
      <c r="AX1611" s="19">
        <v>0</v>
      </c>
      <c r="AY1611" s="19">
        <v>0</v>
      </c>
      <c r="AZ1611" s="19">
        <v>0</v>
      </c>
      <c r="BA1611" s="20" t="s">
        <v>200</v>
      </c>
      <c r="BB1611" s="20" t="s">
        <v>198</v>
      </c>
      <c r="BC1611" s="28">
        <v>0</v>
      </c>
      <c r="BD1611" s="28">
        <v>1</v>
      </c>
      <c r="BE1611" s="89" t="s">
        <v>3614</v>
      </c>
      <c r="BF1611" s="89" t="s">
        <v>3615</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69031008</v>
      </c>
      <c r="D1612" s="20" t="s">
        <v>3616</v>
      </c>
      <c r="E1612" s="20" t="s">
        <v>3617</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3618</v>
      </c>
      <c r="BC1612" s="28">
        <v>0</v>
      </c>
      <c r="BD1612" s="28">
        <v>1</v>
      </c>
      <c r="BE1612" s="20" t="s">
        <v>3619</v>
      </c>
      <c r="BF1612" s="20" t="s">
        <v>3620</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69031009</v>
      </c>
      <c r="D1613" s="20" t="s">
        <v>3600</v>
      </c>
      <c r="E1613" s="20" t="s">
        <v>3601</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3621</v>
      </c>
      <c r="BC1613" s="28">
        <v>0</v>
      </c>
      <c r="BD1613" s="28">
        <v>1</v>
      </c>
      <c r="BE1613" s="20" t="s">
        <v>3622</v>
      </c>
      <c r="BF1613" s="20" t="s">
        <v>3623</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69031010</v>
      </c>
      <c r="D1614" s="20" t="s">
        <v>3624</v>
      </c>
      <c r="E1614" s="20" t="s">
        <v>3625</v>
      </c>
      <c r="F1614" s="19">
        <v>1</v>
      </c>
      <c r="G1614" s="19">
        <v>68000110</v>
      </c>
      <c r="H1614" s="19">
        <v>0</v>
      </c>
      <c r="I1614" s="28">
        <v>0</v>
      </c>
      <c r="J1614" s="16">
        <v>1</v>
      </c>
      <c r="K1614" s="19">
        <v>0</v>
      </c>
      <c r="L1614" s="19">
        <v>0</v>
      </c>
      <c r="M1614" s="19">
        <v>0</v>
      </c>
      <c r="N1614" s="19">
        <v>0</v>
      </c>
      <c r="O1614" s="19">
        <v>2</v>
      </c>
      <c r="P1614" s="19">
        <v>4</v>
      </c>
      <c r="Q1614" s="19">
        <v>0.3</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71">
        <v>69000022</v>
      </c>
      <c r="AU1614" s="19" t="s">
        <v>198</v>
      </c>
      <c r="AV1614" s="19"/>
      <c r="AW1614" s="20" t="s">
        <v>199</v>
      </c>
      <c r="AX1614" s="19">
        <v>0</v>
      </c>
      <c r="AY1614" s="19">
        <v>0</v>
      </c>
      <c r="AZ1614" s="19">
        <v>0</v>
      </c>
      <c r="BA1614" s="20" t="s">
        <v>200</v>
      </c>
      <c r="BB1614" s="20" t="s">
        <v>198</v>
      </c>
      <c r="BC1614" s="28">
        <v>0</v>
      </c>
      <c r="BD1614" s="28">
        <v>1</v>
      </c>
      <c r="BE1614" s="20" t="s">
        <v>3626</v>
      </c>
      <c r="BF1614" s="20" t="s">
        <v>3627</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69032001</v>
      </c>
      <c r="D1615" s="20" t="s">
        <v>3628</v>
      </c>
      <c r="E1615" s="20" t="s">
        <v>3629</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3630</v>
      </c>
      <c r="BC1615" s="28">
        <v>0</v>
      </c>
      <c r="BD1615" s="28">
        <v>1</v>
      </c>
      <c r="BE1615" s="283" t="s">
        <v>3631</v>
      </c>
      <c r="BF1615" s="283" t="s">
        <v>3632</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69032002</v>
      </c>
      <c r="D1616" s="20" t="s">
        <v>3633</v>
      </c>
      <c r="E1616" s="20" t="s">
        <v>3634</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3635</v>
      </c>
      <c r="BC1616" s="28">
        <v>0</v>
      </c>
      <c r="BD1616" s="28">
        <v>1</v>
      </c>
      <c r="BE1616" s="283" t="s">
        <v>3636</v>
      </c>
      <c r="BF1616" s="283" t="s">
        <v>3637</v>
      </c>
      <c r="BG1616" s="19">
        <v>0</v>
      </c>
      <c r="BH1616" s="17">
        <v>0</v>
      </c>
      <c r="BI1616" s="19">
        <v>0</v>
      </c>
      <c r="BJ1616" s="19">
        <v>0</v>
      </c>
      <c r="BK1616" s="19">
        <v>0</v>
      </c>
      <c r="BL1616" s="19">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69032003</v>
      </c>
      <c r="D1617" s="20" t="s">
        <v>3638</v>
      </c>
      <c r="E1617" s="20" t="s">
        <v>3639</v>
      </c>
      <c r="F1617" s="19">
        <v>1</v>
      </c>
      <c r="G1617" s="19">
        <v>68000015</v>
      </c>
      <c r="H1617" s="19">
        <v>0</v>
      </c>
      <c r="I1617" s="28">
        <v>0</v>
      </c>
      <c r="J1617" s="19">
        <v>1</v>
      </c>
      <c r="K1617" s="19">
        <v>0</v>
      </c>
      <c r="L1617" s="19">
        <v>0</v>
      </c>
      <c r="M1617" s="19">
        <v>0</v>
      </c>
      <c r="N1617" s="19">
        <v>0</v>
      </c>
      <c r="O1617" s="19">
        <v>8</v>
      </c>
      <c r="P1617" s="19">
        <v>0</v>
      </c>
      <c r="Q1617" s="19">
        <v>0</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13"/>
      <c r="AU1617" s="19" t="s">
        <v>198</v>
      </c>
      <c r="AV1617" s="19"/>
      <c r="AW1617" s="20" t="s">
        <v>199</v>
      </c>
      <c r="AX1617" s="19">
        <v>0</v>
      </c>
      <c r="AY1617" s="19">
        <v>0</v>
      </c>
      <c r="AZ1617" s="19">
        <v>0</v>
      </c>
      <c r="BA1617" s="20" t="s">
        <v>200</v>
      </c>
      <c r="BB1617" s="20" t="s">
        <v>3640</v>
      </c>
      <c r="BC1617" s="28">
        <v>0</v>
      </c>
      <c r="BD1617" s="28">
        <v>1</v>
      </c>
      <c r="BE1617" s="283" t="s">
        <v>3641</v>
      </c>
      <c r="BF1617" s="283" t="s">
        <v>3642</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spans="3:75" ht="20.100000000000001" customHeight="1">
      <c r="C1618" s="19">
        <v>69032004</v>
      </c>
      <c r="D1618" s="20" t="s">
        <v>3643</v>
      </c>
      <c r="E1618" s="20" t="s">
        <v>3644</v>
      </c>
      <c r="F1618" s="19">
        <v>1</v>
      </c>
      <c r="G1618" s="19">
        <v>68000110</v>
      </c>
      <c r="H1618" s="19">
        <v>0</v>
      </c>
      <c r="I1618" s="28">
        <v>0</v>
      </c>
      <c r="J1618" s="16">
        <v>1</v>
      </c>
      <c r="K1618" s="19">
        <v>0</v>
      </c>
      <c r="L1618" s="19">
        <v>0</v>
      </c>
      <c r="M1618" s="19">
        <v>0</v>
      </c>
      <c r="N1618" s="19">
        <v>0</v>
      </c>
      <c r="O1618" s="19">
        <v>2</v>
      </c>
      <c r="P1618" s="19">
        <v>3</v>
      </c>
      <c r="Q1618" s="19">
        <v>0.05</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271">
        <v>69000101</v>
      </c>
      <c r="AU1618" s="19" t="s">
        <v>198</v>
      </c>
      <c r="AV1618" s="19"/>
      <c r="AW1618" s="20" t="s">
        <v>199</v>
      </c>
      <c r="AX1618" s="19">
        <v>0</v>
      </c>
      <c r="AY1618" s="19">
        <v>0</v>
      </c>
      <c r="AZ1618" s="19">
        <v>0</v>
      </c>
      <c r="BA1618" s="20" t="s">
        <v>200</v>
      </c>
      <c r="BB1618" s="20" t="s">
        <v>198</v>
      </c>
      <c r="BC1618" s="28">
        <v>0</v>
      </c>
      <c r="BD1618" s="28">
        <v>1</v>
      </c>
      <c r="BE1618" s="89" t="s">
        <v>3645</v>
      </c>
      <c r="BF1618" s="89" t="s">
        <v>3646</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69032005</v>
      </c>
      <c r="D1619" s="14" t="s">
        <v>3647</v>
      </c>
      <c r="E1619" s="14" t="s">
        <v>3648</v>
      </c>
      <c r="F1619" s="19">
        <v>1</v>
      </c>
      <c r="G1619" s="19">
        <v>66001007</v>
      </c>
      <c r="H1619" s="13">
        <v>0</v>
      </c>
      <c r="I1619" s="13">
        <v>0</v>
      </c>
      <c r="J1619" s="19">
        <v>1</v>
      </c>
      <c r="K1619" s="19">
        <v>0</v>
      </c>
      <c r="L1619" s="13">
        <v>0</v>
      </c>
      <c r="M1619" s="13">
        <v>0</v>
      </c>
      <c r="N1619" s="13">
        <v>0</v>
      </c>
      <c r="O1619" s="13">
        <v>2</v>
      </c>
      <c r="P1619" s="13">
        <v>3</v>
      </c>
      <c r="Q1619" s="13">
        <v>0.15</v>
      </c>
      <c r="R1619" s="13">
        <v>0</v>
      </c>
      <c r="S1619" s="13">
        <v>0</v>
      </c>
      <c r="T1619" s="13">
        <v>0</v>
      </c>
      <c r="U1619" s="17">
        <v>1</v>
      </c>
      <c r="V1619" s="13">
        <v>2</v>
      </c>
      <c r="W1619" s="13">
        <v>0</v>
      </c>
      <c r="X1619" s="13">
        <v>0</v>
      </c>
      <c r="Y1619" s="13">
        <v>0</v>
      </c>
      <c r="Z1619" s="13">
        <v>0</v>
      </c>
      <c r="AA1619" s="13">
        <v>0</v>
      </c>
      <c r="AB1619" s="13">
        <v>0</v>
      </c>
      <c r="AC1619" s="13">
        <v>0</v>
      </c>
      <c r="AD1619" s="19">
        <v>1</v>
      </c>
      <c r="AE1619" s="13">
        <v>0</v>
      </c>
      <c r="AF1619" s="13">
        <v>15</v>
      </c>
      <c r="AG1619" s="13">
        <v>0</v>
      </c>
      <c r="AH1619" s="13">
        <v>0</v>
      </c>
      <c r="AI1619" s="13">
        <v>7</v>
      </c>
      <c r="AJ1619" s="13">
        <v>0</v>
      </c>
      <c r="AK1619" s="13">
        <v>0</v>
      </c>
      <c r="AL1619" s="13">
        <v>6</v>
      </c>
      <c r="AM1619" s="13">
        <v>0</v>
      </c>
      <c r="AN1619" s="13">
        <v>0</v>
      </c>
      <c r="AO1619" s="13">
        <v>0</v>
      </c>
      <c r="AP1619" s="13">
        <v>0.5</v>
      </c>
      <c r="AQ1619" s="13">
        <v>1000</v>
      </c>
      <c r="AR1619" s="13">
        <v>0</v>
      </c>
      <c r="AS1619" s="13">
        <v>0</v>
      </c>
      <c r="AT1619" s="271">
        <v>0</v>
      </c>
      <c r="AU1619" s="13">
        <v>69000121</v>
      </c>
      <c r="AV1619" s="13"/>
      <c r="AW1619" s="14" t="s">
        <v>256</v>
      </c>
      <c r="AX1619" s="13" t="s">
        <v>1672</v>
      </c>
      <c r="AY1619" s="13" t="s">
        <v>198</v>
      </c>
      <c r="AZ1619" s="13" t="s">
        <v>1906</v>
      </c>
      <c r="BA1619" s="14" t="s">
        <v>200</v>
      </c>
      <c r="BB1619" s="13">
        <v>0</v>
      </c>
      <c r="BC1619" s="28">
        <v>0</v>
      </c>
      <c r="BD1619" s="28">
        <v>1</v>
      </c>
      <c r="BE1619" s="283" t="s">
        <v>3356</v>
      </c>
      <c r="BF1619" s="283" t="s">
        <v>3649</v>
      </c>
      <c r="BG1619" s="13">
        <v>0</v>
      </c>
      <c r="BH1619" s="17">
        <v>0</v>
      </c>
      <c r="BI1619" s="13">
        <v>0</v>
      </c>
      <c r="BJ1619" s="13">
        <v>0</v>
      </c>
      <c r="BK1619" s="13">
        <v>0</v>
      </c>
      <c r="BL1619" s="13">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69032006</v>
      </c>
      <c r="D1620" s="240" t="s">
        <v>3650</v>
      </c>
      <c r="E1620" s="240" t="s">
        <v>3651</v>
      </c>
      <c r="F1620" s="182">
        <v>1</v>
      </c>
      <c r="G1620" s="182">
        <v>66001007</v>
      </c>
      <c r="H1620" s="182">
        <v>0</v>
      </c>
      <c r="I1620" s="182">
        <v>0</v>
      </c>
      <c r="J1620" s="182">
        <v>1</v>
      </c>
      <c r="K1620" s="182">
        <v>0</v>
      </c>
      <c r="L1620" s="182">
        <v>0</v>
      </c>
      <c r="M1620" s="182">
        <v>0</v>
      </c>
      <c r="N1620" s="182">
        <v>0</v>
      </c>
      <c r="O1620" s="182">
        <v>2</v>
      </c>
      <c r="P1620" s="182">
        <v>2</v>
      </c>
      <c r="Q1620" s="182">
        <v>0.1</v>
      </c>
      <c r="R1620" s="182">
        <v>0</v>
      </c>
      <c r="S1620" s="182">
        <v>0</v>
      </c>
      <c r="T1620" s="182">
        <v>0</v>
      </c>
      <c r="U1620" s="182">
        <v>1</v>
      </c>
      <c r="V1620" s="182">
        <v>2</v>
      </c>
      <c r="W1620" s="182">
        <v>0</v>
      </c>
      <c r="X1620" s="182">
        <v>0</v>
      </c>
      <c r="Y1620" s="13">
        <v>0</v>
      </c>
      <c r="Z1620" s="182">
        <v>0</v>
      </c>
      <c r="AA1620" s="182">
        <v>0</v>
      </c>
      <c r="AB1620" s="182">
        <v>0</v>
      </c>
      <c r="AC1620" s="182">
        <v>0</v>
      </c>
      <c r="AD1620" s="182">
        <v>1</v>
      </c>
      <c r="AE1620" s="182">
        <v>0</v>
      </c>
      <c r="AF1620" s="182">
        <v>15</v>
      </c>
      <c r="AG1620" s="182">
        <v>0</v>
      </c>
      <c r="AH1620" s="182">
        <v>0</v>
      </c>
      <c r="AI1620" s="182">
        <v>7</v>
      </c>
      <c r="AJ1620" s="182">
        <v>0</v>
      </c>
      <c r="AK1620" s="182">
        <v>0</v>
      </c>
      <c r="AL1620" s="182">
        <v>6</v>
      </c>
      <c r="AM1620" s="182">
        <v>0</v>
      </c>
      <c r="AN1620" s="182">
        <v>0</v>
      </c>
      <c r="AO1620" s="182">
        <v>0</v>
      </c>
      <c r="AP1620" s="182">
        <v>0</v>
      </c>
      <c r="AQ1620" s="182">
        <v>1000</v>
      </c>
      <c r="AR1620" s="182">
        <v>0</v>
      </c>
      <c r="AS1620" s="182">
        <v>0</v>
      </c>
      <c r="AT1620" s="282">
        <v>10001003</v>
      </c>
      <c r="AU1620" s="182">
        <v>0</v>
      </c>
      <c r="AV1620" s="182"/>
      <c r="AW1620" s="240" t="s">
        <v>256</v>
      </c>
      <c r="AX1620" s="182" t="s">
        <v>1672</v>
      </c>
      <c r="AY1620" s="182" t="s">
        <v>198</v>
      </c>
      <c r="AZ1620" s="182">
        <v>0</v>
      </c>
      <c r="BA1620" s="240" t="s">
        <v>200</v>
      </c>
      <c r="BB1620" s="182">
        <v>0</v>
      </c>
      <c r="BC1620" s="182">
        <v>0</v>
      </c>
      <c r="BD1620" s="28">
        <v>1</v>
      </c>
      <c r="BE1620" s="284" t="s">
        <v>3652</v>
      </c>
      <c r="BF1620" s="284" t="s">
        <v>3653</v>
      </c>
      <c r="BG1620" s="182">
        <v>0</v>
      </c>
      <c r="BH1620" s="182">
        <v>0</v>
      </c>
      <c r="BI1620" s="182">
        <v>0</v>
      </c>
      <c r="BJ1620" s="182">
        <v>0</v>
      </c>
      <c r="BK1620" s="182">
        <v>0</v>
      </c>
      <c r="BL1620" s="182">
        <v>0</v>
      </c>
      <c r="BM1620" s="245">
        <v>0</v>
      </c>
      <c r="BN1620" s="13">
        <v>1</v>
      </c>
      <c r="BO1620" s="182">
        <v>0</v>
      </c>
      <c r="BP1620" s="182">
        <v>0</v>
      </c>
      <c r="BQ1620" s="182">
        <v>0</v>
      </c>
      <c r="BR1620" s="182">
        <v>0</v>
      </c>
      <c r="BS1620" s="182">
        <v>0</v>
      </c>
      <c r="BT1620" s="13">
        <v>0</v>
      </c>
      <c r="BU1620" s="49">
        <v>0</v>
      </c>
      <c r="BV1620" s="49"/>
      <c r="BW1620" s="49"/>
    </row>
    <row r="1621" spans="3:75" ht="19.5" customHeight="1">
      <c r="C1621" s="19">
        <v>69032007</v>
      </c>
      <c r="D1621" s="20" t="s">
        <v>3654</v>
      </c>
      <c r="E1621" s="20" t="s">
        <v>3655</v>
      </c>
      <c r="F1621" s="17">
        <v>1</v>
      </c>
      <c r="G1621" s="19">
        <v>62021301</v>
      </c>
      <c r="H1621" s="17">
        <v>62021203</v>
      </c>
      <c r="I1621" s="28">
        <v>0</v>
      </c>
      <c r="J1621" s="17">
        <v>32</v>
      </c>
      <c r="K1621" s="17">
        <v>2</v>
      </c>
      <c r="L1621" s="17">
        <v>0</v>
      </c>
      <c r="M1621" s="19">
        <v>0</v>
      </c>
      <c r="N1621" s="19">
        <v>0</v>
      </c>
      <c r="O1621" s="19">
        <v>2</v>
      </c>
      <c r="P1621" s="19">
        <v>14</v>
      </c>
      <c r="Q1621" s="19">
        <v>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3</v>
      </c>
      <c r="AG1621" s="19">
        <v>1</v>
      </c>
      <c r="AH1621" s="19">
        <v>3</v>
      </c>
      <c r="AI1621" s="13">
        <v>2</v>
      </c>
      <c r="AJ1621" s="13">
        <v>2</v>
      </c>
      <c r="AK1621" s="13">
        <v>0</v>
      </c>
      <c r="AL1621" s="13">
        <v>0</v>
      </c>
      <c r="AM1621" s="19">
        <v>0</v>
      </c>
      <c r="AN1621" s="19">
        <v>0</v>
      </c>
      <c r="AO1621" s="19">
        <v>0</v>
      </c>
      <c r="AP1621" s="19">
        <v>0</v>
      </c>
      <c r="AQ1621" s="19">
        <v>2000</v>
      </c>
      <c r="AR1621" s="19">
        <v>0</v>
      </c>
      <c r="AS1621" s="19">
        <v>0</v>
      </c>
      <c r="AT1621" s="13">
        <v>69000141</v>
      </c>
      <c r="AU1621" s="19">
        <v>0</v>
      </c>
      <c r="AV1621" s="19"/>
      <c r="AW1621" s="20" t="s">
        <v>199</v>
      </c>
      <c r="AX1621" s="19" t="s">
        <v>545</v>
      </c>
      <c r="AY1621" s="19">
        <v>0</v>
      </c>
      <c r="AZ1621" s="19">
        <v>0</v>
      </c>
      <c r="BA1621" s="20" t="s">
        <v>200</v>
      </c>
      <c r="BB1621" s="20">
        <v>0</v>
      </c>
      <c r="BC1621" s="28">
        <v>0</v>
      </c>
      <c r="BD1621" s="28">
        <v>0</v>
      </c>
      <c r="BE1621" s="283" t="s">
        <v>3656</v>
      </c>
      <c r="BF1621" s="283" t="s">
        <v>3657</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69032008</v>
      </c>
      <c r="D1622" s="20" t="s">
        <v>3658</v>
      </c>
      <c r="E1622" s="20" t="s">
        <v>3659</v>
      </c>
      <c r="F1622" s="19">
        <v>1</v>
      </c>
      <c r="G1622" s="19">
        <v>68000002</v>
      </c>
      <c r="H1622" s="19">
        <v>0</v>
      </c>
      <c r="I1622" s="28">
        <v>0</v>
      </c>
      <c r="J1622" s="19">
        <v>1</v>
      </c>
      <c r="K1622" s="19">
        <v>0</v>
      </c>
      <c r="L1622" s="19">
        <v>0</v>
      </c>
      <c r="M1622" s="19">
        <v>0</v>
      </c>
      <c r="N1622" s="19">
        <v>0</v>
      </c>
      <c r="O1622" s="19">
        <v>2</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0</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v>0</v>
      </c>
      <c r="AU1622" s="19" t="s">
        <v>198</v>
      </c>
      <c r="AV1622" s="19"/>
      <c r="AW1622" s="20" t="s">
        <v>199</v>
      </c>
      <c r="AX1622" s="19">
        <v>0</v>
      </c>
      <c r="AY1622" s="19">
        <v>0</v>
      </c>
      <c r="AZ1622" s="19">
        <v>0</v>
      </c>
      <c r="BA1622" s="20" t="s">
        <v>200</v>
      </c>
      <c r="BB1622" s="20" t="s">
        <v>3660</v>
      </c>
      <c r="BC1622" s="28">
        <v>0</v>
      </c>
      <c r="BD1622" s="28">
        <v>1</v>
      </c>
      <c r="BE1622" s="89" t="s">
        <v>3661</v>
      </c>
      <c r="BF1622" s="89" t="s">
        <v>3662</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spans="3:75" ht="20.100000000000001" customHeight="1">
      <c r="C1623" s="19">
        <v>69032009</v>
      </c>
      <c r="D1623" s="20" t="s">
        <v>3663</v>
      </c>
      <c r="E1623" s="20" t="s">
        <v>3664</v>
      </c>
      <c r="F1623" s="19">
        <v>1</v>
      </c>
      <c r="G1623" s="19">
        <v>68000002</v>
      </c>
      <c r="H1623" s="19">
        <v>0</v>
      </c>
      <c r="I1623" s="28">
        <v>0</v>
      </c>
      <c r="J1623" s="19">
        <v>1</v>
      </c>
      <c r="K1623" s="19">
        <v>0</v>
      </c>
      <c r="L1623" s="19">
        <v>0</v>
      </c>
      <c r="M1623" s="19">
        <v>0</v>
      </c>
      <c r="N1623" s="19">
        <v>0</v>
      </c>
      <c r="O1623" s="19">
        <v>8</v>
      </c>
      <c r="P1623" s="19">
        <v>0</v>
      </c>
      <c r="Q1623" s="19">
        <v>0</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0</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v>0</v>
      </c>
      <c r="AU1623" s="19" t="s">
        <v>198</v>
      </c>
      <c r="AV1623" s="19"/>
      <c r="AW1623" s="20" t="s">
        <v>199</v>
      </c>
      <c r="AX1623" s="19">
        <v>0</v>
      </c>
      <c r="AY1623" s="19">
        <v>0</v>
      </c>
      <c r="AZ1623" s="19">
        <v>0</v>
      </c>
      <c r="BA1623" s="20" t="s">
        <v>200</v>
      </c>
      <c r="BB1623" s="20" t="s">
        <v>3665</v>
      </c>
      <c r="BC1623" s="28">
        <v>0</v>
      </c>
      <c r="BD1623" s="28">
        <v>1</v>
      </c>
      <c r="BE1623" s="89" t="s">
        <v>3666</v>
      </c>
      <c r="BF1623" s="89" t="s">
        <v>3667</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spans="3:75" ht="20.100000000000001" customHeight="1">
      <c r="C1624" s="19">
        <v>69032010</v>
      </c>
      <c r="D1624" s="20" t="s">
        <v>3668</v>
      </c>
      <c r="E1624" s="20" t="s">
        <v>3669</v>
      </c>
      <c r="F1624" s="19">
        <v>1</v>
      </c>
      <c r="G1624" s="19">
        <v>68000002</v>
      </c>
      <c r="H1624" s="19">
        <v>0</v>
      </c>
      <c r="I1624" s="28">
        <v>0</v>
      </c>
      <c r="J1624" s="19">
        <v>1</v>
      </c>
      <c r="K1624" s="19">
        <v>0</v>
      </c>
      <c r="L1624" s="19">
        <v>0</v>
      </c>
      <c r="M1624" s="19">
        <v>0</v>
      </c>
      <c r="N1624" s="19">
        <v>0</v>
      </c>
      <c r="O1624" s="19">
        <v>2</v>
      </c>
      <c r="P1624" s="19">
        <v>5</v>
      </c>
      <c r="Q1624" s="19">
        <v>0.2</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0</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v>10001002</v>
      </c>
      <c r="AU1624" s="19" t="s">
        <v>198</v>
      </c>
      <c r="AV1624" s="19"/>
      <c r="AW1624" s="20" t="s">
        <v>199</v>
      </c>
      <c r="AX1624" s="19">
        <v>0</v>
      </c>
      <c r="AY1624" s="19">
        <v>0</v>
      </c>
      <c r="AZ1624" s="19">
        <v>0</v>
      </c>
      <c r="BA1624" s="20" t="s">
        <v>200</v>
      </c>
      <c r="BB1624" s="20" t="s">
        <v>198</v>
      </c>
      <c r="BC1624" s="28">
        <v>0</v>
      </c>
      <c r="BD1624" s="28">
        <v>1</v>
      </c>
      <c r="BE1624" s="89" t="s">
        <v>3670</v>
      </c>
      <c r="BF1624" s="89" t="s">
        <v>3671</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spans="3:75" ht="20.100000000000001" customHeight="1">
      <c r="C1625" s="19">
        <v>69033101</v>
      </c>
      <c r="D1625" s="20" t="s">
        <v>3672</v>
      </c>
      <c r="E1625" s="20" t="s">
        <v>3673</v>
      </c>
      <c r="F1625" s="19">
        <v>1</v>
      </c>
      <c r="G1625" s="19">
        <v>68000015</v>
      </c>
      <c r="H1625" s="19">
        <v>0</v>
      </c>
      <c r="I1625" s="28">
        <v>0</v>
      </c>
      <c r="J1625" s="19">
        <v>1</v>
      </c>
      <c r="K1625" s="19">
        <v>0</v>
      </c>
      <c r="L1625" s="19">
        <v>0</v>
      </c>
      <c r="M1625" s="19">
        <v>0</v>
      </c>
      <c r="N1625" s="19">
        <v>0</v>
      </c>
      <c r="O1625" s="19">
        <v>5</v>
      </c>
      <c r="P1625" s="19">
        <v>11</v>
      </c>
      <c r="Q1625" s="19">
        <v>200001</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200001</v>
      </c>
      <c r="BD1625" s="28">
        <v>1</v>
      </c>
      <c r="BE1625" s="20" t="s">
        <v>3674</v>
      </c>
      <c r="BF1625" s="20" t="s">
        <v>3675</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69033102</v>
      </c>
      <c r="D1626" s="20" t="s">
        <v>3672</v>
      </c>
      <c r="E1626" s="20" t="s">
        <v>3673</v>
      </c>
      <c r="F1626" s="19">
        <v>1</v>
      </c>
      <c r="G1626" s="19">
        <v>68000015</v>
      </c>
      <c r="H1626" s="19">
        <v>0</v>
      </c>
      <c r="I1626" s="28">
        <v>0</v>
      </c>
      <c r="J1626" s="19">
        <v>1</v>
      </c>
      <c r="K1626" s="19">
        <v>0</v>
      </c>
      <c r="L1626" s="19">
        <v>0</v>
      </c>
      <c r="M1626" s="19">
        <v>0</v>
      </c>
      <c r="N1626" s="19">
        <v>0</v>
      </c>
      <c r="O1626" s="19">
        <v>5</v>
      </c>
      <c r="P1626" s="19">
        <v>11</v>
      </c>
      <c r="Q1626" s="19">
        <v>200002</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200002</v>
      </c>
      <c r="BD1626" s="28">
        <v>1</v>
      </c>
      <c r="BE1626" s="20" t="s">
        <v>3676</v>
      </c>
      <c r="BF1626" s="20" t="s">
        <v>3677</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69033103</v>
      </c>
      <c r="D1627" s="20" t="s">
        <v>3672</v>
      </c>
      <c r="E1627" s="20" t="s">
        <v>3673</v>
      </c>
      <c r="F1627" s="19">
        <v>1</v>
      </c>
      <c r="G1627" s="19">
        <v>68000015</v>
      </c>
      <c r="H1627" s="19">
        <v>0</v>
      </c>
      <c r="I1627" s="28">
        <v>0</v>
      </c>
      <c r="J1627" s="19">
        <v>1</v>
      </c>
      <c r="K1627" s="19">
        <v>0</v>
      </c>
      <c r="L1627" s="19">
        <v>0</v>
      </c>
      <c r="M1627" s="19">
        <v>0</v>
      </c>
      <c r="N1627" s="19">
        <v>0</v>
      </c>
      <c r="O1627" s="19">
        <v>5</v>
      </c>
      <c r="P1627" s="19">
        <v>11</v>
      </c>
      <c r="Q1627" s="19">
        <v>200003</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200003</v>
      </c>
      <c r="BD1627" s="28">
        <v>1</v>
      </c>
      <c r="BE1627" s="20" t="s">
        <v>3678</v>
      </c>
      <c r="BF1627" s="20" t="s">
        <v>3679</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69033104</v>
      </c>
      <c r="D1628" s="20" t="s">
        <v>3672</v>
      </c>
      <c r="E1628" s="20" t="s">
        <v>3673</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200005</v>
      </c>
      <c r="BD1628" s="28">
        <v>1</v>
      </c>
      <c r="BE1628" s="20" t="s">
        <v>3680</v>
      </c>
      <c r="BF1628" s="20" t="s">
        <v>3681</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69033105</v>
      </c>
      <c r="D1629" s="20" t="s">
        <v>3672</v>
      </c>
      <c r="E1629" s="20" t="s">
        <v>3673</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3682</v>
      </c>
      <c r="BF1629" s="20" t="s">
        <v>3683</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69033106</v>
      </c>
      <c r="D1630" s="20" t="s">
        <v>3672</v>
      </c>
      <c r="E1630" s="20" t="s">
        <v>3673</v>
      </c>
      <c r="F1630" s="19">
        <v>1</v>
      </c>
      <c r="G1630" s="19">
        <v>68000015</v>
      </c>
      <c r="H1630" s="19">
        <v>0</v>
      </c>
      <c r="I1630" s="28">
        <v>0</v>
      </c>
      <c r="J1630" s="19">
        <v>1</v>
      </c>
      <c r="K1630" s="19">
        <v>0</v>
      </c>
      <c r="L1630" s="19">
        <v>0</v>
      </c>
      <c r="M1630" s="19">
        <v>0</v>
      </c>
      <c r="N1630" s="19">
        <v>0</v>
      </c>
      <c r="O1630" s="19">
        <v>5</v>
      </c>
      <c r="P1630" s="19">
        <v>11</v>
      </c>
      <c r="Q1630" s="19">
        <v>200008</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200008</v>
      </c>
      <c r="BD1630" s="28">
        <v>1</v>
      </c>
      <c r="BE1630" s="20" t="s">
        <v>3684</v>
      </c>
      <c r="BF1630" s="20" t="s">
        <v>3685</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69033201</v>
      </c>
      <c r="D1631" s="20" t="s">
        <v>3672</v>
      </c>
      <c r="E1631" s="20" t="s">
        <v>3673</v>
      </c>
      <c r="F1631" s="19">
        <v>1</v>
      </c>
      <c r="G1631" s="19">
        <v>68000015</v>
      </c>
      <c r="H1631" s="19">
        <v>0</v>
      </c>
      <c r="I1631" s="28">
        <v>0</v>
      </c>
      <c r="J1631" s="19">
        <v>1</v>
      </c>
      <c r="K1631" s="19">
        <v>0</v>
      </c>
      <c r="L1631" s="19">
        <v>0</v>
      </c>
      <c r="M1631" s="19">
        <v>0</v>
      </c>
      <c r="N1631" s="19">
        <v>0</v>
      </c>
      <c r="O1631" s="19">
        <v>5</v>
      </c>
      <c r="P1631" s="19">
        <v>11</v>
      </c>
      <c r="Q1631" s="19">
        <v>200002</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200014</v>
      </c>
      <c r="BD1631" s="28">
        <v>1</v>
      </c>
      <c r="BE1631" s="20" t="s">
        <v>3686</v>
      </c>
      <c r="BF1631" s="20" t="s">
        <v>3687</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69033202</v>
      </c>
      <c r="D1632" s="20" t="s">
        <v>3672</v>
      </c>
      <c r="E1632" s="20" t="s">
        <v>3673</v>
      </c>
      <c r="F1632" s="19">
        <v>1</v>
      </c>
      <c r="G1632" s="19">
        <v>68000015</v>
      </c>
      <c r="H1632" s="19">
        <v>0</v>
      </c>
      <c r="I1632" s="28">
        <v>0</v>
      </c>
      <c r="J1632" s="19">
        <v>1</v>
      </c>
      <c r="K1632" s="19">
        <v>0</v>
      </c>
      <c r="L1632" s="19">
        <v>0</v>
      </c>
      <c r="M1632" s="19">
        <v>0</v>
      </c>
      <c r="N1632" s="19">
        <v>0</v>
      </c>
      <c r="O1632" s="19">
        <v>5</v>
      </c>
      <c r="P1632" s="19">
        <v>11</v>
      </c>
      <c r="Q1632" s="19">
        <v>200005</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200013</v>
      </c>
      <c r="BD1632" s="28">
        <v>1</v>
      </c>
      <c r="BE1632" s="20" t="s">
        <v>3688</v>
      </c>
      <c r="BF1632" s="20" t="s">
        <v>3689</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69033203</v>
      </c>
      <c r="D1633" s="20" t="s">
        <v>3672</v>
      </c>
      <c r="E1633" s="20" t="s">
        <v>3673</v>
      </c>
      <c r="F1633" s="19">
        <v>1</v>
      </c>
      <c r="G1633" s="19">
        <v>68000015</v>
      </c>
      <c r="H1633" s="19">
        <v>0</v>
      </c>
      <c r="I1633" s="28">
        <v>0</v>
      </c>
      <c r="J1633" s="19">
        <v>1</v>
      </c>
      <c r="K1633" s="19">
        <v>0</v>
      </c>
      <c r="L1633" s="19">
        <v>0</v>
      </c>
      <c r="M1633" s="19">
        <v>0</v>
      </c>
      <c r="N1633" s="19">
        <v>0</v>
      </c>
      <c r="O1633" s="19">
        <v>5</v>
      </c>
      <c r="P1633" s="19">
        <v>11</v>
      </c>
      <c r="Q1633" s="19">
        <v>200007</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200007</v>
      </c>
      <c r="BD1633" s="28">
        <v>1</v>
      </c>
      <c r="BE1633" s="20" t="s">
        <v>3690</v>
      </c>
      <c r="BF1633" s="20" t="s">
        <v>3691</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69033204</v>
      </c>
      <c r="D1634" s="20" t="s">
        <v>3672</v>
      </c>
      <c r="E1634" s="20" t="s">
        <v>3673</v>
      </c>
      <c r="F1634" s="19">
        <v>1</v>
      </c>
      <c r="G1634" s="19">
        <v>68000015</v>
      </c>
      <c r="H1634" s="19">
        <v>0</v>
      </c>
      <c r="I1634" s="28">
        <v>0</v>
      </c>
      <c r="J1634" s="19">
        <v>1</v>
      </c>
      <c r="K1634" s="19">
        <v>0</v>
      </c>
      <c r="L1634" s="19">
        <v>0</v>
      </c>
      <c r="M1634" s="19">
        <v>0</v>
      </c>
      <c r="N1634" s="19">
        <v>0</v>
      </c>
      <c r="O1634" s="19">
        <v>5</v>
      </c>
      <c r="P1634" s="19">
        <v>11</v>
      </c>
      <c r="Q1634" s="19">
        <v>200010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198</v>
      </c>
      <c r="BC1634" s="19">
        <v>200010</v>
      </c>
      <c r="BD1634" s="28">
        <v>1</v>
      </c>
      <c r="BE1634" s="20" t="s">
        <v>3692</v>
      </c>
      <c r="BF1634" s="20" t="s">
        <v>3693</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69033205</v>
      </c>
      <c r="D1635" s="20" t="s">
        <v>3672</v>
      </c>
      <c r="E1635" s="20" t="s">
        <v>3673</v>
      </c>
      <c r="F1635" s="19">
        <v>1</v>
      </c>
      <c r="G1635" s="19">
        <v>68000015</v>
      </c>
      <c r="H1635" s="19">
        <v>0</v>
      </c>
      <c r="I1635" s="28">
        <v>0</v>
      </c>
      <c r="J1635" s="19">
        <v>1</v>
      </c>
      <c r="K1635" s="19">
        <v>0</v>
      </c>
      <c r="L1635" s="19">
        <v>0</v>
      </c>
      <c r="M1635" s="19">
        <v>0</v>
      </c>
      <c r="N1635" s="19">
        <v>0</v>
      </c>
      <c r="O1635" s="19">
        <v>5</v>
      </c>
      <c r="P1635" s="19">
        <v>11</v>
      </c>
      <c r="Q1635" s="19">
        <v>200011</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198</v>
      </c>
      <c r="BC1635" s="19">
        <v>200011</v>
      </c>
      <c r="BD1635" s="28">
        <v>1</v>
      </c>
      <c r="BE1635" s="20" t="s">
        <v>3694</v>
      </c>
      <c r="BF1635" s="20" t="s">
        <v>3695</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69033206</v>
      </c>
      <c r="D1636" s="20" t="s">
        <v>3672</v>
      </c>
      <c r="E1636" s="20" t="s">
        <v>3673</v>
      </c>
      <c r="F1636" s="19">
        <v>1</v>
      </c>
      <c r="G1636" s="19">
        <v>68000015</v>
      </c>
      <c r="H1636" s="19">
        <v>0</v>
      </c>
      <c r="I1636" s="28">
        <v>0</v>
      </c>
      <c r="J1636" s="19">
        <v>1</v>
      </c>
      <c r="K1636" s="19">
        <v>0</v>
      </c>
      <c r="L1636" s="19">
        <v>0</v>
      </c>
      <c r="M1636" s="19">
        <v>0</v>
      </c>
      <c r="N1636" s="19">
        <v>0</v>
      </c>
      <c r="O1636" s="19">
        <v>5</v>
      </c>
      <c r="P1636" s="19">
        <v>11</v>
      </c>
      <c r="Q1636" s="19">
        <v>200012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198</v>
      </c>
      <c r="BC1636" s="19">
        <v>200012</v>
      </c>
      <c r="BD1636" s="28">
        <v>1</v>
      </c>
      <c r="BE1636" s="20" t="s">
        <v>3696</v>
      </c>
      <c r="BF1636" s="20" t="s">
        <v>3697</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69041001</v>
      </c>
      <c r="D1637" s="20" t="s">
        <v>2639</v>
      </c>
      <c r="E1637" s="20" t="s">
        <v>2640</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3698</v>
      </c>
      <c r="BC1637" s="28">
        <v>0</v>
      </c>
      <c r="BD1637" s="28">
        <v>1</v>
      </c>
      <c r="BE1637" s="285" t="s">
        <v>3699</v>
      </c>
      <c r="BF1637" s="285" t="s">
        <v>3700</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69041002</v>
      </c>
      <c r="D1638" s="20" t="s">
        <v>3701</v>
      </c>
      <c r="E1638" s="20" t="s">
        <v>3702</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3703</v>
      </c>
      <c r="BC1638" s="28">
        <v>0</v>
      </c>
      <c r="BD1638" s="28">
        <v>1</v>
      </c>
      <c r="BE1638" s="285" t="s">
        <v>3704</v>
      </c>
      <c r="BF1638" s="285" t="s">
        <v>3705</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69041003</v>
      </c>
      <c r="D1639" s="20" t="s">
        <v>3706</v>
      </c>
      <c r="E1639" s="20" t="s">
        <v>3707</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3708</v>
      </c>
      <c r="BC1639" s="28">
        <v>0</v>
      </c>
      <c r="BD1639" s="28">
        <v>1</v>
      </c>
      <c r="BE1639" s="285" t="s">
        <v>3709</v>
      </c>
      <c r="BF1639" s="285" t="s">
        <v>3710</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69041004</v>
      </c>
      <c r="D1640" s="20" t="s">
        <v>3711</v>
      </c>
      <c r="E1640" s="20" t="s">
        <v>3712</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3713</v>
      </c>
      <c r="BC1640" s="28">
        <v>0</v>
      </c>
      <c r="BD1640" s="28">
        <v>1</v>
      </c>
      <c r="BE1640" s="285" t="s">
        <v>3714</v>
      </c>
      <c r="BF1640" s="285" t="s">
        <v>3715</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69041005</v>
      </c>
      <c r="D1641" s="20" t="s">
        <v>3716</v>
      </c>
      <c r="E1641" s="20" t="s">
        <v>3717</v>
      </c>
      <c r="F1641" s="19">
        <v>1</v>
      </c>
      <c r="G1641" s="19">
        <v>68000015</v>
      </c>
      <c r="H1641" s="19">
        <v>0</v>
      </c>
      <c r="I1641" s="28">
        <v>0</v>
      </c>
      <c r="J1641" s="19">
        <v>1</v>
      </c>
      <c r="K1641" s="19">
        <v>0</v>
      </c>
      <c r="L1641" s="19">
        <v>0</v>
      </c>
      <c r="M1641" s="19">
        <v>0</v>
      </c>
      <c r="N1641" s="19">
        <v>0</v>
      </c>
      <c r="O1641" s="19">
        <v>8</v>
      </c>
      <c r="P1641" s="19">
        <v>0</v>
      </c>
      <c r="Q1641" s="19">
        <v>0</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3718</v>
      </c>
      <c r="BC1641" s="28">
        <v>0</v>
      </c>
      <c r="BD1641" s="28">
        <v>1</v>
      </c>
      <c r="BE1641" s="285" t="s">
        <v>3719</v>
      </c>
      <c r="BF1641" s="285" t="s">
        <v>3720</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69041006</v>
      </c>
      <c r="D1642" s="20" t="s">
        <v>3721</v>
      </c>
      <c r="E1642" s="20" t="s">
        <v>3722</v>
      </c>
      <c r="F1642" s="19">
        <v>1</v>
      </c>
      <c r="G1642" s="19">
        <v>68000015</v>
      </c>
      <c r="H1642" s="19">
        <v>0</v>
      </c>
      <c r="I1642" s="28">
        <v>0</v>
      </c>
      <c r="J1642" s="19">
        <v>1</v>
      </c>
      <c r="K1642" s="19">
        <v>0</v>
      </c>
      <c r="L1642" s="19">
        <v>0</v>
      </c>
      <c r="M1642" s="19">
        <v>0</v>
      </c>
      <c r="N1642" s="19">
        <v>0</v>
      </c>
      <c r="O1642" s="19">
        <v>8</v>
      </c>
      <c r="P1642" s="19">
        <v>0</v>
      </c>
      <c r="Q1642" s="19">
        <v>0</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3723</v>
      </c>
      <c r="BC1642" s="28">
        <v>0</v>
      </c>
      <c r="BD1642" s="28">
        <v>1</v>
      </c>
      <c r="BE1642" s="285" t="s">
        <v>3724</v>
      </c>
      <c r="BF1642" s="285" t="s">
        <v>3725</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69041007</v>
      </c>
      <c r="D1643" s="20" t="s">
        <v>3726</v>
      </c>
      <c r="E1643" s="20" t="s">
        <v>3727</v>
      </c>
      <c r="F1643" s="19">
        <v>1</v>
      </c>
      <c r="G1643" s="19">
        <v>68000015</v>
      </c>
      <c r="H1643" s="19">
        <v>0</v>
      </c>
      <c r="I1643" s="28">
        <v>0</v>
      </c>
      <c r="J1643" s="19">
        <v>1</v>
      </c>
      <c r="K1643" s="19">
        <v>0</v>
      </c>
      <c r="L1643" s="19">
        <v>0</v>
      </c>
      <c r="M1643" s="19">
        <v>0</v>
      </c>
      <c r="N1643" s="19">
        <v>0</v>
      </c>
      <c r="O1643" s="19">
        <v>8</v>
      </c>
      <c r="P1643" s="19">
        <v>0</v>
      </c>
      <c r="Q1643" s="19">
        <v>0</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17" t="s">
        <v>3214</v>
      </c>
      <c r="BC1643" s="28">
        <v>0</v>
      </c>
      <c r="BD1643" s="28">
        <v>1</v>
      </c>
      <c r="BE1643" s="285" t="s">
        <v>3215</v>
      </c>
      <c r="BF1643" s="285" t="s">
        <v>3728</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69051001</v>
      </c>
      <c r="D1644" s="270" t="s">
        <v>598</v>
      </c>
      <c r="E1644" s="270" t="s">
        <v>1162</v>
      </c>
      <c r="F1644" s="76">
        <v>1</v>
      </c>
      <c r="G1644" s="76">
        <v>61011101</v>
      </c>
      <c r="H1644" s="74">
        <v>0</v>
      </c>
      <c r="I1644" s="74">
        <v>0</v>
      </c>
      <c r="J1644" s="76">
        <v>1</v>
      </c>
      <c r="K1644" s="76">
        <v>0</v>
      </c>
      <c r="L1644" s="74">
        <v>0</v>
      </c>
      <c r="M1644" s="74">
        <v>0</v>
      </c>
      <c r="N1644" s="74" t="s">
        <v>3729</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3730</v>
      </c>
      <c r="BF1644" s="270" t="s">
        <v>3731</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69051002</v>
      </c>
      <c r="D1645" s="270" t="s">
        <v>532</v>
      </c>
      <c r="E1645" s="270" t="s">
        <v>255</v>
      </c>
      <c r="F1645" s="76">
        <v>1</v>
      </c>
      <c r="G1645" s="76">
        <v>61011201</v>
      </c>
      <c r="H1645" s="74">
        <v>0</v>
      </c>
      <c r="I1645" s="74">
        <v>0</v>
      </c>
      <c r="J1645" s="76">
        <v>1</v>
      </c>
      <c r="K1645" s="76">
        <v>0</v>
      </c>
      <c r="L1645" s="74">
        <v>0</v>
      </c>
      <c r="M1645" s="74">
        <v>0</v>
      </c>
      <c r="N1645" s="74" t="s">
        <v>3732</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3733</v>
      </c>
      <c r="BF1645" s="270" t="s">
        <v>3734</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69051003</v>
      </c>
      <c r="D1646" s="270" t="s">
        <v>1367</v>
      </c>
      <c r="E1646" s="270" t="s">
        <v>1465</v>
      </c>
      <c r="F1646" s="76">
        <v>1</v>
      </c>
      <c r="G1646" s="76">
        <v>61011301</v>
      </c>
      <c r="H1646" s="74">
        <v>0</v>
      </c>
      <c r="I1646" s="74">
        <v>0</v>
      </c>
      <c r="J1646" s="76">
        <v>1</v>
      </c>
      <c r="K1646" s="76">
        <v>0</v>
      </c>
      <c r="L1646" s="74">
        <v>0</v>
      </c>
      <c r="M1646" s="74">
        <v>0</v>
      </c>
      <c r="N1646" s="74" t="s">
        <v>3735</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3736</v>
      </c>
      <c r="BF1646" s="270" t="s">
        <v>3737</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69051011</v>
      </c>
      <c r="D1647" s="270" t="s">
        <v>3738</v>
      </c>
      <c r="E1647" s="270" t="s">
        <v>3739</v>
      </c>
      <c r="F1647" s="76">
        <v>1</v>
      </c>
      <c r="G1647" s="76">
        <v>61021401</v>
      </c>
      <c r="H1647" s="74">
        <v>0</v>
      </c>
      <c r="I1647" s="74">
        <v>0</v>
      </c>
      <c r="J1647" s="76">
        <v>1</v>
      </c>
      <c r="K1647" s="76">
        <v>0</v>
      </c>
      <c r="L1647" s="74">
        <v>0</v>
      </c>
      <c r="M1647" s="74">
        <v>0</v>
      </c>
      <c r="N1647" s="74" t="s">
        <v>3393</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3391</v>
      </c>
      <c r="BF1647" s="270" t="s">
        <v>3740</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69051012</v>
      </c>
      <c r="D1648" s="270" t="s">
        <v>3741</v>
      </c>
      <c r="E1648" s="270" t="s">
        <v>3742</v>
      </c>
      <c r="F1648" s="76">
        <v>1</v>
      </c>
      <c r="G1648" s="76">
        <v>61021201</v>
      </c>
      <c r="H1648" s="74">
        <v>0</v>
      </c>
      <c r="I1648" s="74">
        <v>0</v>
      </c>
      <c r="J1648" s="76">
        <v>1</v>
      </c>
      <c r="K1648" s="76">
        <v>0</v>
      </c>
      <c r="L1648" s="74">
        <v>0</v>
      </c>
      <c r="M1648" s="74">
        <v>0</v>
      </c>
      <c r="N1648" s="74" t="s">
        <v>3396</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3394</v>
      </c>
      <c r="BF1648" s="270" t="s">
        <v>3743</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69051013</v>
      </c>
      <c r="D1649" s="270" t="s">
        <v>3744</v>
      </c>
      <c r="E1649" s="270" t="s">
        <v>3745</v>
      </c>
      <c r="F1649" s="76">
        <v>1</v>
      </c>
      <c r="G1649" s="76">
        <v>61021301</v>
      </c>
      <c r="H1649" s="74">
        <v>0</v>
      </c>
      <c r="I1649" s="74">
        <v>0</v>
      </c>
      <c r="J1649" s="76">
        <v>1</v>
      </c>
      <c r="K1649" s="76">
        <v>0</v>
      </c>
      <c r="L1649" s="74">
        <v>0</v>
      </c>
      <c r="M1649" s="74">
        <v>0</v>
      </c>
      <c r="N1649" s="74" t="s">
        <v>3399</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3397</v>
      </c>
      <c r="BF1649" s="270" t="s">
        <v>3746</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69051014</v>
      </c>
      <c r="D1650" s="270" t="s">
        <v>3747</v>
      </c>
      <c r="E1650" s="270" t="s">
        <v>3748</v>
      </c>
      <c r="F1650" s="76">
        <v>1</v>
      </c>
      <c r="G1650" s="76">
        <v>61021402</v>
      </c>
      <c r="H1650" s="74">
        <v>0</v>
      </c>
      <c r="I1650" s="74">
        <v>0</v>
      </c>
      <c r="J1650" s="76">
        <v>1</v>
      </c>
      <c r="K1650" s="76">
        <v>0</v>
      </c>
      <c r="L1650" s="74">
        <v>0</v>
      </c>
      <c r="M1650" s="74">
        <v>0</v>
      </c>
      <c r="N1650" s="74" t="s">
        <v>3402</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3400</v>
      </c>
      <c r="BF1650" s="270" t="s">
        <v>3749</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69051021</v>
      </c>
      <c r="D1651" s="270" t="s">
        <v>3750</v>
      </c>
      <c r="E1651" s="270" t="s">
        <v>558</v>
      </c>
      <c r="F1651" s="76">
        <v>1</v>
      </c>
      <c r="G1651" s="76">
        <v>61022101</v>
      </c>
      <c r="H1651" s="74">
        <v>0</v>
      </c>
      <c r="I1651" s="74">
        <v>0</v>
      </c>
      <c r="J1651" s="76">
        <v>1</v>
      </c>
      <c r="K1651" s="76">
        <v>0</v>
      </c>
      <c r="L1651" s="74">
        <v>0</v>
      </c>
      <c r="M1651" s="74">
        <v>0</v>
      </c>
      <c r="N1651" s="74" t="s">
        <v>3405</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3403</v>
      </c>
      <c r="BF1651" s="270" t="s">
        <v>3751</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69051022</v>
      </c>
      <c r="D1652" s="270" t="s">
        <v>3752</v>
      </c>
      <c r="E1652" s="270" t="s">
        <v>3753</v>
      </c>
      <c r="F1652" s="76">
        <v>1</v>
      </c>
      <c r="G1652" s="76">
        <v>61022201</v>
      </c>
      <c r="H1652" s="74">
        <v>0</v>
      </c>
      <c r="I1652" s="74">
        <v>0</v>
      </c>
      <c r="J1652" s="76">
        <v>1</v>
      </c>
      <c r="K1652" s="76">
        <v>0</v>
      </c>
      <c r="L1652" s="74">
        <v>0</v>
      </c>
      <c r="M1652" s="74">
        <v>0</v>
      </c>
      <c r="N1652" s="74" t="s">
        <v>3408</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3406</v>
      </c>
      <c r="BF1652" s="270" t="s">
        <v>3754</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69051023</v>
      </c>
      <c r="D1653" s="270" t="s">
        <v>3755</v>
      </c>
      <c r="E1653" s="270" t="s">
        <v>1588</v>
      </c>
      <c r="F1653" s="76">
        <v>1</v>
      </c>
      <c r="G1653" s="76">
        <v>61022301</v>
      </c>
      <c r="H1653" s="74">
        <v>0</v>
      </c>
      <c r="I1653" s="74">
        <v>0</v>
      </c>
      <c r="J1653" s="76">
        <v>1</v>
      </c>
      <c r="K1653" s="76">
        <v>0</v>
      </c>
      <c r="L1653" s="74">
        <v>0</v>
      </c>
      <c r="M1653" s="74">
        <v>0</v>
      </c>
      <c r="N1653" s="74" t="s">
        <v>3411</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3409</v>
      </c>
      <c r="BF1653" s="270" t="s">
        <v>3756</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69051024</v>
      </c>
      <c r="D1654" s="270" t="s">
        <v>3757</v>
      </c>
      <c r="E1654" s="270" t="s">
        <v>1558</v>
      </c>
      <c r="F1654" s="76">
        <v>1</v>
      </c>
      <c r="G1654" s="76">
        <v>61022401</v>
      </c>
      <c r="H1654" s="74">
        <v>0</v>
      </c>
      <c r="I1654" s="74">
        <v>0</v>
      </c>
      <c r="J1654" s="76">
        <v>1</v>
      </c>
      <c r="K1654" s="76">
        <v>0</v>
      </c>
      <c r="L1654" s="74">
        <v>0</v>
      </c>
      <c r="M1654" s="74">
        <v>0</v>
      </c>
      <c r="N1654" s="74" t="s">
        <v>3414</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3412</v>
      </c>
      <c r="BF1654" s="270" t="s">
        <v>3758</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69051031</v>
      </c>
      <c r="D1655" s="270" t="s">
        <v>3759</v>
      </c>
      <c r="E1655" s="270" t="s">
        <v>1615</v>
      </c>
      <c r="F1655" s="76">
        <v>1</v>
      </c>
      <c r="G1655" s="76">
        <v>61023101</v>
      </c>
      <c r="H1655" s="74">
        <v>0</v>
      </c>
      <c r="I1655" s="74">
        <v>0</v>
      </c>
      <c r="J1655" s="76">
        <v>1</v>
      </c>
      <c r="K1655" s="76">
        <v>0</v>
      </c>
      <c r="L1655" s="74">
        <v>0</v>
      </c>
      <c r="M1655" s="74">
        <v>0</v>
      </c>
      <c r="N1655" s="74" t="s">
        <v>3417</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3415</v>
      </c>
      <c r="BF1655" s="270" t="s">
        <v>3760</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69051032</v>
      </c>
      <c r="D1656" s="270" t="s">
        <v>3761</v>
      </c>
      <c r="E1656" s="270" t="s">
        <v>1623</v>
      </c>
      <c r="F1656" s="76">
        <v>1</v>
      </c>
      <c r="G1656" s="76">
        <v>61023201</v>
      </c>
      <c r="H1656" s="74">
        <v>0</v>
      </c>
      <c r="I1656" s="74">
        <v>0</v>
      </c>
      <c r="J1656" s="76">
        <v>1</v>
      </c>
      <c r="K1656" s="76">
        <v>0</v>
      </c>
      <c r="L1656" s="74">
        <v>0</v>
      </c>
      <c r="M1656" s="74">
        <v>0</v>
      </c>
      <c r="N1656" s="74" t="s">
        <v>3420</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3418</v>
      </c>
      <c r="BF1656" s="270" t="s">
        <v>3762</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69051033</v>
      </c>
      <c r="D1657" s="270" t="s">
        <v>3763</v>
      </c>
      <c r="E1657" s="270" t="s">
        <v>1644</v>
      </c>
      <c r="F1657" s="76">
        <v>1</v>
      </c>
      <c r="G1657" s="76">
        <v>61023301</v>
      </c>
      <c r="H1657" s="74">
        <v>0</v>
      </c>
      <c r="I1657" s="74">
        <v>0</v>
      </c>
      <c r="J1657" s="76">
        <v>1</v>
      </c>
      <c r="K1657" s="76">
        <v>0</v>
      </c>
      <c r="L1657" s="74">
        <v>0</v>
      </c>
      <c r="M1657" s="74">
        <v>0</v>
      </c>
      <c r="N1657" s="74" t="s">
        <v>3423</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3421</v>
      </c>
      <c r="BF1657" s="270" t="s">
        <v>3764</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69051034</v>
      </c>
      <c r="D1658" s="270" t="s">
        <v>3765</v>
      </c>
      <c r="E1658" s="270" t="s">
        <v>3766</v>
      </c>
      <c r="F1658" s="76">
        <v>1</v>
      </c>
      <c r="G1658" s="76">
        <v>61023401</v>
      </c>
      <c r="H1658" s="74">
        <v>0</v>
      </c>
      <c r="I1658" s="74">
        <v>0</v>
      </c>
      <c r="J1658" s="76">
        <v>1</v>
      </c>
      <c r="K1658" s="76">
        <v>0</v>
      </c>
      <c r="L1658" s="74">
        <v>0</v>
      </c>
      <c r="M1658" s="74">
        <v>0</v>
      </c>
      <c r="N1658" s="74" t="s">
        <v>3426</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3424</v>
      </c>
      <c r="BF1658" s="270" t="s">
        <v>3767</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69052001</v>
      </c>
      <c r="D1659" s="270" t="s">
        <v>3768</v>
      </c>
      <c r="E1659" s="270" t="s">
        <v>1671</v>
      </c>
      <c r="F1659" s="76">
        <v>1</v>
      </c>
      <c r="G1659" s="76">
        <v>62011101</v>
      </c>
      <c r="H1659" s="74">
        <v>0</v>
      </c>
      <c r="I1659" s="74">
        <v>0</v>
      </c>
      <c r="J1659" s="76">
        <v>1</v>
      </c>
      <c r="K1659" s="76">
        <v>0</v>
      </c>
      <c r="L1659" s="74">
        <v>0</v>
      </c>
      <c r="M1659" s="74">
        <v>0</v>
      </c>
      <c r="N1659" s="74" t="s">
        <v>3769</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3770</v>
      </c>
      <c r="BF1659" s="270" t="s">
        <v>3771</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69052002</v>
      </c>
      <c r="D1660" s="270" t="s">
        <v>3772</v>
      </c>
      <c r="E1660" s="270" t="s">
        <v>1679</v>
      </c>
      <c r="F1660" s="76">
        <v>1</v>
      </c>
      <c r="G1660" s="76">
        <v>62011201</v>
      </c>
      <c r="H1660" s="74">
        <v>0</v>
      </c>
      <c r="I1660" s="74">
        <v>0</v>
      </c>
      <c r="J1660" s="76">
        <v>1</v>
      </c>
      <c r="K1660" s="76">
        <v>0</v>
      </c>
      <c r="L1660" s="74">
        <v>0</v>
      </c>
      <c r="M1660" s="74">
        <v>0</v>
      </c>
      <c r="N1660" s="74" t="s">
        <v>3773</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3774</v>
      </c>
      <c r="BF1660" s="270" t="s">
        <v>3775</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69052003</v>
      </c>
      <c r="D1661" s="270" t="s">
        <v>3776</v>
      </c>
      <c r="E1661" s="270" t="s">
        <v>1686</v>
      </c>
      <c r="F1661" s="76">
        <v>1</v>
      </c>
      <c r="G1661" s="76">
        <v>62011301</v>
      </c>
      <c r="H1661" s="74">
        <v>0</v>
      </c>
      <c r="I1661" s="74">
        <v>0</v>
      </c>
      <c r="J1661" s="76">
        <v>1</v>
      </c>
      <c r="K1661" s="76">
        <v>0</v>
      </c>
      <c r="L1661" s="74">
        <v>0</v>
      </c>
      <c r="M1661" s="74">
        <v>0</v>
      </c>
      <c r="N1661" s="74" t="s">
        <v>3777</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3778</v>
      </c>
      <c r="BF1661" s="270" t="s">
        <v>3779</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69052011</v>
      </c>
      <c r="D1662" s="270" t="s">
        <v>3780</v>
      </c>
      <c r="E1662" s="270" t="s">
        <v>1498</v>
      </c>
      <c r="F1662" s="76">
        <v>1</v>
      </c>
      <c r="G1662" s="76">
        <v>61021101</v>
      </c>
      <c r="H1662" s="74">
        <v>0</v>
      </c>
      <c r="I1662" s="74">
        <v>0</v>
      </c>
      <c r="J1662" s="76">
        <v>1</v>
      </c>
      <c r="K1662" s="76">
        <v>0</v>
      </c>
      <c r="L1662" s="74">
        <v>0</v>
      </c>
      <c r="M1662" s="74">
        <v>0</v>
      </c>
      <c r="N1662" s="74" t="s">
        <v>3444</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3442</v>
      </c>
      <c r="BF1662" s="270" t="s">
        <v>3781</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69052012</v>
      </c>
      <c r="D1663" s="270" t="s">
        <v>3782</v>
      </c>
      <c r="E1663" s="270" t="s">
        <v>1325</v>
      </c>
      <c r="F1663" s="76">
        <v>1</v>
      </c>
      <c r="G1663" s="76">
        <v>62021301</v>
      </c>
      <c r="H1663" s="74">
        <v>0</v>
      </c>
      <c r="I1663" s="74">
        <v>0</v>
      </c>
      <c r="J1663" s="76">
        <v>1</v>
      </c>
      <c r="K1663" s="76">
        <v>0</v>
      </c>
      <c r="L1663" s="74">
        <v>0</v>
      </c>
      <c r="M1663" s="74">
        <v>0</v>
      </c>
      <c r="N1663" s="74" t="s">
        <v>3447</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3445</v>
      </c>
      <c r="BF1663" s="270" t="s">
        <v>3783</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69052013</v>
      </c>
      <c r="D1664" s="270" t="s">
        <v>3784</v>
      </c>
      <c r="E1664" s="270" t="s">
        <v>368</v>
      </c>
      <c r="F1664" s="76">
        <v>1</v>
      </c>
      <c r="G1664" s="76">
        <v>62021401</v>
      </c>
      <c r="H1664" s="74">
        <v>0</v>
      </c>
      <c r="I1664" s="74">
        <v>0</v>
      </c>
      <c r="J1664" s="76">
        <v>1</v>
      </c>
      <c r="K1664" s="76">
        <v>0</v>
      </c>
      <c r="L1664" s="74">
        <v>0</v>
      </c>
      <c r="M1664" s="74">
        <v>0</v>
      </c>
      <c r="N1664" s="74" t="s">
        <v>3450</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3448</v>
      </c>
      <c r="BF1664" s="270" t="s">
        <v>3785</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69052014</v>
      </c>
      <c r="D1665" s="270" t="s">
        <v>3786</v>
      </c>
      <c r="E1665" s="270" t="s">
        <v>3787</v>
      </c>
      <c r="F1665" s="76">
        <v>1</v>
      </c>
      <c r="G1665" s="76">
        <v>62021501</v>
      </c>
      <c r="H1665" s="74">
        <v>0</v>
      </c>
      <c r="I1665" s="74">
        <v>0</v>
      </c>
      <c r="J1665" s="76">
        <v>1</v>
      </c>
      <c r="K1665" s="76">
        <v>0</v>
      </c>
      <c r="L1665" s="74">
        <v>0</v>
      </c>
      <c r="M1665" s="74">
        <v>0</v>
      </c>
      <c r="N1665" s="74" t="s">
        <v>3453</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3451</v>
      </c>
      <c r="BF1665" s="270" t="s">
        <v>3788</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69052021</v>
      </c>
      <c r="D1666" s="270" t="s">
        <v>3789</v>
      </c>
      <c r="E1666" s="270" t="s">
        <v>3790</v>
      </c>
      <c r="F1666" s="76">
        <v>1</v>
      </c>
      <c r="G1666" s="76">
        <v>62022101</v>
      </c>
      <c r="H1666" s="74">
        <v>0</v>
      </c>
      <c r="I1666" s="74">
        <v>0</v>
      </c>
      <c r="J1666" s="76">
        <v>1</v>
      </c>
      <c r="K1666" s="76">
        <v>0</v>
      </c>
      <c r="L1666" s="74">
        <v>0</v>
      </c>
      <c r="M1666" s="74">
        <v>0</v>
      </c>
      <c r="N1666" s="74" t="s">
        <v>3456</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3454</v>
      </c>
      <c r="BF1666" s="270" t="s">
        <v>3791</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69052022</v>
      </c>
      <c r="D1667" s="270" t="s">
        <v>3792</v>
      </c>
      <c r="E1667" s="270" t="s">
        <v>3793</v>
      </c>
      <c r="F1667" s="76">
        <v>1</v>
      </c>
      <c r="G1667" s="76">
        <v>62022201</v>
      </c>
      <c r="H1667" s="74">
        <v>0</v>
      </c>
      <c r="I1667" s="74">
        <v>0</v>
      </c>
      <c r="J1667" s="76">
        <v>1</v>
      </c>
      <c r="K1667" s="76">
        <v>0</v>
      </c>
      <c r="L1667" s="74">
        <v>0</v>
      </c>
      <c r="M1667" s="74">
        <v>0</v>
      </c>
      <c r="N1667" s="74" t="s">
        <v>3459</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3457</v>
      </c>
      <c r="BF1667" s="270" t="s">
        <v>3794</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69052023</v>
      </c>
      <c r="D1668" s="270" t="s">
        <v>3795</v>
      </c>
      <c r="E1668" s="270" t="s">
        <v>1788</v>
      </c>
      <c r="F1668" s="76">
        <v>1</v>
      </c>
      <c r="G1668" s="76">
        <v>62022301</v>
      </c>
      <c r="H1668" s="74">
        <v>0</v>
      </c>
      <c r="I1668" s="74">
        <v>0</v>
      </c>
      <c r="J1668" s="76">
        <v>1</v>
      </c>
      <c r="K1668" s="76">
        <v>0</v>
      </c>
      <c r="L1668" s="74">
        <v>0</v>
      </c>
      <c r="M1668" s="74">
        <v>0</v>
      </c>
      <c r="N1668" s="74" t="s">
        <v>3462</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3460</v>
      </c>
      <c r="BF1668" s="270" t="s">
        <v>3796</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69052024</v>
      </c>
      <c r="D1669" s="270" t="s">
        <v>3797</v>
      </c>
      <c r="E1669" s="270" t="s">
        <v>3798</v>
      </c>
      <c r="F1669" s="76">
        <v>1</v>
      </c>
      <c r="G1669" s="76">
        <v>62022401</v>
      </c>
      <c r="H1669" s="74">
        <v>0</v>
      </c>
      <c r="I1669" s="74">
        <v>0</v>
      </c>
      <c r="J1669" s="76">
        <v>1</v>
      </c>
      <c r="K1669" s="76">
        <v>0</v>
      </c>
      <c r="L1669" s="74">
        <v>0</v>
      </c>
      <c r="M1669" s="74">
        <v>0</v>
      </c>
      <c r="N1669" s="74" t="s">
        <v>3465</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3463</v>
      </c>
      <c r="BF1669" s="270" t="s">
        <v>3799</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69052031</v>
      </c>
      <c r="D1670" s="270" t="s">
        <v>3800</v>
      </c>
      <c r="E1670" s="270" t="s">
        <v>341</v>
      </c>
      <c r="F1670" s="76">
        <v>1</v>
      </c>
      <c r="G1670" s="76">
        <v>62021101</v>
      </c>
      <c r="H1670" s="74">
        <v>0</v>
      </c>
      <c r="I1670" s="74">
        <v>0</v>
      </c>
      <c r="J1670" s="76">
        <v>1</v>
      </c>
      <c r="K1670" s="76">
        <v>0</v>
      </c>
      <c r="L1670" s="74">
        <v>0</v>
      </c>
      <c r="M1670" s="74">
        <v>0</v>
      </c>
      <c r="N1670" s="74" t="s">
        <v>3468</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3466</v>
      </c>
      <c r="BF1670" s="270" t="s">
        <v>3801</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9">
        <v>69052032</v>
      </c>
      <c r="D1671" s="270" t="s">
        <v>3802</v>
      </c>
      <c r="E1671" s="270" t="s">
        <v>3803</v>
      </c>
      <c r="F1671" s="76">
        <v>1</v>
      </c>
      <c r="G1671" s="76">
        <v>62023201</v>
      </c>
      <c r="H1671" s="74">
        <v>0</v>
      </c>
      <c r="I1671" s="74">
        <v>0</v>
      </c>
      <c r="J1671" s="76">
        <v>1</v>
      </c>
      <c r="K1671" s="76">
        <v>0</v>
      </c>
      <c r="L1671" s="74">
        <v>0</v>
      </c>
      <c r="M1671" s="74">
        <v>0</v>
      </c>
      <c r="N1671" s="74" t="s">
        <v>3471</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73">
        <v>0</v>
      </c>
      <c r="AU1671" s="74">
        <v>0</v>
      </c>
      <c r="AV1671" s="74"/>
      <c r="AW1671" s="270">
        <v>0</v>
      </c>
      <c r="AX1671" s="74">
        <v>0</v>
      </c>
      <c r="AY1671" s="74">
        <v>0</v>
      </c>
      <c r="AZ1671" s="74">
        <v>0</v>
      </c>
      <c r="BA1671" s="14" t="s">
        <v>200</v>
      </c>
      <c r="BB1671" s="74">
        <v>0</v>
      </c>
      <c r="BC1671" s="275">
        <v>0</v>
      </c>
      <c r="BD1671" s="28">
        <v>1</v>
      </c>
      <c r="BE1671" s="270" t="s">
        <v>3469</v>
      </c>
      <c r="BF1671" s="270" t="s">
        <v>3804</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spans="3:75" ht="20.100000000000001" customHeight="1">
      <c r="C1672" s="19">
        <v>69052033</v>
      </c>
      <c r="D1672" s="270" t="s">
        <v>3805</v>
      </c>
      <c r="E1672" s="270" t="s">
        <v>1844</v>
      </c>
      <c r="F1672" s="76">
        <v>1</v>
      </c>
      <c r="G1672" s="76">
        <v>62023301</v>
      </c>
      <c r="H1672" s="74">
        <v>0</v>
      </c>
      <c r="I1672" s="74">
        <v>0</v>
      </c>
      <c r="J1672" s="76">
        <v>1</v>
      </c>
      <c r="K1672" s="76">
        <v>0</v>
      </c>
      <c r="L1672" s="74">
        <v>0</v>
      </c>
      <c r="M1672" s="74">
        <v>0</v>
      </c>
      <c r="N1672" s="74" t="s">
        <v>3474</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73">
        <v>0</v>
      </c>
      <c r="AU1672" s="74">
        <v>0</v>
      </c>
      <c r="AV1672" s="74"/>
      <c r="AW1672" s="270">
        <v>0</v>
      </c>
      <c r="AX1672" s="74">
        <v>0</v>
      </c>
      <c r="AY1672" s="74">
        <v>0</v>
      </c>
      <c r="AZ1672" s="74">
        <v>0</v>
      </c>
      <c r="BA1672" s="14" t="s">
        <v>200</v>
      </c>
      <c r="BB1672" s="74">
        <v>0</v>
      </c>
      <c r="BC1672" s="275">
        <v>0</v>
      </c>
      <c r="BD1672" s="28">
        <v>1</v>
      </c>
      <c r="BE1672" s="270" t="s">
        <v>3472</v>
      </c>
      <c r="BF1672" s="270" t="s">
        <v>3806</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spans="3:75" ht="20.100000000000001" customHeight="1">
      <c r="C1673" s="19">
        <v>69052034</v>
      </c>
      <c r="D1673" s="270" t="s">
        <v>3807</v>
      </c>
      <c r="E1673" s="270" t="s">
        <v>3808</v>
      </c>
      <c r="F1673" s="76">
        <v>1</v>
      </c>
      <c r="G1673" s="76">
        <v>62023401</v>
      </c>
      <c r="H1673" s="74">
        <v>0</v>
      </c>
      <c r="I1673" s="74">
        <v>0</v>
      </c>
      <c r="J1673" s="76">
        <v>1</v>
      </c>
      <c r="K1673" s="76">
        <v>0</v>
      </c>
      <c r="L1673" s="74">
        <v>0</v>
      </c>
      <c r="M1673" s="74">
        <v>0</v>
      </c>
      <c r="N1673" s="74" t="s">
        <v>3477</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73">
        <v>0</v>
      </c>
      <c r="AU1673" s="74">
        <v>0</v>
      </c>
      <c r="AV1673" s="74"/>
      <c r="AW1673" s="270">
        <v>0</v>
      </c>
      <c r="AX1673" s="74">
        <v>0</v>
      </c>
      <c r="AY1673" s="74">
        <v>0</v>
      </c>
      <c r="AZ1673" s="74">
        <v>0</v>
      </c>
      <c r="BA1673" s="14" t="s">
        <v>200</v>
      </c>
      <c r="BB1673" s="74">
        <v>0</v>
      </c>
      <c r="BC1673" s="275">
        <v>0</v>
      </c>
      <c r="BD1673" s="28">
        <v>1</v>
      </c>
      <c r="BE1673" s="270" t="s">
        <v>3475</v>
      </c>
      <c r="BF1673" s="270" t="s">
        <v>3809</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spans="3:75" ht="20.100000000000001" customHeight="1">
      <c r="C1674" s="178">
        <v>69053001</v>
      </c>
      <c r="D1674" s="286" t="s">
        <v>1396</v>
      </c>
      <c r="E1674" s="286" t="s">
        <v>1868</v>
      </c>
      <c r="F1674" s="287">
        <v>1</v>
      </c>
      <c r="G1674" s="287">
        <v>62011101</v>
      </c>
      <c r="H1674" s="288">
        <v>0</v>
      </c>
      <c r="I1674" s="288">
        <v>0</v>
      </c>
      <c r="J1674" s="287">
        <v>1</v>
      </c>
      <c r="K1674" s="287">
        <v>0</v>
      </c>
      <c r="L1674" s="288">
        <v>0</v>
      </c>
      <c r="M1674" s="288">
        <v>0</v>
      </c>
      <c r="N1674" s="288" t="s">
        <v>3810</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3811</v>
      </c>
      <c r="BF1674" s="288" t="s">
        <v>3812</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69053002</v>
      </c>
      <c r="D1675" s="286" t="s">
        <v>1404</v>
      </c>
      <c r="E1675" s="286" t="s">
        <v>1882</v>
      </c>
      <c r="F1675" s="287">
        <v>1</v>
      </c>
      <c r="G1675" s="287">
        <v>62011201</v>
      </c>
      <c r="H1675" s="288">
        <v>0</v>
      </c>
      <c r="I1675" s="288">
        <v>0</v>
      </c>
      <c r="J1675" s="287">
        <v>1</v>
      </c>
      <c r="K1675" s="287">
        <v>0</v>
      </c>
      <c r="L1675" s="288">
        <v>0</v>
      </c>
      <c r="M1675" s="288">
        <v>0</v>
      </c>
      <c r="N1675" s="288" t="s">
        <v>3813</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3814</v>
      </c>
      <c r="BF1675" s="288" t="s">
        <v>3815</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69053003</v>
      </c>
      <c r="D1676" s="286" t="s">
        <v>1412</v>
      </c>
      <c r="E1676" s="286" t="s">
        <v>1944</v>
      </c>
      <c r="F1676" s="287">
        <v>1</v>
      </c>
      <c r="G1676" s="287">
        <v>62011301</v>
      </c>
      <c r="H1676" s="288">
        <v>0</v>
      </c>
      <c r="I1676" s="288">
        <v>0</v>
      </c>
      <c r="J1676" s="287">
        <v>1</v>
      </c>
      <c r="K1676" s="287">
        <v>0</v>
      </c>
      <c r="L1676" s="288">
        <v>0</v>
      </c>
      <c r="M1676" s="288">
        <v>0</v>
      </c>
      <c r="N1676" s="288" t="s">
        <v>3816</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3817</v>
      </c>
      <c r="BF1676" s="288" t="s">
        <v>3818</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69053011</v>
      </c>
      <c r="D1677" s="286" t="s">
        <v>1959</v>
      </c>
      <c r="E1677" s="286" t="s">
        <v>1960</v>
      </c>
      <c r="F1677" s="287">
        <v>1</v>
      </c>
      <c r="G1677" s="287">
        <v>61021101</v>
      </c>
      <c r="H1677" s="288">
        <v>0</v>
      </c>
      <c r="I1677" s="288">
        <v>0</v>
      </c>
      <c r="J1677" s="287">
        <v>1</v>
      </c>
      <c r="K1677" s="287">
        <v>0</v>
      </c>
      <c r="L1677" s="288">
        <v>0</v>
      </c>
      <c r="M1677" s="288">
        <v>0</v>
      </c>
      <c r="N1677" s="288" t="s">
        <v>3494</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3492</v>
      </c>
      <c r="BF1677" s="288" t="s">
        <v>3819</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69053012</v>
      </c>
      <c r="D1678" s="286" t="s">
        <v>1983</v>
      </c>
      <c r="E1678" s="286" t="s">
        <v>1984</v>
      </c>
      <c r="F1678" s="287">
        <v>1</v>
      </c>
      <c r="G1678" s="287">
        <v>62021301</v>
      </c>
      <c r="H1678" s="288">
        <v>0</v>
      </c>
      <c r="I1678" s="288">
        <v>0</v>
      </c>
      <c r="J1678" s="287">
        <v>1</v>
      </c>
      <c r="K1678" s="287">
        <v>0</v>
      </c>
      <c r="L1678" s="288">
        <v>0</v>
      </c>
      <c r="M1678" s="288">
        <v>0</v>
      </c>
      <c r="N1678" s="288" t="s">
        <v>3497</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3495</v>
      </c>
      <c r="BF1678" s="288" t="s">
        <v>3820</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69053013</v>
      </c>
      <c r="D1679" s="286" t="s">
        <v>2007</v>
      </c>
      <c r="E1679" s="286" t="s">
        <v>2008</v>
      </c>
      <c r="F1679" s="287">
        <v>1</v>
      </c>
      <c r="G1679" s="287">
        <v>62021401</v>
      </c>
      <c r="H1679" s="288">
        <v>0</v>
      </c>
      <c r="I1679" s="288">
        <v>0</v>
      </c>
      <c r="J1679" s="287">
        <v>1</v>
      </c>
      <c r="K1679" s="287">
        <v>0</v>
      </c>
      <c r="L1679" s="288">
        <v>0</v>
      </c>
      <c r="M1679" s="288">
        <v>0</v>
      </c>
      <c r="N1679" s="288" t="s">
        <v>3500</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3498</v>
      </c>
      <c r="BF1679" s="288" t="s">
        <v>3821</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69053014</v>
      </c>
      <c r="D1680" s="286" t="s">
        <v>2014</v>
      </c>
      <c r="E1680" s="286" t="s">
        <v>2015</v>
      </c>
      <c r="F1680" s="287">
        <v>1</v>
      </c>
      <c r="G1680" s="287">
        <v>62021501</v>
      </c>
      <c r="H1680" s="288">
        <v>0</v>
      </c>
      <c r="I1680" s="288">
        <v>0</v>
      </c>
      <c r="J1680" s="287">
        <v>1</v>
      </c>
      <c r="K1680" s="287">
        <v>0</v>
      </c>
      <c r="L1680" s="288">
        <v>0</v>
      </c>
      <c r="M1680" s="288">
        <v>0</v>
      </c>
      <c r="N1680" s="288" t="s">
        <v>3503</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3501</v>
      </c>
      <c r="BF1680" s="288" t="s">
        <v>3822</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69053021</v>
      </c>
      <c r="D1681" s="286" t="s">
        <v>2047</v>
      </c>
      <c r="E1681" s="286" t="s">
        <v>2048</v>
      </c>
      <c r="F1681" s="287">
        <v>1</v>
      </c>
      <c r="G1681" s="287">
        <v>62022101</v>
      </c>
      <c r="H1681" s="288">
        <v>0</v>
      </c>
      <c r="I1681" s="288">
        <v>0</v>
      </c>
      <c r="J1681" s="287">
        <v>1</v>
      </c>
      <c r="K1681" s="287">
        <v>0</v>
      </c>
      <c r="L1681" s="288">
        <v>0</v>
      </c>
      <c r="M1681" s="288">
        <v>0</v>
      </c>
      <c r="N1681" s="288" t="s">
        <v>3506</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3504</v>
      </c>
      <c r="BF1681" s="288" t="s">
        <v>3823</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69053022</v>
      </c>
      <c r="D1682" s="286" t="s">
        <v>2054</v>
      </c>
      <c r="E1682" s="286" t="s">
        <v>2055</v>
      </c>
      <c r="F1682" s="287">
        <v>1</v>
      </c>
      <c r="G1682" s="287">
        <v>62022201</v>
      </c>
      <c r="H1682" s="288">
        <v>0</v>
      </c>
      <c r="I1682" s="288">
        <v>0</v>
      </c>
      <c r="J1682" s="287">
        <v>1</v>
      </c>
      <c r="K1682" s="287">
        <v>0</v>
      </c>
      <c r="L1682" s="288">
        <v>0</v>
      </c>
      <c r="M1682" s="288">
        <v>0</v>
      </c>
      <c r="N1682" s="288" t="s">
        <v>3509</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3507</v>
      </c>
      <c r="BF1682" s="288" t="s">
        <v>3824</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69053023</v>
      </c>
      <c r="D1683" s="286" t="s">
        <v>1120</v>
      </c>
      <c r="E1683" s="286" t="s">
        <v>1121</v>
      </c>
      <c r="F1683" s="287">
        <v>1</v>
      </c>
      <c r="G1683" s="287">
        <v>62022301</v>
      </c>
      <c r="H1683" s="288">
        <v>0</v>
      </c>
      <c r="I1683" s="288">
        <v>0</v>
      </c>
      <c r="J1683" s="287">
        <v>1</v>
      </c>
      <c r="K1683" s="287">
        <v>0</v>
      </c>
      <c r="L1683" s="288">
        <v>0</v>
      </c>
      <c r="M1683" s="288">
        <v>0</v>
      </c>
      <c r="N1683" s="288" t="s">
        <v>3512</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3510</v>
      </c>
      <c r="BF1683" s="288" t="s">
        <v>3825</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69053024</v>
      </c>
      <c r="D1684" s="286" t="s">
        <v>2067</v>
      </c>
      <c r="E1684" s="286" t="s">
        <v>2068</v>
      </c>
      <c r="F1684" s="287">
        <v>1</v>
      </c>
      <c r="G1684" s="287">
        <v>62022401</v>
      </c>
      <c r="H1684" s="288">
        <v>0</v>
      </c>
      <c r="I1684" s="288">
        <v>0</v>
      </c>
      <c r="J1684" s="287">
        <v>1</v>
      </c>
      <c r="K1684" s="287">
        <v>0</v>
      </c>
      <c r="L1684" s="288">
        <v>0</v>
      </c>
      <c r="M1684" s="288">
        <v>0</v>
      </c>
      <c r="N1684" s="288" t="s">
        <v>3515</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3513</v>
      </c>
      <c r="BF1684" s="288" t="s">
        <v>3826</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69053031</v>
      </c>
      <c r="D1685" s="286" t="s">
        <v>2075</v>
      </c>
      <c r="E1685" s="286" t="s">
        <v>2076</v>
      </c>
      <c r="F1685" s="287">
        <v>1</v>
      </c>
      <c r="G1685" s="287">
        <v>62021101</v>
      </c>
      <c r="H1685" s="288">
        <v>0</v>
      </c>
      <c r="I1685" s="288">
        <v>0</v>
      </c>
      <c r="J1685" s="287">
        <v>1</v>
      </c>
      <c r="K1685" s="287">
        <v>0</v>
      </c>
      <c r="L1685" s="288">
        <v>0</v>
      </c>
      <c r="M1685" s="288">
        <v>0</v>
      </c>
      <c r="N1685" s="288" t="s">
        <v>3518</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3516</v>
      </c>
      <c r="BF1685" s="288" t="s">
        <v>3827</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78">
        <v>69053032</v>
      </c>
      <c r="D1686" s="286" t="s">
        <v>2098</v>
      </c>
      <c r="E1686" s="286" t="s">
        <v>2099</v>
      </c>
      <c r="F1686" s="287">
        <v>1</v>
      </c>
      <c r="G1686" s="287">
        <v>62023201</v>
      </c>
      <c r="H1686" s="288">
        <v>0</v>
      </c>
      <c r="I1686" s="288">
        <v>0</v>
      </c>
      <c r="J1686" s="287">
        <v>1</v>
      </c>
      <c r="K1686" s="287">
        <v>0</v>
      </c>
      <c r="L1686" s="288">
        <v>0</v>
      </c>
      <c r="M1686" s="288">
        <v>0</v>
      </c>
      <c r="N1686" s="288" t="s">
        <v>3521</v>
      </c>
      <c r="O1686" s="288">
        <v>3</v>
      </c>
      <c r="P1686" s="288">
        <v>0</v>
      </c>
      <c r="Q1686" s="288">
        <v>0</v>
      </c>
      <c r="R1686" s="288">
        <v>0</v>
      </c>
      <c r="S1686" s="177">
        <v>0</v>
      </c>
      <c r="T1686" s="288">
        <v>0</v>
      </c>
      <c r="U1686" s="174">
        <v>1</v>
      </c>
      <c r="V1686" s="288">
        <v>0</v>
      </c>
      <c r="W1686" s="288">
        <v>0</v>
      </c>
      <c r="X1686" s="288">
        <v>0</v>
      </c>
      <c r="Y1686" s="13">
        <v>0</v>
      </c>
      <c r="Z1686" s="288">
        <v>0</v>
      </c>
      <c r="AA1686" s="288">
        <v>0</v>
      </c>
      <c r="AB1686" s="288">
        <v>0</v>
      </c>
      <c r="AC1686" s="288">
        <v>0</v>
      </c>
      <c r="AD1686" s="287">
        <v>0</v>
      </c>
      <c r="AE1686" s="288">
        <v>0</v>
      </c>
      <c r="AF1686" s="288">
        <v>0</v>
      </c>
      <c r="AG1686" s="288">
        <v>0</v>
      </c>
      <c r="AH1686" s="288">
        <v>0</v>
      </c>
      <c r="AI1686" s="288">
        <v>0</v>
      </c>
      <c r="AJ1686" s="288">
        <v>0</v>
      </c>
      <c r="AK1686" s="177">
        <v>0</v>
      </c>
      <c r="AL1686" s="288">
        <v>0</v>
      </c>
      <c r="AM1686" s="288">
        <v>0</v>
      </c>
      <c r="AN1686" s="288">
        <v>0</v>
      </c>
      <c r="AO1686" s="288">
        <v>0</v>
      </c>
      <c r="AP1686" s="288">
        <v>0</v>
      </c>
      <c r="AQ1686" s="288">
        <v>0</v>
      </c>
      <c r="AR1686" s="288">
        <v>0</v>
      </c>
      <c r="AS1686" s="288">
        <v>0</v>
      </c>
      <c r="AT1686" s="289">
        <v>0</v>
      </c>
      <c r="AU1686" s="288">
        <v>0</v>
      </c>
      <c r="AV1686" s="288"/>
      <c r="AW1686" s="286">
        <v>0</v>
      </c>
      <c r="AX1686" s="288">
        <v>0</v>
      </c>
      <c r="AY1686" s="288">
        <v>0</v>
      </c>
      <c r="AZ1686" s="288">
        <v>0</v>
      </c>
      <c r="BA1686" s="202" t="s">
        <v>200</v>
      </c>
      <c r="BB1686" s="288">
        <v>0</v>
      </c>
      <c r="BC1686" s="290">
        <v>0</v>
      </c>
      <c r="BD1686" s="176">
        <v>1</v>
      </c>
      <c r="BE1686" s="288" t="s">
        <v>3519</v>
      </c>
      <c r="BF1686" s="288" t="s">
        <v>3828</v>
      </c>
      <c r="BG1686" s="288">
        <v>0</v>
      </c>
      <c r="BH1686" s="291">
        <v>0</v>
      </c>
      <c r="BI1686" s="177">
        <v>0</v>
      </c>
      <c r="BJ1686" s="288">
        <v>0</v>
      </c>
      <c r="BK1686" s="288">
        <v>0</v>
      </c>
      <c r="BL1686" s="288">
        <v>0</v>
      </c>
      <c r="BM1686" s="180">
        <v>0</v>
      </c>
      <c r="BN1686" s="177">
        <v>0</v>
      </c>
      <c r="BO1686" s="177">
        <v>0</v>
      </c>
      <c r="BP1686" s="177">
        <v>0</v>
      </c>
      <c r="BQ1686" s="177">
        <v>0</v>
      </c>
      <c r="BR1686" s="177">
        <v>0</v>
      </c>
      <c r="BS1686" s="177">
        <v>0</v>
      </c>
      <c r="BT1686" s="13">
        <v>0</v>
      </c>
      <c r="BU1686" s="49">
        <v>0</v>
      </c>
      <c r="BV1686" s="49"/>
      <c r="BW1686" s="49"/>
    </row>
    <row r="1687" spans="3:75" ht="20.100000000000001" customHeight="1">
      <c r="C1687" s="178">
        <v>69053033</v>
      </c>
      <c r="D1687" s="286" t="s">
        <v>2105</v>
      </c>
      <c r="E1687" s="286" t="s">
        <v>2106</v>
      </c>
      <c r="F1687" s="287">
        <v>1</v>
      </c>
      <c r="G1687" s="287">
        <v>62023301</v>
      </c>
      <c r="H1687" s="288">
        <v>0</v>
      </c>
      <c r="I1687" s="288">
        <v>0</v>
      </c>
      <c r="J1687" s="287">
        <v>1</v>
      </c>
      <c r="K1687" s="287">
        <v>0</v>
      </c>
      <c r="L1687" s="288">
        <v>0</v>
      </c>
      <c r="M1687" s="288">
        <v>0</v>
      </c>
      <c r="N1687" s="288" t="s">
        <v>3524</v>
      </c>
      <c r="O1687" s="288">
        <v>3</v>
      </c>
      <c r="P1687" s="288">
        <v>0</v>
      </c>
      <c r="Q1687" s="288">
        <v>0</v>
      </c>
      <c r="R1687" s="288">
        <v>0</v>
      </c>
      <c r="S1687" s="177">
        <v>0</v>
      </c>
      <c r="T1687" s="288">
        <v>0</v>
      </c>
      <c r="U1687" s="174">
        <v>1</v>
      </c>
      <c r="V1687" s="288">
        <v>0</v>
      </c>
      <c r="W1687" s="288">
        <v>0</v>
      </c>
      <c r="X1687" s="288">
        <v>0</v>
      </c>
      <c r="Y1687" s="13">
        <v>0</v>
      </c>
      <c r="Z1687" s="288">
        <v>0</v>
      </c>
      <c r="AA1687" s="288">
        <v>0</v>
      </c>
      <c r="AB1687" s="288">
        <v>0</v>
      </c>
      <c r="AC1687" s="288">
        <v>0</v>
      </c>
      <c r="AD1687" s="287">
        <v>0</v>
      </c>
      <c r="AE1687" s="288">
        <v>0</v>
      </c>
      <c r="AF1687" s="288">
        <v>0</v>
      </c>
      <c r="AG1687" s="288">
        <v>0</v>
      </c>
      <c r="AH1687" s="288">
        <v>0</v>
      </c>
      <c r="AI1687" s="288">
        <v>0</v>
      </c>
      <c r="AJ1687" s="288">
        <v>0</v>
      </c>
      <c r="AK1687" s="177">
        <v>0</v>
      </c>
      <c r="AL1687" s="288">
        <v>0</v>
      </c>
      <c r="AM1687" s="288">
        <v>0</v>
      </c>
      <c r="AN1687" s="288">
        <v>0</v>
      </c>
      <c r="AO1687" s="288">
        <v>0</v>
      </c>
      <c r="AP1687" s="288">
        <v>0</v>
      </c>
      <c r="AQ1687" s="288">
        <v>0</v>
      </c>
      <c r="AR1687" s="288">
        <v>0</v>
      </c>
      <c r="AS1687" s="288">
        <v>0</v>
      </c>
      <c r="AT1687" s="289">
        <v>0</v>
      </c>
      <c r="AU1687" s="288">
        <v>0</v>
      </c>
      <c r="AV1687" s="288"/>
      <c r="AW1687" s="286">
        <v>0</v>
      </c>
      <c r="AX1687" s="288">
        <v>0</v>
      </c>
      <c r="AY1687" s="288">
        <v>0</v>
      </c>
      <c r="AZ1687" s="288">
        <v>0</v>
      </c>
      <c r="BA1687" s="202" t="s">
        <v>200</v>
      </c>
      <c r="BB1687" s="288">
        <v>0</v>
      </c>
      <c r="BC1687" s="290">
        <v>0</v>
      </c>
      <c r="BD1687" s="176">
        <v>1</v>
      </c>
      <c r="BE1687" s="288" t="s">
        <v>3522</v>
      </c>
      <c r="BF1687" s="288" t="s">
        <v>3829</v>
      </c>
      <c r="BG1687" s="288">
        <v>0</v>
      </c>
      <c r="BH1687" s="291">
        <v>0</v>
      </c>
      <c r="BI1687" s="177">
        <v>0</v>
      </c>
      <c r="BJ1687" s="288">
        <v>0</v>
      </c>
      <c r="BK1687" s="288">
        <v>0</v>
      </c>
      <c r="BL1687" s="288">
        <v>0</v>
      </c>
      <c r="BM1687" s="180">
        <v>0</v>
      </c>
      <c r="BN1687" s="177">
        <v>0</v>
      </c>
      <c r="BO1687" s="177">
        <v>0</v>
      </c>
      <c r="BP1687" s="177">
        <v>0</v>
      </c>
      <c r="BQ1687" s="177">
        <v>0</v>
      </c>
      <c r="BR1687" s="177">
        <v>0</v>
      </c>
      <c r="BS1687" s="177">
        <v>0</v>
      </c>
      <c r="BT1687" s="13">
        <v>0</v>
      </c>
      <c r="BU1687" s="49">
        <v>0</v>
      </c>
      <c r="BV1687" s="49"/>
      <c r="BW1687" s="49"/>
    </row>
    <row r="1688" spans="3:75" ht="20.100000000000001" customHeight="1">
      <c r="C1688" s="178">
        <v>69053034</v>
      </c>
      <c r="D1688" s="286" t="s">
        <v>2112</v>
      </c>
      <c r="E1688" s="286" t="s">
        <v>2113</v>
      </c>
      <c r="F1688" s="287">
        <v>1</v>
      </c>
      <c r="G1688" s="287">
        <v>62023401</v>
      </c>
      <c r="H1688" s="288">
        <v>0</v>
      </c>
      <c r="I1688" s="288">
        <v>0</v>
      </c>
      <c r="J1688" s="287">
        <v>1</v>
      </c>
      <c r="K1688" s="287">
        <v>0</v>
      </c>
      <c r="L1688" s="288">
        <v>0</v>
      </c>
      <c r="M1688" s="288">
        <v>0</v>
      </c>
      <c r="N1688" s="288" t="s">
        <v>3527</v>
      </c>
      <c r="O1688" s="288">
        <v>3</v>
      </c>
      <c r="P1688" s="288">
        <v>0</v>
      </c>
      <c r="Q1688" s="288">
        <v>0</v>
      </c>
      <c r="R1688" s="288">
        <v>0</v>
      </c>
      <c r="S1688" s="177">
        <v>0</v>
      </c>
      <c r="T1688" s="288">
        <v>0</v>
      </c>
      <c r="U1688" s="174">
        <v>1</v>
      </c>
      <c r="V1688" s="288">
        <v>0</v>
      </c>
      <c r="W1688" s="288">
        <v>0</v>
      </c>
      <c r="X1688" s="288">
        <v>0</v>
      </c>
      <c r="Y1688" s="13">
        <v>0</v>
      </c>
      <c r="Z1688" s="288">
        <v>0</v>
      </c>
      <c r="AA1688" s="288">
        <v>0</v>
      </c>
      <c r="AB1688" s="288">
        <v>0</v>
      </c>
      <c r="AC1688" s="288">
        <v>0</v>
      </c>
      <c r="AD1688" s="287">
        <v>0</v>
      </c>
      <c r="AE1688" s="288">
        <v>0</v>
      </c>
      <c r="AF1688" s="288">
        <v>0</v>
      </c>
      <c r="AG1688" s="288">
        <v>0</v>
      </c>
      <c r="AH1688" s="288">
        <v>0</v>
      </c>
      <c r="AI1688" s="288">
        <v>0</v>
      </c>
      <c r="AJ1688" s="288">
        <v>0</v>
      </c>
      <c r="AK1688" s="177">
        <v>0</v>
      </c>
      <c r="AL1688" s="288">
        <v>0</v>
      </c>
      <c r="AM1688" s="288">
        <v>0</v>
      </c>
      <c r="AN1688" s="288">
        <v>0</v>
      </c>
      <c r="AO1688" s="288">
        <v>0</v>
      </c>
      <c r="AP1688" s="288">
        <v>0</v>
      </c>
      <c r="AQ1688" s="288">
        <v>0</v>
      </c>
      <c r="AR1688" s="288">
        <v>0</v>
      </c>
      <c r="AS1688" s="288">
        <v>0</v>
      </c>
      <c r="AT1688" s="289">
        <v>0</v>
      </c>
      <c r="AU1688" s="288">
        <v>0</v>
      </c>
      <c r="AV1688" s="288"/>
      <c r="AW1688" s="286">
        <v>0</v>
      </c>
      <c r="AX1688" s="288">
        <v>0</v>
      </c>
      <c r="AY1688" s="288">
        <v>0</v>
      </c>
      <c r="AZ1688" s="288">
        <v>0</v>
      </c>
      <c r="BA1688" s="202" t="s">
        <v>200</v>
      </c>
      <c r="BB1688" s="288">
        <v>0</v>
      </c>
      <c r="BC1688" s="290">
        <v>0</v>
      </c>
      <c r="BD1688" s="176">
        <v>1</v>
      </c>
      <c r="BE1688" s="288" t="s">
        <v>3525</v>
      </c>
      <c r="BF1688" s="288" t="s">
        <v>3830</v>
      </c>
      <c r="BG1688" s="288">
        <v>0</v>
      </c>
      <c r="BH1688" s="291">
        <v>0</v>
      </c>
      <c r="BI1688" s="177">
        <v>0</v>
      </c>
      <c r="BJ1688" s="288">
        <v>0</v>
      </c>
      <c r="BK1688" s="288">
        <v>0</v>
      </c>
      <c r="BL1688" s="288">
        <v>0</v>
      </c>
      <c r="BM1688" s="180">
        <v>0</v>
      </c>
      <c r="BN1688" s="177">
        <v>0</v>
      </c>
      <c r="BO1688" s="177">
        <v>0</v>
      </c>
      <c r="BP1688" s="177">
        <v>0</v>
      </c>
      <c r="BQ1688" s="177">
        <v>0</v>
      </c>
      <c r="BR1688" s="177">
        <v>0</v>
      </c>
      <c r="BS1688" s="177">
        <v>0</v>
      </c>
      <c r="BT1688" s="13">
        <v>0</v>
      </c>
      <c r="BU1688" s="49">
        <v>0</v>
      </c>
      <c r="BV1688" s="49"/>
      <c r="BW1688" s="49"/>
    </row>
    <row r="1689" spans="3:75" ht="20.100000000000001" customHeight="1">
      <c r="C1689" s="19">
        <v>69054001</v>
      </c>
      <c r="D1689" s="270" t="s">
        <v>1420</v>
      </c>
      <c r="E1689" s="270" t="s">
        <v>2152</v>
      </c>
      <c r="F1689" s="76">
        <v>1</v>
      </c>
      <c r="G1689" s="76">
        <v>63011101</v>
      </c>
      <c r="H1689" s="74">
        <v>0</v>
      </c>
      <c r="I1689" s="74">
        <v>0</v>
      </c>
      <c r="J1689" s="76">
        <v>1</v>
      </c>
      <c r="K1689" s="76">
        <v>0</v>
      </c>
      <c r="L1689" s="74">
        <v>0</v>
      </c>
      <c r="M1689" s="74">
        <v>0</v>
      </c>
      <c r="N1689" s="74" t="s">
        <v>3831</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270" t="s">
        <v>3832</v>
      </c>
      <c r="BF1689" s="270" t="s">
        <v>3833</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69054002</v>
      </c>
      <c r="D1690" s="270" t="s">
        <v>1427</v>
      </c>
      <c r="E1690" s="270" t="s">
        <v>1428</v>
      </c>
      <c r="F1690" s="76">
        <v>1</v>
      </c>
      <c r="G1690" s="76">
        <v>63011201</v>
      </c>
      <c r="H1690" s="74">
        <v>0</v>
      </c>
      <c r="I1690" s="74">
        <v>0</v>
      </c>
      <c r="J1690" s="76">
        <v>1</v>
      </c>
      <c r="K1690" s="76">
        <v>0</v>
      </c>
      <c r="L1690" s="74">
        <v>0</v>
      </c>
      <c r="M1690" s="74">
        <v>0</v>
      </c>
      <c r="N1690" s="74" t="s">
        <v>3834</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270" t="s">
        <v>3835</v>
      </c>
      <c r="BF1690" s="270" t="s">
        <v>3836</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69054003</v>
      </c>
      <c r="D1691" s="270" t="s">
        <v>2167</v>
      </c>
      <c r="E1691" s="270" t="s">
        <v>2168</v>
      </c>
      <c r="F1691" s="76">
        <v>1</v>
      </c>
      <c r="G1691" s="76">
        <v>63011301</v>
      </c>
      <c r="H1691" s="74">
        <v>0</v>
      </c>
      <c r="I1691" s="74">
        <v>0</v>
      </c>
      <c r="J1691" s="76">
        <v>1</v>
      </c>
      <c r="K1691" s="76">
        <v>0</v>
      </c>
      <c r="L1691" s="74">
        <v>0</v>
      </c>
      <c r="M1691" s="74">
        <v>0</v>
      </c>
      <c r="N1691" s="74" t="s">
        <v>3837</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270" t="s">
        <v>3838</v>
      </c>
      <c r="BF1691" s="270" t="s">
        <v>3839</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69054011</v>
      </c>
      <c r="D1692" s="270" t="s">
        <v>2226</v>
      </c>
      <c r="E1692" s="270" t="s">
        <v>2227</v>
      </c>
      <c r="F1692" s="76">
        <v>1</v>
      </c>
      <c r="G1692" s="76">
        <v>61021101</v>
      </c>
      <c r="H1692" s="74">
        <v>0</v>
      </c>
      <c r="I1692" s="74">
        <v>0</v>
      </c>
      <c r="J1692" s="76">
        <v>1</v>
      </c>
      <c r="K1692" s="76">
        <v>0</v>
      </c>
      <c r="L1692" s="74">
        <v>0</v>
      </c>
      <c r="M1692" s="74">
        <v>0</v>
      </c>
      <c r="N1692" s="74" t="s">
        <v>3840</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3841</v>
      </c>
      <c r="BF1692" s="74" t="s">
        <v>3842</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69054012</v>
      </c>
      <c r="D1693" s="270" t="s">
        <v>2233</v>
      </c>
      <c r="E1693" s="270" t="s">
        <v>2234</v>
      </c>
      <c r="F1693" s="76">
        <v>1</v>
      </c>
      <c r="G1693" s="76">
        <v>63021301</v>
      </c>
      <c r="H1693" s="74">
        <v>0</v>
      </c>
      <c r="I1693" s="74">
        <v>0</v>
      </c>
      <c r="J1693" s="76">
        <v>1</v>
      </c>
      <c r="K1693" s="76">
        <v>0</v>
      </c>
      <c r="L1693" s="74">
        <v>0</v>
      </c>
      <c r="M1693" s="74">
        <v>0</v>
      </c>
      <c r="N1693" s="74" t="s">
        <v>3843</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3844</v>
      </c>
      <c r="BF1693" s="74" t="s">
        <v>3845</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69054013</v>
      </c>
      <c r="D1694" s="270" t="s">
        <v>2240</v>
      </c>
      <c r="E1694" s="270" t="s">
        <v>2241</v>
      </c>
      <c r="F1694" s="76">
        <v>1</v>
      </c>
      <c r="G1694" s="76">
        <v>63021401</v>
      </c>
      <c r="H1694" s="74">
        <v>0</v>
      </c>
      <c r="I1694" s="74">
        <v>0</v>
      </c>
      <c r="J1694" s="76">
        <v>1</v>
      </c>
      <c r="K1694" s="76">
        <v>0</v>
      </c>
      <c r="L1694" s="74">
        <v>0</v>
      </c>
      <c r="M1694" s="74">
        <v>0</v>
      </c>
      <c r="N1694" s="74" t="s">
        <v>3846</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3847</v>
      </c>
      <c r="BF1694" s="74" t="s">
        <v>3848</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69054014</v>
      </c>
      <c r="D1695" s="270" t="s">
        <v>2260</v>
      </c>
      <c r="E1695" s="270" t="s">
        <v>2261</v>
      </c>
      <c r="F1695" s="76">
        <v>1</v>
      </c>
      <c r="G1695" s="76">
        <v>63021501</v>
      </c>
      <c r="H1695" s="74">
        <v>0</v>
      </c>
      <c r="I1695" s="74">
        <v>0</v>
      </c>
      <c r="J1695" s="76">
        <v>1</v>
      </c>
      <c r="K1695" s="76">
        <v>0</v>
      </c>
      <c r="L1695" s="74">
        <v>0</v>
      </c>
      <c r="M1695" s="74">
        <v>0</v>
      </c>
      <c r="N1695" s="74" t="s">
        <v>3849</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3850</v>
      </c>
      <c r="BF1695" s="74" t="s">
        <v>3851</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69054021</v>
      </c>
      <c r="D1696" s="270" t="s">
        <v>2275</v>
      </c>
      <c r="E1696" s="270" t="s">
        <v>2276</v>
      </c>
      <c r="F1696" s="76">
        <v>1</v>
      </c>
      <c r="G1696" s="76">
        <v>63022101</v>
      </c>
      <c r="H1696" s="74">
        <v>0</v>
      </c>
      <c r="I1696" s="74">
        <v>0</v>
      </c>
      <c r="J1696" s="76">
        <v>1</v>
      </c>
      <c r="K1696" s="76">
        <v>0</v>
      </c>
      <c r="L1696" s="74">
        <v>0</v>
      </c>
      <c r="M1696" s="74">
        <v>0</v>
      </c>
      <c r="N1696" s="74" t="s">
        <v>3852</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3853</v>
      </c>
      <c r="BF1696" s="74" t="s">
        <v>3854</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69054022</v>
      </c>
      <c r="D1697" s="270" t="s">
        <v>2282</v>
      </c>
      <c r="E1697" s="270" t="s">
        <v>2283</v>
      </c>
      <c r="F1697" s="76">
        <v>1</v>
      </c>
      <c r="G1697" s="76">
        <v>63022201</v>
      </c>
      <c r="H1697" s="74">
        <v>0</v>
      </c>
      <c r="I1697" s="74">
        <v>0</v>
      </c>
      <c r="J1697" s="76">
        <v>1</v>
      </c>
      <c r="K1697" s="76">
        <v>0</v>
      </c>
      <c r="L1697" s="74">
        <v>0</v>
      </c>
      <c r="M1697" s="74">
        <v>0</v>
      </c>
      <c r="N1697" s="74" t="s">
        <v>3855</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3856</v>
      </c>
      <c r="BF1697" s="74" t="s">
        <v>3857</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69054023</v>
      </c>
      <c r="D1698" s="270" t="s">
        <v>2291</v>
      </c>
      <c r="E1698" s="270" t="s">
        <v>2292</v>
      </c>
      <c r="F1698" s="76">
        <v>1</v>
      </c>
      <c r="G1698" s="76">
        <v>63022301</v>
      </c>
      <c r="H1698" s="74">
        <v>0</v>
      </c>
      <c r="I1698" s="74">
        <v>0</v>
      </c>
      <c r="J1698" s="76">
        <v>1</v>
      </c>
      <c r="K1698" s="76">
        <v>0</v>
      </c>
      <c r="L1698" s="74">
        <v>0</v>
      </c>
      <c r="M1698" s="74">
        <v>0</v>
      </c>
      <c r="N1698" s="74" t="s">
        <v>3858</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3859</v>
      </c>
      <c r="BF1698" s="74" t="s">
        <v>3860</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69054024</v>
      </c>
      <c r="D1699" s="270" t="s">
        <v>2304</v>
      </c>
      <c r="E1699" s="270" t="s">
        <v>2305</v>
      </c>
      <c r="F1699" s="76">
        <v>1</v>
      </c>
      <c r="G1699" s="76">
        <v>63022401</v>
      </c>
      <c r="H1699" s="74">
        <v>0</v>
      </c>
      <c r="I1699" s="74">
        <v>0</v>
      </c>
      <c r="J1699" s="76">
        <v>1</v>
      </c>
      <c r="K1699" s="76">
        <v>0</v>
      </c>
      <c r="L1699" s="74">
        <v>0</v>
      </c>
      <c r="M1699" s="74">
        <v>0</v>
      </c>
      <c r="N1699" s="74" t="s">
        <v>3861</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3862</v>
      </c>
      <c r="BF1699" s="74" t="s">
        <v>3863</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69054031</v>
      </c>
      <c r="D1700" s="270" t="s">
        <v>2327</v>
      </c>
      <c r="E1700" s="270" t="s">
        <v>2328</v>
      </c>
      <c r="F1700" s="76">
        <v>1</v>
      </c>
      <c r="G1700" s="76">
        <v>63021101</v>
      </c>
      <c r="H1700" s="74">
        <v>0</v>
      </c>
      <c r="I1700" s="74">
        <v>0</v>
      </c>
      <c r="J1700" s="76">
        <v>1</v>
      </c>
      <c r="K1700" s="76">
        <v>0</v>
      </c>
      <c r="L1700" s="74">
        <v>0</v>
      </c>
      <c r="M1700" s="74">
        <v>0</v>
      </c>
      <c r="N1700" s="74" t="s">
        <v>3864</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3865</v>
      </c>
      <c r="BF1700" s="74" t="s">
        <v>3866</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69054032</v>
      </c>
      <c r="D1701" s="270" t="s">
        <v>2336</v>
      </c>
      <c r="E1701" s="270" t="s">
        <v>2337</v>
      </c>
      <c r="F1701" s="76">
        <v>1</v>
      </c>
      <c r="G1701" s="76">
        <v>63023201</v>
      </c>
      <c r="H1701" s="74">
        <v>0</v>
      </c>
      <c r="I1701" s="74">
        <v>0</v>
      </c>
      <c r="J1701" s="76">
        <v>1</v>
      </c>
      <c r="K1701" s="76">
        <v>0</v>
      </c>
      <c r="L1701" s="74">
        <v>0</v>
      </c>
      <c r="M1701" s="74">
        <v>0</v>
      </c>
      <c r="N1701" s="74" t="s">
        <v>3867</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73">
        <v>0</v>
      </c>
      <c r="AU1701" s="74">
        <v>0</v>
      </c>
      <c r="AV1701" s="74"/>
      <c r="AW1701" s="270">
        <v>0</v>
      </c>
      <c r="AX1701" s="74">
        <v>0</v>
      </c>
      <c r="AY1701" s="74">
        <v>0</v>
      </c>
      <c r="AZ1701" s="74">
        <v>0</v>
      </c>
      <c r="BA1701" s="14" t="s">
        <v>200</v>
      </c>
      <c r="BB1701" s="74">
        <v>0</v>
      </c>
      <c r="BC1701" s="275">
        <v>0</v>
      </c>
      <c r="BD1701" s="28">
        <v>1</v>
      </c>
      <c r="BE1701" s="74" t="s">
        <v>3868</v>
      </c>
      <c r="BF1701" s="74" t="s">
        <v>3869</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69054033</v>
      </c>
      <c r="D1702" s="270" t="s">
        <v>2338</v>
      </c>
      <c r="E1702" s="270" t="s">
        <v>2339</v>
      </c>
      <c r="F1702" s="76">
        <v>1</v>
      </c>
      <c r="G1702" s="76">
        <v>63023301</v>
      </c>
      <c r="H1702" s="74">
        <v>0</v>
      </c>
      <c r="I1702" s="74">
        <v>0</v>
      </c>
      <c r="J1702" s="76">
        <v>1</v>
      </c>
      <c r="K1702" s="76">
        <v>0</v>
      </c>
      <c r="L1702" s="74">
        <v>0</v>
      </c>
      <c r="M1702" s="74">
        <v>0</v>
      </c>
      <c r="N1702" s="74" t="s">
        <v>3870</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73">
        <v>0</v>
      </c>
      <c r="AU1702" s="74">
        <v>0</v>
      </c>
      <c r="AV1702" s="74"/>
      <c r="AW1702" s="270">
        <v>0</v>
      </c>
      <c r="AX1702" s="74">
        <v>0</v>
      </c>
      <c r="AY1702" s="74">
        <v>0</v>
      </c>
      <c r="AZ1702" s="74">
        <v>0</v>
      </c>
      <c r="BA1702" s="14" t="s">
        <v>200</v>
      </c>
      <c r="BB1702" s="74">
        <v>0</v>
      </c>
      <c r="BC1702" s="275">
        <v>0</v>
      </c>
      <c r="BD1702" s="28">
        <v>1</v>
      </c>
      <c r="BE1702" s="74" t="s">
        <v>3871</v>
      </c>
      <c r="BF1702" s="74" t="s">
        <v>3872</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69054034</v>
      </c>
      <c r="D1703" s="270" t="s">
        <v>2345</v>
      </c>
      <c r="E1703" s="270" t="s">
        <v>2346</v>
      </c>
      <c r="F1703" s="76">
        <v>1</v>
      </c>
      <c r="G1703" s="76">
        <v>63023401</v>
      </c>
      <c r="H1703" s="74">
        <v>0</v>
      </c>
      <c r="I1703" s="74">
        <v>0</v>
      </c>
      <c r="J1703" s="76">
        <v>1</v>
      </c>
      <c r="K1703" s="76">
        <v>0</v>
      </c>
      <c r="L1703" s="74">
        <v>0</v>
      </c>
      <c r="M1703" s="74">
        <v>0</v>
      </c>
      <c r="N1703" s="74" t="s">
        <v>3873</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73">
        <v>0</v>
      </c>
      <c r="AU1703" s="74">
        <v>0</v>
      </c>
      <c r="AV1703" s="74"/>
      <c r="AW1703" s="270">
        <v>0</v>
      </c>
      <c r="AX1703" s="74">
        <v>0</v>
      </c>
      <c r="AY1703" s="74">
        <v>0</v>
      </c>
      <c r="AZ1703" s="74">
        <v>0</v>
      </c>
      <c r="BA1703" s="14" t="s">
        <v>200</v>
      </c>
      <c r="BB1703" s="74">
        <v>0</v>
      </c>
      <c r="BC1703" s="275">
        <v>0</v>
      </c>
      <c r="BD1703" s="28">
        <v>1</v>
      </c>
      <c r="BE1703" s="74" t="s">
        <v>3874</v>
      </c>
      <c r="BF1703" s="74" t="s">
        <v>3875</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69060100</v>
      </c>
      <c r="D1704" s="20" t="s">
        <v>3876</v>
      </c>
      <c r="E1704" s="20" t="s">
        <v>3877</v>
      </c>
      <c r="F1704" s="19">
        <v>0</v>
      </c>
      <c r="G1704" s="19">
        <v>69060100</v>
      </c>
      <c r="H1704" s="19">
        <v>69060101</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3878</v>
      </c>
      <c r="BC1704" s="28">
        <v>0</v>
      </c>
      <c r="BD1704" s="28">
        <v>1</v>
      </c>
      <c r="BE1704" s="20" t="s">
        <v>3879</v>
      </c>
      <c r="BF1704" s="20" t="s">
        <v>3880</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69060101</v>
      </c>
      <c r="D1705" s="20" t="s">
        <v>3881</v>
      </c>
      <c r="E1705" s="20" t="s">
        <v>3882</v>
      </c>
      <c r="F1705" s="19">
        <v>1</v>
      </c>
      <c r="G1705" s="19">
        <v>69060100</v>
      </c>
      <c r="H1705" s="19">
        <v>69060102</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3883</v>
      </c>
      <c r="BC1705" s="28">
        <v>0</v>
      </c>
      <c r="BD1705" s="28">
        <v>1</v>
      </c>
      <c r="BE1705" s="20" t="s">
        <v>3884</v>
      </c>
      <c r="BF1705" s="20" t="s">
        <v>3885</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69060102</v>
      </c>
      <c r="D1706" s="20" t="s">
        <v>3886</v>
      </c>
      <c r="E1706" s="20" t="s">
        <v>3887</v>
      </c>
      <c r="F1706" s="19">
        <v>2</v>
      </c>
      <c r="G1706" s="19">
        <v>69060100</v>
      </c>
      <c r="H1706" s="19">
        <v>69060103</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3888</v>
      </c>
      <c r="BC1706" s="28">
        <v>0</v>
      </c>
      <c r="BD1706" s="28">
        <v>1</v>
      </c>
      <c r="BE1706" s="20" t="s">
        <v>3889</v>
      </c>
      <c r="BF1706" s="20" t="s">
        <v>3890</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69060103</v>
      </c>
      <c r="D1707" s="20" t="s">
        <v>3891</v>
      </c>
      <c r="E1707" s="20" t="s">
        <v>3892</v>
      </c>
      <c r="F1707" s="19">
        <v>3</v>
      </c>
      <c r="G1707" s="19">
        <v>69060100</v>
      </c>
      <c r="H1707" s="19">
        <v>69060104</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3893</v>
      </c>
      <c r="BC1707" s="28">
        <v>0</v>
      </c>
      <c r="BD1707" s="28">
        <v>1</v>
      </c>
      <c r="BE1707" s="20" t="s">
        <v>3894</v>
      </c>
      <c r="BF1707" s="20" t="s">
        <v>3895</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69060104</v>
      </c>
      <c r="D1708" s="20" t="s">
        <v>3896</v>
      </c>
      <c r="E1708" s="20" t="s">
        <v>3897</v>
      </c>
      <c r="F1708" s="19">
        <v>4</v>
      </c>
      <c r="G1708" s="19">
        <v>69060100</v>
      </c>
      <c r="H1708" s="19">
        <v>69060105</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3898</v>
      </c>
      <c r="BC1708" s="28">
        <v>0</v>
      </c>
      <c r="BD1708" s="28">
        <v>1</v>
      </c>
      <c r="BE1708" s="20" t="s">
        <v>3899</v>
      </c>
      <c r="BF1708" s="20" t="s">
        <v>3900</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69060105</v>
      </c>
      <c r="D1709" s="20" t="s">
        <v>3901</v>
      </c>
      <c r="E1709" s="20" t="s">
        <v>3902</v>
      </c>
      <c r="F1709" s="19">
        <v>5</v>
      </c>
      <c r="G1709" s="19">
        <v>69060100</v>
      </c>
      <c r="H1709" s="19">
        <v>69060106</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3903</v>
      </c>
      <c r="BC1709" s="28">
        <v>0</v>
      </c>
      <c r="BD1709" s="28">
        <v>1</v>
      </c>
      <c r="BE1709" s="20" t="s">
        <v>3904</v>
      </c>
      <c r="BF1709" s="20" t="s">
        <v>3905</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69060106</v>
      </c>
      <c r="D1710" s="20" t="s">
        <v>3906</v>
      </c>
      <c r="E1710" s="20" t="s">
        <v>3907</v>
      </c>
      <c r="F1710" s="19">
        <v>6</v>
      </c>
      <c r="G1710" s="19">
        <v>69060100</v>
      </c>
      <c r="H1710" s="19">
        <v>69060107</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3908</v>
      </c>
      <c r="BC1710" s="28">
        <v>0</v>
      </c>
      <c r="BD1710" s="28">
        <v>1</v>
      </c>
      <c r="BE1710" s="20" t="s">
        <v>3909</v>
      </c>
      <c r="BF1710" s="20" t="s">
        <v>3910</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69060107</v>
      </c>
      <c r="D1711" s="20" t="s">
        <v>3911</v>
      </c>
      <c r="E1711" s="20" t="s">
        <v>3912</v>
      </c>
      <c r="F1711" s="19">
        <v>7</v>
      </c>
      <c r="G1711" s="19">
        <v>69060100</v>
      </c>
      <c r="H1711" s="19">
        <v>69060108</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3913</v>
      </c>
      <c r="BC1711" s="28">
        <v>0</v>
      </c>
      <c r="BD1711" s="28">
        <v>1</v>
      </c>
      <c r="BE1711" s="20" t="s">
        <v>3914</v>
      </c>
      <c r="BF1711" s="20" t="s">
        <v>3915</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69060108</v>
      </c>
      <c r="D1712" s="20" t="s">
        <v>3916</v>
      </c>
      <c r="E1712" s="20" t="s">
        <v>3917</v>
      </c>
      <c r="F1712" s="19">
        <v>8</v>
      </c>
      <c r="G1712" s="19">
        <v>69060100</v>
      </c>
      <c r="H1712" s="19">
        <v>69060109</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3918</v>
      </c>
      <c r="BC1712" s="28">
        <v>0</v>
      </c>
      <c r="BD1712" s="28">
        <v>1</v>
      </c>
      <c r="BE1712" s="20" t="s">
        <v>3919</v>
      </c>
      <c r="BF1712" s="20" t="s">
        <v>3920</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69060109</v>
      </c>
      <c r="D1713" s="20" t="s">
        <v>3921</v>
      </c>
      <c r="E1713" s="20" t="s">
        <v>3922</v>
      </c>
      <c r="F1713" s="19">
        <v>9</v>
      </c>
      <c r="G1713" s="19">
        <v>69060100</v>
      </c>
      <c r="H1713" s="19">
        <v>69060110</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3923</v>
      </c>
      <c r="BC1713" s="28">
        <v>0</v>
      </c>
      <c r="BD1713" s="28">
        <v>1</v>
      </c>
      <c r="BE1713" s="20" t="s">
        <v>3924</v>
      </c>
      <c r="BF1713" s="20" t="s">
        <v>3925</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69060110</v>
      </c>
      <c r="D1714" s="20" t="s">
        <v>3926</v>
      </c>
      <c r="E1714" s="20" t="s">
        <v>3927</v>
      </c>
      <c r="F1714" s="19">
        <v>10</v>
      </c>
      <c r="G1714" s="19">
        <v>69060100</v>
      </c>
      <c r="H1714" s="19">
        <v>0</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3928</v>
      </c>
      <c r="BC1714" s="28">
        <v>0</v>
      </c>
      <c r="BD1714" s="28">
        <v>1</v>
      </c>
      <c r="BE1714" s="20" t="s">
        <v>3929</v>
      </c>
      <c r="BF1714" s="20" t="s">
        <v>3930</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69060200</v>
      </c>
      <c r="D1715" s="20" t="s">
        <v>3931</v>
      </c>
      <c r="E1715" s="20" t="s">
        <v>3932</v>
      </c>
      <c r="F1715" s="19">
        <v>0</v>
      </c>
      <c r="G1715" s="19">
        <v>69060200</v>
      </c>
      <c r="H1715" s="19">
        <f>C1716</f>
        <v>69060201</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3933</v>
      </c>
      <c r="BC1715" s="28">
        <v>0</v>
      </c>
      <c r="BD1715" s="28">
        <v>1</v>
      </c>
      <c r="BE1715" s="20" t="s">
        <v>3879</v>
      </c>
      <c r="BF1715" s="20" t="s">
        <v>3880</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69060201</v>
      </c>
      <c r="D1716" s="20" t="s">
        <v>3934</v>
      </c>
      <c r="E1716" s="20" t="s">
        <v>3935</v>
      </c>
      <c r="F1716" s="19">
        <v>1</v>
      </c>
      <c r="G1716" s="19">
        <v>69060200</v>
      </c>
      <c r="H1716" s="19">
        <f t="shared" ref="H1716:H1724" si="144">C1717</f>
        <v>69060202</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3936</v>
      </c>
      <c r="BC1716" s="28">
        <v>0</v>
      </c>
      <c r="BD1716" s="28">
        <v>1</v>
      </c>
      <c r="BE1716" s="20" t="s">
        <v>3937</v>
      </c>
      <c r="BF1716" s="20" t="s">
        <v>3938</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69060202</v>
      </c>
      <c r="D1717" s="20" t="s">
        <v>3939</v>
      </c>
      <c r="E1717" s="20" t="s">
        <v>3940</v>
      </c>
      <c r="F1717" s="19">
        <v>2</v>
      </c>
      <c r="G1717" s="19">
        <v>69060200</v>
      </c>
      <c r="H1717" s="19">
        <f t="shared" si="144"/>
        <v>69060203</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3941</v>
      </c>
      <c r="BC1717" s="28">
        <v>0</v>
      </c>
      <c r="BD1717" s="28">
        <v>1</v>
      </c>
      <c r="BE1717" s="20" t="s">
        <v>3942</v>
      </c>
      <c r="BF1717" s="20" t="s">
        <v>3943</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69060203</v>
      </c>
      <c r="D1718" s="20" t="s">
        <v>3944</v>
      </c>
      <c r="E1718" s="20" t="s">
        <v>3945</v>
      </c>
      <c r="F1718" s="19">
        <v>3</v>
      </c>
      <c r="G1718" s="19">
        <v>69060200</v>
      </c>
      <c r="H1718" s="19">
        <f t="shared" si="144"/>
        <v>69060204</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3946</v>
      </c>
      <c r="BC1718" s="28">
        <v>0</v>
      </c>
      <c r="BD1718" s="28">
        <v>1</v>
      </c>
      <c r="BE1718" s="20" t="s">
        <v>3947</v>
      </c>
      <c r="BF1718" s="20" t="s">
        <v>3948</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69060204</v>
      </c>
      <c r="D1719" s="20" t="s">
        <v>3949</v>
      </c>
      <c r="E1719" s="20" t="s">
        <v>3950</v>
      </c>
      <c r="F1719" s="19">
        <v>4</v>
      </c>
      <c r="G1719" s="19">
        <v>69060200</v>
      </c>
      <c r="H1719" s="19">
        <f t="shared" si="144"/>
        <v>69060205</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3951</v>
      </c>
      <c r="BC1719" s="28">
        <v>0</v>
      </c>
      <c r="BD1719" s="28">
        <v>1</v>
      </c>
      <c r="BE1719" s="20" t="s">
        <v>3952</v>
      </c>
      <c r="BF1719" s="20" t="s">
        <v>3953</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69060205</v>
      </c>
      <c r="D1720" s="20" t="s">
        <v>3954</v>
      </c>
      <c r="E1720" s="20" t="s">
        <v>3955</v>
      </c>
      <c r="F1720" s="19">
        <v>5</v>
      </c>
      <c r="G1720" s="19">
        <v>69060200</v>
      </c>
      <c r="H1720" s="19">
        <f t="shared" si="144"/>
        <v>69060206</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3956</v>
      </c>
      <c r="BC1720" s="28">
        <v>0</v>
      </c>
      <c r="BD1720" s="28">
        <v>1</v>
      </c>
      <c r="BE1720" s="20" t="s">
        <v>3957</v>
      </c>
      <c r="BF1720" s="20" t="s">
        <v>3958</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69060206</v>
      </c>
      <c r="D1721" s="20" t="s">
        <v>3959</v>
      </c>
      <c r="E1721" s="20" t="s">
        <v>3960</v>
      </c>
      <c r="F1721" s="19">
        <v>6</v>
      </c>
      <c r="G1721" s="19">
        <v>69060200</v>
      </c>
      <c r="H1721" s="19">
        <f t="shared" si="144"/>
        <v>69060207</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3961</v>
      </c>
      <c r="BC1721" s="28">
        <v>0</v>
      </c>
      <c r="BD1721" s="28">
        <v>1</v>
      </c>
      <c r="BE1721" s="20" t="s">
        <v>3962</v>
      </c>
      <c r="BF1721" s="20" t="s">
        <v>3963</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69060207</v>
      </c>
      <c r="D1722" s="20" t="s">
        <v>3964</v>
      </c>
      <c r="E1722" s="20" t="s">
        <v>3965</v>
      </c>
      <c r="F1722" s="19">
        <v>7</v>
      </c>
      <c r="G1722" s="19">
        <v>69060200</v>
      </c>
      <c r="H1722" s="19">
        <f t="shared" si="144"/>
        <v>69060208</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3966</v>
      </c>
      <c r="BC1722" s="28">
        <v>0</v>
      </c>
      <c r="BD1722" s="28">
        <v>1</v>
      </c>
      <c r="BE1722" s="20" t="s">
        <v>3967</v>
      </c>
      <c r="BF1722" s="20" t="s">
        <v>3968</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69060208</v>
      </c>
      <c r="D1723" s="20" t="s">
        <v>3969</v>
      </c>
      <c r="E1723" s="20" t="s">
        <v>3970</v>
      </c>
      <c r="F1723" s="19">
        <v>8</v>
      </c>
      <c r="G1723" s="19">
        <v>69060200</v>
      </c>
      <c r="H1723" s="19">
        <f t="shared" si="144"/>
        <v>69060209</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3971</v>
      </c>
      <c r="BC1723" s="28">
        <v>0</v>
      </c>
      <c r="BD1723" s="28">
        <v>1</v>
      </c>
      <c r="BE1723" s="20" t="s">
        <v>3972</v>
      </c>
      <c r="BF1723" s="20" t="s">
        <v>3973</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69060209</v>
      </c>
      <c r="D1724" s="20" t="s">
        <v>3974</v>
      </c>
      <c r="E1724" s="20" t="s">
        <v>3975</v>
      </c>
      <c r="F1724" s="19">
        <v>9</v>
      </c>
      <c r="G1724" s="19">
        <v>69060200</v>
      </c>
      <c r="H1724" s="19">
        <f t="shared" si="144"/>
        <v>69060210</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3976</v>
      </c>
      <c r="BC1724" s="28">
        <v>0</v>
      </c>
      <c r="BD1724" s="28">
        <v>1</v>
      </c>
      <c r="BE1724" s="20" t="s">
        <v>3977</v>
      </c>
      <c r="BF1724" s="20" t="s">
        <v>3978</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69060210</v>
      </c>
      <c r="D1725" s="20" t="s">
        <v>3979</v>
      </c>
      <c r="E1725" s="20" t="s">
        <v>3980</v>
      </c>
      <c r="F1725" s="19">
        <v>10</v>
      </c>
      <c r="G1725" s="19">
        <v>69060200</v>
      </c>
      <c r="H1725" s="19">
        <v>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3981</v>
      </c>
      <c r="BC1725" s="28">
        <v>0</v>
      </c>
      <c r="BD1725" s="28">
        <v>1</v>
      </c>
      <c r="BE1725" s="20" t="s">
        <v>3982</v>
      </c>
      <c r="BF1725" s="20" t="s">
        <v>3983</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69060300</v>
      </c>
      <c r="D1726" s="20" t="s">
        <v>3984</v>
      </c>
      <c r="E1726" s="20" t="s">
        <v>3985</v>
      </c>
      <c r="F1726" s="19">
        <v>0</v>
      </c>
      <c r="G1726" s="19">
        <v>69060300</v>
      </c>
      <c r="H1726" s="19">
        <f>C1727</f>
        <v>69060301</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3986</v>
      </c>
      <c r="BC1726" s="28">
        <v>0</v>
      </c>
      <c r="BD1726" s="28">
        <v>1</v>
      </c>
      <c r="BE1726" s="20" t="s">
        <v>3879</v>
      </c>
      <c r="BF1726" s="20" t="s">
        <v>3880</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69060301</v>
      </c>
      <c r="D1727" s="20" t="s">
        <v>3987</v>
      </c>
      <c r="E1727" s="20" t="s">
        <v>3988</v>
      </c>
      <c r="F1727" s="19">
        <v>1</v>
      </c>
      <c r="G1727" s="19">
        <v>69060300</v>
      </c>
      <c r="H1727" s="19">
        <f t="shared" ref="H1727:H1735" si="145">C1728</f>
        <v>69060302</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3989</v>
      </c>
      <c r="BC1727" s="28">
        <v>0</v>
      </c>
      <c r="BD1727" s="28">
        <v>1</v>
      </c>
      <c r="BE1727" s="20" t="s">
        <v>3990</v>
      </c>
      <c r="BF1727" s="20" t="s">
        <v>3991</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69060302</v>
      </c>
      <c r="D1728" s="20" t="s">
        <v>3992</v>
      </c>
      <c r="E1728" s="20" t="s">
        <v>3993</v>
      </c>
      <c r="F1728" s="19">
        <v>2</v>
      </c>
      <c r="G1728" s="19">
        <v>69060300</v>
      </c>
      <c r="H1728" s="19">
        <f t="shared" si="145"/>
        <v>69060303</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3994</v>
      </c>
      <c r="BC1728" s="28">
        <v>0</v>
      </c>
      <c r="BD1728" s="28">
        <v>1</v>
      </c>
      <c r="BE1728" s="20" t="s">
        <v>3995</v>
      </c>
      <c r="BF1728" s="20" t="s">
        <v>3996</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69060303</v>
      </c>
      <c r="D1729" s="20" t="s">
        <v>3997</v>
      </c>
      <c r="E1729" s="20" t="s">
        <v>3998</v>
      </c>
      <c r="F1729" s="19">
        <v>3</v>
      </c>
      <c r="G1729" s="19">
        <v>69060300</v>
      </c>
      <c r="H1729" s="19">
        <f t="shared" si="145"/>
        <v>69060304</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3999</v>
      </c>
      <c r="BC1729" s="28">
        <v>0</v>
      </c>
      <c r="BD1729" s="28">
        <v>1</v>
      </c>
      <c r="BE1729" s="20" t="s">
        <v>4000</v>
      </c>
      <c r="BF1729" s="20" t="s">
        <v>4001</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69060304</v>
      </c>
      <c r="D1730" s="20" t="s">
        <v>4002</v>
      </c>
      <c r="E1730" s="20" t="s">
        <v>4003</v>
      </c>
      <c r="F1730" s="19">
        <v>4</v>
      </c>
      <c r="G1730" s="19">
        <v>69060300</v>
      </c>
      <c r="H1730" s="19">
        <f t="shared" si="145"/>
        <v>69060305</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4004</v>
      </c>
      <c r="BC1730" s="28">
        <v>0</v>
      </c>
      <c r="BD1730" s="28">
        <v>1</v>
      </c>
      <c r="BE1730" s="20" t="s">
        <v>4005</v>
      </c>
      <c r="BF1730" s="20" t="s">
        <v>4006</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69060305</v>
      </c>
      <c r="D1731" s="20" t="s">
        <v>4007</v>
      </c>
      <c r="E1731" s="20" t="s">
        <v>4008</v>
      </c>
      <c r="F1731" s="19">
        <v>5</v>
      </c>
      <c r="G1731" s="19">
        <v>69060300</v>
      </c>
      <c r="H1731" s="19">
        <f t="shared" si="145"/>
        <v>69060306</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4009</v>
      </c>
      <c r="BC1731" s="28">
        <v>0</v>
      </c>
      <c r="BD1731" s="28">
        <v>1</v>
      </c>
      <c r="BE1731" s="20" t="s">
        <v>4010</v>
      </c>
      <c r="BF1731" s="20" t="s">
        <v>4011</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69060306</v>
      </c>
      <c r="D1732" s="20" t="s">
        <v>4012</v>
      </c>
      <c r="E1732" s="20" t="s">
        <v>4013</v>
      </c>
      <c r="F1732" s="19">
        <v>6</v>
      </c>
      <c r="G1732" s="19">
        <v>69060300</v>
      </c>
      <c r="H1732" s="19">
        <f t="shared" si="145"/>
        <v>69060307</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4014</v>
      </c>
      <c r="BC1732" s="28">
        <v>0</v>
      </c>
      <c r="BD1732" s="28">
        <v>1</v>
      </c>
      <c r="BE1732" s="20" t="s">
        <v>4015</v>
      </c>
      <c r="BF1732" s="20" t="s">
        <v>4016</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69060307</v>
      </c>
      <c r="D1733" s="20" t="s">
        <v>4017</v>
      </c>
      <c r="E1733" s="20" t="s">
        <v>4018</v>
      </c>
      <c r="F1733" s="19">
        <v>7</v>
      </c>
      <c r="G1733" s="19">
        <v>69060300</v>
      </c>
      <c r="H1733" s="19">
        <f t="shared" si="145"/>
        <v>69060308</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4019</v>
      </c>
      <c r="BC1733" s="28">
        <v>0</v>
      </c>
      <c r="BD1733" s="28">
        <v>1</v>
      </c>
      <c r="BE1733" s="20" t="s">
        <v>4020</v>
      </c>
      <c r="BF1733" s="20" t="s">
        <v>4021</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69060308</v>
      </c>
      <c r="D1734" s="20" t="s">
        <v>4022</v>
      </c>
      <c r="E1734" s="20" t="s">
        <v>4023</v>
      </c>
      <c r="F1734" s="19">
        <v>8</v>
      </c>
      <c r="G1734" s="19">
        <v>69060300</v>
      </c>
      <c r="H1734" s="19">
        <f t="shared" si="145"/>
        <v>69060309</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4024</v>
      </c>
      <c r="BC1734" s="28">
        <v>0</v>
      </c>
      <c r="BD1734" s="28">
        <v>1</v>
      </c>
      <c r="BE1734" s="20" t="s">
        <v>4025</v>
      </c>
      <c r="BF1734" s="20" t="s">
        <v>4026</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69060309</v>
      </c>
      <c r="D1735" s="20" t="s">
        <v>4027</v>
      </c>
      <c r="E1735" s="20" t="s">
        <v>4028</v>
      </c>
      <c r="F1735" s="19">
        <v>9</v>
      </c>
      <c r="G1735" s="19">
        <v>69060300</v>
      </c>
      <c r="H1735" s="19">
        <f t="shared" si="145"/>
        <v>69060310</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4029</v>
      </c>
      <c r="BC1735" s="28">
        <v>0</v>
      </c>
      <c r="BD1735" s="28">
        <v>1</v>
      </c>
      <c r="BE1735" s="20" t="s">
        <v>4030</v>
      </c>
      <c r="BF1735" s="20" t="s">
        <v>4031</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69060310</v>
      </c>
      <c r="D1736" s="20" t="s">
        <v>4032</v>
      </c>
      <c r="E1736" s="20" t="s">
        <v>4033</v>
      </c>
      <c r="F1736" s="19">
        <v>10</v>
      </c>
      <c r="G1736" s="19">
        <v>69060300</v>
      </c>
      <c r="H1736" s="19">
        <v>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4034</v>
      </c>
      <c r="BC1736" s="28">
        <v>0</v>
      </c>
      <c r="BD1736" s="28">
        <v>1</v>
      </c>
      <c r="BE1736" s="20" t="s">
        <v>4035</v>
      </c>
      <c r="BF1736" s="20" t="s">
        <v>4036</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69060400</v>
      </c>
      <c r="D1737" s="20" t="s">
        <v>4037</v>
      </c>
      <c r="E1737" s="20" t="s">
        <v>4038</v>
      </c>
      <c r="F1737" s="19">
        <v>0</v>
      </c>
      <c r="G1737" s="19">
        <v>69060400</v>
      </c>
      <c r="H1737" s="19">
        <f>C1738</f>
        <v>69060401</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4039</v>
      </c>
      <c r="BC1737" s="28">
        <v>0</v>
      </c>
      <c r="BD1737" s="28">
        <v>1</v>
      </c>
      <c r="BE1737" s="20" t="s">
        <v>3879</v>
      </c>
      <c r="BF1737" s="20" t="s">
        <v>3880</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69060401</v>
      </c>
      <c r="D1738" s="20" t="s">
        <v>4040</v>
      </c>
      <c r="E1738" s="20" t="s">
        <v>4041</v>
      </c>
      <c r="F1738" s="19">
        <v>1</v>
      </c>
      <c r="G1738" s="19">
        <v>69060400</v>
      </c>
      <c r="H1738" s="19">
        <f t="shared" ref="H1738:H1746" si="146">C1739</f>
        <v>69060402</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4042</v>
      </c>
      <c r="BC1738" s="28">
        <v>0</v>
      </c>
      <c r="BD1738" s="28">
        <v>1</v>
      </c>
      <c r="BE1738" s="20" t="s">
        <v>4043</v>
      </c>
      <c r="BF1738" s="20" t="s">
        <v>4044</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69060402</v>
      </c>
      <c r="D1739" s="20" t="s">
        <v>4045</v>
      </c>
      <c r="E1739" s="20" t="s">
        <v>4046</v>
      </c>
      <c r="F1739" s="19">
        <v>2</v>
      </c>
      <c r="G1739" s="19">
        <v>69060400</v>
      </c>
      <c r="H1739" s="19">
        <f t="shared" si="146"/>
        <v>69060403</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4047</v>
      </c>
      <c r="BC1739" s="28">
        <v>0</v>
      </c>
      <c r="BD1739" s="28">
        <v>1</v>
      </c>
      <c r="BE1739" s="20" t="s">
        <v>4048</v>
      </c>
      <c r="BF1739" s="20" t="s">
        <v>4049</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69060403</v>
      </c>
      <c r="D1740" s="20" t="s">
        <v>4050</v>
      </c>
      <c r="E1740" s="20" t="s">
        <v>4051</v>
      </c>
      <c r="F1740" s="19">
        <v>3</v>
      </c>
      <c r="G1740" s="19">
        <v>69060400</v>
      </c>
      <c r="H1740" s="19">
        <f t="shared" si="146"/>
        <v>69060404</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4052</v>
      </c>
      <c r="BC1740" s="28">
        <v>0</v>
      </c>
      <c r="BD1740" s="28">
        <v>1</v>
      </c>
      <c r="BE1740" s="20" t="s">
        <v>4053</v>
      </c>
      <c r="BF1740" s="20" t="s">
        <v>4054</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69060404</v>
      </c>
      <c r="D1741" s="20" t="s">
        <v>4055</v>
      </c>
      <c r="E1741" s="20" t="s">
        <v>4056</v>
      </c>
      <c r="F1741" s="19">
        <v>4</v>
      </c>
      <c r="G1741" s="19">
        <v>69060400</v>
      </c>
      <c r="H1741" s="19">
        <f t="shared" si="146"/>
        <v>69060405</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4057</v>
      </c>
      <c r="BC1741" s="28">
        <v>0</v>
      </c>
      <c r="BD1741" s="28">
        <v>1</v>
      </c>
      <c r="BE1741" s="20" t="s">
        <v>4058</v>
      </c>
      <c r="BF1741" s="20" t="s">
        <v>4059</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69060405</v>
      </c>
      <c r="D1742" s="20" t="s">
        <v>4060</v>
      </c>
      <c r="E1742" s="20" t="s">
        <v>4061</v>
      </c>
      <c r="F1742" s="19">
        <v>5</v>
      </c>
      <c r="G1742" s="19">
        <v>69060400</v>
      </c>
      <c r="H1742" s="19">
        <f t="shared" si="146"/>
        <v>69060406</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4062</v>
      </c>
      <c r="BC1742" s="28">
        <v>0</v>
      </c>
      <c r="BD1742" s="28">
        <v>1</v>
      </c>
      <c r="BE1742" s="20" t="s">
        <v>4063</v>
      </c>
      <c r="BF1742" s="20" t="s">
        <v>4064</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69060406</v>
      </c>
      <c r="D1743" s="20" t="s">
        <v>4065</v>
      </c>
      <c r="E1743" s="20" t="s">
        <v>4066</v>
      </c>
      <c r="F1743" s="19">
        <v>6</v>
      </c>
      <c r="G1743" s="19">
        <v>69060400</v>
      </c>
      <c r="H1743" s="19">
        <f t="shared" si="146"/>
        <v>69060407</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4067</v>
      </c>
      <c r="BC1743" s="28">
        <v>0</v>
      </c>
      <c r="BD1743" s="28">
        <v>1</v>
      </c>
      <c r="BE1743" s="20" t="s">
        <v>4068</v>
      </c>
      <c r="BF1743" s="20" t="s">
        <v>4069</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69060407</v>
      </c>
      <c r="D1744" s="20" t="s">
        <v>4070</v>
      </c>
      <c r="E1744" s="20" t="s">
        <v>4071</v>
      </c>
      <c r="F1744" s="19">
        <v>7</v>
      </c>
      <c r="G1744" s="19">
        <v>69060400</v>
      </c>
      <c r="H1744" s="19">
        <f t="shared" si="146"/>
        <v>69060408</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4072</v>
      </c>
      <c r="BC1744" s="28">
        <v>0</v>
      </c>
      <c r="BD1744" s="28">
        <v>1</v>
      </c>
      <c r="BE1744" s="20" t="s">
        <v>4073</v>
      </c>
      <c r="BF1744" s="20" t="s">
        <v>4074</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69060408</v>
      </c>
      <c r="D1745" s="20" t="s">
        <v>4075</v>
      </c>
      <c r="E1745" s="20" t="s">
        <v>4076</v>
      </c>
      <c r="F1745" s="19">
        <v>8</v>
      </c>
      <c r="G1745" s="19">
        <v>69060400</v>
      </c>
      <c r="H1745" s="19">
        <f t="shared" si="146"/>
        <v>69060409</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4077</v>
      </c>
      <c r="BC1745" s="28">
        <v>0</v>
      </c>
      <c r="BD1745" s="28">
        <v>1</v>
      </c>
      <c r="BE1745" s="20" t="s">
        <v>4078</v>
      </c>
      <c r="BF1745" s="20" t="s">
        <v>4079</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69060409</v>
      </c>
      <c r="D1746" s="20" t="s">
        <v>4080</v>
      </c>
      <c r="E1746" s="20" t="s">
        <v>4081</v>
      </c>
      <c r="F1746" s="19">
        <v>9</v>
      </c>
      <c r="G1746" s="19">
        <v>69060400</v>
      </c>
      <c r="H1746" s="19">
        <f t="shared" si="146"/>
        <v>69060410</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4082</v>
      </c>
      <c r="BC1746" s="28">
        <v>0</v>
      </c>
      <c r="BD1746" s="28">
        <v>1</v>
      </c>
      <c r="BE1746" s="20" t="s">
        <v>4083</v>
      </c>
      <c r="BF1746" s="20" t="s">
        <v>4084</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69060410</v>
      </c>
      <c r="D1747" s="20" t="s">
        <v>4085</v>
      </c>
      <c r="E1747" s="20" t="s">
        <v>4086</v>
      </c>
      <c r="F1747" s="19">
        <v>10</v>
      </c>
      <c r="G1747" s="19">
        <v>69060400</v>
      </c>
      <c r="H1747" s="19">
        <v>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4087</v>
      </c>
      <c r="BC1747" s="28">
        <v>0</v>
      </c>
      <c r="BD1747" s="28">
        <v>1</v>
      </c>
      <c r="BE1747" s="20" t="s">
        <v>4088</v>
      </c>
      <c r="BF1747" s="20" t="s">
        <v>4089</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69060500</v>
      </c>
      <c r="D1748" s="20" t="s">
        <v>4090</v>
      </c>
      <c r="E1748" s="20" t="s">
        <v>4091</v>
      </c>
      <c r="F1748" s="19">
        <v>0</v>
      </c>
      <c r="G1748" s="19">
        <v>69060500</v>
      </c>
      <c r="H1748" s="19">
        <f>C1749</f>
        <v>69060501</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4092</v>
      </c>
      <c r="BC1748" s="28">
        <v>0</v>
      </c>
      <c r="BD1748" s="28">
        <v>1</v>
      </c>
      <c r="BE1748" s="20" t="s">
        <v>3879</v>
      </c>
      <c r="BF1748" s="20" t="s">
        <v>3880</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69060501</v>
      </c>
      <c r="D1749" s="20" t="s">
        <v>4093</v>
      </c>
      <c r="E1749" s="20" t="s">
        <v>4094</v>
      </c>
      <c r="F1749" s="19">
        <v>1</v>
      </c>
      <c r="G1749" s="19">
        <v>69060500</v>
      </c>
      <c r="H1749" s="19">
        <f t="shared" ref="H1749:H1757" si="147">C1750</f>
        <v>69060502</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4095</v>
      </c>
      <c r="BC1749" s="28">
        <v>0</v>
      </c>
      <c r="BD1749" s="28">
        <v>1</v>
      </c>
      <c r="BE1749" s="20" t="s">
        <v>4096</v>
      </c>
      <c r="BF1749" s="20" t="s">
        <v>4097</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69060502</v>
      </c>
      <c r="D1750" s="20" t="s">
        <v>4098</v>
      </c>
      <c r="E1750" s="20" t="s">
        <v>4099</v>
      </c>
      <c r="F1750" s="19">
        <v>2</v>
      </c>
      <c r="G1750" s="19">
        <v>69060500</v>
      </c>
      <c r="H1750" s="19">
        <f t="shared" si="147"/>
        <v>69060503</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4100</v>
      </c>
      <c r="BC1750" s="28">
        <v>0</v>
      </c>
      <c r="BD1750" s="28">
        <v>1</v>
      </c>
      <c r="BE1750" s="20" t="s">
        <v>4101</v>
      </c>
      <c r="BF1750" s="20" t="s">
        <v>4102</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69060503</v>
      </c>
      <c r="D1751" s="20" t="s">
        <v>4103</v>
      </c>
      <c r="E1751" s="20" t="s">
        <v>4104</v>
      </c>
      <c r="F1751" s="19">
        <v>3</v>
      </c>
      <c r="G1751" s="19">
        <v>69060500</v>
      </c>
      <c r="H1751" s="19">
        <f t="shared" si="147"/>
        <v>69060504</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4105</v>
      </c>
      <c r="BC1751" s="28">
        <v>0</v>
      </c>
      <c r="BD1751" s="28">
        <v>1</v>
      </c>
      <c r="BE1751" s="20" t="s">
        <v>4106</v>
      </c>
      <c r="BF1751" s="20" t="s">
        <v>4107</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69060504</v>
      </c>
      <c r="D1752" s="20" t="s">
        <v>4108</v>
      </c>
      <c r="E1752" s="20" t="s">
        <v>4109</v>
      </c>
      <c r="F1752" s="19">
        <v>4</v>
      </c>
      <c r="G1752" s="19">
        <v>69060500</v>
      </c>
      <c r="H1752" s="19">
        <f t="shared" si="147"/>
        <v>69060505</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4110</v>
      </c>
      <c r="BC1752" s="28">
        <v>0</v>
      </c>
      <c r="BD1752" s="28">
        <v>1</v>
      </c>
      <c r="BE1752" s="20" t="s">
        <v>4111</v>
      </c>
      <c r="BF1752" s="20" t="s">
        <v>4112</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69060505</v>
      </c>
      <c r="D1753" s="20" t="s">
        <v>4113</v>
      </c>
      <c r="E1753" s="20" t="s">
        <v>4114</v>
      </c>
      <c r="F1753" s="19">
        <v>5</v>
      </c>
      <c r="G1753" s="19">
        <v>69060500</v>
      </c>
      <c r="H1753" s="19">
        <f t="shared" si="147"/>
        <v>69060506</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4115</v>
      </c>
      <c r="BC1753" s="28">
        <v>0</v>
      </c>
      <c r="BD1753" s="28">
        <v>1</v>
      </c>
      <c r="BE1753" s="20" t="s">
        <v>4116</v>
      </c>
      <c r="BF1753" s="20" t="s">
        <v>4117</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69060506</v>
      </c>
      <c r="D1754" s="20" t="s">
        <v>4118</v>
      </c>
      <c r="E1754" s="20" t="s">
        <v>4119</v>
      </c>
      <c r="F1754" s="19">
        <v>6</v>
      </c>
      <c r="G1754" s="19">
        <v>69060500</v>
      </c>
      <c r="H1754" s="19">
        <f t="shared" si="147"/>
        <v>69060507</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4120</v>
      </c>
      <c r="BC1754" s="28">
        <v>0</v>
      </c>
      <c r="BD1754" s="28">
        <v>1</v>
      </c>
      <c r="BE1754" s="20" t="s">
        <v>4121</v>
      </c>
      <c r="BF1754" s="20" t="s">
        <v>4122</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69060507</v>
      </c>
      <c r="D1755" s="20" t="s">
        <v>4123</v>
      </c>
      <c r="E1755" s="20" t="s">
        <v>4124</v>
      </c>
      <c r="F1755" s="19">
        <v>7</v>
      </c>
      <c r="G1755" s="19">
        <v>69060500</v>
      </c>
      <c r="H1755" s="19">
        <f t="shared" si="147"/>
        <v>69060508</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4125</v>
      </c>
      <c r="BC1755" s="28">
        <v>0</v>
      </c>
      <c r="BD1755" s="28">
        <v>1</v>
      </c>
      <c r="BE1755" s="20" t="s">
        <v>4126</v>
      </c>
      <c r="BF1755" s="20" t="s">
        <v>4127</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69060508</v>
      </c>
      <c r="D1756" s="20" t="s">
        <v>4128</v>
      </c>
      <c r="E1756" s="20" t="s">
        <v>4129</v>
      </c>
      <c r="F1756" s="19">
        <v>8</v>
      </c>
      <c r="G1756" s="19">
        <v>69060500</v>
      </c>
      <c r="H1756" s="19">
        <f t="shared" si="147"/>
        <v>69060509</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4130</v>
      </c>
      <c r="BC1756" s="28">
        <v>0</v>
      </c>
      <c r="BD1756" s="28">
        <v>1</v>
      </c>
      <c r="BE1756" s="20" t="s">
        <v>4131</v>
      </c>
      <c r="BF1756" s="20" t="s">
        <v>4132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69060509</v>
      </c>
      <c r="D1757" s="20" t="s">
        <v>4133</v>
      </c>
      <c r="E1757" s="20" t="s">
        <v>4134</v>
      </c>
      <c r="F1757" s="19">
        <v>9</v>
      </c>
      <c r="G1757" s="19">
        <v>69060500</v>
      </c>
      <c r="H1757" s="19">
        <f t="shared" si="147"/>
        <v>69060510</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4135</v>
      </c>
      <c r="BC1757" s="28">
        <v>0</v>
      </c>
      <c r="BD1757" s="28">
        <v>1</v>
      </c>
      <c r="BE1757" s="20" t="s">
        <v>4136</v>
      </c>
      <c r="BF1757" s="20" t="s">
        <v>4137</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69060510</v>
      </c>
      <c r="D1758" s="20" t="s">
        <v>4138</v>
      </c>
      <c r="E1758" s="20" t="s">
        <v>4139</v>
      </c>
      <c r="F1758" s="19">
        <v>10</v>
      </c>
      <c r="G1758" s="19">
        <v>69060500</v>
      </c>
      <c r="H1758" s="19">
        <v>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4140</v>
      </c>
      <c r="BC1758" s="28">
        <v>0</v>
      </c>
      <c r="BD1758" s="28">
        <v>1</v>
      </c>
      <c r="BE1758" s="20" t="s">
        <v>4141</v>
      </c>
      <c r="BF1758" s="20" t="s">
        <v>4142</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69060600</v>
      </c>
      <c r="D1759" s="20" t="s">
        <v>4143</v>
      </c>
      <c r="E1759" s="20" t="s">
        <v>4144</v>
      </c>
      <c r="F1759" s="19">
        <v>1</v>
      </c>
      <c r="G1759" s="19">
        <v>69060600</v>
      </c>
      <c r="H1759" s="19">
        <v>69060601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4145</v>
      </c>
      <c r="BC1759" s="28">
        <v>0</v>
      </c>
      <c r="BD1759" s="28">
        <v>1</v>
      </c>
      <c r="BE1759" s="20" t="s">
        <v>3879</v>
      </c>
      <c r="BF1759" s="20" t="s">
        <v>3880</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69060601</v>
      </c>
      <c r="D1760" s="20" t="s">
        <v>4146</v>
      </c>
      <c r="E1760" s="20" t="s">
        <v>4147</v>
      </c>
      <c r="F1760" s="19">
        <v>1</v>
      </c>
      <c r="G1760" s="19">
        <v>69060600</v>
      </c>
      <c r="H1760" s="19">
        <v>69060602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3251</v>
      </c>
      <c r="BC1760" s="28">
        <v>0</v>
      </c>
      <c r="BD1760" s="28">
        <v>1</v>
      </c>
      <c r="BE1760" s="20" t="s">
        <v>4148</v>
      </c>
      <c r="BF1760" s="20" t="s">
        <v>4149</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69060602</v>
      </c>
      <c r="D1761" s="20" t="s">
        <v>4150</v>
      </c>
      <c r="E1761" s="20" t="s">
        <v>4151</v>
      </c>
      <c r="F1761" s="19">
        <v>1</v>
      </c>
      <c r="G1761" s="19">
        <v>69060600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4152</v>
      </c>
      <c r="BC1761" s="28">
        <v>0</v>
      </c>
      <c r="BD1761" s="28">
        <v>1</v>
      </c>
      <c r="BE1761" s="20" t="s">
        <v>4153</v>
      </c>
      <c r="BF1761" s="20" t="s">
        <v>4154</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69060700</v>
      </c>
      <c r="D1762" s="20" t="s">
        <v>4155</v>
      </c>
      <c r="E1762" s="20" t="s">
        <v>4156</v>
      </c>
      <c r="F1762" s="19">
        <v>1</v>
      </c>
      <c r="G1762" s="19">
        <v>69060700</v>
      </c>
      <c r="H1762" s="19">
        <v>69060701</v>
      </c>
      <c r="I1762" s="28">
        <v>0</v>
      </c>
      <c r="J1762" s="19">
        <v>20</v>
      </c>
      <c r="K1762" s="19">
        <v>2</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4145</v>
      </c>
      <c r="BC1762" s="28">
        <v>0</v>
      </c>
      <c r="BD1762" s="28">
        <v>1</v>
      </c>
      <c r="BE1762" s="20" t="s">
        <v>3879</v>
      </c>
      <c r="BF1762" s="20" t="s">
        <v>3880</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spans="3:75" ht="20.100000000000001" customHeight="1">
      <c r="C1763" s="19">
        <v>69060701</v>
      </c>
      <c r="D1763" s="20" t="s">
        <v>4157</v>
      </c>
      <c r="E1763" s="20" t="s">
        <v>4158</v>
      </c>
      <c r="F1763" s="19">
        <v>1</v>
      </c>
      <c r="G1763" s="19">
        <v>69060700</v>
      </c>
      <c r="H1763" s="19">
        <v>69060702</v>
      </c>
      <c r="I1763" s="28">
        <v>0</v>
      </c>
      <c r="J1763" s="19">
        <v>20</v>
      </c>
      <c r="K1763" s="19">
        <v>2</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3251</v>
      </c>
      <c r="BC1763" s="28">
        <v>0</v>
      </c>
      <c r="BD1763" s="28">
        <v>1</v>
      </c>
      <c r="BE1763" s="20" t="s">
        <v>4159</v>
      </c>
      <c r="BF1763" s="20" t="s">
        <v>4160</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19">
        <v>69060702</v>
      </c>
      <c r="D1764" s="20" t="s">
        <v>4161</v>
      </c>
      <c r="E1764" s="20" t="s">
        <v>4162</v>
      </c>
      <c r="F1764" s="19">
        <v>1</v>
      </c>
      <c r="G1764" s="19">
        <v>69060700</v>
      </c>
      <c r="H1764" s="19">
        <v>0</v>
      </c>
      <c r="I1764" s="28">
        <v>0</v>
      </c>
      <c r="J1764" s="19">
        <v>20</v>
      </c>
      <c r="K1764" s="19">
        <v>2</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4152</v>
      </c>
      <c r="BC1764" s="28">
        <v>0</v>
      </c>
      <c r="BD1764" s="28">
        <v>1</v>
      </c>
      <c r="BE1764" s="20" t="s">
        <v>4163</v>
      </c>
      <c r="BF1764" s="20" t="s">
        <v>4164</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19">
        <v>69060800</v>
      </c>
      <c r="D1765" s="238" t="s">
        <v>4165</v>
      </c>
      <c r="E1765" s="238" t="s">
        <v>4166</v>
      </c>
      <c r="F1765" s="239">
        <v>1</v>
      </c>
      <c r="G1765" s="19">
        <v>69060800</v>
      </c>
      <c r="H1765" s="19">
        <v>69060801</v>
      </c>
      <c r="I1765" s="239">
        <v>0</v>
      </c>
      <c r="J1765" s="19">
        <v>20</v>
      </c>
      <c r="K1765" s="239">
        <v>3</v>
      </c>
      <c r="L1765" s="239">
        <v>0</v>
      </c>
      <c r="M1765" s="239">
        <v>0</v>
      </c>
      <c r="N1765" s="239">
        <v>0</v>
      </c>
      <c r="O1765" s="239">
        <v>2</v>
      </c>
      <c r="P1765" s="239">
        <v>0</v>
      </c>
      <c r="Q1765" s="239">
        <v>0</v>
      </c>
      <c r="R1765" s="239">
        <v>0</v>
      </c>
      <c r="S1765" s="239">
        <v>0</v>
      </c>
      <c r="T1765" s="239">
        <v>0</v>
      </c>
      <c r="U1765" s="239">
        <v>1</v>
      </c>
      <c r="V1765" s="239">
        <v>2</v>
      </c>
      <c r="W1765" s="239">
        <v>0</v>
      </c>
      <c r="X1765" s="239">
        <v>0</v>
      </c>
      <c r="Y1765" s="13">
        <v>0</v>
      </c>
      <c r="Z1765" s="239">
        <v>0</v>
      </c>
      <c r="AA1765" s="239">
        <v>0</v>
      </c>
      <c r="AB1765" s="239">
        <v>0</v>
      </c>
      <c r="AC1765" s="239">
        <v>0</v>
      </c>
      <c r="AD1765" s="239">
        <v>1</v>
      </c>
      <c r="AE1765" s="239">
        <v>0</v>
      </c>
      <c r="AF1765" s="239">
        <v>20</v>
      </c>
      <c r="AG1765" s="239">
        <v>0</v>
      </c>
      <c r="AH1765" s="239">
        <v>0</v>
      </c>
      <c r="AI1765" s="239">
        <v>2</v>
      </c>
      <c r="AJ1765" s="239">
        <v>0</v>
      </c>
      <c r="AK1765" s="239">
        <v>0</v>
      </c>
      <c r="AL1765" s="239">
        <v>0</v>
      </c>
      <c r="AM1765" s="239">
        <v>0</v>
      </c>
      <c r="AN1765" s="239">
        <v>0</v>
      </c>
      <c r="AO1765" s="239">
        <v>0</v>
      </c>
      <c r="AP1765" s="239">
        <v>0</v>
      </c>
      <c r="AQ1765" s="239">
        <v>1000</v>
      </c>
      <c r="AR1765" s="239">
        <v>0</v>
      </c>
      <c r="AS1765" s="239">
        <v>0</v>
      </c>
      <c r="AT1765" s="239"/>
      <c r="AU1765" s="239" t="s">
        <v>198</v>
      </c>
      <c r="AV1765" s="239"/>
      <c r="AW1765" s="238" t="s">
        <v>199</v>
      </c>
      <c r="AX1765" s="239">
        <v>0</v>
      </c>
      <c r="AY1765" s="239">
        <v>0</v>
      </c>
      <c r="AZ1765" s="239">
        <v>0</v>
      </c>
      <c r="BA1765" s="238" t="s">
        <v>200</v>
      </c>
      <c r="BB1765" s="239" t="s">
        <v>198</v>
      </c>
      <c r="BC1765" s="239">
        <v>0</v>
      </c>
      <c r="BD1765" s="239">
        <v>1</v>
      </c>
      <c r="BE1765" s="20" t="s">
        <v>3879</v>
      </c>
      <c r="BF1765" s="20" t="s">
        <v>3880</v>
      </c>
      <c r="BG1765" s="239">
        <v>0</v>
      </c>
      <c r="BH1765" s="239">
        <v>0</v>
      </c>
      <c r="BI1765" s="239">
        <v>0</v>
      </c>
      <c r="BJ1765" s="239">
        <v>0</v>
      </c>
      <c r="BK1765" s="239">
        <v>0</v>
      </c>
      <c r="BL1765" s="239">
        <v>0</v>
      </c>
      <c r="BM1765" s="244">
        <v>0</v>
      </c>
      <c r="BN1765" s="239">
        <v>1</v>
      </c>
      <c r="BO1765" s="13">
        <v>0</v>
      </c>
      <c r="BP1765" s="13">
        <v>0</v>
      </c>
      <c r="BQ1765" s="13">
        <v>0</v>
      </c>
      <c r="BR1765" s="13">
        <v>0</v>
      </c>
      <c r="BS1765" s="13">
        <v>0</v>
      </c>
      <c r="BT1765" s="13">
        <v>0</v>
      </c>
      <c r="BU1765" s="49">
        <v>0</v>
      </c>
      <c r="BV1765" s="49"/>
      <c r="BW1765" s="49"/>
    </row>
    <row r="1766" spans="3:75" ht="20.100000000000001" customHeight="1">
      <c r="C1766" s="19">
        <v>69060801</v>
      </c>
      <c r="D1766" s="238" t="s">
        <v>4165</v>
      </c>
      <c r="E1766" s="238" t="s">
        <v>4166</v>
      </c>
      <c r="F1766" s="239">
        <v>1</v>
      </c>
      <c r="G1766" s="19">
        <v>69060800</v>
      </c>
      <c r="H1766" s="239">
        <v>0</v>
      </c>
      <c r="I1766" s="239">
        <v>0</v>
      </c>
      <c r="J1766" s="19">
        <v>20</v>
      </c>
      <c r="K1766" s="239">
        <v>3</v>
      </c>
      <c r="L1766" s="239">
        <v>0</v>
      </c>
      <c r="M1766" s="239">
        <v>0</v>
      </c>
      <c r="N1766" s="239">
        <v>0</v>
      </c>
      <c r="O1766" s="239">
        <v>2</v>
      </c>
      <c r="P1766" s="239">
        <v>13</v>
      </c>
      <c r="Q1766" s="239">
        <v>0.25</v>
      </c>
      <c r="R1766" s="239">
        <v>0</v>
      </c>
      <c r="S1766" s="239">
        <v>0</v>
      </c>
      <c r="T1766" s="239">
        <v>0</v>
      </c>
      <c r="U1766" s="239">
        <v>1</v>
      </c>
      <c r="V1766" s="239">
        <v>2</v>
      </c>
      <c r="W1766" s="239">
        <v>0</v>
      </c>
      <c r="X1766" s="239">
        <v>0</v>
      </c>
      <c r="Y1766" s="13">
        <v>0</v>
      </c>
      <c r="Z1766" s="239">
        <v>0</v>
      </c>
      <c r="AA1766" s="239">
        <v>0</v>
      </c>
      <c r="AB1766" s="239">
        <v>0</v>
      </c>
      <c r="AC1766" s="239">
        <v>0</v>
      </c>
      <c r="AD1766" s="239">
        <v>1</v>
      </c>
      <c r="AE1766" s="239">
        <v>0</v>
      </c>
      <c r="AF1766" s="239">
        <v>20</v>
      </c>
      <c r="AG1766" s="239">
        <v>0</v>
      </c>
      <c r="AH1766" s="239">
        <v>0</v>
      </c>
      <c r="AI1766" s="239">
        <v>2</v>
      </c>
      <c r="AJ1766" s="239">
        <v>0</v>
      </c>
      <c r="AK1766" s="239">
        <v>0</v>
      </c>
      <c r="AL1766" s="239">
        <v>0</v>
      </c>
      <c r="AM1766" s="239">
        <v>0</v>
      </c>
      <c r="AN1766" s="239">
        <v>0</v>
      </c>
      <c r="AO1766" s="239">
        <v>0</v>
      </c>
      <c r="AP1766" s="239">
        <v>0</v>
      </c>
      <c r="AQ1766" s="239">
        <v>1000</v>
      </c>
      <c r="AR1766" s="239">
        <v>0</v>
      </c>
      <c r="AS1766" s="239">
        <v>0</v>
      </c>
      <c r="AT1766" s="239">
        <v>80001031</v>
      </c>
      <c r="AU1766" s="239" t="s">
        <v>198</v>
      </c>
      <c r="AV1766" s="239"/>
      <c r="AW1766" s="238" t="s">
        <v>199</v>
      </c>
      <c r="AX1766" s="239" t="s">
        <v>1814</v>
      </c>
      <c r="AY1766" s="239">
        <v>0</v>
      </c>
      <c r="AZ1766" s="239">
        <v>40000003</v>
      </c>
      <c r="BA1766" s="238" t="s">
        <v>200</v>
      </c>
      <c r="BB1766" s="239" t="s">
        <v>198</v>
      </c>
      <c r="BC1766" s="239">
        <v>0</v>
      </c>
      <c r="BD1766" s="239">
        <v>1</v>
      </c>
      <c r="BE1766" s="238" t="s">
        <v>4167</v>
      </c>
      <c r="BF1766" s="238" t="s">
        <v>4168</v>
      </c>
      <c r="BG1766" s="239">
        <v>0</v>
      </c>
      <c r="BH1766" s="239">
        <v>0</v>
      </c>
      <c r="BI1766" s="239">
        <v>0</v>
      </c>
      <c r="BJ1766" s="239">
        <v>0</v>
      </c>
      <c r="BK1766" s="239">
        <v>0</v>
      </c>
      <c r="BL1766" s="239">
        <v>0</v>
      </c>
      <c r="BM1766" s="244">
        <v>0</v>
      </c>
      <c r="BN1766" s="239">
        <v>1</v>
      </c>
      <c r="BO1766" s="13">
        <v>0</v>
      </c>
      <c r="BP1766" s="13">
        <v>0</v>
      </c>
      <c r="BQ1766" s="13">
        <v>0</v>
      </c>
      <c r="BR1766" s="13">
        <v>0</v>
      </c>
      <c r="BS1766" s="13">
        <v>0</v>
      </c>
      <c r="BT1766" s="13">
        <v>0</v>
      </c>
      <c r="BU1766" s="49">
        <v>0</v>
      </c>
      <c r="BV1766" s="49"/>
      <c r="BW1766" s="49"/>
    </row>
    <row r="1767" spans="3:75" ht="20.100000000000001" customHeight="1">
      <c r="C1767" s="19">
        <v>70000001</v>
      </c>
      <c r="D1767" s="20" t="s">
        <v>4169</v>
      </c>
      <c r="E1767" s="20" t="s">
        <v>4170</v>
      </c>
      <c r="F1767" s="19">
        <v>1</v>
      </c>
      <c r="G1767" s="76">
        <v>0</v>
      </c>
      <c r="H1767" s="19">
        <v>0</v>
      </c>
      <c r="I1767" s="28">
        <v>0</v>
      </c>
      <c r="J1767" s="19">
        <v>1</v>
      </c>
      <c r="K1767" s="19">
        <v>0</v>
      </c>
      <c r="L1767" s="19">
        <v>0</v>
      </c>
      <c r="M1767" s="19">
        <v>0</v>
      </c>
      <c r="N1767" s="19">
        <v>0</v>
      </c>
      <c r="O1767" s="19">
        <v>1</v>
      </c>
      <c r="P1767" s="19">
        <v>0</v>
      </c>
      <c r="Q1767" s="19">
        <v>0</v>
      </c>
      <c r="R1767" s="19">
        <v>0</v>
      </c>
      <c r="S1767" s="13">
        <v>0</v>
      </c>
      <c r="T1767" s="28">
        <v>0</v>
      </c>
      <c r="U1767" s="17">
        <v>0</v>
      </c>
      <c r="V1767" s="19">
        <v>1</v>
      </c>
      <c r="W1767" s="19">
        <v>0</v>
      </c>
      <c r="X1767" s="19">
        <v>1</v>
      </c>
      <c r="Y1767" s="13">
        <v>0</v>
      </c>
      <c r="Z1767" s="19">
        <v>0</v>
      </c>
      <c r="AA1767" s="19">
        <v>0</v>
      </c>
      <c r="AB1767" s="19">
        <v>0</v>
      </c>
      <c r="AC1767" s="19">
        <v>0</v>
      </c>
      <c r="AD1767" s="19">
        <v>1</v>
      </c>
      <c r="AE1767" s="19">
        <v>0</v>
      </c>
      <c r="AF1767" s="19">
        <v>1</v>
      </c>
      <c r="AG1767" s="19">
        <v>1</v>
      </c>
      <c r="AH1767" s="19">
        <v>2</v>
      </c>
      <c r="AI1767" s="13">
        <v>7</v>
      </c>
      <c r="AJ1767" s="13">
        <v>0</v>
      </c>
      <c r="AK1767" s="13">
        <v>0</v>
      </c>
      <c r="AL1767" s="13">
        <v>0</v>
      </c>
      <c r="AM1767" s="19">
        <v>0</v>
      </c>
      <c r="AN1767" s="19">
        <v>0</v>
      </c>
      <c r="AO1767" s="19">
        <v>0</v>
      </c>
      <c r="AP1767" s="19">
        <v>0</v>
      </c>
      <c r="AQ1767" s="19">
        <v>700</v>
      </c>
      <c r="AR1767" s="19">
        <v>0.5</v>
      </c>
      <c r="AS1767" s="19">
        <v>0</v>
      </c>
      <c r="AT1767" s="13">
        <v>0</v>
      </c>
      <c r="AU1767" s="19" t="s">
        <v>198</v>
      </c>
      <c r="AV1767" s="19"/>
      <c r="AW1767" s="20" t="s">
        <v>741</v>
      </c>
      <c r="AX1767" s="19">
        <v>0</v>
      </c>
      <c r="AY1767" s="66">
        <v>12000006</v>
      </c>
      <c r="AZ1767" s="19">
        <v>0</v>
      </c>
      <c r="BA1767" s="20" t="s">
        <v>200</v>
      </c>
      <c r="BB1767" s="20" t="s">
        <v>198</v>
      </c>
      <c r="BC1767" s="28">
        <v>0</v>
      </c>
      <c r="BD1767" s="28">
        <v>0</v>
      </c>
      <c r="BE1767" s="89"/>
      <c r="BF1767" s="89"/>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spans="3:75" ht="20.100000000000001" customHeight="1">
      <c r="C1768" s="66">
        <v>70000002</v>
      </c>
      <c r="D1768" s="65" t="s">
        <v>4171</v>
      </c>
      <c r="E1768" s="65" t="s">
        <v>4172</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2</v>
      </c>
      <c r="AG1768" s="66">
        <v>1</v>
      </c>
      <c r="AH1768" s="66">
        <v>9</v>
      </c>
      <c r="AI1768" s="70">
        <v>7</v>
      </c>
      <c r="AJ1768" s="70">
        <v>0</v>
      </c>
      <c r="AK1768" s="13">
        <v>0</v>
      </c>
      <c r="AL1768" s="70">
        <v>9</v>
      </c>
      <c r="AM1768" s="66">
        <v>0</v>
      </c>
      <c r="AN1768" s="66">
        <v>0</v>
      </c>
      <c r="AO1768" s="66">
        <v>0</v>
      </c>
      <c r="AP1768" s="66">
        <v>0.5</v>
      </c>
      <c r="AQ1768" s="66">
        <v>3000</v>
      </c>
      <c r="AR1768" s="66">
        <v>0.2</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spans="3:75" ht="20.100000000000001" customHeight="1">
      <c r="C1769" s="66">
        <v>70000003</v>
      </c>
      <c r="D1769" s="65" t="s">
        <v>4173</v>
      </c>
      <c r="E1769" s="65" t="s">
        <v>4174</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2</v>
      </c>
      <c r="AG1769" s="66">
        <v>1</v>
      </c>
      <c r="AH1769" s="66">
        <v>9</v>
      </c>
      <c r="AI1769" s="70">
        <v>7</v>
      </c>
      <c r="AJ1769" s="70">
        <v>0</v>
      </c>
      <c r="AK1769" s="13">
        <v>0</v>
      </c>
      <c r="AL1769" s="70">
        <v>9</v>
      </c>
      <c r="AM1769" s="66">
        <v>0</v>
      </c>
      <c r="AN1769" s="66">
        <v>0</v>
      </c>
      <c r="AO1769" s="66">
        <v>0</v>
      </c>
      <c r="AP1769" s="66">
        <v>0.5</v>
      </c>
      <c r="AQ1769" s="66">
        <v>3000</v>
      </c>
      <c r="AR1769" s="66">
        <v>0.2</v>
      </c>
      <c r="AS1769" s="66">
        <v>20</v>
      </c>
      <c r="AT1769" s="70">
        <v>0</v>
      </c>
      <c r="AU1769" s="66" t="s">
        <v>198</v>
      </c>
      <c r="AV1769" s="66"/>
      <c r="AW1769" s="20" t="s">
        <v>741</v>
      </c>
      <c r="AX1769" s="66" t="s">
        <v>249</v>
      </c>
      <c r="AY1769" s="66">
        <v>10001004</v>
      </c>
      <c r="AZ1769" s="127">
        <v>20000037</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70000004</v>
      </c>
      <c r="D1770" s="65" t="s">
        <v>4175</v>
      </c>
      <c r="E1770" s="65" t="s">
        <v>4176</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2</v>
      </c>
      <c r="AG1770" s="66">
        <v>1</v>
      </c>
      <c r="AH1770" s="66">
        <v>9</v>
      </c>
      <c r="AI1770" s="70">
        <v>7</v>
      </c>
      <c r="AJ1770" s="70">
        <v>0</v>
      </c>
      <c r="AK1770" s="13">
        <v>0</v>
      </c>
      <c r="AL1770" s="70">
        <v>9</v>
      </c>
      <c r="AM1770" s="66">
        <v>0</v>
      </c>
      <c r="AN1770" s="66">
        <v>0</v>
      </c>
      <c r="AO1770" s="66">
        <v>0</v>
      </c>
      <c r="AP1770" s="66">
        <v>0.5</v>
      </c>
      <c r="AQ1770" s="66">
        <v>3000</v>
      </c>
      <c r="AR1770" s="66">
        <v>0.2</v>
      </c>
      <c r="AS1770" s="66">
        <v>20</v>
      </c>
      <c r="AT1770" s="70">
        <v>0</v>
      </c>
      <c r="AU1770" s="66" t="s">
        <v>198</v>
      </c>
      <c r="AV1770" s="66"/>
      <c r="AW1770" s="20" t="s">
        <v>741</v>
      </c>
      <c r="AX1770" s="66" t="s">
        <v>249</v>
      </c>
      <c r="AY1770" s="66">
        <v>12000006</v>
      </c>
      <c r="AZ1770" s="127">
        <v>20000038</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spans="3:75" ht="20.100000000000001" customHeight="1">
      <c r="C1771" s="66">
        <v>70000005</v>
      </c>
      <c r="D1771" s="20" t="s">
        <v>4177</v>
      </c>
      <c r="E1771" s="20" t="s">
        <v>4178</v>
      </c>
      <c r="F1771" s="19">
        <v>1</v>
      </c>
      <c r="G1771" s="19">
        <v>60010500</v>
      </c>
      <c r="H1771" s="19">
        <v>0</v>
      </c>
      <c r="I1771" s="28">
        <v>0</v>
      </c>
      <c r="J1771" s="19">
        <v>1</v>
      </c>
      <c r="K1771" s="19">
        <v>3</v>
      </c>
      <c r="L1771" s="17">
        <v>0</v>
      </c>
      <c r="M1771" s="19">
        <v>0</v>
      </c>
      <c r="N1771" s="19">
        <v>0</v>
      </c>
      <c r="O1771" s="19">
        <v>1</v>
      </c>
      <c r="P1771" s="19">
        <v>0</v>
      </c>
      <c r="Q1771" s="19">
        <v>0</v>
      </c>
      <c r="R1771" s="19">
        <v>0</v>
      </c>
      <c r="S1771" s="13">
        <v>0</v>
      </c>
      <c r="T1771" s="19">
        <v>0</v>
      </c>
      <c r="U1771" s="17">
        <v>0</v>
      </c>
      <c r="V1771" s="19">
        <v>1</v>
      </c>
      <c r="W1771" s="19">
        <v>0</v>
      </c>
      <c r="X1771" s="19">
        <v>0</v>
      </c>
      <c r="Y1771" s="13">
        <v>0</v>
      </c>
      <c r="Z1771" s="19">
        <v>0</v>
      </c>
      <c r="AA1771" s="19">
        <v>0</v>
      </c>
      <c r="AB1771" s="19">
        <v>0</v>
      </c>
      <c r="AC1771" s="19">
        <v>0</v>
      </c>
      <c r="AD1771" s="19">
        <v>1</v>
      </c>
      <c r="AE1771" s="19">
        <v>0</v>
      </c>
      <c r="AF1771" s="19">
        <v>1</v>
      </c>
      <c r="AG1771" s="19">
        <v>1</v>
      </c>
      <c r="AH1771" s="19">
        <v>2</v>
      </c>
      <c r="AI1771" s="13">
        <v>7</v>
      </c>
      <c r="AJ1771" s="13">
        <v>0</v>
      </c>
      <c r="AK1771" s="13">
        <v>0</v>
      </c>
      <c r="AL1771" s="13">
        <v>3</v>
      </c>
      <c r="AM1771" s="19">
        <v>0</v>
      </c>
      <c r="AN1771" s="19">
        <v>0</v>
      </c>
      <c r="AO1771" s="22">
        <v>0</v>
      </c>
      <c r="AP1771" s="17">
        <v>0.1</v>
      </c>
      <c r="AQ1771" s="19">
        <v>3000</v>
      </c>
      <c r="AR1771" s="19">
        <v>0</v>
      </c>
      <c r="AS1771" s="19">
        <v>40</v>
      </c>
      <c r="AT1771" s="13">
        <v>0</v>
      </c>
      <c r="AU1771" s="19" t="s">
        <v>198</v>
      </c>
      <c r="AV1771" s="19"/>
      <c r="AW1771" s="18" t="s">
        <v>232</v>
      </c>
      <c r="AX1771" s="19" t="s">
        <v>249</v>
      </c>
      <c r="AY1771" s="19">
        <v>0</v>
      </c>
      <c r="AZ1771" s="27">
        <v>0</v>
      </c>
      <c r="BA1771" s="20" t="s">
        <v>250</v>
      </c>
      <c r="BB1771" s="20" t="s">
        <v>198</v>
      </c>
      <c r="BC1771" s="28">
        <v>0</v>
      </c>
      <c r="BD1771" s="28">
        <v>0</v>
      </c>
      <c r="BE1771" s="46"/>
      <c r="BF1771" s="46"/>
      <c r="BG1771" s="19">
        <v>0</v>
      </c>
      <c r="BH1771" s="19">
        <v>0</v>
      </c>
      <c r="BI1771" s="19">
        <v>0</v>
      </c>
      <c r="BJ1771" s="19">
        <v>0</v>
      </c>
      <c r="BK1771" s="19">
        <v>0</v>
      </c>
      <c r="BL1771" s="19">
        <v>0</v>
      </c>
      <c r="BM1771" s="19">
        <v>0</v>
      </c>
      <c r="BN1771" s="13">
        <v>0</v>
      </c>
      <c r="BO1771" s="13">
        <v>0</v>
      </c>
      <c r="BP1771" s="13">
        <v>0</v>
      </c>
      <c r="BQ1771" s="13">
        <v>0</v>
      </c>
      <c r="BR1771" s="13">
        <v>0</v>
      </c>
      <c r="BS1771" s="13">
        <v>0</v>
      </c>
      <c r="BT1771" s="13">
        <v>0</v>
      </c>
      <c r="BU1771" s="49">
        <v>0</v>
      </c>
      <c r="BV1771" s="49"/>
      <c r="BW1771" s="49"/>
    </row>
    <row r="1772" spans="3:75" ht="20.100000000000001" customHeight="1">
      <c r="C1772" s="66">
        <v>70000006</v>
      </c>
      <c r="D1772" s="65" t="s">
        <v>4171</v>
      </c>
      <c r="E1772" s="65" t="s">
        <v>4172</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1</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0.5</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spans="3:75" ht="20.100000000000001" customHeight="1">
      <c r="C1773" s="66">
        <v>70000007</v>
      </c>
      <c r="D1773" s="65" t="s">
        <v>4179</v>
      </c>
      <c r="E1773" s="65" t="s">
        <v>4180</v>
      </c>
      <c r="F1773" s="19">
        <v>1</v>
      </c>
      <c r="G1773" s="19">
        <v>60010500</v>
      </c>
      <c r="H1773" s="19">
        <v>60000302</v>
      </c>
      <c r="I1773" s="28">
        <v>0</v>
      </c>
      <c r="J1773" s="19">
        <v>1</v>
      </c>
      <c r="K1773" s="19">
        <v>3</v>
      </c>
      <c r="L1773" s="17">
        <v>0</v>
      </c>
      <c r="M1773" s="19">
        <v>0</v>
      </c>
      <c r="N1773" s="19">
        <v>0</v>
      </c>
      <c r="O1773" s="19">
        <v>1</v>
      </c>
      <c r="P1773" s="19">
        <v>0</v>
      </c>
      <c r="Q1773" s="19">
        <v>0</v>
      </c>
      <c r="R1773" s="19">
        <v>0</v>
      </c>
      <c r="S1773" s="13">
        <v>0</v>
      </c>
      <c r="T1773" s="19">
        <v>0</v>
      </c>
      <c r="U1773" s="17">
        <v>0</v>
      </c>
      <c r="V1773" s="19">
        <v>1</v>
      </c>
      <c r="W1773" s="19">
        <v>0</v>
      </c>
      <c r="X1773" s="19">
        <v>1</v>
      </c>
      <c r="Y1773" s="13">
        <v>0</v>
      </c>
      <c r="Z1773" s="19">
        <v>0</v>
      </c>
      <c r="AA1773" s="19">
        <v>0</v>
      </c>
      <c r="AB1773" s="19">
        <v>0</v>
      </c>
      <c r="AC1773" s="19">
        <v>0</v>
      </c>
      <c r="AD1773" s="19">
        <v>1</v>
      </c>
      <c r="AE1773" s="19">
        <v>0</v>
      </c>
      <c r="AF1773" s="19">
        <v>1</v>
      </c>
      <c r="AG1773" s="19">
        <v>0</v>
      </c>
      <c r="AH1773" s="19">
        <v>0</v>
      </c>
      <c r="AI1773" s="13">
        <v>7</v>
      </c>
      <c r="AJ1773" s="13">
        <v>0</v>
      </c>
      <c r="AK1773" s="13">
        <v>0</v>
      </c>
      <c r="AL1773" s="13">
        <v>9</v>
      </c>
      <c r="AM1773" s="19">
        <v>0</v>
      </c>
      <c r="AN1773" s="19">
        <v>0</v>
      </c>
      <c r="AO1773" s="22">
        <v>0</v>
      </c>
      <c r="AP1773" s="17">
        <v>0.1</v>
      </c>
      <c r="AQ1773" s="19">
        <v>3000</v>
      </c>
      <c r="AR1773" s="19">
        <v>0.5</v>
      </c>
      <c r="AS1773" s="19">
        <v>20</v>
      </c>
      <c r="AT1773" s="13">
        <v>0</v>
      </c>
      <c r="AU1773" s="19" t="s">
        <v>198</v>
      </c>
      <c r="AV1773" s="19"/>
      <c r="AW1773" s="20" t="s">
        <v>741</v>
      </c>
      <c r="AX1773" s="19" t="s">
        <v>249</v>
      </c>
      <c r="AY1773" s="19">
        <v>12000006</v>
      </c>
      <c r="AZ1773" s="27">
        <v>20100210</v>
      </c>
      <c r="BA1773" s="20" t="s">
        <v>250</v>
      </c>
      <c r="BB1773" s="20" t="s">
        <v>198</v>
      </c>
      <c r="BC1773" s="28">
        <v>0</v>
      </c>
      <c r="BD1773" s="28">
        <v>0</v>
      </c>
      <c r="BE1773" s="46"/>
      <c r="BF1773" s="46"/>
      <c r="BG1773" s="19">
        <v>0</v>
      </c>
      <c r="BH1773" s="19">
        <v>0</v>
      </c>
      <c r="BI1773" s="19">
        <v>0</v>
      </c>
      <c r="BJ1773" s="19">
        <v>0</v>
      </c>
      <c r="BK1773" s="19">
        <v>0</v>
      </c>
      <c r="BL1773" s="19">
        <v>0</v>
      </c>
      <c r="BM1773" s="19">
        <v>0</v>
      </c>
      <c r="BN1773" s="13">
        <v>0</v>
      </c>
      <c r="BO1773" s="13">
        <v>0</v>
      </c>
      <c r="BP1773" s="13">
        <v>0</v>
      </c>
      <c r="BQ1773" s="13">
        <v>0</v>
      </c>
      <c r="BR1773" s="13">
        <v>0</v>
      </c>
      <c r="BS1773" s="13">
        <v>0</v>
      </c>
      <c r="BT1773" s="13">
        <v>0</v>
      </c>
      <c r="BU1773" s="49">
        <v>0</v>
      </c>
      <c r="BV1773" s="49"/>
      <c r="BW1773" s="49"/>
    </row>
    <row r="1774" spans="3:75" ht="20.100000000000001" customHeight="1">
      <c r="C1774" s="66">
        <v>70000008</v>
      </c>
      <c r="D1774" s="65" t="s">
        <v>4181</v>
      </c>
      <c r="E1774" s="65" t="s">
        <v>4182</v>
      </c>
      <c r="F1774" s="66">
        <v>1</v>
      </c>
      <c r="G1774" s="66">
        <v>60010500</v>
      </c>
      <c r="H1774" s="66">
        <v>0</v>
      </c>
      <c r="I1774" s="68">
        <v>0</v>
      </c>
      <c r="J1774" s="66">
        <v>1</v>
      </c>
      <c r="K1774" s="66">
        <v>0</v>
      </c>
      <c r="L1774" s="62">
        <v>0</v>
      </c>
      <c r="M1774" s="66">
        <v>0</v>
      </c>
      <c r="N1774" s="66">
        <v>0</v>
      </c>
      <c r="O1774" s="66">
        <v>1</v>
      </c>
      <c r="P1774" s="66">
        <v>0</v>
      </c>
      <c r="Q1774" s="66">
        <v>0</v>
      </c>
      <c r="R1774" s="66">
        <v>0</v>
      </c>
      <c r="S1774" s="13">
        <v>0</v>
      </c>
      <c r="T1774" s="66">
        <v>0</v>
      </c>
      <c r="U1774" s="62">
        <v>0</v>
      </c>
      <c r="V1774" s="66">
        <v>1</v>
      </c>
      <c r="W1774" s="66">
        <v>0</v>
      </c>
      <c r="X1774" s="66">
        <v>1</v>
      </c>
      <c r="Y1774" s="13">
        <v>0</v>
      </c>
      <c r="Z1774" s="66">
        <v>0</v>
      </c>
      <c r="AA1774" s="66">
        <v>0</v>
      </c>
      <c r="AB1774" s="66">
        <v>0</v>
      </c>
      <c r="AC1774" s="66">
        <v>0</v>
      </c>
      <c r="AD1774" s="66">
        <v>1</v>
      </c>
      <c r="AE1774" s="66">
        <v>0</v>
      </c>
      <c r="AF1774" s="66">
        <v>1</v>
      </c>
      <c r="AG1774" s="66">
        <v>1</v>
      </c>
      <c r="AH1774" s="66">
        <v>9</v>
      </c>
      <c r="AI1774" s="70">
        <v>7</v>
      </c>
      <c r="AJ1774" s="70">
        <v>0</v>
      </c>
      <c r="AK1774" s="13">
        <v>0</v>
      </c>
      <c r="AL1774" s="70">
        <v>9</v>
      </c>
      <c r="AM1774" s="66">
        <v>0</v>
      </c>
      <c r="AN1774" s="66">
        <v>0</v>
      </c>
      <c r="AO1774" s="66">
        <v>0</v>
      </c>
      <c r="AP1774" s="66">
        <v>0.5</v>
      </c>
      <c r="AQ1774" s="66">
        <v>3000</v>
      </c>
      <c r="AR1774" s="66">
        <v>0.5</v>
      </c>
      <c r="AS1774" s="66">
        <v>20</v>
      </c>
      <c r="AT1774" s="70">
        <v>0</v>
      </c>
      <c r="AU1774" s="66" t="s">
        <v>198</v>
      </c>
      <c r="AV1774" s="66"/>
      <c r="AW1774" s="20" t="s">
        <v>741</v>
      </c>
      <c r="AX1774" s="66" t="s">
        <v>249</v>
      </c>
      <c r="AY1774" s="66">
        <v>12000006</v>
      </c>
      <c r="AZ1774" s="127">
        <v>20000025</v>
      </c>
      <c r="BA1774" s="65" t="s">
        <v>250</v>
      </c>
      <c r="BB1774" s="65" t="s">
        <v>198</v>
      </c>
      <c r="BC1774" s="68">
        <v>0</v>
      </c>
      <c r="BD1774" s="68">
        <v>0</v>
      </c>
      <c r="BE1774" s="92"/>
      <c r="BF1774" s="92"/>
      <c r="BG1774" s="66">
        <v>0</v>
      </c>
      <c r="BH1774" s="66">
        <v>0</v>
      </c>
      <c r="BI1774" s="66">
        <v>0</v>
      </c>
      <c r="BJ1774" s="66">
        <v>0</v>
      </c>
      <c r="BK1774" s="66">
        <v>0</v>
      </c>
      <c r="BL1774" s="66">
        <v>0</v>
      </c>
      <c r="BM1774" s="66">
        <v>0</v>
      </c>
      <c r="BN1774" s="13">
        <v>0</v>
      </c>
      <c r="BO1774" s="13">
        <v>0</v>
      </c>
      <c r="BP1774" s="13">
        <v>0</v>
      </c>
      <c r="BQ1774" s="13">
        <v>0</v>
      </c>
      <c r="BR1774" s="13">
        <v>0</v>
      </c>
      <c r="BS1774" s="13">
        <v>0</v>
      </c>
      <c r="BT1774" s="13">
        <v>0</v>
      </c>
      <c r="BU1774" s="49">
        <v>0</v>
      </c>
      <c r="BV1774" s="49"/>
      <c r="BW1774" s="49"/>
    </row>
    <row r="1775" spans="3:75" ht="20.100000000000001" customHeight="1">
      <c r="C1775" s="19">
        <v>70000011</v>
      </c>
      <c r="D1775" s="20" t="s">
        <v>4183</v>
      </c>
      <c r="E1775" s="20" t="s">
        <v>4184</v>
      </c>
      <c r="F1775" s="19">
        <v>1</v>
      </c>
      <c r="G1775" s="19">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1000</v>
      </c>
      <c r="AR1775" s="19">
        <v>0.5</v>
      </c>
      <c r="AS1775" s="19">
        <v>0</v>
      </c>
      <c r="AT1775" s="13">
        <v>0</v>
      </c>
      <c r="AU1775" s="19" t="s">
        <v>198</v>
      </c>
      <c r="AV1775" s="19"/>
      <c r="AW1775" s="20" t="s">
        <v>741</v>
      </c>
      <c r="AX1775" s="66">
        <v>0</v>
      </c>
      <c r="AY1775" s="27">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66">
        <v>70000012</v>
      </c>
      <c r="D1776" s="65" t="s">
        <v>4185</v>
      </c>
      <c r="E1776" s="65" t="s">
        <v>4186</v>
      </c>
      <c r="F1776" s="66">
        <v>1</v>
      </c>
      <c r="G1776" s="66">
        <v>60010500</v>
      </c>
      <c r="H1776" s="66">
        <v>0</v>
      </c>
      <c r="I1776" s="68">
        <v>0</v>
      </c>
      <c r="J1776" s="66">
        <v>1</v>
      </c>
      <c r="K1776" s="66">
        <v>0</v>
      </c>
      <c r="L1776" s="62">
        <v>0</v>
      </c>
      <c r="M1776" s="66">
        <v>0</v>
      </c>
      <c r="N1776" s="66">
        <v>0</v>
      </c>
      <c r="O1776" s="66">
        <v>1</v>
      </c>
      <c r="P1776" s="66">
        <v>0</v>
      </c>
      <c r="Q1776" s="66">
        <v>0</v>
      </c>
      <c r="R1776" s="66">
        <v>0</v>
      </c>
      <c r="S1776" s="13">
        <v>0</v>
      </c>
      <c r="T1776" s="66">
        <v>0</v>
      </c>
      <c r="U1776" s="62">
        <v>0</v>
      </c>
      <c r="V1776" s="66">
        <v>2</v>
      </c>
      <c r="W1776" s="66">
        <v>0</v>
      </c>
      <c r="X1776" s="66">
        <v>1</v>
      </c>
      <c r="Y1776" s="13">
        <v>0</v>
      </c>
      <c r="Z1776" s="66">
        <v>0</v>
      </c>
      <c r="AA1776" s="66">
        <v>0</v>
      </c>
      <c r="AB1776" s="66">
        <v>0</v>
      </c>
      <c r="AC1776" s="66">
        <v>0</v>
      </c>
      <c r="AD1776" s="66">
        <v>1</v>
      </c>
      <c r="AE1776" s="66">
        <v>0</v>
      </c>
      <c r="AF1776" s="66">
        <v>1</v>
      </c>
      <c r="AG1776" s="66">
        <v>1</v>
      </c>
      <c r="AH1776" s="66">
        <v>9</v>
      </c>
      <c r="AI1776" s="70">
        <v>7</v>
      </c>
      <c r="AJ1776" s="70">
        <v>0</v>
      </c>
      <c r="AK1776" s="13">
        <v>0</v>
      </c>
      <c r="AL1776" s="70">
        <v>9</v>
      </c>
      <c r="AM1776" s="66">
        <v>0</v>
      </c>
      <c r="AN1776" s="66">
        <v>0</v>
      </c>
      <c r="AO1776" s="66">
        <v>0</v>
      </c>
      <c r="AP1776" s="66">
        <v>0.5</v>
      </c>
      <c r="AQ1776" s="66">
        <v>3000</v>
      </c>
      <c r="AR1776" s="66">
        <v>0.2</v>
      </c>
      <c r="AS1776" s="66">
        <v>20</v>
      </c>
      <c r="AT1776" s="70">
        <v>0</v>
      </c>
      <c r="AU1776" s="66" t="s">
        <v>198</v>
      </c>
      <c r="AV1776" s="66"/>
      <c r="AW1776" s="20" t="s">
        <v>741</v>
      </c>
      <c r="AX1776" s="66" t="s">
        <v>249</v>
      </c>
      <c r="AY1776" s="66">
        <v>12000006</v>
      </c>
      <c r="AZ1776" s="127">
        <v>20000025</v>
      </c>
      <c r="BA1776" s="65" t="s">
        <v>250</v>
      </c>
      <c r="BB1776" s="65" t="s">
        <v>198</v>
      </c>
      <c r="BC1776" s="68">
        <v>0</v>
      </c>
      <c r="BD1776" s="68">
        <v>0</v>
      </c>
      <c r="BE1776" s="92"/>
      <c r="BF1776" s="92"/>
      <c r="BG1776" s="66">
        <v>0</v>
      </c>
      <c r="BH1776" s="66">
        <v>0</v>
      </c>
      <c r="BI1776" s="66">
        <v>0</v>
      </c>
      <c r="BJ1776" s="66">
        <v>0</v>
      </c>
      <c r="BK1776" s="66">
        <v>0</v>
      </c>
      <c r="BL1776" s="66">
        <v>0</v>
      </c>
      <c r="BM1776" s="66">
        <v>0</v>
      </c>
      <c r="BN1776" s="13">
        <v>0</v>
      </c>
      <c r="BO1776" s="13">
        <v>0</v>
      </c>
      <c r="BP1776" s="13">
        <v>0</v>
      </c>
      <c r="BQ1776" s="13">
        <v>0</v>
      </c>
      <c r="BR1776" s="13">
        <v>0</v>
      </c>
      <c r="BS1776" s="13">
        <v>0</v>
      </c>
      <c r="BT1776" s="13">
        <v>0</v>
      </c>
      <c r="BU1776" s="49">
        <v>0</v>
      </c>
      <c r="BV1776" s="49"/>
      <c r="BW1776" s="49"/>
    </row>
    <row r="1777" spans="3:75" ht="20.100000000000001" customHeight="1">
      <c r="C1777" s="19">
        <v>70000101</v>
      </c>
      <c r="D1777" s="20" t="s">
        <v>4169</v>
      </c>
      <c r="E1777" s="20" t="s">
        <v>4170</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0.05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19">
        <v>70000102</v>
      </c>
      <c r="D1778" s="20" t="s">
        <v>4169</v>
      </c>
      <c r="E1778" s="20" t="s">
        <v>4170</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0.1</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70000103</v>
      </c>
      <c r="D1779" s="20" t="s">
        <v>4169</v>
      </c>
      <c r="E1779" s="20" t="s">
        <v>4170</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0.15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70000104</v>
      </c>
      <c r="D1780" s="20" t="s">
        <v>4169</v>
      </c>
      <c r="E1780" s="20" t="s">
        <v>4170</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0.2</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70000105</v>
      </c>
      <c r="D1781" s="20" t="s">
        <v>4169</v>
      </c>
      <c r="E1781" s="20" t="s">
        <v>4170</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0.25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70000106</v>
      </c>
      <c r="D1782" s="20" t="s">
        <v>4169</v>
      </c>
      <c r="E1782" s="20" t="s">
        <v>4170</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0.3</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70000107</v>
      </c>
      <c r="D1783" s="20" t="s">
        <v>4169</v>
      </c>
      <c r="E1783" s="20" t="s">
        <v>4170</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0.35</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20.100000000000001" customHeight="1">
      <c r="C1784" s="19">
        <v>70000108</v>
      </c>
      <c r="D1784" s="20" t="s">
        <v>4169</v>
      </c>
      <c r="E1784" s="20" t="s">
        <v>4170</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0.4</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70000109</v>
      </c>
      <c r="D1785" s="20" t="s">
        <v>4169</v>
      </c>
      <c r="E1785" s="20" t="s">
        <v>4170</v>
      </c>
      <c r="F1785" s="19">
        <v>1</v>
      </c>
      <c r="G1785" s="76">
        <v>0</v>
      </c>
      <c r="H1785" s="19">
        <v>0</v>
      </c>
      <c r="I1785" s="28">
        <v>0</v>
      </c>
      <c r="J1785" s="19">
        <v>1</v>
      </c>
      <c r="K1785" s="19">
        <v>0</v>
      </c>
      <c r="L1785" s="19">
        <v>0</v>
      </c>
      <c r="M1785" s="19">
        <v>0</v>
      </c>
      <c r="N1785" s="19">
        <v>0</v>
      </c>
      <c r="O1785" s="19">
        <v>1</v>
      </c>
      <c r="P1785" s="19">
        <v>0</v>
      </c>
      <c r="Q1785" s="19">
        <v>0</v>
      </c>
      <c r="R1785" s="19">
        <v>0</v>
      </c>
      <c r="S1785" s="13">
        <v>0</v>
      </c>
      <c r="T1785" s="28">
        <v>0</v>
      </c>
      <c r="U1785" s="17">
        <v>0</v>
      </c>
      <c r="V1785" s="19">
        <v>1</v>
      </c>
      <c r="W1785" s="19">
        <v>0</v>
      </c>
      <c r="X1785" s="19">
        <v>1</v>
      </c>
      <c r="Y1785" s="13">
        <v>0</v>
      </c>
      <c r="Z1785" s="19">
        <v>0</v>
      </c>
      <c r="AA1785" s="19">
        <v>0</v>
      </c>
      <c r="AB1785" s="19">
        <v>0</v>
      </c>
      <c r="AC1785" s="19">
        <v>0</v>
      </c>
      <c r="AD1785" s="19">
        <v>1</v>
      </c>
      <c r="AE1785" s="19">
        <v>0</v>
      </c>
      <c r="AF1785" s="19">
        <v>1</v>
      </c>
      <c r="AG1785" s="19">
        <v>1</v>
      </c>
      <c r="AH1785" s="19">
        <v>2</v>
      </c>
      <c r="AI1785" s="13">
        <v>7</v>
      </c>
      <c r="AJ1785" s="13">
        <v>0</v>
      </c>
      <c r="AK1785" s="13">
        <v>0</v>
      </c>
      <c r="AL1785" s="13">
        <v>0</v>
      </c>
      <c r="AM1785" s="19">
        <v>0</v>
      </c>
      <c r="AN1785" s="19">
        <v>0</v>
      </c>
      <c r="AO1785" s="19">
        <v>0</v>
      </c>
      <c r="AP1785" s="19">
        <v>0</v>
      </c>
      <c r="AQ1785" s="19">
        <v>700</v>
      </c>
      <c r="AR1785" s="19">
        <v>0.45</v>
      </c>
      <c r="AS1785" s="19">
        <v>0</v>
      </c>
      <c r="AT1785" s="13">
        <v>0</v>
      </c>
      <c r="AU1785" s="19" t="s">
        <v>198</v>
      </c>
      <c r="AV1785" s="19"/>
      <c r="AW1785" s="20" t="s">
        <v>741</v>
      </c>
      <c r="AX1785" s="19">
        <v>0</v>
      </c>
      <c r="AY1785" s="66">
        <v>12000006</v>
      </c>
      <c r="AZ1785" s="19">
        <v>0</v>
      </c>
      <c r="BA1785" s="20" t="s">
        <v>200</v>
      </c>
      <c r="BB1785" s="20" t="s">
        <v>198</v>
      </c>
      <c r="BC1785" s="28">
        <v>0</v>
      </c>
      <c r="BD1785" s="28">
        <v>0</v>
      </c>
      <c r="BE1785" s="89"/>
      <c r="BF1785" s="89"/>
      <c r="BG1785" s="19">
        <v>0</v>
      </c>
      <c r="BH1785" s="17">
        <v>0</v>
      </c>
      <c r="BI1785" s="19">
        <v>0</v>
      </c>
      <c r="BJ1785" s="19">
        <v>0</v>
      </c>
      <c r="BK1785" s="19">
        <v>0</v>
      </c>
      <c r="BL1785" s="19">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70000110</v>
      </c>
      <c r="D1786" s="20" t="s">
        <v>4169</v>
      </c>
      <c r="E1786" s="20" t="s">
        <v>4170</v>
      </c>
      <c r="F1786" s="19">
        <v>1</v>
      </c>
      <c r="G1786" s="76">
        <v>0</v>
      </c>
      <c r="H1786" s="19">
        <v>0</v>
      </c>
      <c r="I1786" s="28">
        <v>0</v>
      </c>
      <c r="J1786" s="19">
        <v>1</v>
      </c>
      <c r="K1786" s="19">
        <v>0</v>
      </c>
      <c r="L1786" s="19">
        <v>0</v>
      </c>
      <c r="M1786" s="19">
        <v>0</v>
      </c>
      <c r="N1786" s="19">
        <v>0</v>
      </c>
      <c r="O1786" s="19">
        <v>1</v>
      </c>
      <c r="P1786" s="19">
        <v>0</v>
      </c>
      <c r="Q1786" s="19">
        <v>0</v>
      </c>
      <c r="R1786" s="19">
        <v>0</v>
      </c>
      <c r="S1786" s="13">
        <v>0</v>
      </c>
      <c r="T1786" s="28">
        <v>0</v>
      </c>
      <c r="U1786" s="17">
        <v>0</v>
      </c>
      <c r="V1786" s="19">
        <v>1</v>
      </c>
      <c r="W1786" s="19">
        <v>0</v>
      </c>
      <c r="X1786" s="19">
        <v>1</v>
      </c>
      <c r="Y1786" s="13">
        <v>0</v>
      </c>
      <c r="Z1786" s="19">
        <v>0</v>
      </c>
      <c r="AA1786" s="19">
        <v>0</v>
      </c>
      <c r="AB1786" s="19">
        <v>0</v>
      </c>
      <c r="AC1786" s="19">
        <v>0</v>
      </c>
      <c r="AD1786" s="19">
        <v>1</v>
      </c>
      <c r="AE1786" s="19">
        <v>0</v>
      </c>
      <c r="AF1786" s="19">
        <v>1</v>
      </c>
      <c r="AG1786" s="19">
        <v>1</v>
      </c>
      <c r="AH1786" s="19">
        <v>2</v>
      </c>
      <c r="AI1786" s="13">
        <v>7</v>
      </c>
      <c r="AJ1786" s="13">
        <v>0</v>
      </c>
      <c r="AK1786" s="13">
        <v>0</v>
      </c>
      <c r="AL1786" s="13">
        <v>0</v>
      </c>
      <c r="AM1786" s="19">
        <v>0</v>
      </c>
      <c r="AN1786" s="19">
        <v>0</v>
      </c>
      <c r="AO1786" s="19">
        <v>0</v>
      </c>
      <c r="AP1786" s="19">
        <v>0</v>
      </c>
      <c r="AQ1786" s="19">
        <v>700</v>
      </c>
      <c r="AR1786" s="19">
        <v>0.5</v>
      </c>
      <c r="AS1786" s="19">
        <v>0</v>
      </c>
      <c r="AT1786" s="13">
        <v>0</v>
      </c>
      <c r="AU1786" s="19">
        <v>0</v>
      </c>
      <c r="AV1786" s="19"/>
      <c r="AW1786" s="20" t="s">
        <v>741</v>
      </c>
      <c r="AX1786" s="19">
        <v>0</v>
      </c>
      <c r="AY1786" s="66">
        <v>12000006</v>
      </c>
      <c r="AZ1786" s="19">
        <v>0</v>
      </c>
      <c r="BA1786" s="20" t="s">
        <v>200</v>
      </c>
      <c r="BB1786" s="20" t="s">
        <v>371</v>
      </c>
      <c r="BC1786" s="28">
        <v>0</v>
      </c>
      <c r="BD1786" s="28">
        <v>0</v>
      </c>
      <c r="BE1786" s="89"/>
      <c r="BF1786" s="89"/>
      <c r="BG1786" s="19">
        <v>0</v>
      </c>
      <c r="BH1786" s="17">
        <v>0</v>
      </c>
      <c r="BI1786" s="19">
        <v>0</v>
      </c>
      <c r="BJ1786" s="19">
        <v>0</v>
      </c>
      <c r="BK1786" s="19">
        <v>0</v>
      </c>
      <c r="BL1786" s="19">
        <v>0</v>
      </c>
      <c r="BM1786" s="16">
        <v>0</v>
      </c>
      <c r="BN1786" s="13">
        <v>0</v>
      </c>
      <c r="BO1786" s="13">
        <v>0</v>
      </c>
      <c r="BP1786" s="13">
        <v>0</v>
      </c>
      <c r="BQ1786" s="13">
        <v>0</v>
      </c>
      <c r="BR1786" s="13">
        <v>0</v>
      </c>
      <c r="BS1786" s="13">
        <v>0</v>
      </c>
      <c r="BT1786" s="13">
        <v>0</v>
      </c>
      <c r="BU1786" s="49">
        <v>0</v>
      </c>
      <c r="BV1786" s="49"/>
      <c r="BW1786" s="49"/>
    </row>
    <row r="1787" spans="3:75" ht="19.5" customHeight="1">
      <c r="C1787" s="19">
        <v>70000111</v>
      </c>
      <c r="D1787" s="20" t="s">
        <v>4169</v>
      </c>
      <c r="E1787" s="20" t="s">
        <v>4170</v>
      </c>
      <c r="F1787" s="19">
        <v>1</v>
      </c>
      <c r="G1787" s="76">
        <v>0</v>
      </c>
      <c r="H1787" s="19">
        <v>0</v>
      </c>
      <c r="I1787" s="28">
        <v>0</v>
      </c>
      <c r="J1787" s="19">
        <v>1</v>
      </c>
      <c r="K1787" s="19">
        <v>0</v>
      </c>
      <c r="L1787" s="19">
        <v>0</v>
      </c>
      <c r="M1787" s="19">
        <v>0</v>
      </c>
      <c r="N1787" s="19">
        <v>0</v>
      </c>
      <c r="O1787" s="19">
        <v>1</v>
      </c>
      <c r="P1787" s="19">
        <v>0</v>
      </c>
      <c r="Q1787" s="19">
        <v>0</v>
      </c>
      <c r="R1787" s="19">
        <v>0</v>
      </c>
      <c r="S1787" s="13">
        <v>0</v>
      </c>
      <c r="T1787" s="28">
        <v>0</v>
      </c>
      <c r="U1787" s="17">
        <v>0</v>
      </c>
      <c r="V1787" s="19">
        <v>1</v>
      </c>
      <c r="W1787" s="19">
        <v>0</v>
      </c>
      <c r="X1787" s="19">
        <v>1</v>
      </c>
      <c r="Y1787" s="13">
        <v>0</v>
      </c>
      <c r="Z1787" s="19">
        <v>0</v>
      </c>
      <c r="AA1787" s="19">
        <v>0</v>
      </c>
      <c r="AB1787" s="19">
        <v>0</v>
      </c>
      <c r="AC1787" s="19">
        <v>0</v>
      </c>
      <c r="AD1787" s="19">
        <v>1</v>
      </c>
      <c r="AE1787" s="19">
        <v>0</v>
      </c>
      <c r="AF1787" s="19">
        <v>1</v>
      </c>
      <c r="AG1787" s="19">
        <v>1</v>
      </c>
      <c r="AH1787" s="19">
        <v>2</v>
      </c>
      <c r="AI1787" s="13">
        <v>7</v>
      </c>
      <c r="AJ1787" s="13">
        <v>0</v>
      </c>
      <c r="AK1787" s="13">
        <v>0</v>
      </c>
      <c r="AL1787" s="13">
        <v>0</v>
      </c>
      <c r="AM1787" s="19">
        <v>0</v>
      </c>
      <c r="AN1787" s="19">
        <v>0</v>
      </c>
      <c r="AO1787" s="19">
        <v>0</v>
      </c>
      <c r="AP1787" s="19">
        <v>0</v>
      </c>
      <c r="AQ1787" s="19">
        <v>700</v>
      </c>
      <c r="AR1787" s="19">
        <v>0.8</v>
      </c>
      <c r="AS1787" s="19">
        <v>0</v>
      </c>
      <c r="AT1787" s="13">
        <v>0</v>
      </c>
      <c r="AU1787" s="19" t="s">
        <v>198</v>
      </c>
      <c r="AV1787" s="19"/>
      <c r="AW1787" s="20" t="s">
        <v>741</v>
      </c>
      <c r="AX1787" s="19">
        <v>0</v>
      </c>
      <c r="AY1787" s="66">
        <v>12000006</v>
      </c>
      <c r="AZ1787" s="19">
        <v>0</v>
      </c>
      <c r="BA1787" s="20" t="s">
        <v>200</v>
      </c>
      <c r="BB1787" s="20" t="s">
        <v>198</v>
      </c>
      <c r="BC1787" s="28">
        <v>0</v>
      </c>
      <c r="BD1787" s="28">
        <v>0</v>
      </c>
      <c r="BE1787" s="89"/>
      <c r="BF1787" s="89"/>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spans="3:75" ht="20.100000000000001" customHeight="1">
      <c r="C1788" s="19">
        <v>70001001</v>
      </c>
      <c r="D1788" s="18" t="s">
        <v>598</v>
      </c>
      <c r="E1788" s="18" t="s">
        <v>1162</v>
      </c>
      <c r="F1788" s="19">
        <v>1</v>
      </c>
      <c r="G1788" s="17">
        <v>60010300</v>
      </c>
      <c r="H1788" s="19">
        <v>0</v>
      </c>
      <c r="I1788" s="28">
        <v>0</v>
      </c>
      <c r="J1788" s="19">
        <v>1</v>
      </c>
      <c r="K1788" s="19">
        <v>0</v>
      </c>
      <c r="L1788" s="19">
        <v>0</v>
      </c>
      <c r="M1788" s="17">
        <v>0</v>
      </c>
      <c r="N1788" s="17">
        <v>0</v>
      </c>
      <c r="O1788" s="17">
        <v>2</v>
      </c>
      <c r="P1788" s="17">
        <v>1</v>
      </c>
      <c r="Q1788" s="17">
        <v>0.3</v>
      </c>
      <c r="R1788" s="17">
        <v>0</v>
      </c>
      <c r="S1788" s="13">
        <v>0</v>
      </c>
      <c r="T1788" s="17">
        <v>0</v>
      </c>
      <c r="U1788" s="17">
        <v>1</v>
      </c>
      <c r="V1788" s="17">
        <v>2</v>
      </c>
      <c r="W1788" s="17">
        <v>0</v>
      </c>
      <c r="X1788" s="17">
        <v>3</v>
      </c>
      <c r="Y1788" s="13">
        <v>0</v>
      </c>
      <c r="Z1788" s="17">
        <v>350</v>
      </c>
      <c r="AA1788" s="17">
        <v>0</v>
      </c>
      <c r="AB1788" s="17">
        <v>0</v>
      </c>
      <c r="AC1788" s="17">
        <v>0</v>
      </c>
      <c r="AD1788" s="17">
        <v>0</v>
      </c>
      <c r="AE1788" s="17">
        <v>0</v>
      </c>
      <c r="AF1788" s="17">
        <v>9</v>
      </c>
      <c r="AG1788" s="17">
        <v>2</v>
      </c>
      <c r="AH1788" s="17" t="s">
        <v>213</v>
      </c>
      <c r="AI1788" s="13">
        <v>0</v>
      </c>
      <c r="AJ1788" s="13">
        <v>2</v>
      </c>
      <c r="AK1788" s="13">
        <v>0</v>
      </c>
      <c r="AL1788" s="13">
        <v>1.5</v>
      </c>
      <c r="AM1788" s="17">
        <v>0</v>
      </c>
      <c r="AN1788" s="17">
        <v>0</v>
      </c>
      <c r="AO1788" s="17">
        <v>0</v>
      </c>
      <c r="AP1788" s="17">
        <v>1</v>
      </c>
      <c r="AQ1788" s="17">
        <v>3000</v>
      </c>
      <c r="AR1788" s="17">
        <v>0.5</v>
      </c>
      <c r="AS1788" s="17">
        <v>0</v>
      </c>
      <c r="AT1788" s="13">
        <v>0</v>
      </c>
      <c r="AU1788" s="17" t="s">
        <v>198</v>
      </c>
      <c r="AV1788" s="17"/>
      <c r="AW1788" s="18" t="s">
        <v>287</v>
      </c>
      <c r="AX1788" s="17" t="s">
        <v>545</v>
      </c>
      <c r="AY1788" s="19">
        <v>10000007</v>
      </c>
      <c r="AZ1788" s="19">
        <v>21000110</v>
      </c>
      <c r="BA1788" s="18" t="s">
        <v>200</v>
      </c>
      <c r="BB1788" s="17">
        <v>0</v>
      </c>
      <c r="BC1788" s="28">
        <v>0</v>
      </c>
      <c r="BD1788" s="28">
        <v>0</v>
      </c>
      <c r="BE1788" s="46" t="s">
        <v>577</v>
      </c>
      <c r="BF1788" s="46" t="s">
        <v>578</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70101001</v>
      </c>
      <c r="D1789" s="18" t="s">
        <v>589</v>
      </c>
      <c r="E1789" s="18" t="s">
        <v>590</v>
      </c>
      <c r="F1789" s="19">
        <v>1</v>
      </c>
      <c r="G1789" s="17">
        <v>60010300</v>
      </c>
      <c r="H1789" s="19">
        <v>0</v>
      </c>
      <c r="I1789" s="28">
        <v>0</v>
      </c>
      <c r="J1789" s="19">
        <v>1</v>
      </c>
      <c r="K1789" s="19">
        <v>0</v>
      </c>
      <c r="L1789" s="19">
        <v>0</v>
      </c>
      <c r="M1789" s="17">
        <v>0</v>
      </c>
      <c r="N1789" s="17">
        <v>0</v>
      </c>
      <c r="O1789" s="17">
        <v>2</v>
      </c>
      <c r="P1789" s="17">
        <v>2</v>
      </c>
      <c r="Q1789" s="17">
        <v>0.8</v>
      </c>
      <c r="R1789" s="17">
        <v>0</v>
      </c>
      <c r="S1789" s="13">
        <v>0</v>
      </c>
      <c r="T1789" s="17">
        <v>0</v>
      </c>
      <c r="U1789" s="17">
        <v>1</v>
      </c>
      <c r="V1789" s="17">
        <v>2</v>
      </c>
      <c r="W1789" s="17">
        <v>0</v>
      </c>
      <c r="X1789" s="17">
        <v>0</v>
      </c>
      <c r="Y1789" s="13">
        <v>0</v>
      </c>
      <c r="Z1789" s="17">
        <v>0</v>
      </c>
      <c r="AA1789" s="17">
        <v>0</v>
      </c>
      <c r="AB1789" s="17">
        <v>0</v>
      </c>
      <c r="AC1789" s="17">
        <v>0</v>
      </c>
      <c r="AD1789" s="17">
        <v>0</v>
      </c>
      <c r="AE1789" s="17">
        <v>0</v>
      </c>
      <c r="AF1789" s="17">
        <v>20</v>
      </c>
      <c r="AG1789" s="17">
        <v>0</v>
      </c>
      <c r="AH1789" s="17">
        <v>0</v>
      </c>
      <c r="AI1789" s="13">
        <v>2</v>
      </c>
      <c r="AJ1789" s="13">
        <v>2</v>
      </c>
      <c r="AK1789" s="13">
        <v>0</v>
      </c>
      <c r="AL1789" s="13">
        <v>1.5</v>
      </c>
      <c r="AM1789" s="17">
        <v>0</v>
      </c>
      <c r="AN1789" s="17">
        <v>0</v>
      </c>
      <c r="AO1789" s="17">
        <v>0</v>
      </c>
      <c r="AP1789" s="17">
        <v>1</v>
      </c>
      <c r="AQ1789" s="17">
        <v>3000</v>
      </c>
      <c r="AR1789" s="17">
        <v>0.5</v>
      </c>
      <c r="AS1789" s="17">
        <v>0</v>
      </c>
      <c r="AT1789" s="13">
        <v>0</v>
      </c>
      <c r="AU1789" s="17" t="s">
        <v>198</v>
      </c>
      <c r="AV1789" s="17"/>
      <c r="AW1789" s="18" t="s">
        <v>199</v>
      </c>
      <c r="AX1789" s="17" t="s">
        <v>545</v>
      </c>
      <c r="AY1789" s="19">
        <v>0</v>
      </c>
      <c r="AZ1789" s="19">
        <v>0</v>
      </c>
      <c r="BA1789" s="18" t="s">
        <v>528</v>
      </c>
      <c r="BB1789" s="17" t="s">
        <v>4187</v>
      </c>
      <c r="BC1789" s="28">
        <v>0</v>
      </c>
      <c r="BD1789" s="28">
        <v>0</v>
      </c>
      <c r="BE1789" s="46" t="s">
        <v>4188</v>
      </c>
      <c r="BF1789" s="46" t="s">
        <v>4189</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1.75" customHeight="1">
      <c r="C1790" s="19">
        <v>70102001</v>
      </c>
      <c r="D1790" s="18" t="s">
        <v>532</v>
      </c>
      <c r="E1790" s="18" t="s">
        <v>255</v>
      </c>
      <c r="F1790" s="19">
        <v>1</v>
      </c>
      <c r="G1790" s="17">
        <v>60010100</v>
      </c>
      <c r="H1790" s="19">
        <v>0</v>
      </c>
      <c r="I1790" s="28">
        <v>0</v>
      </c>
      <c r="J1790" s="19">
        <v>1</v>
      </c>
      <c r="K1790" s="19">
        <v>0</v>
      </c>
      <c r="L1790" s="19">
        <v>0</v>
      </c>
      <c r="M1790" s="17">
        <v>0</v>
      </c>
      <c r="N1790" s="17">
        <v>0</v>
      </c>
      <c r="O1790" s="17">
        <v>2</v>
      </c>
      <c r="P1790" s="17">
        <v>3</v>
      </c>
      <c r="Q1790" s="17">
        <v>1</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9</v>
      </c>
      <c r="AG1790" s="17">
        <v>1</v>
      </c>
      <c r="AH1790" s="17">
        <v>4</v>
      </c>
      <c r="AI1790" s="13">
        <v>0</v>
      </c>
      <c r="AJ1790" s="13">
        <v>1</v>
      </c>
      <c r="AK1790" s="13">
        <v>0</v>
      </c>
      <c r="AL1790" s="13">
        <v>2</v>
      </c>
      <c r="AM1790" s="17">
        <v>0</v>
      </c>
      <c r="AN1790" s="17">
        <v>0</v>
      </c>
      <c r="AO1790" s="17">
        <v>0</v>
      </c>
      <c r="AP1790" s="17">
        <v>3</v>
      </c>
      <c r="AQ1790" s="17">
        <v>5000</v>
      </c>
      <c r="AR1790" s="17">
        <v>2.5</v>
      </c>
      <c r="AS1790" s="17">
        <v>0</v>
      </c>
      <c r="AT1790" s="13">
        <v>0</v>
      </c>
      <c r="AU1790" s="17" t="s">
        <v>533</v>
      </c>
      <c r="AV1790" s="17"/>
      <c r="AW1790" s="18" t="s">
        <v>287</v>
      </c>
      <c r="AX1790" s="17" t="s">
        <v>534</v>
      </c>
      <c r="AY1790" s="19">
        <v>10000007</v>
      </c>
      <c r="AZ1790" s="19">
        <v>70102001</v>
      </c>
      <c r="BA1790" s="18" t="s">
        <v>200</v>
      </c>
      <c r="BB1790" s="17" t="s">
        <v>4190</v>
      </c>
      <c r="BC1790" s="28">
        <v>0</v>
      </c>
      <c r="BD1790" s="28">
        <v>0</v>
      </c>
      <c r="BE1790" s="46" t="s">
        <v>536</v>
      </c>
      <c r="BF1790" s="46" t="s">
        <v>537</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70102002</v>
      </c>
      <c r="D1791" s="20" t="s">
        <v>538</v>
      </c>
      <c r="E1791" s="20" t="s">
        <v>539</v>
      </c>
      <c r="F1791" s="19">
        <v>1</v>
      </c>
      <c r="G1791" s="19">
        <v>60010500</v>
      </c>
      <c r="H1791" s="19">
        <v>0</v>
      </c>
      <c r="I1791" s="28">
        <v>0</v>
      </c>
      <c r="J1791" s="19">
        <v>1</v>
      </c>
      <c r="K1791" s="19">
        <v>0</v>
      </c>
      <c r="L1791" s="19">
        <v>0</v>
      </c>
      <c r="M1791" s="19">
        <v>0</v>
      </c>
      <c r="N1791" s="19">
        <v>0</v>
      </c>
      <c r="O1791" s="17">
        <v>2</v>
      </c>
      <c r="P1791" s="19">
        <v>2</v>
      </c>
      <c r="Q1791" s="19">
        <v>0.6</v>
      </c>
      <c r="R1791" s="19">
        <v>0</v>
      </c>
      <c r="S1791" s="13">
        <v>0</v>
      </c>
      <c r="T1791" s="28">
        <v>0</v>
      </c>
      <c r="U1791" s="17">
        <v>1</v>
      </c>
      <c r="V1791" s="19">
        <v>2</v>
      </c>
      <c r="W1791" s="19">
        <v>0</v>
      </c>
      <c r="X1791" s="19">
        <v>0</v>
      </c>
      <c r="Y1791" s="13">
        <v>0</v>
      </c>
      <c r="Z1791" s="19">
        <v>0</v>
      </c>
      <c r="AA1791" s="19">
        <v>0</v>
      </c>
      <c r="AB1791" s="19">
        <v>0</v>
      </c>
      <c r="AC1791" s="19">
        <v>0</v>
      </c>
      <c r="AD1791" s="19">
        <v>0</v>
      </c>
      <c r="AE1791" s="19">
        <v>0</v>
      </c>
      <c r="AF1791" s="19">
        <v>20</v>
      </c>
      <c r="AG1791" s="19">
        <v>0</v>
      </c>
      <c r="AH1791" s="19">
        <v>0</v>
      </c>
      <c r="AI1791" s="13">
        <v>2</v>
      </c>
      <c r="AJ1791" s="13">
        <v>0</v>
      </c>
      <c r="AK1791" s="13">
        <v>0</v>
      </c>
      <c r="AL1791" s="13">
        <v>0</v>
      </c>
      <c r="AM1791" s="19">
        <v>0</v>
      </c>
      <c r="AN1791" s="19">
        <v>0</v>
      </c>
      <c r="AO1791" s="19">
        <v>0</v>
      </c>
      <c r="AP1791" s="19">
        <v>0</v>
      </c>
      <c r="AQ1791" s="19">
        <v>1000</v>
      </c>
      <c r="AR1791" s="19">
        <v>0</v>
      </c>
      <c r="AS1791" s="19">
        <v>0</v>
      </c>
      <c r="AT1791" s="13">
        <v>90102001</v>
      </c>
      <c r="AU1791" s="19" t="s">
        <v>198</v>
      </c>
      <c r="AV1791" s="19"/>
      <c r="AW1791" s="20" t="s">
        <v>199</v>
      </c>
      <c r="AX1791" s="19" t="s">
        <v>348</v>
      </c>
      <c r="AY1791" s="19">
        <v>0</v>
      </c>
      <c r="AZ1791" s="19">
        <v>40000003</v>
      </c>
      <c r="BA1791" s="20" t="s">
        <v>200</v>
      </c>
      <c r="BB1791" s="20" t="s">
        <v>198</v>
      </c>
      <c r="BC1791" s="28">
        <v>0</v>
      </c>
      <c r="BD1791" s="28">
        <v>0</v>
      </c>
      <c r="BE1791" s="89" t="s">
        <v>540</v>
      </c>
      <c r="BF1791" s="89" t="s">
        <v>541</v>
      </c>
      <c r="BG1791" s="19">
        <v>0</v>
      </c>
      <c r="BH1791" s="17">
        <v>0</v>
      </c>
      <c r="BI1791" s="19">
        <v>0</v>
      </c>
      <c r="BJ1791" s="19">
        <v>0</v>
      </c>
      <c r="BK1791" s="19">
        <v>0</v>
      </c>
      <c r="BL1791" s="19">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70103001</v>
      </c>
      <c r="D1792" s="18" t="s">
        <v>543</v>
      </c>
      <c r="E1792" s="18" t="s">
        <v>544</v>
      </c>
      <c r="F1792" s="19">
        <v>1</v>
      </c>
      <c r="G1792" s="17">
        <v>60010300</v>
      </c>
      <c r="H1792" s="19">
        <v>0</v>
      </c>
      <c r="I1792" s="28">
        <v>0</v>
      </c>
      <c r="J1792" s="19">
        <v>1</v>
      </c>
      <c r="K1792" s="19">
        <v>0</v>
      </c>
      <c r="L1792" s="19">
        <v>0</v>
      </c>
      <c r="M1792" s="17">
        <v>0</v>
      </c>
      <c r="N1792" s="17">
        <v>0</v>
      </c>
      <c r="O1792" s="17">
        <v>2</v>
      </c>
      <c r="P1792" s="17">
        <v>1</v>
      </c>
      <c r="Q1792" s="17">
        <v>0.5</v>
      </c>
      <c r="R1792" s="17">
        <v>0</v>
      </c>
      <c r="S1792" s="13">
        <v>0</v>
      </c>
      <c r="T1792" s="17">
        <v>0</v>
      </c>
      <c r="U1792" s="17">
        <v>1</v>
      </c>
      <c r="V1792" s="17">
        <v>2</v>
      </c>
      <c r="W1792" s="17">
        <v>0</v>
      </c>
      <c r="X1792" s="17">
        <v>3</v>
      </c>
      <c r="Y1792" s="13">
        <v>0</v>
      </c>
      <c r="Z1792" s="17">
        <v>0</v>
      </c>
      <c r="AA1792" s="17">
        <v>0</v>
      </c>
      <c r="AB1792" s="17">
        <v>0</v>
      </c>
      <c r="AC1792" s="17">
        <v>0</v>
      </c>
      <c r="AD1792" s="17">
        <v>0</v>
      </c>
      <c r="AE1792" s="17">
        <v>0</v>
      </c>
      <c r="AF1792" s="17">
        <v>12</v>
      </c>
      <c r="AG1792" s="17">
        <v>2</v>
      </c>
      <c r="AH1792" s="17" t="s">
        <v>213</v>
      </c>
      <c r="AI1792" s="13">
        <v>0</v>
      </c>
      <c r="AJ1792" s="13">
        <v>2</v>
      </c>
      <c r="AK1792" s="13">
        <v>0</v>
      </c>
      <c r="AL1792" s="13">
        <v>1.5</v>
      </c>
      <c r="AM1792" s="17">
        <v>0</v>
      </c>
      <c r="AN1792" s="17">
        <v>0</v>
      </c>
      <c r="AO1792" s="17">
        <v>0</v>
      </c>
      <c r="AP1792" s="17">
        <v>1.1000000000000001</v>
      </c>
      <c r="AQ1792" s="17">
        <v>3000</v>
      </c>
      <c r="AR1792" s="17">
        <v>1.1000000000000001</v>
      </c>
      <c r="AS1792" s="17">
        <v>0</v>
      </c>
      <c r="AT1792" s="13">
        <v>0</v>
      </c>
      <c r="AU1792" s="17" t="s">
        <v>198</v>
      </c>
      <c r="AV1792" s="17"/>
      <c r="AW1792" s="20" t="s">
        <v>287</v>
      </c>
      <c r="AX1792" s="17" t="s">
        <v>545</v>
      </c>
      <c r="AY1792" s="19">
        <v>10001007</v>
      </c>
      <c r="AZ1792" s="19">
        <v>70103001</v>
      </c>
      <c r="BA1792" s="18" t="s">
        <v>200</v>
      </c>
      <c r="BB1792" s="17">
        <v>0</v>
      </c>
      <c r="BC1792" s="28">
        <v>0</v>
      </c>
      <c r="BD1792" s="28">
        <v>0</v>
      </c>
      <c r="BE1792" s="46" t="s">
        <v>546</v>
      </c>
      <c r="BF1792" s="46" t="s">
        <v>547</v>
      </c>
      <c r="BG1792" s="17">
        <v>0</v>
      </c>
      <c r="BH1792" s="17">
        <v>0</v>
      </c>
      <c r="BI1792" s="17">
        <v>0</v>
      </c>
      <c r="BJ1792" s="17">
        <v>0</v>
      </c>
      <c r="BK1792" s="17">
        <v>0</v>
      </c>
      <c r="BL1792" s="17">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70103002</v>
      </c>
      <c r="D1793" s="20" t="s">
        <v>538</v>
      </c>
      <c r="E1793" s="20" t="s">
        <v>539</v>
      </c>
      <c r="F1793" s="19">
        <v>1</v>
      </c>
      <c r="G1793" s="19">
        <v>60010500</v>
      </c>
      <c r="H1793" s="19">
        <v>0</v>
      </c>
      <c r="I1793" s="28">
        <v>0</v>
      </c>
      <c r="J1793" s="19">
        <v>1</v>
      </c>
      <c r="K1793" s="19">
        <v>0</v>
      </c>
      <c r="L1793" s="19">
        <v>0</v>
      </c>
      <c r="M1793" s="19">
        <v>0</v>
      </c>
      <c r="N1793" s="19">
        <v>0</v>
      </c>
      <c r="O1793" s="17">
        <v>2</v>
      </c>
      <c r="P1793" s="19">
        <v>2</v>
      </c>
      <c r="Q1793" s="19">
        <v>0.6</v>
      </c>
      <c r="R1793" s="19">
        <v>0</v>
      </c>
      <c r="S1793" s="13">
        <v>0</v>
      </c>
      <c r="T1793" s="28">
        <v>0</v>
      </c>
      <c r="U1793" s="17">
        <v>1</v>
      </c>
      <c r="V1793" s="19">
        <v>2</v>
      </c>
      <c r="W1793" s="19">
        <v>0</v>
      </c>
      <c r="X1793" s="19">
        <v>0</v>
      </c>
      <c r="Y1793" s="13">
        <v>0</v>
      </c>
      <c r="Z1793" s="19">
        <v>0</v>
      </c>
      <c r="AA1793" s="19">
        <v>0</v>
      </c>
      <c r="AB1793" s="19">
        <v>0</v>
      </c>
      <c r="AC1793" s="19">
        <v>0</v>
      </c>
      <c r="AD1793" s="19">
        <v>0</v>
      </c>
      <c r="AE1793" s="19">
        <v>0</v>
      </c>
      <c r="AF1793" s="19">
        <v>20</v>
      </c>
      <c r="AG1793" s="19">
        <v>0</v>
      </c>
      <c r="AH1793" s="19">
        <v>0</v>
      </c>
      <c r="AI1793" s="13">
        <v>0</v>
      </c>
      <c r="AJ1793" s="13">
        <v>0</v>
      </c>
      <c r="AK1793" s="13">
        <v>0</v>
      </c>
      <c r="AL1793" s="13">
        <v>0</v>
      </c>
      <c r="AM1793" s="19">
        <v>0</v>
      </c>
      <c r="AN1793" s="19">
        <v>0</v>
      </c>
      <c r="AO1793" s="19">
        <v>0</v>
      </c>
      <c r="AP1793" s="19">
        <v>0</v>
      </c>
      <c r="AQ1793" s="19">
        <v>1000</v>
      </c>
      <c r="AR1793" s="19">
        <v>0</v>
      </c>
      <c r="AS1793" s="19">
        <v>0</v>
      </c>
      <c r="AT1793" s="13">
        <v>90103001</v>
      </c>
      <c r="AU1793" s="19" t="s">
        <v>198</v>
      </c>
      <c r="AV1793" s="19"/>
      <c r="AW1793" s="20" t="s">
        <v>198</v>
      </c>
      <c r="AX1793" s="19" t="s">
        <v>348</v>
      </c>
      <c r="AY1793" s="19">
        <v>0</v>
      </c>
      <c r="AZ1793" s="19">
        <v>40000003</v>
      </c>
      <c r="BA1793" s="20" t="s">
        <v>200</v>
      </c>
      <c r="BB1793" s="20" t="s">
        <v>198</v>
      </c>
      <c r="BC1793" s="28">
        <v>0</v>
      </c>
      <c r="BD1793" s="28">
        <v>0</v>
      </c>
      <c r="BE1793" s="89" t="s">
        <v>548</v>
      </c>
      <c r="BF1793" s="89" t="s">
        <v>549</v>
      </c>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70103003</v>
      </c>
      <c r="D1794" s="18" t="s">
        <v>2953</v>
      </c>
      <c r="E1794" s="18" t="s">
        <v>2954</v>
      </c>
      <c r="F1794" s="19">
        <v>1</v>
      </c>
      <c r="G1794" s="17">
        <v>60010100</v>
      </c>
      <c r="H1794" s="19">
        <v>0</v>
      </c>
      <c r="I1794" s="28">
        <v>0</v>
      </c>
      <c r="J1794" s="19">
        <v>1</v>
      </c>
      <c r="K1794" s="19">
        <v>0</v>
      </c>
      <c r="L1794" s="19">
        <v>0</v>
      </c>
      <c r="M1794" s="17">
        <v>0</v>
      </c>
      <c r="N1794" s="17">
        <v>0</v>
      </c>
      <c r="O1794" s="17">
        <v>2</v>
      </c>
      <c r="P1794" s="17">
        <v>1</v>
      </c>
      <c r="Q1794" s="17">
        <v>0.5</v>
      </c>
      <c r="R1794" s="17">
        <v>0</v>
      </c>
      <c r="S1794" s="13">
        <v>0</v>
      </c>
      <c r="T1794" s="17">
        <v>0</v>
      </c>
      <c r="U1794" s="17">
        <v>1</v>
      </c>
      <c r="V1794" s="17">
        <v>2</v>
      </c>
      <c r="W1794" s="17">
        <v>0</v>
      </c>
      <c r="X1794" s="17">
        <v>3</v>
      </c>
      <c r="Y1794" s="13">
        <v>0</v>
      </c>
      <c r="Z1794" s="17">
        <v>0</v>
      </c>
      <c r="AA1794" s="17">
        <v>1</v>
      </c>
      <c r="AB1794" s="17">
        <v>0</v>
      </c>
      <c r="AC1794" s="17">
        <v>0</v>
      </c>
      <c r="AD1794" s="17">
        <v>0</v>
      </c>
      <c r="AE1794" s="17">
        <v>0</v>
      </c>
      <c r="AF1794" s="17">
        <v>8</v>
      </c>
      <c r="AG1794" s="17">
        <v>1</v>
      </c>
      <c r="AH1794" s="17">
        <v>3</v>
      </c>
      <c r="AI1794" s="13">
        <v>1</v>
      </c>
      <c r="AJ1794" s="13">
        <v>1</v>
      </c>
      <c r="AK1794" s="13">
        <v>0</v>
      </c>
      <c r="AL1794" s="13">
        <v>1.5</v>
      </c>
      <c r="AM1794" s="17">
        <v>0</v>
      </c>
      <c r="AN1794" s="17">
        <v>0</v>
      </c>
      <c r="AO1794" s="17">
        <v>0</v>
      </c>
      <c r="AP1794" s="17">
        <v>0.5</v>
      </c>
      <c r="AQ1794" s="17">
        <v>5000</v>
      </c>
      <c r="AR1794" s="17">
        <v>3</v>
      </c>
      <c r="AS1794" s="17">
        <v>0</v>
      </c>
      <c r="AT1794" s="13">
        <v>0</v>
      </c>
      <c r="AU1794" s="17" t="s">
        <v>198</v>
      </c>
      <c r="AV1794" s="17"/>
      <c r="AW1794" s="20" t="s">
        <v>199</v>
      </c>
      <c r="AX1794" s="17" t="s">
        <v>534</v>
      </c>
      <c r="AY1794" s="19">
        <v>10000007</v>
      </c>
      <c r="AZ1794" s="19">
        <v>70103003</v>
      </c>
      <c r="BA1794" s="18" t="s">
        <v>200</v>
      </c>
      <c r="BB1794" s="17" t="s">
        <v>2955</v>
      </c>
      <c r="BC1794" s="28">
        <v>0</v>
      </c>
      <c r="BD1794" s="28">
        <v>0</v>
      </c>
      <c r="BE1794" s="46" t="s">
        <v>2956</v>
      </c>
      <c r="BF1794" s="46" t="s">
        <v>2957</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70104001</v>
      </c>
      <c r="D1795" s="18" t="s">
        <v>889</v>
      </c>
      <c r="E1795" s="18" t="s">
        <v>890</v>
      </c>
      <c r="F1795" s="19">
        <v>1</v>
      </c>
      <c r="G1795" s="17">
        <v>60010100</v>
      </c>
      <c r="H1795" s="19">
        <v>0</v>
      </c>
      <c r="I1795" s="28">
        <v>0</v>
      </c>
      <c r="J1795" s="19">
        <v>1</v>
      </c>
      <c r="K1795" s="19">
        <v>0</v>
      </c>
      <c r="L1795" s="19">
        <v>0</v>
      </c>
      <c r="M1795" s="17">
        <v>0</v>
      </c>
      <c r="N1795" s="17">
        <v>0</v>
      </c>
      <c r="O1795" s="17">
        <v>2</v>
      </c>
      <c r="P1795" s="17">
        <v>1</v>
      </c>
      <c r="Q1795" s="17">
        <v>0.3</v>
      </c>
      <c r="R1795" s="17">
        <v>0</v>
      </c>
      <c r="S1795" s="13">
        <v>0</v>
      </c>
      <c r="T1795" s="17">
        <v>0</v>
      </c>
      <c r="U1795" s="17">
        <v>1</v>
      </c>
      <c r="V1795" s="17">
        <v>2</v>
      </c>
      <c r="W1795" s="17">
        <v>0</v>
      </c>
      <c r="X1795" s="17">
        <v>3</v>
      </c>
      <c r="Y1795" s="13">
        <v>0</v>
      </c>
      <c r="Z1795" s="17">
        <v>0</v>
      </c>
      <c r="AA1795" s="17">
        <v>1</v>
      </c>
      <c r="AB1795" s="17">
        <v>0</v>
      </c>
      <c r="AC1795" s="17">
        <v>0</v>
      </c>
      <c r="AD1795" s="17">
        <v>0</v>
      </c>
      <c r="AE1795" s="17">
        <v>0</v>
      </c>
      <c r="AF1795" s="17">
        <v>5</v>
      </c>
      <c r="AG1795" s="17">
        <v>1</v>
      </c>
      <c r="AH1795" s="17" t="s">
        <v>861</v>
      </c>
      <c r="AI1795" s="13">
        <v>1</v>
      </c>
      <c r="AJ1795" s="13">
        <v>1</v>
      </c>
      <c r="AK1795" s="13">
        <v>0</v>
      </c>
      <c r="AL1795" s="13">
        <v>1.5</v>
      </c>
      <c r="AM1795" s="17">
        <v>0</v>
      </c>
      <c r="AN1795" s="17">
        <v>0</v>
      </c>
      <c r="AO1795" s="17">
        <v>0</v>
      </c>
      <c r="AP1795" s="17">
        <v>0.5</v>
      </c>
      <c r="AQ1795" s="17">
        <v>5000</v>
      </c>
      <c r="AR1795" s="17">
        <v>2</v>
      </c>
      <c r="AS1795" s="17">
        <v>0</v>
      </c>
      <c r="AT1795" s="13">
        <v>0</v>
      </c>
      <c r="AU1795" s="17" t="s">
        <v>198</v>
      </c>
      <c r="AV1795" s="17"/>
      <c r="AW1795" s="18" t="s">
        <v>287</v>
      </c>
      <c r="AX1795" s="17" t="s">
        <v>534</v>
      </c>
      <c r="AY1795" s="19">
        <v>10000007</v>
      </c>
      <c r="AZ1795" s="19">
        <v>70104001</v>
      </c>
      <c r="BA1795" s="18" t="s">
        <v>200</v>
      </c>
      <c r="BB1795" s="17" t="s">
        <v>4191</v>
      </c>
      <c r="BC1795" s="28">
        <v>0</v>
      </c>
      <c r="BD1795" s="28">
        <v>0</v>
      </c>
      <c r="BE1795" s="46" t="s">
        <v>892</v>
      </c>
      <c r="BF1795" s="46" t="s">
        <v>893</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70104002</v>
      </c>
      <c r="D1796" s="20" t="s">
        <v>567</v>
      </c>
      <c r="E1796" s="20" t="s">
        <v>568</v>
      </c>
      <c r="F1796" s="19">
        <v>1</v>
      </c>
      <c r="G1796" s="19">
        <v>60010500</v>
      </c>
      <c r="H1796" s="19">
        <v>0</v>
      </c>
      <c r="I1796" s="28">
        <v>0</v>
      </c>
      <c r="J1796" s="19">
        <v>1</v>
      </c>
      <c r="K1796" s="19">
        <v>0</v>
      </c>
      <c r="L1796" s="19">
        <v>0</v>
      </c>
      <c r="M1796" s="19">
        <v>0</v>
      </c>
      <c r="N1796" s="19">
        <v>0</v>
      </c>
      <c r="O1796" s="17">
        <v>2</v>
      </c>
      <c r="P1796" s="19">
        <v>2</v>
      </c>
      <c r="Q1796" s="19">
        <v>0.3</v>
      </c>
      <c r="R1796" s="19">
        <v>0</v>
      </c>
      <c r="S1796" s="13">
        <v>0</v>
      </c>
      <c r="T1796" s="28">
        <v>0</v>
      </c>
      <c r="U1796" s="17">
        <v>1</v>
      </c>
      <c r="V1796" s="19">
        <v>2</v>
      </c>
      <c r="W1796" s="19">
        <v>0</v>
      </c>
      <c r="X1796" s="19">
        <v>0</v>
      </c>
      <c r="Y1796" s="13">
        <v>0</v>
      </c>
      <c r="Z1796" s="19">
        <v>0</v>
      </c>
      <c r="AA1796" s="19">
        <v>0</v>
      </c>
      <c r="AB1796" s="19">
        <v>0</v>
      </c>
      <c r="AC1796" s="19">
        <v>0</v>
      </c>
      <c r="AD1796" s="19">
        <v>0</v>
      </c>
      <c r="AE1796" s="19">
        <v>0</v>
      </c>
      <c r="AF1796" s="19">
        <v>99999</v>
      </c>
      <c r="AG1796" s="19">
        <v>0</v>
      </c>
      <c r="AH1796" s="19">
        <v>0</v>
      </c>
      <c r="AI1796" s="13">
        <v>2</v>
      </c>
      <c r="AJ1796" s="13">
        <v>0</v>
      </c>
      <c r="AK1796" s="13">
        <v>0</v>
      </c>
      <c r="AL1796" s="13">
        <v>0</v>
      </c>
      <c r="AM1796" s="19">
        <v>0</v>
      </c>
      <c r="AN1796" s="19">
        <v>0</v>
      </c>
      <c r="AO1796" s="19">
        <v>0</v>
      </c>
      <c r="AP1796" s="19">
        <v>0</v>
      </c>
      <c r="AQ1796" s="19">
        <v>1000</v>
      </c>
      <c r="AR1796" s="19">
        <v>0</v>
      </c>
      <c r="AS1796" s="19">
        <v>0</v>
      </c>
      <c r="AT1796" s="13">
        <v>90104002</v>
      </c>
      <c r="AU1796" s="19" t="s">
        <v>198</v>
      </c>
      <c r="AV1796" s="19"/>
      <c r="AW1796" s="20" t="s">
        <v>199</v>
      </c>
      <c r="AX1796" s="19" t="s">
        <v>348</v>
      </c>
      <c r="AY1796" s="19">
        <v>0</v>
      </c>
      <c r="AZ1796" s="19">
        <v>0</v>
      </c>
      <c r="BA1796" s="20" t="s">
        <v>200</v>
      </c>
      <c r="BB1796" s="20" t="s">
        <v>198</v>
      </c>
      <c r="BC1796" s="28">
        <v>0</v>
      </c>
      <c r="BD1796" s="28">
        <v>0</v>
      </c>
      <c r="BE1796" s="89" t="s">
        <v>675</v>
      </c>
      <c r="BF1796" s="89" t="s">
        <v>676</v>
      </c>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70104003</v>
      </c>
      <c r="D1797" s="18" t="s">
        <v>744</v>
      </c>
      <c r="E1797" s="18" t="s">
        <v>745</v>
      </c>
      <c r="F1797" s="19">
        <v>1</v>
      </c>
      <c r="G1797" s="17">
        <v>60010100</v>
      </c>
      <c r="H1797" s="19">
        <v>0</v>
      </c>
      <c r="I1797" s="28">
        <v>0</v>
      </c>
      <c r="J1797" s="19">
        <v>1</v>
      </c>
      <c r="K1797" s="19">
        <v>0</v>
      </c>
      <c r="L1797" s="19">
        <v>0</v>
      </c>
      <c r="M1797" s="17">
        <v>0</v>
      </c>
      <c r="N1797" s="17">
        <v>0</v>
      </c>
      <c r="O1797" s="17">
        <v>2</v>
      </c>
      <c r="P1797" s="17">
        <v>1</v>
      </c>
      <c r="Q1797" s="17">
        <v>0.3</v>
      </c>
      <c r="R1797" s="17">
        <v>0</v>
      </c>
      <c r="S1797" s="13">
        <v>0</v>
      </c>
      <c r="T1797" s="17">
        <v>0</v>
      </c>
      <c r="U1797" s="17">
        <v>1</v>
      </c>
      <c r="V1797" s="17">
        <v>2</v>
      </c>
      <c r="W1797" s="17">
        <v>0</v>
      </c>
      <c r="X1797" s="17">
        <v>5</v>
      </c>
      <c r="Y1797" s="13">
        <v>0</v>
      </c>
      <c r="Z1797" s="17">
        <v>0</v>
      </c>
      <c r="AA1797" s="17">
        <v>1</v>
      </c>
      <c r="AB1797" s="17">
        <v>0</v>
      </c>
      <c r="AC1797" s="17">
        <v>0</v>
      </c>
      <c r="AD1797" s="17">
        <v>0</v>
      </c>
      <c r="AE1797" s="17">
        <v>0</v>
      </c>
      <c r="AF1797" s="17">
        <v>10</v>
      </c>
      <c r="AG1797" s="17">
        <v>1</v>
      </c>
      <c r="AH1797" s="17" t="s">
        <v>607</v>
      </c>
      <c r="AI1797" s="13">
        <v>0</v>
      </c>
      <c r="AJ1797" s="13">
        <v>1</v>
      </c>
      <c r="AK1797" s="13">
        <v>0</v>
      </c>
      <c r="AL1797" s="13">
        <v>3</v>
      </c>
      <c r="AM1797" s="17">
        <v>0</v>
      </c>
      <c r="AN1797" s="17">
        <v>0</v>
      </c>
      <c r="AO1797" s="17">
        <v>0</v>
      </c>
      <c r="AP1797" s="17">
        <v>3.5</v>
      </c>
      <c r="AQ1797" s="17">
        <v>5000</v>
      </c>
      <c r="AR1797" s="17">
        <v>3</v>
      </c>
      <c r="AS1797" s="17">
        <v>0</v>
      </c>
      <c r="AT1797" s="13">
        <v>0</v>
      </c>
      <c r="AU1797" s="17" t="s">
        <v>198</v>
      </c>
      <c r="AV1797" s="17"/>
      <c r="AW1797" s="18" t="s">
        <v>256</v>
      </c>
      <c r="AX1797" s="17" t="s">
        <v>534</v>
      </c>
      <c r="AY1797" s="19">
        <v>10000007</v>
      </c>
      <c r="AZ1797" s="19">
        <v>70104003</v>
      </c>
      <c r="BA1797" s="18" t="s">
        <v>200</v>
      </c>
      <c r="BB1797" s="17" t="s">
        <v>4192</v>
      </c>
      <c r="BC1797" s="28">
        <v>0</v>
      </c>
      <c r="BD1797" s="28">
        <v>0</v>
      </c>
      <c r="BE1797" s="46" t="s">
        <v>4193</v>
      </c>
      <c r="BF1797" s="46" t="s">
        <v>4194</v>
      </c>
      <c r="BG1797" s="17">
        <v>0</v>
      </c>
      <c r="BH1797" s="17">
        <v>0</v>
      </c>
      <c r="BI1797" s="17">
        <v>0</v>
      </c>
      <c r="BJ1797" s="17">
        <v>0</v>
      </c>
      <c r="BK1797" s="17">
        <v>0</v>
      </c>
      <c r="BL1797" s="17">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70105001</v>
      </c>
      <c r="D1798" s="18" t="s">
        <v>532</v>
      </c>
      <c r="E1798" s="18" t="s">
        <v>255</v>
      </c>
      <c r="F1798" s="19">
        <v>1</v>
      </c>
      <c r="G1798" s="17">
        <v>60010100</v>
      </c>
      <c r="H1798" s="19">
        <v>0</v>
      </c>
      <c r="I1798" s="28">
        <v>0</v>
      </c>
      <c r="J1798" s="19">
        <v>1</v>
      </c>
      <c r="K1798" s="19">
        <v>0</v>
      </c>
      <c r="L1798" s="19">
        <v>0</v>
      </c>
      <c r="M1798" s="17">
        <v>0</v>
      </c>
      <c r="N1798" s="17">
        <v>0</v>
      </c>
      <c r="O1798" s="17">
        <v>2</v>
      </c>
      <c r="P1798" s="17">
        <v>1</v>
      </c>
      <c r="Q1798" s="17">
        <v>1</v>
      </c>
      <c r="R1798" s="17">
        <v>0</v>
      </c>
      <c r="S1798" s="13">
        <v>0</v>
      </c>
      <c r="T1798" s="17">
        <v>0</v>
      </c>
      <c r="U1798" s="17">
        <v>1</v>
      </c>
      <c r="V1798" s="17">
        <v>2</v>
      </c>
      <c r="W1798" s="17">
        <v>0</v>
      </c>
      <c r="X1798" s="17">
        <v>2</v>
      </c>
      <c r="Y1798" s="13">
        <v>0</v>
      </c>
      <c r="Z1798" s="17">
        <v>0</v>
      </c>
      <c r="AA1798" s="17">
        <v>1</v>
      </c>
      <c r="AB1798" s="17">
        <v>0</v>
      </c>
      <c r="AC1798" s="17">
        <v>0</v>
      </c>
      <c r="AD1798" s="17">
        <v>0</v>
      </c>
      <c r="AE1798" s="17">
        <v>0</v>
      </c>
      <c r="AF1798" s="17">
        <v>6</v>
      </c>
      <c r="AG1798" s="17">
        <v>1</v>
      </c>
      <c r="AH1798" s="17">
        <v>3</v>
      </c>
      <c r="AI1798" s="13">
        <v>0</v>
      </c>
      <c r="AJ1798" s="13">
        <v>0</v>
      </c>
      <c r="AK1798" s="13">
        <v>0</v>
      </c>
      <c r="AL1798" s="13">
        <v>1.5</v>
      </c>
      <c r="AM1798" s="17">
        <v>0</v>
      </c>
      <c r="AN1798" s="17">
        <v>0</v>
      </c>
      <c r="AO1798" s="17">
        <v>0</v>
      </c>
      <c r="AP1798" s="17">
        <v>1</v>
      </c>
      <c r="AQ1798" s="17">
        <v>5000</v>
      </c>
      <c r="AR1798" s="17">
        <v>0.5</v>
      </c>
      <c r="AS1798" s="17">
        <v>0</v>
      </c>
      <c r="AT1798" s="13">
        <v>0</v>
      </c>
      <c r="AU1798" s="17" t="s">
        <v>198</v>
      </c>
      <c r="AV1798" s="17"/>
      <c r="AW1798" s="20" t="s">
        <v>199</v>
      </c>
      <c r="AX1798" s="17" t="s">
        <v>534</v>
      </c>
      <c r="AY1798" s="19">
        <v>10000007</v>
      </c>
      <c r="AZ1798" s="19">
        <v>70105001</v>
      </c>
      <c r="BA1798" s="18" t="s">
        <v>200</v>
      </c>
      <c r="BB1798" s="17" t="s">
        <v>4195</v>
      </c>
      <c r="BC1798" s="28">
        <v>0</v>
      </c>
      <c r="BD1798" s="28">
        <v>0</v>
      </c>
      <c r="BE1798" s="46" t="s">
        <v>4196</v>
      </c>
      <c r="BF1798" s="46" t="s">
        <v>4197</v>
      </c>
      <c r="BG1798" s="17">
        <v>0</v>
      </c>
      <c r="BH1798" s="17">
        <v>0</v>
      </c>
      <c r="BI1798" s="17">
        <v>0</v>
      </c>
      <c r="BJ1798" s="17">
        <v>0</v>
      </c>
      <c r="BK1798" s="17">
        <v>0</v>
      </c>
      <c r="BL1798" s="17">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70105002</v>
      </c>
      <c r="D1799" s="20" t="s">
        <v>567</v>
      </c>
      <c r="E1799" s="20" t="s">
        <v>568</v>
      </c>
      <c r="F1799" s="19">
        <v>1</v>
      </c>
      <c r="G1799" s="19">
        <v>60010500</v>
      </c>
      <c r="H1799" s="19">
        <v>0</v>
      </c>
      <c r="I1799" s="28">
        <v>0</v>
      </c>
      <c r="J1799" s="19">
        <v>1</v>
      </c>
      <c r="K1799" s="19">
        <v>0</v>
      </c>
      <c r="L1799" s="19">
        <v>0</v>
      </c>
      <c r="M1799" s="19">
        <v>0</v>
      </c>
      <c r="N1799" s="19">
        <v>0</v>
      </c>
      <c r="O1799" s="17">
        <v>2</v>
      </c>
      <c r="P1799" s="19">
        <v>2</v>
      </c>
      <c r="Q1799" s="19">
        <v>0.6</v>
      </c>
      <c r="R1799" s="19">
        <v>0</v>
      </c>
      <c r="S1799" s="13">
        <v>0</v>
      </c>
      <c r="T1799" s="28">
        <v>0</v>
      </c>
      <c r="U1799" s="17">
        <v>1</v>
      </c>
      <c r="V1799" s="19">
        <v>2</v>
      </c>
      <c r="W1799" s="19">
        <v>0</v>
      </c>
      <c r="X1799" s="19">
        <v>0</v>
      </c>
      <c r="Y1799" s="13">
        <v>0</v>
      </c>
      <c r="Z1799" s="19">
        <v>0</v>
      </c>
      <c r="AA1799" s="19">
        <v>0</v>
      </c>
      <c r="AB1799" s="19">
        <v>0</v>
      </c>
      <c r="AC1799" s="19">
        <v>0</v>
      </c>
      <c r="AD1799" s="19">
        <v>0</v>
      </c>
      <c r="AE1799" s="19">
        <v>0</v>
      </c>
      <c r="AF1799" s="17">
        <v>99999</v>
      </c>
      <c r="AG1799" s="19">
        <v>0</v>
      </c>
      <c r="AH1799" s="19">
        <v>0</v>
      </c>
      <c r="AI1799" s="13">
        <v>2</v>
      </c>
      <c r="AJ1799" s="13">
        <v>0</v>
      </c>
      <c r="AK1799" s="13">
        <v>0</v>
      </c>
      <c r="AL1799" s="13">
        <v>0</v>
      </c>
      <c r="AM1799" s="19">
        <v>0</v>
      </c>
      <c r="AN1799" s="19">
        <v>0</v>
      </c>
      <c r="AO1799" s="19">
        <v>0</v>
      </c>
      <c r="AP1799" s="19">
        <v>0</v>
      </c>
      <c r="AQ1799" s="19">
        <v>1000</v>
      </c>
      <c r="AR1799" s="19">
        <v>0</v>
      </c>
      <c r="AS1799" s="19">
        <v>0</v>
      </c>
      <c r="AT1799" s="13">
        <v>90104002</v>
      </c>
      <c r="AU1799" s="19" t="s">
        <v>198</v>
      </c>
      <c r="AV1799" s="19"/>
      <c r="AW1799" s="20" t="s">
        <v>199</v>
      </c>
      <c r="AX1799" s="19" t="s">
        <v>348</v>
      </c>
      <c r="AY1799" s="19">
        <v>0</v>
      </c>
      <c r="AZ1799" s="19">
        <v>0</v>
      </c>
      <c r="BA1799" s="20" t="s">
        <v>200</v>
      </c>
      <c r="BB1799" s="20" t="s">
        <v>198</v>
      </c>
      <c r="BC1799" s="28">
        <v>0</v>
      </c>
      <c r="BD1799" s="28">
        <v>0</v>
      </c>
      <c r="BE1799" s="89" t="s">
        <v>675</v>
      </c>
      <c r="BF1799" s="89" t="s">
        <v>676</v>
      </c>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70105003</v>
      </c>
      <c r="D1800" s="18" t="s">
        <v>4198</v>
      </c>
      <c r="E1800" s="18" t="s">
        <v>4199</v>
      </c>
      <c r="F1800" s="19">
        <v>1</v>
      </c>
      <c r="G1800" s="17">
        <v>60010300</v>
      </c>
      <c r="H1800" s="19">
        <v>0</v>
      </c>
      <c r="I1800" s="28">
        <v>0</v>
      </c>
      <c r="J1800" s="19">
        <v>1</v>
      </c>
      <c r="K1800" s="19">
        <v>0</v>
      </c>
      <c r="L1800" s="19">
        <v>0</v>
      </c>
      <c r="M1800" s="17">
        <v>0</v>
      </c>
      <c r="N1800" s="17">
        <v>0</v>
      </c>
      <c r="O1800" s="17">
        <v>2</v>
      </c>
      <c r="P1800" s="17">
        <v>2</v>
      </c>
      <c r="Q1800" s="17">
        <v>0.8</v>
      </c>
      <c r="R1800" s="17">
        <v>0</v>
      </c>
      <c r="S1800" s="13">
        <v>0</v>
      </c>
      <c r="T1800" s="17">
        <v>0</v>
      </c>
      <c r="U1800" s="17">
        <v>1</v>
      </c>
      <c r="V1800" s="17">
        <v>2</v>
      </c>
      <c r="W1800" s="17">
        <v>0</v>
      </c>
      <c r="X1800" s="17">
        <v>0</v>
      </c>
      <c r="Y1800" s="13">
        <v>0</v>
      </c>
      <c r="Z1800" s="17">
        <v>0</v>
      </c>
      <c r="AA1800" s="17">
        <v>0</v>
      </c>
      <c r="AB1800" s="17">
        <v>0</v>
      </c>
      <c r="AC1800" s="17">
        <v>0</v>
      </c>
      <c r="AD1800" s="17">
        <v>0</v>
      </c>
      <c r="AE1800" s="17">
        <v>0</v>
      </c>
      <c r="AF1800" s="17">
        <v>20</v>
      </c>
      <c r="AG1800" s="17">
        <v>0</v>
      </c>
      <c r="AH1800" s="17">
        <v>0</v>
      </c>
      <c r="AI1800" s="13">
        <v>2</v>
      </c>
      <c r="AJ1800" s="13">
        <v>2</v>
      </c>
      <c r="AK1800" s="13">
        <v>0</v>
      </c>
      <c r="AL1800" s="13">
        <v>1.5</v>
      </c>
      <c r="AM1800" s="17">
        <v>0</v>
      </c>
      <c r="AN1800" s="17">
        <v>0</v>
      </c>
      <c r="AO1800" s="17">
        <v>0</v>
      </c>
      <c r="AP1800" s="17">
        <v>1</v>
      </c>
      <c r="AQ1800" s="17">
        <v>3000</v>
      </c>
      <c r="AR1800" s="17">
        <v>0.5</v>
      </c>
      <c r="AS1800" s="17">
        <v>0</v>
      </c>
      <c r="AT1800" s="13">
        <v>0</v>
      </c>
      <c r="AU1800" s="17" t="s">
        <v>198</v>
      </c>
      <c r="AV1800" s="17"/>
      <c r="AW1800" s="20" t="s">
        <v>199</v>
      </c>
      <c r="AX1800" s="17" t="s">
        <v>545</v>
      </c>
      <c r="AY1800" s="19">
        <v>0</v>
      </c>
      <c r="AZ1800" s="19">
        <v>0</v>
      </c>
      <c r="BA1800" s="18" t="s">
        <v>528</v>
      </c>
      <c r="BB1800" s="17" t="s">
        <v>4200</v>
      </c>
      <c r="BC1800" s="28">
        <v>0</v>
      </c>
      <c r="BD1800" s="28">
        <v>0</v>
      </c>
      <c r="BE1800" s="46" t="s">
        <v>4201</v>
      </c>
      <c r="BF1800" s="46" t="s">
        <v>4202</v>
      </c>
      <c r="BG1800" s="17">
        <v>0</v>
      </c>
      <c r="BH1800" s="17">
        <v>0</v>
      </c>
      <c r="BI1800" s="17">
        <v>0</v>
      </c>
      <c r="BJ1800" s="17">
        <v>0</v>
      </c>
      <c r="BK1800" s="17">
        <v>0</v>
      </c>
      <c r="BL1800" s="17">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70105004</v>
      </c>
      <c r="D1801" s="20" t="s">
        <v>538</v>
      </c>
      <c r="E1801" s="20" t="s">
        <v>539</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9">
        <v>20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90103001</v>
      </c>
      <c r="AU1801" s="19" t="s">
        <v>198</v>
      </c>
      <c r="AV1801" s="19"/>
      <c r="AW1801" s="20" t="s">
        <v>198</v>
      </c>
      <c r="AX1801" s="19" t="s">
        <v>348</v>
      </c>
      <c r="AY1801" s="19">
        <v>0</v>
      </c>
      <c r="AZ1801" s="19">
        <v>40000003</v>
      </c>
      <c r="BA1801" s="20" t="s">
        <v>200</v>
      </c>
      <c r="BB1801" s="20" t="s">
        <v>198</v>
      </c>
      <c r="BC1801" s="28">
        <v>0</v>
      </c>
      <c r="BD1801" s="28">
        <v>0</v>
      </c>
      <c r="BE1801" s="89" t="s">
        <v>548</v>
      </c>
      <c r="BF1801" s="89" t="s">
        <v>549</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70106001</v>
      </c>
      <c r="D1802" s="20" t="s">
        <v>573</v>
      </c>
      <c r="E1802" s="20" t="s">
        <v>574</v>
      </c>
      <c r="F1802" s="19">
        <v>1</v>
      </c>
      <c r="G1802" s="19">
        <v>60010300</v>
      </c>
      <c r="H1802" s="19">
        <v>0</v>
      </c>
      <c r="I1802" s="28">
        <v>0</v>
      </c>
      <c r="J1802" s="19">
        <v>1</v>
      </c>
      <c r="K1802" s="19">
        <v>0</v>
      </c>
      <c r="L1802" s="19">
        <v>0</v>
      </c>
      <c r="M1802" s="19">
        <v>0</v>
      </c>
      <c r="N1802" s="19">
        <v>0</v>
      </c>
      <c r="O1802" s="17">
        <v>2</v>
      </c>
      <c r="P1802" s="19">
        <v>1</v>
      </c>
      <c r="Q1802" s="19">
        <v>0.5</v>
      </c>
      <c r="R1802" s="19">
        <v>0</v>
      </c>
      <c r="S1802" s="13">
        <v>0</v>
      </c>
      <c r="T1802" s="28">
        <v>0</v>
      </c>
      <c r="U1802" s="17">
        <v>1</v>
      </c>
      <c r="V1802" s="19">
        <v>2</v>
      </c>
      <c r="W1802" s="19">
        <v>0</v>
      </c>
      <c r="X1802" s="19">
        <v>0.5</v>
      </c>
      <c r="Y1802" s="13">
        <v>0</v>
      </c>
      <c r="Z1802" s="19">
        <v>0</v>
      </c>
      <c r="AA1802" s="19">
        <v>0</v>
      </c>
      <c r="AB1802" s="19">
        <v>0</v>
      </c>
      <c r="AC1802" s="19">
        <v>0</v>
      </c>
      <c r="AD1802" s="19">
        <v>0</v>
      </c>
      <c r="AE1802" s="19">
        <v>0</v>
      </c>
      <c r="AF1802" s="19">
        <v>15</v>
      </c>
      <c r="AG1802" s="19">
        <v>1</v>
      </c>
      <c r="AH1802" s="19">
        <v>3</v>
      </c>
      <c r="AI1802" s="13">
        <v>1</v>
      </c>
      <c r="AJ1802" s="13">
        <v>0</v>
      </c>
      <c r="AK1802" s="13">
        <v>0</v>
      </c>
      <c r="AL1802" s="13">
        <v>1.5</v>
      </c>
      <c r="AM1802" s="19">
        <v>0</v>
      </c>
      <c r="AN1802" s="19">
        <v>0</v>
      </c>
      <c r="AO1802" s="19">
        <v>0</v>
      </c>
      <c r="AP1802" s="19">
        <v>1</v>
      </c>
      <c r="AQ1802" s="19">
        <v>360000</v>
      </c>
      <c r="AR1802" s="19">
        <v>0.5</v>
      </c>
      <c r="AS1802" s="19">
        <v>0</v>
      </c>
      <c r="AT1802" s="13">
        <v>0</v>
      </c>
      <c r="AU1802" s="19" t="s">
        <v>575</v>
      </c>
      <c r="AV1802" s="19"/>
      <c r="AW1802" s="20" t="s">
        <v>199</v>
      </c>
      <c r="AX1802" s="19" t="s">
        <v>545</v>
      </c>
      <c r="AY1802" s="19">
        <v>10002001</v>
      </c>
      <c r="AZ1802" s="19">
        <v>70106001</v>
      </c>
      <c r="BA1802" s="20" t="s">
        <v>315</v>
      </c>
      <c r="BB1802" s="20" t="s">
        <v>576</v>
      </c>
      <c r="BC1802" s="28">
        <v>0</v>
      </c>
      <c r="BD1802" s="28">
        <v>0</v>
      </c>
      <c r="BE1802" s="89" t="s">
        <v>577</v>
      </c>
      <c r="BF1802" s="89" t="s">
        <v>578</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70106002</v>
      </c>
      <c r="D1803" s="18" t="s">
        <v>579</v>
      </c>
      <c r="E1803" s="18" t="s">
        <v>580</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0</v>
      </c>
      <c r="AB1803" s="17">
        <v>0</v>
      </c>
      <c r="AC1803" s="17">
        <v>0</v>
      </c>
      <c r="AD1803" s="17">
        <v>0</v>
      </c>
      <c r="AE1803" s="17">
        <v>0</v>
      </c>
      <c r="AF1803" s="17">
        <v>12</v>
      </c>
      <c r="AG1803" s="17">
        <v>1</v>
      </c>
      <c r="AH1803" s="17">
        <v>3</v>
      </c>
      <c r="AI1803" s="13">
        <v>6</v>
      </c>
      <c r="AJ1803" s="13">
        <v>1</v>
      </c>
      <c r="AK1803" s="13">
        <v>0</v>
      </c>
      <c r="AL1803" s="13">
        <v>1.5</v>
      </c>
      <c r="AM1803" s="17">
        <v>0</v>
      </c>
      <c r="AN1803" s="17">
        <v>0</v>
      </c>
      <c r="AO1803" s="17">
        <v>0</v>
      </c>
      <c r="AP1803" s="17">
        <v>3</v>
      </c>
      <c r="AQ1803" s="17">
        <v>5000</v>
      </c>
      <c r="AR1803" s="17">
        <v>3</v>
      </c>
      <c r="AS1803" s="17">
        <v>0</v>
      </c>
      <c r="AT1803" s="13">
        <v>0</v>
      </c>
      <c r="AU1803" s="17" t="s">
        <v>198</v>
      </c>
      <c r="AV1803" s="17"/>
      <c r="AW1803" s="20" t="s">
        <v>199</v>
      </c>
      <c r="AX1803" s="17" t="s">
        <v>534</v>
      </c>
      <c r="AY1803" s="19">
        <v>10000007</v>
      </c>
      <c r="AZ1803" s="19">
        <v>70106004</v>
      </c>
      <c r="BA1803" s="18" t="s">
        <v>200</v>
      </c>
      <c r="BB1803" s="17" t="s">
        <v>4203</v>
      </c>
      <c r="BC1803" s="28">
        <v>0</v>
      </c>
      <c r="BD1803" s="28">
        <v>0</v>
      </c>
      <c r="BE1803" s="46" t="s">
        <v>582</v>
      </c>
      <c r="BF1803" s="46" t="s">
        <v>583</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19.5" customHeight="1">
      <c r="C1804" s="19">
        <v>70106003</v>
      </c>
      <c r="D1804" s="20" t="s">
        <v>584</v>
      </c>
      <c r="E1804" s="20" t="s">
        <v>585</v>
      </c>
      <c r="F1804" s="19">
        <v>1</v>
      </c>
      <c r="G1804" s="19">
        <v>60010300</v>
      </c>
      <c r="H1804" s="19">
        <v>0</v>
      </c>
      <c r="I1804" s="28">
        <v>0</v>
      </c>
      <c r="J1804" s="19">
        <v>1</v>
      </c>
      <c r="K1804" s="19">
        <v>0</v>
      </c>
      <c r="L1804" s="19">
        <v>0</v>
      </c>
      <c r="M1804" s="19">
        <v>0</v>
      </c>
      <c r="N1804" s="19">
        <v>0</v>
      </c>
      <c r="O1804" s="17">
        <v>2</v>
      </c>
      <c r="P1804" s="19">
        <v>1</v>
      </c>
      <c r="Q1804" s="19">
        <v>0.5</v>
      </c>
      <c r="R1804" s="19">
        <v>0</v>
      </c>
      <c r="S1804" s="13">
        <v>0</v>
      </c>
      <c r="T1804" s="28">
        <v>0</v>
      </c>
      <c r="U1804" s="17">
        <v>1</v>
      </c>
      <c r="V1804" s="19">
        <v>2</v>
      </c>
      <c r="W1804" s="19">
        <v>0</v>
      </c>
      <c r="X1804" s="19">
        <v>3</v>
      </c>
      <c r="Y1804" s="13">
        <v>0</v>
      </c>
      <c r="Z1804" s="19">
        <v>0</v>
      </c>
      <c r="AA1804" s="19">
        <v>0</v>
      </c>
      <c r="AB1804" s="19">
        <v>0</v>
      </c>
      <c r="AC1804" s="19">
        <v>0</v>
      </c>
      <c r="AD1804" s="19">
        <v>0</v>
      </c>
      <c r="AE1804" s="19">
        <v>0</v>
      </c>
      <c r="AF1804" s="19">
        <v>9</v>
      </c>
      <c r="AG1804" s="19">
        <v>1</v>
      </c>
      <c r="AH1804" s="19">
        <v>2</v>
      </c>
      <c r="AI1804" s="13">
        <v>2</v>
      </c>
      <c r="AJ1804" s="13">
        <v>2</v>
      </c>
      <c r="AK1804" s="13">
        <v>0</v>
      </c>
      <c r="AL1804" s="13">
        <v>3</v>
      </c>
      <c r="AM1804" s="19">
        <v>0</v>
      </c>
      <c r="AN1804" s="19">
        <v>0</v>
      </c>
      <c r="AO1804" s="19">
        <v>0</v>
      </c>
      <c r="AP1804" s="19">
        <v>2</v>
      </c>
      <c r="AQ1804" s="19">
        <v>30000</v>
      </c>
      <c r="AR1804" s="19">
        <v>2</v>
      </c>
      <c r="AS1804" s="19">
        <v>4</v>
      </c>
      <c r="AT1804" s="13">
        <v>0</v>
      </c>
      <c r="AU1804" s="19" t="s">
        <v>198</v>
      </c>
      <c r="AV1804" s="19"/>
      <c r="AW1804" s="20" t="s">
        <v>199</v>
      </c>
      <c r="AX1804" s="19" t="s">
        <v>545</v>
      </c>
      <c r="AY1804" s="19">
        <v>10003002</v>
      </c>
      <c r="AZ1804" s="19">
        <v>70106005</v>
      </c>
      <c r="BA1804" s="20" t="s">
        <v>586</v>
      </c>
      <c r="BB1804" s="20">
        <v>0</v>
      </c>
      <c r="BC1804" s="28">
        <v>0</v>
      </c>
      <c r="BD1804" s="28">
        <v>0</v>
      </c>
      <c r="BE1804" s="89" t="s">
        <v>577</v>
      </c>
      <c r="BF1804" s="89" t="s">
        <v>578</v>
      </c>
      <c r="BG1804" s="19">
        <v>0</v>
      </c>
      <c r="BH1804" s="17">
        <v>0</v>
      </c>
      <c r="BI1804" s="19">
        <v>0</v>
      </c>
      <c r="BJ1804" s="19">
        <v>0</v>
      </c>
      <c r="BK1804" s="19">
        <v>0</v>
      </c>
      <c r="BL1804" s="19">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70106004</v>
      </c>
      <c r="D1805" s="20" t="s">
        <v>567</v>
      </c>
      <c r="E1805" s="20" t="s">
        <v>568</v>
      </c>
      <c r="F1805" s="19">
        <v>1</v>
      </c>
      <c r="G1805" s="19">
        <v>60010500</v>
      </c>
      <c r="H1805" s="19">
        <v>0</v>
      </c>
      <c r="I1805" s="28">
        <v>0</v>
      </c>
      <c r="J1805" s="19">
        <v>1</v>
      </c>
      <c r="K1805" s="19">
        <v>0</v>
      </c>
      <c r="L1805" s="19">
        <v>0</v>
      </c>
      <c r="M1805" s="19">
        <v>0</v>
      </c>
      <c r="N1805" s="19">
        <v>0</v>
      </c>
      <c r="O1805" s="17">
        <v>2</v>
      </c>
      <c r="P1805" s="19">
        <v>2</v>
      </c>
      <c r="Q1805" s="19">
        <v>0.6</v>
      </c>
      <c r="R1805" s="19">
        <v>0</v>
      </c>
      <c r="S1805" s="13">
        <v>0</v>
      </c>
      <c r="T1805" s="28">
        <v>0</v>
      </c>
      <c r="U1805" s="17">
        <v>1</v>
      </c>
      <c r="V1805" s="19">
        <v>2</v>
      </c>
      <c r="W1805" s="19">
        <v>0</v>
      </c>
      <c r="X1805" s="19">
        <v>0</v>
      </c>
      <c r="Y1805" s="13">
        <v>0</v>
      </c>
      <c r="Z1805" s="19">
        <v>0</v>
      </c>
      <c r="AA1805" s="19">
        <v>0</v>
      </c>
      <c r="AB1805" s="19">
        <v>0</v>
      </c>
      <c r="AC1805" s="19">
        <v>0</v>
      </c>
      <c r="AD1805" s="19">
        <v>0</v>
      </c>
      <c r="AE1805" s="19">
        <v>0</v>
      </c>
      <c r="AF1805" s="17">
        <v>30</v>
      </c>
      <c r="AG1805" s="19">
        <v>0</v>
      </c>
      <c r="AH1805" s="19">
        <v>0</v>
      </c>
      <c r="AI1805" s="13">
        <v>2</v>
      </c>
      <c r="AJ1805" s="13">
        <v>0</v>
      </c>
      <c r="AK1805" s="13">
        <v>0</v>
      </c>
      <c r="AL1805" s="13">
        <v>0</v>
      </c>
      <c r="AM1805" s="19">
        <v>0</v>
      </c>
      <c r="AN1805" s="19">
        <v>0</v>
      </c>
      <c r="AO1805" s="19">
        <v>0</v>
      </c>
      <c r="AP1805" s="19">
        <v>0</v>
      </c>
      <c r="AQ1805" s="19">
        <v>1000</v>
      </c>
      <c r="AR1805" s="19">
        <v>0</v>
      </c>
      <c r="AS1805" s="19">
        <v>0</v>
      </c>
      <c r="AT1805" s="13">
        <v>90104002</v>
      </c>
      <c r="AU1805" s="19" t="s">
        <v>198</v>
      </c>
      <c r="AV1805" s="19"/>
      <c r="AW1805" s="20" t="s">
        <v>199</v>
      </c>
      <c r="AX1805" s="19" t="s">
        <v>348</v>
      </c>
      <c r="AY1805" s="19">
        <v>0</v>
      </c>
      <c r="AZ1805" s="19">
        <v>0</v>
      </c>
      <c r="BA1805" s="20" t="s">
        <v>200</v>
      </c>
      <c r="BB1805" s="20" t="s">
        <v>198</v>
      </c>
      <c r="BC1805" s="28">
        <v>0</v>
      </c>
      <c r="BD1805" s="28">
        <v>0</v>
      </c>
      <c r="BE1805" s="89" t="s">
        <v>587</v>
      </c>
      <c r="BF1805" s="89" t="s">
        <v>588</v>
      </c>
      <c r="BG1805" s="19">
        <v>0</v>
      </c>
      <c r="BH1805" s="17">
        <v>0</v>
      </c>
      <c r="BI1805" s="19">
        <v>0</v>
      </c>
      <c r="BJ1805" s="19">
        <v>0</v>
      </c>
      <c r="BK1805" s="19">
        <v>0</v>
      </c>
      <c r="BL1805" s="19">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70106005</v>
      </c>
      <c r="D1806" s="18" t="s">
        <v>589</v>
      </c>
      <c r="E1806" s="18" t="s">
        <v>590</v>
      </c>
      <c r="F1806" s="19">
        <v>1</v>
      </c>
      <c r="G1806" s="17">
        <v>60010300</v>
      </c>
      <c r="H1806" s="19">
        <v>0</v>
      </c>
      <c r="I1806" s="28">
        <v>0</v>
      </c>
      <c r="J1806" s="19">
        <v>1</v>
      </c>
      <c r="K1806" s="19">
        <v>0</v>
      </c>
      <c r="L1806" s="19">
        <v>0</v>
      </c>
      <c r="M1806" s="17">
        <v>0</v>
      </c>
      <c r="N1806" s="17">
        <v>0</v>
      </c>
      <c r="O1806" s="17">
        <v>2</v>
      </c>
      <c r="P1806" s="17">
        <v>1</v>
      </c>
      <c r="Q1806" s="17">
        <v>0.6</v>
      </c>
      <c r="R1806" s="17">
        <v>0</v>
      </c>
      <c r="S1806" s="13">
        <v>0</v>
      </c>
      <c r="T1806" s="17">
        <v>0</v>
      </c>
      <c r="U1806" s="17">
        <v>1</v>
      </c>
      <c r="V1806" s="17">
        <v>2</v>
      </c>
      <c r="W1806" s="17">
        <v>0</v>
      </c>
      <c r="X1806" s="17">
        <v>0</v>
      </c>
      <c r="Y1806" s="13">
        <v>0</v>
      </c>
      <c r="Z1806" s="17">
        <v>0</v>
      </c>
      <c r="AA1806" s="17">
        <v>0</v>
      </c>
      <c r="AB1806" s="17">
        <v>0</v>
      </c>
      <c r="AC1806" s="17">
        <v>0</v>
      </c>
      <c r="AD1806" s="17">
        <v>0</v>
      </c>
      <c r="AE1806" s="17">
        <v>0</v>
      </c>
      <c r="AF1806" s="17">
        <v>20</v>
      </c>
      <c r="AG1806" s="17">
        <v>0</v>
      </c>
      <c r="AH1806" s="17">
        <v>0</v>
      </c>
      <c r="AI1806" s="13">
        <v>2</v>
      </c>
      <c r="AJ1806" s="13">
        <v>2</v>
      </c>
      <c r="AK1806" s="13">
        <v>0</v>
      </c>
      <c r="AL1806" s="13">
        <v>1.5</v>
      </c>
      <c r="AM1806" s="17">
        <v>0</v>
      </c>
      <c r="AN1806" s="17">
        <v>0</v>
      </c>
      <c r="AO1806" s="17">
        <v>0</v>
      </c>
      <c r="AP1806" s="17">
        <v>1</v>
      </c>
      <c r="AQ1806" s="17">
        <v>3000</v>
      </c>
      <c r="AR1806" s="17">
        <v>0.5</v>
      </c>
      <c r="AS1806" s="17">
        <v>0</v>
      </c>
      <c r="AT1806" s="13">
        <v>0</v>
      </c>
      <c r="AU1806" s="17" t="s">
        <v>198</v>
      </c>
      <c r="AV1806" s="17"/>
      <c r="AW1806" s="20" t="s">
        <v>199</v>
      </c>
      <c r="AX1806" s="17" t="s">
        <v>545</v>
      </c>
      <c r="AY1806" s="19">
        <v>0</v>
      </c>
      <c r="AZ1806" s="19">
        <v>0</v>
      </c>
      <c r="BA1806" s="18" t="s">
        <v>528</v>
      </c>
      <c r="BB1806" s="17" t="s">
        <v>591</v>
      </c>
      <c r="BC1806" s="28">
        <v>0</v>
      </c>
      <c r="BD1806" s="28">
        <v>0</v>
      </c>
      <c r="BE1806" s="46" t="s">
        <v>592</v>
      </c>
      <c r="BF1806" s="46" t="s">
        <v>593</v>
      </c>
      <c r="BG1806" s="17">
        <v>0</v>
      </c>
      <c r="BH1806" s="17">
        <v>0</v>
      </c>
      <c r="BI1806" s="17">
        <v>0</v>
      </c>
      <c r="BJ1806" s="17">
        <v>0</v>
      </c>
      <c r="BK1806" s="17">
        <v>0</v>
      </c>
      <c r="BL1806" s="17">
        <v>0</v>
      </c>
      <c r="BM1806" s="16">
        <v>0</v>
      </c>
      <c r="BN1806" s="13">
        <v>0</v>
      </c>
      <c r="BO1806" s="13">
        <v>0</v>
      </c>
      <c r="BP1806" s="13">
        <v>0</v>
      </c>
      <c r="BQ1806" s="13">
        <v>0</v>
      </c>
      <c r="BR1806" s="13">
        <v>0</v>
      </c>
      <c r="BS1806" s="13">
        <v>0</v>
      </c>
      <c r="BT1806" s="13">
        <v>0</v>
      </c>
      <c r="BU1806" s="49">
        <v>0</v>
      </c>
      <c r="BV1806" s="49"/>
      <c r="BW1806" s="49"/>
    </row>
    <row r="1807" spans="3:75" ht="19.5" customHeight="1">
      <c r="C1807" s="19">
        <v>70107001</v>
      </c>
      <c r="D1807" s="18" t="s">
        <v>605</v>
      </c>
      <c r="E1807" s="18" t="s">
        <v>606</v>
      </c>
      <c r="F1807" s="19">
        <v>1</v>
      </c>
      <c r="G1807" s="17">
        <v>60010100</v>
      </c>
      <c r="H1807" s="19">
        <v>0</v>
      </c>
      <c r="I1807" s="28">
        <v>0</v>
      </c>
      <c r="J1807" s="19">
        <v>1</v>
      </c>
      <c r="K1807" s="19">
        <v>0</v>
      </c>
      <c r="L1807" s="19">
        <v>0</v>
      </c>
      <c r="M1807" s="17">
        <v>0</v>
      </c>
      <c r="N1807" s="17">
        <v>0</v>
      </c>
      <c r="O1807" s="17">
        <v>2</v>
      </c>
      <c r="P1807" s="17">
        <v>1</v>
      </c>
      <c r="Q1807" s="17">
        <v>0.3</v>
      </c>
      <c r="R1807" s="17">
        <v>0</v>
      </c>
      <c r="S1807" s="13">
        <v>0</v>
      </c>
      <c r="T1807" s="17">
        <v>0</v>
      </c>
      <c r="U1807" s="17">
        <v>1</v>
      </c>
      <c r="V1807" s="17">
        <v>2</v>
      </c>
      <c r="W1807" s="17">
        <v>0</v>
      </c>
      <c r="X1807" s="17">
        <v>3</v>
      </c>
      <c r="Y1807" s="13">
        <v>0</v>
      </c>
      <c r="Z1807" s="17">
        <v>0</v>
      </c>
      <c r="AA1807" s="17">
        <v>1</v>
      </c>
      <c r="AB1807" s="17">
        <v>0</v>
      </c>
      <c r="AC1807" s="17">
        <v>0</v>
      </c>
      <c r="AD1807" s="17">
        <v>0</v>
      </c>
      <c r="AE1807" s="17">
        <v>0</v>
      </c>
      <c r="AF1807" s="17">
        <v>12</v>
      </c>
      <c r="AG1807" s="17">
        <v>1</v>
      </c>
      <c r="AH1807" s="17" t="s">
        <v>607</v>
      </c>
      <c r="AI1807" s="13">
        <v>1</v>
      </c>
      <c r="AJ1807" s="13">
        <v>1</v>
      </c>
      <c r="AK1807" s="13">
        <v>0</v>
      </c>
      <c r="AL1807" s="13">
        <v>3</v>
      </c>
      <c r="AM1807" s="17">
        <v>0</v>
      </c>
      <c r="AN1807" s="17">
        <v>0</v>
      </c>
      <c r="AO1807" s="17">
        <v>0</v>
      </c>
      <c r="AP1807" s="17">
        <v>3</v>
      </c>
      <c r="AQ1807" s="17">
        <v>5000</v>
      </c>
      <c r="AR1807" s="17">
        <v>2.5</v>
      </c>
      <c r="AS1807" s="17">
        <v>0</v>
      </c>
      <c r="AT1807" s="13">
        <v>0</v>
      </c>
      <c r="AU1807" s="17" t="s">
        <v>198</v>
      </c>
      <c r="AV1807" s="17"/>
      <c r="AW1807" s="20" t="s">
        <v>287</v>
      </c>
      <c r="AX1807" s="17" t="s">
        <v>534</v>
      </c>
      <c r="AY1807" s="19">
        <v>10000007</v>
      </c>
      <c r="AZ1807" s="19">
        <v>70107001</v>
      </c>
      <c r="BA1807" s="18" t="s">
        <v>200</v>
      </c>
      <c r="BB1807" s="17">
        <v>0</v>
      </c>
      <c r="BC1807" s="28">
        <v>0</v>
      </c>
      <c r="BD1807" s="28">
        <v>0</v>
      </c>
      <c r="BE1807" s="46" t="s">
        <v>608</v>
      </c>
      <c r="BF1807" s="46" t="s">
        <v>609</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70107002</v>
      </c>
      <c r="D1808" s="18" t="s">
        <v>660</v>
      </c>
      <c r="E1808" s="18" t="s">
        <v>661</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12</v>
      </c>
      <c r="AG1808" s="17">
        <v>1</v>
      </c>
      <c r="AH1808" s="17">
        <v>3</v>
      </c>
      <c r="AI1808" s="13">
        <v>4</v>
      </c>
      <c r="AJ1808" s="13">
        <v>1</v>
      </c>
      <c r="AK1808" s="13">
        <v>0</v>
      </c>
      <c r="AL1808" s="13">
        <v>1.5</v>
      </c>
      <c r="AM1808" s="17">
        <v>0</v>
      </c>
      <c r="AN1808" s="17">
        <v>0</v>
      </c>
      <c r="AO1808" s="17">
        <v>0</v>
      </c>
      <c r="AP1808" s="17">
        <v>3</v>
      </c>
      <c r="AQ1808" s="17">
        <v>5000</v>
      </c>
      <c r="AR1808" s="17">
        <v>3</v>
      </c>
      <c r="AS1808" s="17">
        <v>0</v>
      </c>
      <c r="AT1808" s="13">
        <v>0</v>
      </c>
      <c r="AU1808" s="17" t="s">
        <v>198</v>
      </c>
      <c r="AV1808" s="17"/>
      <c r="AW1808" s="20" t="s">
        <v>199</v>
      </c>
      <c r="AX1808" s="17" t="s">
        <v>534</v>
      </c>
      <c r="AY1808" s="19">
        <v>10000007</v>
      </c>
      <c r="AZ1808" s="19">
        <v>70103003</v>
      </c>
      <c r="BA1808" s="18" t="s">
        <v>200</v>
      </c>
      <c r="BB1808" s="17" t="s">
        <v>4204</v>
      </c>
      <c r="BC1808" s="28">
        <v>0</v>
      </c>
      <c r="BD1808" s="28">
        <v>0</v>
      </c>
      <c r="BE1808" s="46" t="s">
        <v>663</v>
      </c>
      <c r="BF1808" s="46" t="s">
        <v>664</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70107003</v>
      </c>
      <c r="D1809" s="18" t="s">
        <v>665</v>
      </c>
      <c r="E1809" s="18" t="s">
        <v>606</v>
      </c>
      <c r="F1809" s="17">
        <v>1</v>
      </c>
      <c r="G1809" s="17">
        <v>60010100</v>
      </c>
      <c r="H1809" s="19">
        <v>0</v>
      </c>
      <c r="I1809" s="28">
        <v>0</v>
      </c>
      <c r="J1809" s="19">
        <v>1</v>
      </c>
      <c r="K1809" s="19">
        <v>0</v>
      </c>
      <c r="L1809" s="19">
        <v>0</v>
      </c>
      <c r="M1809" s="17">
        <v>0</v>
      </c>
      <c r="N1809" s="17">
        <v>0</v>
      </c>
      <c r="O1809" s="17">
        <v>2</v>
      </c>
      <c r="P1809" s="17">
        <v>1</v>
      </c>
      <c r="Q1809" s="17">
        <v>0.3</v>
      </c>
      <c r="R1809" s="17">
        <v>0</v>
      </c>
      <c r="S1809" s="13">
        <v>0</v>
      </c>
      <c r="T1809" s="17">
        <v>0</v>
      </c>
      <c r="U1809" s="17">
        <v>1</v>
      </c>
      <c r="V1809" s="17">
        <v>2</v>
      </c>
      <c r="W1809" s="17">
        <v>0</v>
      </c>
      <c r="X1809" s="17">
        <v>3</v>
      </c>
      <c r="Y1809" s="13">
        <v>0</v>
      </c>
      <c r="Z1809" s="17">
        <v>0</v>
      </c>
      <c r="AA1809" s="17">
        <v>0</v>
      </c>
      <c r="AB1809" s="17">
        <v>0</v>
      </c>
      <c r="AC1809" s="17">
        <v>0</v>
      </c>
      <c r="AD1809" s="17">
        <v>0</v>
      </c>
      <c r="AE1809" s="17">
        <v>0</v>
      </c>
      <c r="AF1809" s="17">
        <v>12</v>
      </c>
      <c r="AG1809" s="17">
        <v>1</v>
      </c>
      <c r="AH1809" s="17">
        <v>3</v>
      </c>
      <c r="AI1809" s="13">
        <v>6</v>
      </c>
      <c r="AJ1809" s="13">
        <v>1</v>
      </c>
      <c r="AK1809" s="13">
        <v>0</v>
      </c>
      <c r="AL1809" s="13">
        <v>1.5</v>
      </c>
      <c r="AM1809" s="17">
        <v>0</v>
      </c>
      <c r="AN1809" s="17">
        <v>0</v>
      </c>
      <c r="AO1809" s="17">
        <v>0</v>
      </c>
      <c r="AP1809" s="17">
        <v>3</v>
      </c>
      <c r="AQ1809" s="17">
        <v>5000</v>
      </c>
      <c r="AR1809" s="17">
        <v>3</v>
      </c>
      <c r="AS1809" s="17">
        <v>0</v>
      </c>
      <c r="AT1809" s="13">
        <v>0</v>
      </c>
      <c r="AU1809" s="17" t="s">
        <v>198</v>
      </c>
      <c r="AV1809" s="17"/>
      <c r="AW1809" s="20" t="s">
        <v>256</v>
      </c>
      <c r="AX1809" s="17" t="s">
        <v>534</v>
      </c>
      <c r="AY1809" s="19">
        <v>10000007</v>
      </c>
      <c r="AZ1809" s="19">
        <v>70103003</v>
      </c>
      <c r="BA1809" s="18" t="s">
        <v>200</v>
      </c>
      <c r="BB1809" s="17" t="s">
        <v>4205</v>
      </c>
      <c r="BC1809" s="28">
        <v>0</v>
      </c>
      <c r="BD1809" s="28">
        <v>0</v>
      </c>
      <c r="BE1809" s="46" t="s">
        <v>667</v>
      </c>
      <c r="BF1809" s="46" t="s">
        <v>668</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19.5" customHeight="1">
      <c r="C1810" s="19">
        <v>70107004</v>
      </c>
      <c r="D1810" s="20" t="s">
        <v>669</v>
      </c>
      <c r="E1810" s="20" t="s">
        <v>670</v>
      </c>
      <c r="F1810" s="19">
        <v>1</v>
      </c>
      <c r="G1810" s="19">
        <v>60010500</v>
      </c>
      <c r="H1810" s="19">
        <v>0</v>
      </c>
      <c r="I1810" s="28">
        <v>0</v>
      </c>
      <c r="J1810" s="19">
        <v>1</v>
      </c>
      <c r="K1810" s="19">
        <v>0</v>
      </c>
      <c r="L1810" s="19">
        <v>0</v>
      </c>
      <c r="M1810" s="19">
        <v>0</v>
      </c>
      <c r="N1810" s="19">
        <v>0</v>
      </c>
      <c r="O1810" s="17">
        <v>2</v>
      </c>
      <c r="P1810" s="19">
        <v>2</v>
      </c>
      <c r="Q1810" s="19">
        <v>0.6</v>
      </c>
      <c r="R1810" s="19">
        <v>0</v>
      </c>
      <c r="S1810" s="13">
        <v>0</v>
      </c>
      <c r="T1810" s="28">
        <v>0</v>
      </c>
      <c r="U1810" s="17">
        <v>1</v>
      </c>
      <c r="V1810" s="19">
        <v>2</v>
      </c>
      <c r="W1810" s="19">
        <v>0</v>
      </c>
      <c r="X1810" s="19">
        <v>0</v>
      </c>
      <c r="Y1810" s="13">
        <v>0</v>
      </c>
      <c r="Z1810" s="19">
        <v>0</v>
      </c>
      <c r="AA1810" s="19">
        <v>0</v>
      </c>
      <c r="AB1810" s="19">
        <v>0</v>
      </c>
      <c r="AC1810" s="19">
        <v>0</v>
      </c>
      <c r="AD1810" s="19">
        <v>0</v>
      </c>
      <c r="AE1810" s="19">
        <v>0</v>
      </c>
      <c r="AF1810" s="19">
        <v>20</v>
      </c>
      <c r="AG1810" s="19">
        <v>0</v>
      </c>
      <c r="AH1810" s="19">
        <v>0</v>
      </c>
      <c r="AI1810" s="13">
        <v>2</v>
      </c>
      <c r="AJ1810" s="13">
        <v>0</v>
      </c>
      <c r="AK1810" s="13">
        <v>0</v>
      </c>
      <c r="AL1810" s="13">
        <v>0</v>
      </c>
      <c r="AM1810" s="19">
        <v>0</v>
      </c>
      <c r="AN1810" s="19">
        <v>0</v>
      </c>
      <c r="AO1810" s="19">
        <v>0</v>
      </c>
      <c r="AP1810" s="19">
        <v>0</v>
      </c>
      <c r="AQ1810" s="19">
        <v>1000</v>
      </c>
      <c r="AR1810" s="19">
        <v>0</v>
      </c>
      <c r="AS1810" s="19">
        <v>0</v>
      </c>
      <c r="AT1810" s="13">
        <v>90102001</v>
      </c>
      <c r="AU1810" s="19" t="s">
        <v>198</v>
      </c>
      <c r="AV1810" s="19"/>
      <c r="AW1810" s="20" t="s">
        <v>199</v>
      </c>
      <c r="AX1810" s="19" t="s">
        <v>348</v>
      </c>
      <c r="AY1810" s="19">
        <v>0</v>
      </c>
      <c r="AZ1810" s="19">
        <v>40000003</v>
      </c>
      <c r="BA1810" s="20" t="s">
        <v>200</v>
      </c>
      <c r="BB1810" s="20" t="s">
        <v>198</v>
      </c>
      <c r="BC1810" s="28">
        <v>0</v>
      </c>
      <c r="BD1810" s="28">
        <v>0</v>
      </c>
      <c r="BE1810" s="89" t="s">
        <v>671</v>
      </c>
      <c r="BF1810" s="89" t="s">
        <v>672</v>
      </c>
      <c r="BG1810" s="19">
        <v>0</v>
      </c>
      <c r="BH1810" s="17">
        <v>0</v>
      </c>
      <c r="BI1810" s="19">
        <v>0</v>
      </c>
      <c r="BJ1810" s="19">
        <v>0</v>
      </c>
      <c r="BK1810" s="19">
        <v>0</v>
      </c>
      <c r="BL1810" s="19">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70107005</v>
      </c>
      <c r="D1811" s="20" t="s">
        <v>673</v>
      </c>
      <c r="E1811" s="20" t="s">
        <v>674</v>
      </c>
      <c r="F1811" s="19">
        <v>1</v>
      </c>
      <c r="G1811" s="19">
        <v>60010500</v>
      </c>
      <c r="H1811" s="19">
        <v>0</v>
      </c>
      <c r="I1811" s="28">
        <v>0</v>
      </c>
      <c r="J1811" s="19">
        <v>1</v>
      </c>
      <c r="K1811" s="19">
        <v>0</v>
      </c>
      <c r="L1811" s="19">
        <v>0</v>
      </c>
      <c r="M1811" s="19">
        <v>0</v>
      </c>
      <c r="N1811" s="19">
        <v>0</v>
      </c>
      <c r="O1811" s="17">
        <v>2</v>
      </c>
      <c r="P1811" s="19">
        <v>2</v>
      </c>
      <c r="Q1811" s="19">
        <v>0.6</v>
      </c>
      <c r="R1811" s="19">
        <v>0</v>
      </c>
      <c r="S1811" s="13">
        <v>0</v>
      </c>
      <c r="T1811" s="28">
        <v>0</v>
      </c>
      <c r="U1811" s="17">
        <v>1</v>
      </c>
      <c r="V1811" s="19">
        <v>2</v>
      </c>
      <c r="W1811" s="19">
        <v>0</v>
      </c>
      <c r="X1811" s="19">
        <v>0</v>
      </c>
      <c r="Y1811" s="13">
        <v>0</v>
      </c>
      <c r="Z1811" s="19">
        <v>0</v>
      </c>
      <c r="AA1811" s="19">
        <v>0</v>
      </c>
      <c r="AB1811" s="19">
        <v>0</v>
      </c>
      <c r="AC1811" s="19">
        <v>0</v>
      </c>
      <c r="AD1811" s="19">
        <v>0</v>
      </c>
      <c r="AE1811" s="19">
        <v>0</v>
      </c>
      <c r="AF1811" s="17">
        <v>99999</v>
      </c>
      <c r="AG1811" s="19">
        <v>0</v>
      </c>
      <c r="AH1811" s="19">
        <v>0</v>
      </c>
      <c r="AI1811" s="13">
        <v>2</v>
      </c>
      <c r="AJ1811" s="13">
        <v>0</v>
      </c>
      <c r="AK1811" s="13">
        <v>0</v>
      </c>
      <c r="AL1811" s="13">
        <v>0</v>
      </c>
      <c r="AM1811" s="19">
        <v>0</v>
      </c>
      <c r="AN1811" s="19">
        <v>0</v>
      </c>
      <c r="AO1811" s="19">
        <v>0</v>
      </c>
      <c r="AP1811" s="19">
        <v>0</v>
      </c>
      <c r="AQ1811" s="19">
        <v>1000</v>
      </c>
      <c r="AR1811" s="19">
        <v>0</v>
      </c>
      <c r="AS1811" s="19">
        <v>0</v>
      </c>
      <c r="AT1811" s="13">
        <v>90104002</v>
      </c>
      <c r="AU1811" s="19" t="s">
        <v>198</v>
      </c>
      <c r="AV1811" s="19"/>
      <c r="AW1811" s="20" t="s">
        <v>199</v>
      </c>
      <c r="AX1811" s="19" t="s">
        <v>348</v>
      </c>
      <c r="AY1811" s="19">
        <v>0</v>
      </c>
      <c r="AZ1811" s="19">
        <v>0</v>
      </c>
      <c r="BA1811" s="20" t="s">
        <v>200</v>
      </c>
      <c r="BB1811" s="20" t="s">
        <v>198</v>
      </c>
      <c r="BC1811" s="28">
        <v>0</v>
      </c>
      <c r="BD1811" s="28">
        <v>0</v>
      </c>
      <c r="BE1811" s="89" t="s">
        <v>675</v>
      </c>
      <c r="BF1811" s="89" t="s">
        <v>676</v>
      </c>
      <c r="BG1811" s="19">
        <v>0</v>
      </c>
      <c r="BH1811" s="17">
        <v>0</v>
      </c>
      <c r="BI1811" s="19">
        <v>0</v>
      </c>
      <c r="BJ1811" s="19">
        <v>0</v>
      </c>
      <c r="BK1811" s="19">
        <v>0</v>
      </c>
      <c r="BL1811" s="19">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70107006</v>
      </c>
      <c r="D1812" s="18" t="s">
        <v>4198</v>
      </c>
      <c r="E1812" s="18" t="s">
        <v>4199</v>
      </c>
      <c r="F1812" s="17">
        <v>1</v>
      </c>
      <c r="G1812" s="17">
        <v>60010300</v>
      </c>
      <c r="H1812" s="19">
        <v>0</v>
      </c>
      <c r="I1812" s="28">
        <v>0</v>
      </c>
      <c r="J1812" s="19">
        <v>1</v>
      </c>
      <c r="K1812" s="19">
        <v>0</v>
      </c>
      <c r="L1812" s="19">
        <v>0</v>
      </c>
      <c r="M1812" s="17">
        <v>0</v>
      </c>
      <c r="N1812" s="17">
        <v>0</v>
      </c>
      <c r="O1812" s="17">
        <v>2</v>
      </c>
      <c r="P1812" s="17">
        <v>2</v>
      </c>
      <c r="Q1812" s="17">
        <v>0.8</v>
      </c>
      <c r="R1812" s="17">
        <v>0</v>
      </c>
      <c r="S1812" s="13">
        <v>0</v>
      </c>
      <c r="T1812" s="17">
        <v>0</v>
      </c>
      <c r="U1812" s="17">
        <v>1</v>
      </c>
      <c r="V1812" s="17">
        <v>2</v>
      </c>
      <c r="W1812" s="17">
        <v>0</v>
      </c>
      <c r="X1812" s="17">
        <v>0</v>
      </c>
      <c r="Y1812" s="13">
        <v>0</v>
      </c>
      <c r="Z1812" s="17">
        <v>0</v>
      </c>
      <c r="AA1812" s="17">
        <v>0</v>
      </c>
      <c r="AB1812" s="17">
        <v>0</v>
      </c>
      <c r="AC1812" s="17">
        <v>0</v>
      </c>
      <c r="AD1812" s="17">
        <v>0</v>
      </c>
      <c r="AE1812" s="17">
        <v>0</v>
      </c>
      <c r="AF1812" s="17">
        <v>30</v>
      </c>
      <c r="AG1812" s="17">
        <v>0</v>
      </c>
      <c r="AH1812" s="17">
        <v>0</v>
      </c>
      <c r="AI1812" s="13">
        <v>2</v>
      </c>
      <c r="AJ1812" s="13">
        <v>2</v>
      </c>
      <c r="AK1812" s="13">
        <v>0</v>
      </c>
      <c r="AL1812" s="13">
        <v>1.5</v>
      </c>
      <c r="AM1812" s="17">
        <v>0</v>
      </c>
      <c r="AN1812" s="17">
        <v>0</v>
      </c>
      <c r="AO1812" s="17">
        <v>0</v>
      </c>
      <c r="AP1812" s="17">
        <v>1</v>
      </c>
      <c r="AQ1812" s="17">
        <v>3000</v>
      </c>
      <c r="AR1812" s="17">
        <v>0.5</v>
      </c>
      <c r="AS1812" s="17">
        <v>0</v>
      </c>
      <c r="AT1812" s="13">
        <v>0</v>
      </c>
      <c r="AU1812" s="17" t="s">
        <v>198</v>
      </c>
      <c r="AV1812" s="17"/>
      <c r="AW1812" s="20" t="s">
        <v>199</v>
      </c>
      <c r="AX1812" s="17" t="s">
        <v>545</v>
      </c>
      <c r="AY1812" s="19">
        <v>0</v>
      </c>
      <c r="AZ1812" s="19">
        <v>0</v>
      </c>
      <c r="BA1812" s="18" t="s">
        <v>528</v>
      </c>
      <c r="BB1812" s="17" t="s">
        <v>4206</v>
      </c>
      <c r="BC1812" s="28">
        <v>0</v>
      </c>
      <c r="BD1812" s="28">
        <v>0</v>
      </c>
      <c r="BE1812" s="46" t="s">
        <v>4207</v>
      </c>
      <c r="BF1812" s="46" t="s">
        <v>4208</v>
      </c>
      <c r="BG1812" s="17">
        <v>0</v>
      </c>
      <c r="BH1812" s="17">
        <v>0</v>
      </c>
      <c r="BI1812" s="17">
        <v>0</v>
      </c>
      <c r="BJ1812" s="17">
        <v>0</v>
      </c>
      <c r="BK1812" s="17">
        <v>0</v>
      </c>
      <c r="BL1812" s="17">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70201001</v>
      </c>
      <c r="D1813" s="18" t="s">
        <v>748</v>
      </c>
      <c r="E1813" s="18" t="s">
        <v>749</v>
      </c>
      <c r="F1813" s="19">
        <v>1</v>
      </c>
      <c r="G1813" s="17">
        <v>60010100</v>
      </c>
      <c r="H1813" s="19">
        <v>0</v>
      </c>
      <c r="I1813" s="28">
        <v>0</v>
      </c>
      <c r="J1813" s="19">
        <v>1</v>
      </c>
      <c r="K1813" s="19">
        <v>0</v>
      </c>
      <c r="L1813" s="19">
        <v>0</v>
      </c>
      <c r="M1813" s="17">
        <v>0</v>
      </c>
      <c r="N1813" s="17">
        <v>0</v>
      </c>
      <c r="O1813" s="17">
        <v>2</v>
      </c>
      <c r="P1813" s="17">
        <v>1</v>
      </c>
      <c r="Q1813" s="17">
        <v>1</v>
      </c>
      <c r="R1813" s="17">
        <v>0</v>
      </c>
      <c r="S1813" s="13">
        <v>0</v>
      </c>
      <c r="T1813" s="17">
        <v>0</v>
      </c>
      <c r="U1813" s="17">
        <v>1</v>
      </c>
      <c r="V1813" s="17">
        <v>2</v>
      </c>
      <c r="W1813" s="17">
        <v>0</v>
      </c>
      <c r="X1813" s="17">
        <v>2</v>
      </c>
      <c r="Y1813" s="13">
        <v>0</v>
      </c>
      <c r="Z1813" s="17">
        <v>0</v>
      </c>
      <c r="AA1813" s="17">
        <v>1</v>
      </c>
      <c r="AB1813" s="17">
        <v>0</v>
      </c>
      <c r="AC1813" s="17">
        <v>0</v>
      </c>
      <c r="AD1813" s="17">
        <v>0</v>
      </c>
      <c r="AE1813" s="17">
        <v>0</v>
      </c>
      <c r="AF1813" s="17">
        <v>12</v>
      </c>
      <c r="AG1813" s="17">
        <v>2</v>
      </c>
      <c r="AH1813" s="17" t="s">
        <v>213</v>
      </c>
      <c r="AI1813" s="13">
        <v>0</v>
      </c>
      <c r="AJ1813" s="13">
        <v>0</v>
      </c>
      <c r="AK1813" s="13">
        <v>0</v>
      </c>
      <c r="AL1813" s="13">
        <v>1.5</v>
      </c>
      <c r="AM1813" s="17">
        <v>0</v>
      </c>
      <c r="AN1813" s="17">
        <v>0</v>
      </c>
      <c r="AO1813" s="17">
        <v>0</v>
      </c>
      <c r="AP1813" s="17">
        <v>1</v>
      </c>
      <c r="AQ1813" s="17">
        <v>5000</v>
      </c>
      <c r="AR1813" s="17">
        <v>0.5</v>
      </c>
      <c r="AS1813" s="17">
        <v>0</v>
      </c>
      <c r="AT1813" s="13">
        <v>0</v>
      </c>
      <c r="AU1813" s="17" t="s">
        <v>198</v>
      </c>
      <c r="AV1813" s="17"/>
      <c r="AW1813" s="20" t="s">
        <v>287</v>
      </c>
      <c r="AX1813" s="17" t="s">
        <v>534</v>
      </c>
      <c r="AY1813" s="19">
        <v>10000007</v>
      </c>
      <c r="AZ1813" s="19">
        <v>70201001</v>
      </c>
      <c r="BA1813" s="18" t="s">
        <v>200</v>
      </c>
      <c r="BB1813" s="17">
        <v>0</v>
      </c>
      <c r="BC1813" s="28">
        <v>0</v>
      </c>
      <c r="BD1813" s="28">
        <v>0</v>
      </c>
      <c r="BE1813" s="46" t="s">
        <v>750</v>
      </c>
      <c r="BF1813" s="46" t="s">
        <v>751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70201002</v>
      </c>
      <c r="D1814" s="18" t="s">
        <v>600</v>
      </c>
      <c r="E1814" s="18" t="s">
        <v>601</v>
      </c>
      <c r="F1814" s="17">
        <v>1</v>
      </c>
      <c r="G1814" s="17">
        <v>60010300</v>
      </c>
      <c r="H1814" s="19">
        <v>0</v>
      </c>
      <c r="I1814" s="28">
        <v>0</v>
      </c>
      <c r="J1814" s="19">
        <v>1</v>
      </c>
      <c r="K1814" s="19">
        <v>0</v>
      </c>
      <c r="L1814" s="19">
        <v>0</v>
      </c>
      <c r="M1814" s="17">
        <v>0</v>
      </c>
      <c r="N1814" s="17">
        <v>0</v>
      </c>
      <c r="O1814" s="17">
        <v>2</v>
      </c>
      <c r="P1814" s="17">
        <v>2</v>
      </c>
      <c r="Q1814" s="17">
        <v>0.8</v>
      </c>
      <c r="R1814" s="17">
        <v>0</v>
      </c>
      <c r="S1814" s="13">
        <v>0</v>
      </c>
      <c r="T1814" s="17">
        <v>0</v>
      </c>
      <c r="U1814" s="17">
        <v>1</v>
      </c>
      <c r="V1814" s="17">
        <v>2</v>
      </c>
      <c r="W1814" s="17">
        <v>0</v>
      </c>
      <c r="X1814" s="17">
        <v>0</v>
      </c>
      <c r="Y1814" s="13">
        <v>0</v>
      </c>
      <c r="Z1814" s="17">
        <v>0</v>
      </c>
      <c r="AA1814" s="17">
        <v>0</v>
      </c>
      <c r="AB1814" s="17">
        <v>0</v>
      </c>
      <c r="AC1814" s="17">
        <v>0</v>
      </c>
      <c r="AD1814" s="17">
        <v>0</v>
      </c>
      <c r="AE1814" s="17">
        <v>0</v>
      </c>
      <c r="AF1814" s="17">
        <v>30</v>
      </c>
      <c r="AG1814" s="17">
        <v>0</v>
      </c>
      <c r="AH1814" s="17">
        <v>0</v>
      </c>
      <c r="AI1814" s="13">
        <v>2</v>
      </c>
      <c r="AJ1814" s="13">
        <v>2</v>
      </c>
      <c r="AK1814" s="13">
        <v>0</v>
      </c>
      <c r="AL1814" s="13">
        <v>1.5</v>
      </c>
      <c r="AM1814" s="17">
        <v>0</v>
      </c>
      <c r="AN1814" s="17">
        <v>0</v>
      </c>
      <c r="AO1814" s="17">
        <v>0</v>
      </c>
      <c r="AP1814" s="17">
        <v>1</v>
      </c>
      <c r="AQ1814" s="17">
        <v>3000</v>
      </c>
      <c r="AR1814" s="17">
        <v>0.5</v>
      </c>
      <c r="AS1814" s="17">
        <v>0</v>
      </c>
      <c r="AT1814" s="13">
        <v>0</v>
      </c>
      <c r="AU1814" s="17" t="s">
        <v>198</v>
      </c>
      <c r="AV1814" s="17"/>
      <c r="AW1814" s="20" t="s">
        <v>256</v>
      </c>
      <c r="AX1814" s="17" t="s">
        <v>545</v>
      </c>
      <c r="AY1814" s="19">
        <v>0</v>
      </c>
      <c r="AZ1814" s="19">
        <v>0</v>
      </c>
      <c r="BA1814" s="18" t="s">
        <v>528</v>
      </c>
      <c r="BB1814" s="17" t="s">
        <v>4209</v>
      </c>
      <c r="BC1814" s="28">
        <v>0</v>
      </c>
      <c r="BD1814" s="28">
        <v>0</v>
      </c>
      <c r="BE1814" s="46" t="s">
        <v>603</v>
      </c>
      <c r="BF1814" s="46" t="s">
        <v>604</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70201003</v>
      </c>
      <c r="D1815" s="18" t="s">
        <v>4210</v>
      </c>
      <c r="E1815" s="18" t="s">
        <v>4211</v>
      </c>
      <c r="F1815" s="19">
        <v>1</v>
      </c>
      <c r="G1815" s="17">
        <v>60010100</v>
      </c>
      <c r="H1815" s="19">
        <v>0</v>
      </c>
      <c r="I1815" s="28">
        <v>0</v>
      </c>
      <c r="J1815" s="19">
        <v>1</v>
      </c>
      <c r="K1815" s="19">
        <v>0</v>
      </c>
      <c r="L1815" s="19">
        <v>0</v>
      </c>
      <c r="M1815" s="17">
        <v>0</v>
      </c>
      <c r="N1815" s="17">
        <v>0</v>
      </c>
      <c r="O1815" s="17">
        <v>2</v>
      </c>
      <c r="P1815" s="17">
        <v>1</v>
      </c>
      <c r="Q1815" s="17">
        <v>1</v>
      </c>
      <c r="R1815" s="17">
        <v>0</v>
      </c>
      <c r="S1815" s="13">
        <v>0</v>
      </c>
      <c r="T1815" s="17">
        <v>0</v>
      </c>
      <c r="U1815" s="17">
        <v>1</v>
      </c>
      <c r="V1815" s="17">
        <v>2</v>
      </c>
      <c r="W1815" s="17">
        <v>0</v>
      </c>
      <c r="X1815" s="17">
        <v>2</v>
      </c>
      <c r="Y1815" s="13">
        <v>0</v>
      </c>
      <c r="Z1815" s="17">
        <v>0</v>
      </c>
      <c r="AA1815" s="17">
        <v>1</v>
      </c>
      <c r="AB1815" s="17">
        <v>0</v>
      </c>
      <c r="AC1815" s="17">
        <v>0</v>
      </c>
      <c r="AD1815" s="17">
        <v>0</v>
      </c>
      <c r="AE1815" s="17">
        <v>0</v>
      </c>
      <c r="AF1815" s="17">
        <v>15</v>
      </c>
      <c r="AG1815" s="17">
        <v>1</v>
      </c>
      <c r="AH1815" s="17" t="s">
        <v>4212</v>
      </c>
      <c r="AI1815" s="13">
        <v>0</v>
      </c>
      <c r="AJ1815" s="13">
        <v>1</v>
      </c>
      <c r="AK1815" s="13">
        <v>0</v>
      </c>
      <c r="AL1815" s="13">
        <v>2.5</v>
      </c>
      <c r="AM1815" s="17">
        <v>0</v>
      </c>
      <c r="AN1815" s="17">
        <v>0</v>
      </c>
      <c r="AO1815" s="17">
        <v>0</v>
      </c>
      <c r="AP1815" s="17">
        <v>4</v>
      </c>
      <c r="AQ1815" s="17">
        <v>5000</v>
      </c>
      <c r="AR1815" s="17">
        <v>3</v>
      </c>
      <c r="AS1815" s="17">
        <v>0</v>
      </c>
      <c r="AT1815" s="13">
        <v>0</v>
      </c>
      <c r="AU1815" s="17" t="s">
        <v>198</v>
      </c>
      <c r="AV1815" s="17"/>
      <c r="AW1815" s="20" t="s">
        <v>617</v>
      </c>
      <c r="AX1815" s="17" t="s">
        <v>534</v>
      </c>
      <c r="AY1815" s="19">
        <v>10000007</v>
      </c>
      <c r="AZ1815" s="19">
        <v>70201003</v>
      </c>
      <c r="BA1815" s="18" t="s">
        <v>200</v>
      </c>
      <c r="BB1815" s="17">
        <v>0</v>
      </c>
      <c r="BC1815" s="28">
        <v>0</v>
      </c>
      <c r="BD1815" s="28">
        <v>0</v>
      </c>
      <c r="BE1815" s="46" t="s">
        <v>4213</v>
      </c>
      <c r="BF1815" s="46" t="s">
        <v>4214</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70201004</v>
      </c>
      <c r="D1816" s="20" t="s">
        <v>4215</v>
      </c>
      <c r="E1816" s="20" t="s">
        <v>4216</v>
      </c>
      <c r="F1816" s="19">
        <v>1</v>
      </c>
      <c r="G1816" s="19">
        <v>60010500</v>
      </c>
      <c r="H1816" s="19">
        <v>0</v>
      </c>
      <c r="I1816" s="28">
        <v>0</v>
      </c>
      <c r="J1816" s="19">
        <v>1</v>
      </c>
      <c r="K1816" s="19">
        <v>0</v>
      </c>
      <c r="L1816" s="19">
        <v>0</v>
      </c>
      <c r="M1816" s="19">
        <v>0</v>
      </c>
      <c r="N1816" s="19">
        <v>0</v>
      </c>
      <c r="O1816" s="17">
        <v>2</v>
      </c>
      <c r="P1816" s="19">
        <v>2</v>
      </c>
      <c r="Q1816" s="19">
        <v>0.3</v>
      </c>
      <c r="R1816" s="19">
        <v>0</v>
      </c>
      <c r="S1816" s="13">
        <v>0</v>
      </c>
      <c r="T1816" s="28">
        <v>0</v>
      </c>
      <c r="U1816" s="17">
        <v>1</v>
      </c>
      <c r="V1816" s="19">
        <v>2</v>
      </c>
      <c r="W1816" s="19">
        <v>0</v>
      </c>
      <c r="X1816" s="19">
        <v>0</v>
      </c>
      <c r="Y1816" s="13">
        <v>0</v>
      </c>
      <c r="Z1816" s="19">
        <v>0</v>
      </c>
      <c r="AA1816" s="19">
        <v>0</v>
      </c>
      <c r="AB1816" s="19">
        <v>0</v>
      </c>
      <c r="AC1816" s="19">
        <v>0</v>
      </c>
      <c r="AD1816" s="17">
        <v>0</v>
      </c>
      <c r="AE1816" s="19">
        <v>0</v>
      </c>
      <c r="AF1816" s="17">
        <v>99999</v>
      </c>
      <c r="AG1816" s="19">
        <v>0</v>
      </c>
      <c r="AH1816" s="19">
        <v>0</v>
      </c>
      <c r="AI1816" s="13">
        <v>2</v>
      </c>
      <c r="AJ1816" s="13">
        <v>0</v>
      </c>
      <c r="AK1816" s="13">
        <v>0</v>
      </c>
      <c r="AL1816" s="13">
        <v>0</v>
      </c>
      <c r="AM1816" s="19">
        <v>0</v>
      </c>
      <c r="AN1816" s="19">
        <v>0</v>
      </c>
      <c r="AO1816" s="19">
        <v>0</v>
      </c>
      <c r="AP1816" s="19">
        <v>0</v>
      </c>
      <c r="AQ1816" s="19">
        <v>1000</v>
      </c>
      <c r="AR1816" s="19">
        <v>0</v>
      </c>
      <c r="AS1816" s="19">
        <v>0</v>
      </c>
      <c r="AT1816" s="13" t="s">
        <v>754</v>
      </c>
      <c r="AU1816" s="19" t="s">
        <v>198</v>
      </c>
      <c r="AV1816" s="19"/>
      <c r="AW1816" s="20" t="s">
        <v>199</v>
      </c>
      <c r="AX1816" s="19" t="s">
        <v>348</v>
      </c>
      <c r="AY1816" s="19">
        <v>0</v>
      </c>
      <c r="AZ1816" s="19">
        <v>0</v>
      </c>
      <c r="BA1816" s="20" t="s">
        <v>200</v>
      </c>
      <c r="BB1816" s="20" t="s">
        <v>198</v>
      </c>
      <c r="BC1816" s="28">
        <v>0</v>
      </c>
      <c r="BD1816" s="28">
        <v>0</v>
      </c>
      <c r="BE1816" s="89" t="s">
        <v>755</v>
      </c>
      <c r="BF1816" s="89" t="s">
        <v>756</v>
      </c>
      <c r="BG1816" s="19">
        <v>0</v>
      </c>
      <c r="BH1816" s="17">
        <v>0</v>
      </c>
      <c r="BI1816" s="19">
        <v>0</v>
      </c>
      <c r="BJ1816" s="19">
        <v>0</v>
      </c>
      <c r="BK1816" s="19">
        <v>0</v>
      </c>
      <c r="BL1816" s="19">
        <v>0</v>
      </c>
      <c r="BM1816" s="16">
        <v>0</v>
      </c>
      <c r="BN1816" s="13">
        <v>0</v>
      </c>
      <c r="BO1816" s="13">
        <v>0</v>
      </c>
      <c r="BP1816" s="13">
        <v>0</v>
      </c>
      <c r="BQ1816" s="13">
        <v>0</v>
      </c>
      <c r="BR1816" s="13">
        <v>0</v>
      </c>
      <c r="BS1816" s="13">
        <v>0</v>
      </c>
      <c r="BT1816" s="13">
        <v>0</v>
      </c>
      <c r="BU1816" s="49">
        <v>0</v>
      </c>
      <c r="BV1816" s="49"/>
      <c r="BW1816" s="49"/>
    </row>
    <row r="1817" spans="3:75" ht="19.5" customHeight="1">
      <c r="C1817" s="19">
        <v>70202001</v>
      </c>
      <c r="D1817" s="18" t="s">
        <v>1017</v>
      </c>
      <c r="E1817" s="18" t="s">
        <v>1018</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3</v>
      </c>
      <c r="Y1817" s="13">
        <v>0</v>
      </c>
      <c r="Z1817" s="17">
        <v>0</v>
      </c>
      <c r="AA1817" s="17">
        <v>1</v>
      </c>
      <c r="AB1817" s="17">
        <v>0</v>
      </c>
      <c r="AC1817" s="17">
        <v>0</v>
      </c>
      <c r="AD1817" s="17">
        <v>0</v>
      </c>
      <c r="AE1817" s="17">
        <v>0</v>
      </c>
      <c r="AF1817" s="17">
        <v>15</v>
      </c>
      <c r="AG1817" s="17">
        <v>1</v>
      </c>
      <c r="AH1817" s="17" t="s">
        <v>607</v>
      </c>
      <c r="AI1817" s="13">
        <v>1</v>
      </c>
      <c r="AJ1817" s="13">
        <v>1</v>
      </c>
      <c r="AK1817" s="13">
        <v>0</v>
      </c>
      <c r="AL1817" s="13">
        <v>3</v>
      </c>
      <c r="AM1817" s="17">
        <v>0</v>
      </c>
      <c r="AN1817" s="17">
        <v>0</v>
      </c>
      <c r="AO1817" s="17">
        <v>0</v>
      </c>
      <c r="AP1817" s="17">
        <v>3</v>
      </c>
      <c r="AQ1817" s="17">
        <v>5000</v>
      </c>
      <c r="AR1817" s="17">
        <v>2.5</v>
      </c>
      <c r="AS1817" s="17">
        <v>0</v>
      </c>
      <c r="AT1817" s="13">
        <v>0</v>
      </c>
      <c r="AU1817" s="17" t="s">
        <v>198</v>
      </c>
      <c r="AV1817" s="17"/>
      <c r="AW1817" s="20" t="s">
        <v>617</v>
      </c>
      <c r="AX1817" s="17" t="s">
        <v>534</v>
      </c>
      <c r="AY1817" s="19">
        <v>10000007</v>
      </c>
      <c r="AZ1817" s="19">
        <v>70202001</v>
      </c>
      <c r="BA1817" s="18" t="s">
        <v>200</v>
      </c>
      <c r="BB1817" s="17">
        <v>0</v>
      </c>
      <c r="BC1817" s="28">
        <v>0</v>
      </c>
      <c r="BD1817" s="28">
        <v>0</v>
      </c>
      <c r="BE1817" s="46" t="s">
        <v>1020</v>
      </c>
      <c r="BF1817" s="46" t="s">
        <v>1021</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20.100000000000001" customHeight="1">
      <c r="C1818" s="19">
        <v>70202002</v>
      </c>
      <c r="D1818" s="18" t="s">
        <v>1022</v>
      </c>
      <c r="E1818" s="18" t="s">
        <v>1023</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3</v>
      </c>
      <c r="Y1818" s="13">
        <v>0</v>
      </c>
      <c r="Z1818" s="17">
        <v>0</v>
      </c>
      <c r="AA1818" s="17">
        <v>1</v>
      </c>
      <c r="AB1818" s="17">
        <v>0</v>
      </c>
      <c r="AC1818" s="17">
        <v>0</v>
      </c>
      <c r="AD1818" s="17">
        <v>0</v>
      </c>
      <c r="AE1818" s="17">
        <v>0</v>
      </c>
      <c r="AF1818" s="17">
        <v>20</v>
      </c>
      <c r="AG1818" s="17">
        <v>1</v>
      </c>
      <c r="AH1818" s="17">
        <v>3</v>
      </c>
      <c r="AI1818" s="13">
        <v>6</v>
      </c>
      <c r="AJ1818" s="13">
        <v>1</v>
      </c>
      <c r="AK1818" s="13">
        <v>0</v>
      </c>
      <c r="AL1818" s="13">
        <v>1.5</v>
      </c>
      <c r="AM1818" s="17">
        <v>0</v>
      </c>
      <c r="AN1818" s="17">
        <v>0</v>
      </c>
      <c r="AO1818" s="17">
        <v>0</v>
      </c>
      <c r="AP1818" s="17">
        <v>3</v>
      </c>
      <c r="AQ1818" s="17">
        <v>5000</v>
      </c>
      <c r="AR1818" s="17">
        <v>3</v>
      </c>
      <c r="AS1818" s="17">
        <v>0</v>
      </c>
      <c r="AT1818" s="13">
        <v>0</v>
      </c>
      <c r="AU1818" s="17" t="s">
        <v>198</v>
      </c>
      <c r="AV1818" s="17"/>
      <c r="AW1818" s="20" t="s">
        <v>256</v>
      </c>
      <c r="AX1818" s="17" t="s">
        <v>534</v>
      </c>
      <c r="AY1818" s="19">
        <v>10000007</v>
      </c>
      <c r="AZ1818" s="19">
        <v>70202002</v>
      </c>
      <c r="BA1818" s="18" t="s">
        <v>200</v>
      </c>
      <c r="BB1818" s="17" t="s">
        <v>4217</v>
      </c>
      <c r="BC1818" s="28">
        <v>0</v>
      </c>
      <c r="BD1818" s="28">
        <v>0</v>
      </c>
      <c r="BE1818" s="46" t="s">
        <v>4218</v>
      </c>
      <c r="BF1818" s="46" t="s">
        <v>4219</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70202003</v>
      </c>
      <c r="D1819" s="20" t="s">
        <v>1324</v>
      </c>
      <c r="E1819" s="20" t="s">
        <v>1325</v>
      </c>
      <c r="F1819" s="19">
        <v>1</v>
      </c>
      <c r="G1819" s="19">
        <v>60010500</v>
      </c>
      <c r="H1819" s="19">
        <v>0</v>
      </c>
      <c r="I1819" s="28">
        <v>0</v>
      </c>
      <c r="J1819" s="19">
        <v>1</v>
      </c>
      <c r="K1819" s="19">
        <v>0</v>
      </c>
      <c r="L1819" s="19">
        <v>0</v>
      </c>
      <c r="M1819" s="19">
        <v>0</v>
      </c>
      <c r="N1819" s="19">
        <v>0</v>
      </c>
      <c r="O1819" s="17">
        <v>2</v>
      </c>
      <c r="P1819" s="19">
        <v>0</v>
      </c>
      <c r="Q1819" s="19">
        <v>0</v>
      </c>
      <c r="R1819" s="19">
        <v>0</v>
      </c>
      <c r="S1819" s="13">
        <v>0</v>
      </c>
      <c r="T1819" s="28">
        <v>0</v>
      </c>
      <c r="U1819" s="17">
        <v>1</v>
      </c>
      <c r="V1819" s="19">
        <v>1</v>
      </c>
      <c r="W1819" s="19">
        <v>0</v>
      </c>
      <c r="X1819" s="19">
        <v>1</v>
      </c>
      <c r="Y1819" s="13">
        <v>0</v>
      </c>
      <c r="Z1819" s="19">
        <v>0</v>
      </c>
      <c r="AA1819" s="19">
        <v>0</v>
      </c>
      <c r="AB1819" s="19">
        <v>0</v>
      </c>
      <c r="AC1819" s="19">
        <v>0</v>
      </c>
      <c r="AD1819" s="17">
        <v>0</v>
      </c>
      <c r="AE1819" s="19">
        <v>0</v>
      </c>
      <c r="AF1819" s="19">
        <v>15</v>
      </c>
      <c r="AG1819" s="19">
        <v>0</v>
      </c>
      <c r="AH1819" s="19">
        <v>0</v>
      </c>
      <c r="AI1819" s="13">
        <v>7</v>
      </c>
      <c r="AJ1819" s="13">
        <v>0</v>
      </c>
      <c r="AK1819" s="13">
        <v>0</v>
      </c>
      <c r="AL1819" s="13">
        <v>0</v>
      </c>
      <c r="AM1819" s="19">
        <v>0</v>
      </c>
      <c r="AN1819" s="19">
        <v>0</v>
      </c>
      <c r="AO1819" s="19">
        <v>0</v>
      </c>
      <c r="AP1819" s="19">
        <v>0</v>
      </c>
      <c r="AQ1819" s="19">
        <v>1000</v>
      </c>
      <c r="AR1819" s="19">
        <v>0.5</v>
      </c>
      <c r="AS1819" s="19">
        <v>0</v>
      </c>
      <c r="AT1819" s="13">
        <v>0</v>
      </c>
      <c r="AU1819" s="13">
        <v>90202001</v>
      </c>
      <c r="AV1819" s="13"/>
      <c r="AW1819" s="20" t="s">
        <v>741</v>
      </c>
      <c r="AX1819" s="19">
        <v>0</v>
      </c>
      <c r="AY1819" s="19">
        <v>10007001</v>
      </c>
      <c r="AZ1819" s="19">
        <v>0</v>
      </c>
      <c r="BA1819" s="20" t="s">
        <v>200</v>
      </c>
      <c r="BB1819" s="20" t="s">
        <v>198</v>
      </c>
      <c r="BC1819" s="28">
        <v>0</v>
      </c>
      <c r="BD1819" s="28">
        <v>0</v>
      </c>
      <c r="BE1819" s="89" t="s">
        <v>2962</v>
      </c>
      <c r="BF1819" s="89" t="s">
        <v>2963</v>
      </c>
      <c r="BG1819" s="19">
        <v>0</v>
      </c>
      <c r="BH1819" s="17">
        <v>0</v>
      </c>
      <c r="BI1819" s="19">
        <v>0</v>
      </c>
      <c r="BJ1819" s="19">
        <v>0</v>
      </c>
      <c r="BK1819" s="19">
        <v>0</v>
      </c>
      <c r="BL1819" s="19">
        <v>0</v>
      </c>
      <c r="BM1819" s="16">
        <v>0</v>
      </c>
      <c r="BN1819" s="13">
        <v>0</v>
      </c>
      <c r="BO1819" s="13">
        <v>0</v>
      </c>
      <c r="BP1819" s="13">
        <v>0</v>
      </c>
      <c r="BQ1819" s="13">
        <v>0</v>
      </c>
      <c r="BR1819" s="13">
        <v>0</v>
      </c>
      <c r="BS1819" s="13">
        <v>0</v>
      </c>
      <c r="BT1819" s="13">
        <v>0</v>
      </c>
      <c r="BU1819" s="49">
        <v>0</v>
      </c>
      <c r="BV1819" s="49"/>
      <c r="BW1819" s="49"/>
    </row>
    <row r="1820" spans="3:75" ht="19.5" customHeight="1">
      <c r="C1820" s="19">
        <v>70202004</v>
      </c>
      <c r="D1820" s="18" t="s">
        <v>1029</v>
      </c>
      <c r="E1820" s="18" t="s">
        <v>1030</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1</v>
      </c>
      <c r="Y1820" s="13">
        <v>0</v>
      </c>
      <c r="Z1820" s="17">
        <v>0</v>
      </c>
      <c r="AA1820" s="17">
        <v>1</v>
      </c>
      <c r="AB1820" s="17">
        <v>0</v>
      </c>
      <c r="AC1820" s="17">
        <v>0</v>
      </c>
      <c r="AD1820" s="17">
        <v>0</v>
      </c>
      <c r="AE1820" s="17">
        <v>0</v>
      </c>
      <c r="AF1820" s="17">
        <v>30</v>
      </c>
      <c r="AG1820" s="17">
        <v>1</v>
      </c>
      <c r="AH1820" s="17" t="s">
        <v>861</v>
      </c>
      <c r="AI1820" s="13">
        <v>0</v>
      </c>
      <c r="AJ1820" s="13">
        <v>0</v>
      </c>
      <c r="AK1820" s="13">
        <v>0</v>
      </c>
      <c r="AL1820" s="13">
        <v>0</v>
      </c>
      <c r="AM1820" s="17">
        <v>0</v>
      </c>
      <c r="AN1820" s="17">
        <v>0</v>
      </c>
      <c r="AO1820" s="17">
        <v>0</v>
      </c>
      <c r="AP1820" s="17">
        <v>0.5</v>
      </c>
      <c r="AQ1820" s="17">
        <v>999999</v>
      </c>
      <c r="AR1820" s="17">
        <v>0.5</v>
      </c>
      <c r="AS1820" s="17">
        <v>0</v>
      </c>
      <c r="AT1820" s="13">
        <v>0</v>
      </c>
      <c r="AU1820" s="355" t="s">
        <v>1019</v>
      </c>
      <c r="AV1820" s="13"/>
      <c r="AW1820" s="20" t="s">
        <v>287</v>
      </c>
      <c r="AX1820" s="17" t="s">
        <v>534</v>
      </c>
      <c r="AY1820" s="19">
        <v>10000007</v>
      </c>
      <c r="AZ1820" s="19">
        <v>70202004</v>
      </c>
      <c r="BA1820" s="20" t="s">
        <v>315</v>
      </c>
      <c r="BB1820" s="20" t="s">
        <v>371</v>
      </c>
      <c r="BC1820" s="28">
        <v>0</v>
      </c>
      <c r="BD1820" s="28">
        <v>0</v>
      </c>
      <c r="BE1820" s="46" t="s">
        <v>4220</v>
      </c>
      <c r="BF1820" s="46" t="s">
        <v>4221</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70203001</v>
      </c>
      <c r="D1821" s="18" t="s">
        <v>4222</v>
      </c>
      <c r="E1821" s="18" t="s">
        <v>4223</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2</v>
      </c>
      <c r="Y1821" s="13">
        <v>0</v>
      </c>
      <c r="Z1821" s="17">
        <v>0</v>
      </c>
      <c r="AA1821" s="17">
        <v>1</v>
      </c>
      <c r="AB1821" s="17">
        <v>0</v>
      </c>
      <c r="AC1821" s="17">
        <v>0</v>
      </c>
      <c r="AD1821" s="17">
        <v>0</v>
      </c>
      <c r="AE1821" s="17">
        <v>0</v>
      </c>
      <c r="AF1821" s="17">
        <v>20</v>
      </c>
      <c r="AG1821" s="17">
        <v>1</v>
      </c>
      <c r="AH1821" s="17" t="s">
        <v>861</v>
      </c>
      <c r="AI1821" s="13">
        <v>1</v>
      </c>
      <c r="AJ1821" s="13">
        <v>1</v>
      </c>
      <c r="AK1821" s="13">
        <v>0</v>
      </c>
      <c r="AL1821" s="13">
        <v>1.5</v>
      </c>
      <c r="AM1821" s="17">
        <v>0</v>
      </c>
      <c r="AN1821" s="17">
        <v>0</v>
      </c>
      <c r="AO1821" s="17">
        <v>0</v>
      </c>
      <c r="AP1821" s="17">
        <v>0.5</v>
      </c>
      <c r="AQ1821" s="17">
        <v>999999</v>
      </c>
      <c r="AR1821" s="17">
        <v>2</v>
      </c>
      <c r="AS1821" s="17">
        <v>0</v>
      </c>
      <c r="AT1821" s="13">
        <v>0</v>
      </c>
      <c r="AU1821" s="17" t="s">
        <v>198</v>
      </c>
      <c r="AV1821" s="17"/>
      <c r="AW1821" s="20" t="s">
        <v>199</v>
      </c>
      <c r="AX1821" s="17" t="s">
        <v>534</v>
      </c>
      <c r="AY1821" s="19">
        <v>10000007</v>
      </c>
      <c r="AZ1821" s="19">
        <v>70203001</v>
      </c>
      <c r="BA1821" s="20" t="s">
        <v>315</v>
      </c>
      <c r="BB1821" s="20" t="s">
        <v>371</v>
      </c>
      <c r="BC1821" s="28">
        <v>0</v>
      </c>
      <c r="BD1821" s="28">
        <v>0</v>
      </c>
      <c r="BE1821" s="46" t="s">
        <v>4224</v>
      </c>
      <c r="BF1821" s="46" t="s">
        <v>4225</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20.100000000000001" customHeight="1">
      <c r="C1822" s="19">
        <v>70203002</v>
      </c>
      <c r="D1822" s="18" t="s">
        <v>744</v>
      </c>
      <c r="E1822" s="18" t="s">
        <v>745</v>
      </c>
      <c r="F1822" s="19">
        <v>1</v>
      </c>
      <c r="G1822" s="19">
        <v>60010500</v>
      </c>
      <c r="H1822" s="19">
        <v>0</v>
      </c>
      <c r="I1822" s="28">
        <v>0</v>
      </c>
      <c r="J1822" s="19">
        <v>1</v>
      </c>
      <c r="K1822" s="19">
        <v>0</v>
      </c>
      <c r="L1822" s="19">
        <v>0</v>
      </c>
      <c r="M1822" s="19">
        <v>0</v>
      </c>
      <c r="N1822" s="19">
        <v>0</v>
      </c>
      <c r="O1822" s="17">
        <v>2</v>
      </c>
      <c r="P1822" s="19">
        <v>1</v>
      </c>
      <c r="Q1822" s="19">
        <v>0.05</v>
      </c>
      <c r="R1822" s="19">
        <v>0</v>
      </c>
      <c r="S1822" s="13">
        <v>0</v>
      </c>
      <c r="T1822" s="28">
        <v>0</v>
      </c>
      <c r="U1822" s="17">
        <v>1</v>
      </c>
      <c r="V1822" s="19">
        <v>1</v>
      </c>
      <c r="W1822" s="19">
        <v>0</v>
      </c>
      <c r="X1822" s="19">
        <v>2</v>
      </c>
      <c r="Y1822" s="13">
        <v>0</v>
      </c>
      <c r="Z1822" s="19">
        <v>0</v>
      </c>
      <c r="AA1822" s="19">
        <v>0</v>
      </c>
      <c r="AB1822" s="19">
        <v>0</v>
      </c>
      <c r="AC1822" s="19">
        <v>0</v>
      </c>
      <c r="AD1822" s="17">
        <v>0</v>
      </c>
      <c r="AE1822" s="19">
        <v>0</v>
      </c>
      <c r="AF1822" s="19">
        <v>10</v>
      </c>
      <c r="AG1822" s="19">
        <v>0</v>
      </c>
      <c r="AH1822" s="19">
        <v>0</v>
      </c>
      <c r="AI1822" s="13">
        <v>7</v>
      </c>
      <c r="AJ1822" s="13">
        <v>0</v>
      </c>
      <c r="AK1822" s="13">
        <v>0</v>
      </c>
      <c r="AL1822" s="13">
        <v>0</v>
      </c>
      <c r="AM1822" s="19">
        <v>0</v>
      </c>
      <c r="AN1822" s="19">
        <v>0</v>
      </c>
      <c r="AO1822" s="19">
        <v>0</v>
      </c>
      <c r="AP1822" s="19">
        <v>0</v>
      </c>
      <c r="AQ1822" s="19">
        <v>1000</v>
      </c>
      <c r="AR1822" s="19">
        <v>0.5</v>
      </c>
      <c r="AS1822" s="19">
        <v>0</v>
      </c>
      <c r="AT1822" s="13">
        <v>0</v>
      </c>
      <c r="AU1822" s="19" t="s">
        <v>659</v>
      </c>
      <c r="AV1822" s="19"/>
      <c r="AW1822" s="20" t="s">
        <v>741</v>
      </c>
      <c r="AX1822" s="19">
        <v>0</v>
      </c>
      <c r="AY1822" s="19">
        <v>10007001</v>
      </c>
      <c r="AZ1822" s="19">
        <v>0</v>
      </c>
      <c r="BA1822" s="20" t="s">
        <v>200</v>
      </c>
      <c r="BB1822" s="20" t="s">
        <v>198</v>
      </c>
      <c r="BC1822" s="28">
        <v>0</v>
      </c>
      <c r="BD1822" s="28">
        <v>0</v>
      </c>
      <c r="BE1822" s="89" t="s">
        <v>746</v>
      </c>
      <c r="BF1822" s="89" t="s">
        <v>747</v>
      </c>
      <c r="BG1822" s="19">
        <v>0</v>
      </c>
      <c r="BH1822" s="17">
        <v>0</v>
      </c>
      <c r="BI1822" s="19">
        <v>0</v>
      </c>
      <c r="BJ1822" s="19">
        <v>0</v>
      </c>
      <c r="BK1822" s="19">
        <v>0</v>
      </c>
      <c r="BL1822" s="19">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70203003</v>
      </c>
      <c r="D1823" s="18" t="s">
        <v>4226</v>
      </c>
      <c r="E1823" s="18" t="s">
        <v>1266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2.5</v>
      </c>
      <c r="Y1823" s="13">
        <v>0</v>
      </c>
      <c r="Z1823" s="17">
        <v>0</v>
      </c>
      <c r="AA1823" s="17">
        <v>1</v>
      </c>
      <c r="AB1823" s="17">
        <v>0</v>
      </c>
      <c r="AC1823" s="17">
        <v>0</v>
      </c>
      <c r="AD1823" s="17">
        <v>0</v>
      </c>
      <c r="AE1823" s="17">
        <v>0</v>
      </c>
      <c r="AF1823" s="17">
        <v>15</v>
      </c>
      <c r="AG1823" s="17">
        <v>1</v>
      </c>
      <c r="AH1823" s="17">
        <v>3</v>
      </c>
      <c r="AI1823" s="13">
        <v>4</v>
      </c>
      <c r="AJ1823" s="13">
        <v>1</v>
      </c>
      <c r="AK1823" s="13">
        <v>0</v>
      </c>
      <c r="AL1823" s="13">
        <v>1.5</v>
      </c>
      <c r="AM1823" s="17">
        <v>0</v>
      </c>
      <c r="AN1823" s="17">
        <v>0</v>
      </c>
      <c r="AO1823" s="17">
        <v>0</v>
      </c>
      <c r="AP1823" s="17">
        <v>3</v>
      </c>
      <c r="AQ1823" s="17">
        <v>5000</v>
      </c>
      <c r="AR1823" s="17">
        <v>3</v>
      </c>
      <c r="AS1823" s="17">
        <v>0</v>
      </c>
      <c r="AT1823" s="13">
        <v>0</v>
      </c>
      <c r="AU1823" s="17" t="s">
        <v>198</v>
      </c>
      <c r="AV1823" s="17"/>
      <c r="AW1823" s="20" t="s">
        <v>256</v>
      </c>
      <c r="AX1823" s="17" t="s">
        <v>534</v>
      </c>
      <c r="AY1823" s="19">
        <v>10000007</v>
      </c>
      <c r="AZ1823" s="19">
        <v>70203003</v>
      </c>
      <c r="BA1823" s="18" t="s">
        <v>200</v>
      </c>
      <c r="BB1823" s="17" t="s">
        <v>4227</v>
      </c>
      <c r="BC1823" s="28">
        <v>0</v>
      </c>
      <c r="BD1823" s="28">
        <v>0</v>
      </c>
      <c r="BE1823" s="46" t="s">
        <v>4228</v>
      </c>
      <c r="BF1823" s="46" t="s">
        <v>4229</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19.5" customHeight="1">
      <c r="C1824" s="19">
        <v>70203004</v>
      </c>
      <c r="D1824" s="18" t="s">
        <v>1116</v>
      </c>
      <c r="E1824" s="18" t="s">
        <v>391</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3</v>
      </c>
      <c r="Y1824" s="13">
        <v>0</v>
      </c>
      <c r="Z1824" s="17">
        <v>0</v>
      </c>
      <c r="AA1824" s="17">
        <v>1</v>
      </c>
      <c r="AB1824" s="17">
        <v>0</v>
      </c>
      <c r="AC1824" s="17">
        <v>0</v>
      </c>
      <c r="AD1824" s="17">
        <v>0</v>
      </c>
      <c r="AE1824" s="17">
        <v>0</v>
      </c>
      <c r="AF1824" s="17">
        <v>15</v>
      </c>
      <c r="AG1824" s="17">
        <v>1</v>
      </c>
      <c r="AH1824" s="17" t="s">
        <v>607</v>
      </c>
      <c r="AI1824" s="13">
        <v>0</v>
      </c>
      <c r="AJ1824" s="13">
        <v>1</v>
      </c>
      <c r="AK1824" s="13">
        <v>0</v>
      </c>
      <c r="AL1824" s="13">
        <v>3</v>
      </c>
      <c r="AM1824" s="17">
        <v>0</v>
      </c>
      <c r="AN1824" s="17">
        <v>0</v>
      </c>
      <c r="AO1824" s="17">
        <v>0</v>
      </c>
      <c r="AP1824" s="17">
        <v>3</v>
      </c>
      <c r="AQ1824" s="17">
        <v>5000</v>
      </c>
      <c r="AR1824" s="17">
        <v>2.5</v>
      </c>
      <c r="AS1824" s="17">
        <v>0</v>
      </c>
      <c r="AT1824" s="13">
        <v>0</v>
      </c>
      <c r="AU1824" s="17" t="s">
        <v>659</v>
      </c>
      <c r="AV1824" s="17"/>
      <c r="AW1824" s="20" t="s">
        <v>617</v>
      </c>
      <c r="AX1824" s="17" t="s">
        <v>534</v>
      </c>
      <c r="AY1824" s="19">
        <v>10000007</v>
      </c>
      <c r="AZ1824" s="19">
        <v>70203004</v>
      </c>
      <c r="BA1824" s="18" t="s">
        <v>200</v>
      </c>
      <c r="BB1824" s="17">
        <v>0</v>
      </c>
      <c r="BC1824" s="28">
        <v>0</v>
      </c>
      <c r="BD1824" s="28">
        <v>0</v>
      </c>
      <c r="BE1824" s="46" t="s">
        <v>4230</v>
      </c>
      <c r="BF1824" s="46" t="s">
        <v>4231</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19.5" customHeight="1">
      <c r="C1825" s="19">
        <v>70204001</v>
      </c>
      <c r="D1825" s="18" t="s">
        <v>4232</v>
      </c>
      <c r="E1825" s="18" t="s">
        <v>4233</v>
      </c>
      <c r="F1825" s="19">
        <v>1</v>
      </c>
      <c r="G1825" s="17">
        <v>60010100</v>
      </c>
      <c r="H1825" s="19">
        <v>0</v>
      </c>
      <c r="I1825" s="28">
        <v>0</v>
      </c>
      <c r="J1825" s="19">
        <v>1</v>
      </c>
      <c r="K1825" s="19">
        <v>0</v>
      </c>
      <c r="L1825" s="19">
        <v>0</v>
      </c>
      <c r="M1825" s="17">
        <v>0</v>
      </c>
      <c r="N1825" s="17">
        <v>0</v>
      </c>
      <c r="O1825" s="17">
        <v>2</v>
      </c>
      <c r="P1825" s="17">
        <v>1</v>
      </c>
      <c r="Q1825" s="17">
        <v>0.3</v>
      </c>
      <c r="R1825" s="17">
        <v>0</v>
      </c>
      <c r="S1825" s="13">
        <v>0</v>
      </c>
      <c r="T1825" s="17">
        <v>0</v>
      </c>
      <c r="U1825" s="17">
        <v>1</v>
      </c>
      <c r="V1825" s="17">
        <v>2</v>
      </c>
      <c r="W1825" s="17">
        <v>0</v>
      </c>
      <c r="X1825" s="17">
        <v>3</v>
      </c>
      <c r="Y1825" s="13">
        <v>0</v>
      </c>
      <c r="Z1825" s="17">
        <v>0</v>
      </c>
      <c r="AA1825" s="17">
        <v>1</v>
      </c>
      <c r="AB1825" s="17">
        <v>0</v>
      </c>
      <c r="AC1825" s="17">
        <v>0</v>
      </c>
      <c r="AD1825" s="17">
        <v>0</v>
      </c>
      <c r="AE1825" s="17">
        <v>0</v>
      </c>
      <c r="AF1825" s="17">
        <v>12</v>
      </c>
      <c r="AG1825" s="17">
        <v>1</v>
      </c>
      <c r="AH1825" s="17" t="s">
        <v>607</v>
      </c>
      <c r="AI1825" s="13">
        <v>0</v>
      </c>
      <c r="AJ1825" s="13">
        <v>1</v>
      </c>
      <c r="AK1825" s="13">
        <v>0</v>
      </c>
      <c r="AL1825" s="13">
        <v>3</v>
      </c>
      <c r="AM1825" s="17">
        <v>0</v>
      </c>
      <c r="AN1825" s="17">
        <v>0</v>
      </c>
      <c r="AO1825" s="17">
        <v>0</v>
      </c>
      <c r="AP1825" s="17">
        <v>3</v>
      </c>
      <c r="AQ1825" s="17">
        <v>5000</v>
      </c>
      <c r="AR1825" s="17">
        <v>2.5</v>
      </c>
      <c r="AS1825" s="17">
        <v>0</v>
      </c>
      <c r="AT1825" s="13">
        <v>0</v>
      </c>
      <c r="AU1825" s="17">
        <v>80001030</v>
      </c>
      <c r="AV1825" s="17"/>
      <c r="AW1825" s="20" t="s">
        <v>287</v>
      </c>
      <c r="AX1825" s="17" t="s">
        <v>534</v>
      </c>
      <c r="AY1825" s="19">
        <v>10000007</v>
      </c>
      <c r="AZ1825" s="19">
        <v>70204001</v>
      </c>
      <c r="BA1825" s="18" t="s">
        <v>200</v>
      </c>
      <c r="BB1825" s="17">
        <v>0</v>
      </c>
      <c r="BC1825" s="28">
        <v>0</v>
      </c>
      <c r="BD1825" s="28">
        <v>0</v>
      </c>
      <c r="BE1825" s="46" t="s">
        <v>4234</v>
      </c>
      <c r="BF1825" s="46" t="s">
        <v>4235</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spans="3:75" ht="20.100000000000001" customHeight="1">
      <c r="C1826" s="19">
        <v>70204002</v>
      </c>
      <c r="D1826" s="18" t="s">
        <v>610</v>
      </c>
      <c r="E1826" s="18" t="s">
        <v>611</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2.5</v>
      </c>
      <c r="Y1826" s="13">
        <v>0</v>
      </c>
      <c r="Z1826" s="17">
        <v>0</v>
      </c>
      <c r="AA1826" s="17">
        <v>1</v>
      </c>
      <c r="AB1826" s="17">
        <v>0</v>
      </c>
      <c r="AC1826" s="17">
        <v>0</v>
      </c>
      <c r="AD1826" s="17">
        <v>0</v>
      </c>
      <c r="AE1826" s="17">
        <v>0</v>
      </c>
      <c r="AF1826" s="17">
        <v>10</v>
      </c>
      <c r="AG1826" s="17">
        <v>1</v>
      </c>
      <c r="AH1826" s="17">
        <v>3</v>
      </c>
      <c r="AI1826" s="13">
        <v>4</v>
      </c>
      <c r="AJ1826" s="13">
        <v>1</v>
      </c>
      <c r="AK1826" s="13">
        <v>0</v>
      </c>
      <c r="AL1826" s="13">
        <v>1.5</v>
      </c>
      <c r="AM1826" s="17">
        <v>0</v>
      </c>
      <c r="AN1826" s="17">
        <v>0</v>
      </c>
      <c r="AO1826" s="17">
        <v>0</v>
      </c>
      <c r="AP1826" s="17">
        <v>3</v>
      </c>
      <c r="AQ1826" s="17">
        <v>5000</v>
      </c>
      <c r="AR1826" s="17">
        <v>3</v>
      </c>
      <c r="AS1826" s="17">
        <v>0</v>
      </c>
      <c r="AT1826" s="13">
        <v>0</v>
      </c>
      <c r="AU1826" s="17">
        <v>80001030</v>
      </c>
      <c r="AV1826" s="17"/>
      <c r="AW1826" s="20" t="s">
        <v>256</v>
      </c>
      <c r="AX1826" s="17" t="s">
        <v>534</v>
      </c>
      <c r="AY1826" s="19">
        <v>10000007</v>
      </c>
      <c r="AZ1826" s="19">
        <v>70204002</v>
      </c>
      <c r="BA1826" s="18" t="s">
        <v>200</v>
      </c>
      <c r="BB1826" s="17" t="s">
        <v>4236</v>
      </c>
      <c r="BC1826" s="28">
        <v>0</v>
      </c>
      <c r="BD1826" s="28">
        <v>0</v>
      </c>
      <c r="BE1826" s="46" t="s">
        <v>1322</v>
      </c>
      <c r="BF1826" s="46" t="s">
        <v>1323</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70204003</v>
      </c>
      <c r="D1827" s="18" t="s">
        <v>615</v>
      </c>
      <c r="E1827" s="18" t="s">
        <v>616</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3</v>
      </c>
      <c r="Y1827" s="13">
        <v>0</v>
      </c>
      <c r="Z1827" s="17">
        <v>0</v>
      </c>
      <c r="AA1827" s="17">
        <v>1</v>
      </c>
      <c r="AB1827" s="17">
        <v>0</v>
      </c>
      <c r="AC1827" s="17">
        <v>0</v>
      </c>
      <c r="AD1827" s="17">
        <v>0</v>
      </c>
      <c r="AE1827" s="17">
        <v>0</v>
      </c>
      <c r="AF1827" s="17">
        <v>12</v>
      </c>
      <c r="AG1827" s="17">
        <v>1</v>
      </c>
      <c r="AH1827" s="17">
        <v>3</v>
      </c>
      <c r="AI1827" s="13">
        <v>6</v>
      </c>
      <c r="AJ1827" s="13">
        <v>1</v>
      </c>
      <c r="AK1827" s="13">
        <v>0</v>
      </c>
      <c r="AL1827" s="13">
        <v>1.5</v>
      </c>
      <c r="AM1827" s="17">
        <v>0</v>
      </c>
      <c r="AN1827" s="17">
        <v>0</v>
      </c>
      <c r="AO1827" s="17">
        <v>0</v>
      </c>
      <c r="AP1827" s="17">
        <v>3</v>
      </c>
      <c r="AQ1827" s="17">
        <v>5000</v>
      </c>
      <c r="AR1827" s="17">
        <v>3</v>
      </c>
      <c r="AS1827" s="17">
        <v>0</v>
      </c>
      <c r="AT1827" s="13">
        <v>0</v>
      </c>
      <c r="AU1827" s="17">
        <v>80001030</v>
      </c>
      <c r="AV1827" s="17"/>
      <c r="AW1827" s="20" t="s">
        <v>617</v>
      </c>
      <c r="AX1827" s="17" t="s">
        <v>534</v>
      </c>
      <c r="AY1827" s="19">
        <v>10000007</v>
      </c>
      <c r="AZ1827" s="19">
        <v>70204003</v>
      </c>
      <c r="BA1827" s="18" t="s">
        <v>200</v>
      </c>
      <c r="BB1827" s="17" t="s">
        <v>4237</v>
      </c>
      <c r="BC1827" s="28">
        <v>0</v>
      </c>
      <c r="BD1827" s="28">
        <v>0</v>
      </c>
      <c r="BE1827" s="46" t="s">
        <v>4238</v>
      </c>
      <c r="BF1827" s="46" t="s">
        <v>4239</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70204004</v>
      </c>
      <c r="D1828" s="20" t="s">
        <v>621</v>
      </c>
      <c r="E1828" s="20" t="s">
        <v>622</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10</v>
      </c>
      <c r="AG1828" s="19">
        <v>0</v>
      </c>
      <c r="AH1828" s="19">
        <v>0</v>
      </c>
      <c r="AI1828" s="13">
        <v>7</v>
      </c>
      <c r="AJ1828" s="13">
        <v>0</v>
      </c>
      <c r="AK1828" s="13">
        <v>0</v>
      </c>
      <c r="AL1828" s="13">
        <v>0</v>
      </c>
      <c r="AM1828" s="19">
        <v>0</v>
      </c>
      <c r="AN1828" s="19">
        <v>0</v>
      </c>
      <c r="AO1828" s="19">
        <v>0</v>
      </c>
      <c r="AP1828" s="19">
        <v>0</v>
      </c>
      <c r="AQ1828" s="19">
        <v>1000</v>
      </c>
      <c r="AR1828" s="19">
        <v>0</v>
      </c>
      <c r="AS1828" s="19">
        <v>0</v>
      </c>
      <c r="AT1828" s="13">
        <v>0</v>
      </c>
      <c r="AU1828" s="19">
        <v>90204004</v>
      </c>
      <c r="AV1828" s="19"/>
      <c r="AW1828" s="20" t="s">
        <v>199</v>
      </c>
      <c r="AX1828" s="19" t="s">
        <v>348</v>
      </c>
      <c r="AY1828" s="19">
        <v>0</v>
      </c>
      <c r="AZ1828" s="19">
        <v>0</v>
      </c>
      <c r="BA1828" s="20" t="s">
        <v>200</v>
      </c>
      <c r="BB1828" s="20" t="s">
        <v>198</v>
      </c>
      <c r="BC1828" s="28">
        <v>0</v>
      </c>
      <c r="BD1828" s="28">
        <v>0</v>
      </c>
      <c r="BE1828" s="89" t="s">
        <v>623</v>
      </c>
      <c r="BF1828" s="89" t="s">
        <v>624</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spans="3:75" ht="19.5" customHeight="1">
      <c r="C1829" s="19">
        <v>70204005</v>
      </c>
      <c r="D1829" s="20" t="s">
        <v>897</v>
      </c>
      <c r="E1829" s="20" t="s">
        <v>898</v>
      </c>
      <c r="F1829" s="19">
        <v>1</v>
      </c>
      <c r="G1829" s="19">
        <v>60010300</v>
      </c>
      <c r="H1829" s="19">
        <v>0</v>
      </c>
      <c r="I1829" s="28">
        <v>0</v>
      </c>
      <c r="J1829" s="19">
        <v>1</v>
      </c>
      <c r="K1829" s="19">
        <v>0</v>
      </c>
      <c r="L1829" s="19">
        <v>0</v>
      </c>
      <c r="M1829" s="19">
        <v>0</v>
      </c>
      <c r="N1829" s="19">
        <v>0</v>
      </c>
      <c r="O1829" s="17">
        <v>2</v>
      </c>
      <c r="P1829" s="19">
        <v>2</v>
      </c>
      <c r="Q1829" s="19">
        <v>0.8</v>
      </c>
      <c r="R1829" s="19">
        <v>0</v>
      </c>
      <c r="S1829" s="13">
        <v>0</v>
      </c>
      <c r="T1829" s="28">
        <v>0</v>
      </c>
      <c r="U1829" s="17">
        <v>1</v>
      </c>
      <c r="V1829" s="19">
        <v>2</v>
      </c>
      <c r="W1829" s="19">
        <v>0</v>
      </c>
      <c r="X1829" s="19">
        <v>3</v>
      </c>
      <c r="Y1829" s="13">
        <v>0</v>
      </c>
      <c r="Z1829" s="19">
        <v>0</v>
      </c>
      <c r="AA1829" s="19">
        <v>0</v>
      </c>
      <c r="AB1829" s="19">
        <v>0</v>
      </c>
      <c r="AC1829" s="19">
        <v>0</v>
      </c>
      <c r="AD1829" s="17">
        <v>0</v>
      </c>
      <c r="AE1829" s="19">
        <v>0</v>
      </c>
      <c r="AF1829" s="19">
        <v>20</v>
      </c>
      <c r="AG1829" s="19">
        <v>1</v>
      </c>
      <c r="AH1829" s="19">
        <v>1</v>
      </c>
      <c r="AI1829" s="13">
        <v>2</v>
      </c>
      <c r="AJ1829" s="13">
        <v>2</v>
      </c>
      <c r="AK1829" s="13">
        <v>0</v>
      </c>
      <c r="AL1829" s="13">
        <v>1.5</v>
      </c>
      <c r="AM1829" s="19">
        <v>0</v>
      </c>
      <c r="AN1829" s="19">
        <v>0</v>
      </c>
      <c r="AO1829" s="19">
        <v>0</v>
      </c>
      <c r="AP1829" s="19">
        <v>1</v>
      </c>
      <c r="AQ1829" s="19">
        <v>30000</v>
      </c>
      <c r="AR1829" s="19">
        <v>0</v>
      </c>
      <c r="AS1829" s="19">
        <v>4</v>
      </c>
      <c r="AT1829" s="13">
        <v>0</v>
      </c>
      <c r="AU1829" s="17" t="s">
        <v>659</v>
      </c>
      <c r="AV1829" s="17"/>
      <c r="AW1829" s="20" t="s">
        <v>199</v>
      </c>
      <c r="AX1829" s="19" t="s">
        <v>545</v>
      </c>
      <c r="AY1829" s="19">
        <v>10003002</v>
      </c>
      <c r="AZ1829" s="19">
        <v>70106005</v>
      </c>
      <c r="BA1829" s="20" t="s">
        <v>586</v>
      </c>
      <c r="BB1829" s="20">
        <v>0</v>
      </c>
      <c r="BC1829" s="28">
        <v>0</v>
      </c>
      <c r="BD1829" s="28">
        <v>0</v>
      </c>
      <c r="BE1829" s="89" t="s">
        <v>899</v>
      </c>
      <c r="BF1829" s="89" t="s">
        <v>900</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20.100000000000001" customHeight="1">
      <c r="C1830" s="19">
        <v>70205001</v>
      </c>
      <c r="D1830" s="18" t="s">
        <v>993</v>
      </c>
      <c r="E1830" s="18" t="s">
        <v>994</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v>3</v>
      </c>
      <c r="AI1830" s="13">
        <v>4</v>
      </c>
      <c r="AJ1830" s="13">
        <v>1</v>
      </c>
      <c r="AK1830" s="13">
        <v>0</v>
      </c>
      <c r="AL1830" s="13">
        <v>1.5</v>
      </c>
      <c r="AM1830" s="17">
        <v>0</v>
      </c>
      <c r="AN1830" s="17">
        <v>0</v>
      </c>
      <c r="AO1830" s="17">
        <v>0</v>
      </c>
      <c r="AP1830" s="17">
        <v>3</v>
      </c>
      <c r="AQ1830" s="17">
        <v>999999</v>
      </c>
      <c r="AR1830" s="17">
        <v>3</v>
      </c>
      <c r="AS1830" s="17">
        <v>0</v>
      </c>
      <c r="AT1830" s="13">
        <v>0</v>
      </c>
      <c r="AU1830" s="17" t="s">
        <v>198</v>
      </c>
      <c r="AV1830" s="17"/>
      <c r="AW1830" s="20" t="s">
        <v>287</v>
      </c>
      <c r="AX1830" s="17" t="s">
        <v>534</v>
      </c>
      <c r="AY1830" s="19">
        <v>10000007</v>
      </c>
      <c r="AZ1830" s="19">
        <v>70205001</v>
      </c>
      <c r="BA1830" s="18" t="s">
        <v>200</v>
      </c>
      <c r="BB1830" s="17" t="s">
        <v>4240</v>
      </c>
      <c r="BC1830" s="28">
        <v>0</v>
      </c>
      <c r="BD1830" s="28">
        <v>0</v>
      </c>
      <c r="BE1830" s="46" t="s">
        <v>996</v>
      </c>
      <c r="BF1830" s="46" t="s">
        <v>997</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20.100000000000001" customHeight="1">
      <c r="C1831" s="19">
        <v>70205002</v>
      </c>
      <c r="D1831" s="20" t="s">
        <v>567</v>
      </c>
      <c r="E1831" s="20" t="s">
        <v>568</v>
      </c>
      <c r="F1831" s="19">
        <v>1</v>
      </c>
      <c r="G1831" s="19">
        <v>60010500</v>
      </c>
      <c r="H1831" s="19">
        <v>0</v>
      </c>
      <c r="I1831" s="28">
        <v>0</v>
      </c>
      <c r="J1831" s="19">
        <v>1</v>
      </c>
      <c r="K1831" s="19">
        <v>0</v>
      </c>
      <c r="L1831" s="19">
        <v>0</v>
      </c>
      <c r="M1831" s="19">
        <v>0</v>
      </c>
      <c r="N1831" s="19">
        <v>0</v>
      </c>
      <c r="O1831" s="17">
        <v>2</v>
      </c>
      <c r="P1831" s="19">
        <v>2</v>
      </c>
      <c r="Q1831" s="19">
        <v>0.3</v>
      </c>
      <c r="R1831" s="19">
        <v>0</v>
      </c>
      <c r="S1831" s="13">
        <v>0</v>
      </c>
      <c r="T1831" s="28">
        <v>0</v>
      </c>
      <c r="U1831" s="17">
        <v>1</v>
      </c>
      <c r="V1831" s="19">
        <v>2</v>
      </c>
      <c r="W1831" s="19">
        <v>0</v>
      </c>
      <c r="X1831" s="19">
        <v>0</v>
      </c>
      <c r="Y1831" s="13">
        <v>0</v>
      </c>
      <c r="Z1831" s="19">
        <v>0</v>
      </c>
      <c r="AA1831" s="19">
        <v>0</v>
      </c>
      <c r="AB1831" s="19">
        <v>0</v>
      </c>
      <c r="AC1831" s="19">
        <v>0</v>
      </c>
      <c r="AD1831" s="17">
        <v>0</v>
      </c>
      <c r="AE1831" s="19">
        <v>0</v>
      </c>
      <c r="AF1831" s="17">
        <v>99999</v>
      </c>
      <c r="AG1831" s="19">
        <v>0</v>
      </c>
      <c r="AH1831" s="19">
        <v>0</v>
      </c>
      <c r="AI1831" s="13">
        <v>8</v>
      </c>
      <c r="AJ1831" s="13">
        <v>0</v>
      </c>
      <c r="AK1831" s="13">
        <v>0</v>
      </c>
      <c r="AL1831" s="13">
        <v>0</v>
      </c>
      <c r="AM1831" s="19">
        <v>0</v>
      </c>
      <c r="AN1831" s="19">
        <v>0</v>
      </c>
      <c r="AO1831" s="19">
        <v>0</v>
      </c>
      <c r="AP1831" s="19">
        <v>0</v>
      </c>
      <c r="AQ1831" s="19">
        <v>1000</v>
      </c>
      <c r="AR1831" s="19">
        <v>0</v>
      </c>
      <c r="AS1831" s="19">
        <v>0</v>
      </c>
      <c r="AT1831" s="13">
        <v>90105002</v>
      </c>
      <c r="AU1831" s="19" t="s">
        <v>198</v>
      </c>
      <c r="AV1831" s="19"/>
      <c r="AW1831" s="20" t="s">
        <v>199</v>
      </c>
      <c r="AX1831" s="19" t="s">
        <v>348</v>
      </c>
      <c r="AY1831" s="19">
        <v>0</v>
      </c>
      <c r="AZ1831" s="19">
        <v>0</v>
      </c>
      <c r="BA1831" s="20" t="s">
        <v>200</v>
      </c>
      <c r="BB1831" s="20" t="s">
        <v>198</v>
      </c>
      <c r="BC1831" s="28">
        <v>0</v>
      </c>
      <c r="BD1831" s="28">
        <v>0</v>
      </c>
      <c r="BE1831" s="89" t="s">
        <v>850</v>
      </c>
      <c r="BF1831" s="89" t="s">
        <v>851</v>
      </c>
      <c r="BG1831" s="19">
        <v>0</v>
      </c>
      <c r="BH1831" s="17">
        <v>0</v>
      </c>
      <c r="BI1831" s="19">
        <v>0</v>
      </c>
      <c r="BJ1831" s="19">
        <v>0</v>
      </c>
      <c r="BK1831" s="19">
        <v>0</v>
      </c>
      <c r="BL1831" s="19">
        <v>0</v>
      </c>
      <c r="BM1831" s="16">
        <v>0</v>
      </c>
      <c r="BN1831" s="13">
        <v>0</v>
      </c>
      <c r="BO1831" s="13">
        <v>0</v>
      </c>
      <c r="BP1831" s="13">
        <v>0</v>
      </c>
      <c r="BQ1831" s="13">
        <v>0</v>
      </c>
      <c r="BR1831" s="13">
        <v>0</v>
      </c>
      <c r="BS1831" s="13">
        <v>0</v>
      </c>
      <c r="BT1831" s="13">
        <v>0</v>
      </c>
      <c r="BU1831" s="49">
        <v>0</v>
      </c>
      <c r="BV1831" s="49"/>
      <c r="BW1831" s="49"/>
    </row>
    <row r="1832" spans="3:75" ht="20.100000000000001" customHeight="1">
      <c r="C1832" s="19">
        <v>70205003</v>
      </c>
      <c r="D1832" s="20" t="s">
        <v>669</v>
      </c>
      <c r="E1832" s="20" t="s">
        <v>670</v>
      </c>
      <c r="F1832" s="19">
        <v>1</v>
      </c>
      <c r="G1832" s="19">
        <v>60010500</v>
      </c>
      <c r="H1832" s="19">
        <v>0</v>
      </c>
      <c r="I1832" s="28">
        <v>0</v>
      </c>
      <c r="J1832" s="19">
        <v>1</v>
      </c>
      <c r="K1832" s="19">
        <v>0</v>
      </c>
      <c r="L1832" s="19">
        <v>0</v>
      </c>
      <c r="M1832" s="19">
        <v>0</v>
      </c>
      <c r="N1832" s="19">
        <v>0</v>
      </c>
      <c r="O1832" s="17">
        <v>2</v>
      </c>
      <c r="P1832" s="19">
        <v>2</v>
      </c>
      <c r="Q1832" s="19">
        <v>0.3</v>
      </c>
      <c r="R1832" s="19">
        <v>0</v>
      </c>
      <c r="S1832" s="13">
        <v>0</v>
      </c>
      <c r="T1832" s="28">
        <v>0</v>
      </c>
      <c r="U1832" s="17">
        <v>1</v>
      </c>
      <c r="V1832" s="19">
        <v>2</v>
      </c>
      <c r="W1832" s="19">
        <v>0</v>
      </c>
      <c r="X1832" s="19">
        <v>0</v>
      </c>
      <c r="Y1832" s="13">
        <v>0</v>
      </c>
      <c r="Z1832" s="19">
        <v>0</v>
      </c>
      <c r="AA1832" s="19">
        <v>0</v>
      </c>
      <c r="AB1832" s="19">
        <v>0</v>
      </c>
      <c r="AC1832" s="19">
        <v>0</v>
      </c>
      <c r="AD1832" s="17">
        <v>0</v>
      </c>
      <c r="AE1832" s="19">
        <v>0</v>
      </c>
      <c r="AF1832" s="17">
        <v>99999</v>
      </c>
      <c r="AG1832" s="19">
        <v>0</v>
      </c>
      <c r="AH1832" s="19">
        <v>0</v>
      </c>
      <c r="AI1832" s="13">
        <v>8</v>
      </c>
      <c r="AJ1832" s="13">
        <v>0</v>
      </c>
      <c r="AK1832" s="13">
        <v>0</v>
      </c>
      <c r="AL1832" s="13">
        <v>0</v>
      </c>
      <c r="AM1832" s="19">
        <v>0</v>
      </c>
      <c r="AN1832" s="19">
        <v>0</v>
      </c>
      <c r="AO1832" s="19">
        <v>0</v>
      </c>
      <c r="AP1832" s="19">
        <v>0</v>
      </c>
      <c r="AQ1832" s="19">
        <v>1000</v>
      </c>
      <c r="AR1832" s="19">
        <v>0</v>
      </c>
      <c r="AS1832" s="19">
        <v>0</v>
      </c>
      <c r="AT1832" s="13" t="s">
        <v>998</v>
      </c>
      <c r="AU1832" s="19" t="s">
        <v>198</v>
      </c>
      <c r="AV1832" s="19"/>
      <c r="AW1832" s="20" t="s">
        <v>199</v>
      </c>
      <c r="AX1832" s="19" t="s">
        <v>348</v>
      </c>
      <c r="AY1832" s="19">
        <v>0</v>
      </c>
      <c r="AZ1832" s="19">
        <v>0</v>
      </c>
      <c r="BA1832" s="20" t="s">
        <v>200</v>
      </c>
      <c r="BB1832" s="20" t="s">
        <v>198</v>
      </c>
      <c r="BC1832" s="28">
        <v>0</v>
      </c>
      <c r="BD1832" s="28">
        <v>0</v>
      </c>
      <c r="BE1832" s="89" t="s">
        <v>755</v>
      </c>
      <c r="BF1832" s="89" t="s">
        <v>756</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spans="3:75" ht="20.100000000000001" customHeight="1">
      <c r="C1833" s="19">
        <v>70205004</v>
      </c>
      <c r="D1833" s="18" t="s">
        <v>600</v>
      </c>
      <c r="E1833" s="18" t="s">
        <v>601</v>
      </c>
      <c r="F1833" s="17">
        <v>1</v>
      </c>
      <c r="G1833" s="17">
        <v>60010300</v>
      </c>
      <c r="H1833" s="19">
        <v>0</v>
      </c>
      <c r="I1833" s="28">
        <v>0</v>
      </c>
      <c r="J1833" s="19">
        <v>1</v>
      </c>
      <c r="K1833" s="19">
        <v>0</v>
      </c>
      <c r="L1833" s="19">
        <v>0</v>
      </c>
      <c r="M1833" s="17">
        <v>0</v>
      </c>
      <c r="N1833" s="17">
        <v>0</v>
      </c>
      <c r="O1833" s="17">
        <v>2</v>
      </c>
      <c r="P1833" s="17">
        <v>2</v>
      </c>
      <c r="Q1833" s="17">
        <v>0.9</v>
      </c>
      <c r="R1833" s="17">
        <v>0</v>
      </c>
      <c r="S1833" s="13">
        <v>0</v>
      </c>
      <c r="T1833" s="17">
        <v>0</v>
      </c>
      <c r="U1833" s="17">
        <v>1</v>
      </c>
      <c r="V1833" s="17">
        <v>2</v>
      </c>
      <c r="W1833" s="17">
        <v>0</v>
      </c>
      <c r="X1833" s="17">
        <v>0</v>
      </c>
      <c r="Y1833" s="13">
        <v>0</v>
      </c>
      <c r="Z1833" s="17">
        <v>0</v>
      </c>
      <c r="AA1833" s="17">
        <v>0</v>
      </c>
      <c r="AB1833" s="17">
        <v>0</v>
      </c>
      <c r="AC1833" s="17">
        <v>0</v>
      </c>
      <c r="AD1833" s="17">
        <v>0</v>
      </c>
      <c r="AE1833" s="17">
        <v>0</v>
      </c>
      <c r="AF1833" s="17">
        <v>30</v>
      </c>
      <c r="AG1833" s="17">
        <v>0</v>
      </c>
      <c r="AH1833" s="17">
        <v>0</v>
      </c>
      <c r="AI1833" s="13">
        <v>2</v>
      </c>
      <c r="AJ1833" s="13">
        <v>2</v>
      </c>
      <c r="AK1833" s="13">
        <v>0</v>
      </c>
      <c r="AL1833" s="13">
        <v>1.5</v>
      </c>
      <c r="AM1833" s="17">
        <v>0</v>
      </c>
      <c r="AN1833" s="17">
        <v>0</v>
      </c>
      <c r="AO1833" s="17">
        <v>0</v>
      </c>
      <c r="AP1833" s="17">
        <v>1</v>
      </c>
      <c r="AQ1833" s="17">
        <v>3000</v>
      </c>
      <c r="AR1833" s="17">
        <v>0.5</v>
      </c>
      <c r="AS1833" s="17">
        <v>0</v>
      </c>
      <c r="AT1833" s="13">
        <v>0</v>
      </c>
      <c r="AU1833" s="17" t="s">
        <v>198</v>
      </c>
      <c r="AV1833" s="17"/>
      <c r="AW1833" s="20" t="s">
        <v>287</v>
      </c>
      <c r="AX1833" s="17" t="s">
        <v>545</v>
      </c>
      <c r="AY1833" s="19">
        <v>0</v>
      </c>
      <c r="AZ1833" s="19">
        <v>0</v>
      </c>
      <c r="BA1833" s="18" t="s">
        <v>528</v>
      </c>
      <c r="BB1833" s="17" t="s">
        <v>4241</v>
      </c>
      <c r="BC1833" s="28">
        <v>0</v>
      </c>
      <c r="BD1833" s="28">
        <v>0</v>
      </c>
      <c r="BE1833" s="46" t="s">
        <v>4242</v>
      </c>
      <c r="BF1833" s="46" t="s">
        <v>4243</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19.5" customHeight="1">
      <c r="C1834" s="19">
        <v>70205005</v>
      </c>
      <c r="D1834" s="18" t="s">
        <v>765</v>
      </c>
      <c r="E1834" s="18" t="s">
        <v>766</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3</v>
      </c>
      <c r="Y1834" s="13">
        <v>0</v>
      </c>
      <c r="Z1834" s="17">
        <v>0</v>
      </c>
      <c r="AA1834" s="17">
        <v>1</v>
      </c>
      <c r="AB1834" s="17">
        <v>0</v>
      </c>
      <c r="AC1834" s="17">
        <v>0</v>
      </c>
      <c r="AD1834" s="17">
        <v>0</v>
      </c>
      <c r="AE1834" s="17">
        <v>0</v>
      </c>
      <c r="AF1834" s="17">
        <v>15</v>
      </c>
      <c r="AG1834" s="17">
        <v>1</v>
      </c>
      <c r="AH1834" s="17" t="s">
        <v>607</v>
      </c>
      <c r="AI1834" s="13">
        <v>0</v>
      </c>
      <c r="AJ1834" s="13">
        <v>1</v>
      </c>
      <c r="AK1834" s="13">
        <v>0</v>
      </c>
      <c r="AL1834" s="13">
        <v>3</v>
      </c>
      <c r="AM1834" s="17">
        <v>0</v>
      </c>
      <c r="AN1834" s="17">
        <v>0</v>
      </c>
      <c r="AO1834" s="17">
        <v>0</v>
      </c>
      <c r="AP1834" s="17">
        <v>3</v>
      </c>
      <c r="AQ1834" s="17">
        <v>5000</v>
      </c>
      <c r="AR1834" s="17">
        <v>2.5</v>
      </c>
      <c r="AS1834" s="17">
        <v>0</v>
      </c>
      <c r="AT1834" s="13">
        <v>0</v>
      </c>
      <c r="AU1834" s="17" t="s">
        <v>659</v>
      </c>
      <c r="AV1834" s="17"/>
      <c r="AW1834" s="20" t="s">
        <v>256</v>
      </c>
      <c r="AX1834" s="17" t="s">
        <v>534</v>
      </c>
      <c r="AY1834" s="19">
        <v>10000007</v>
      </c>
      <c r="AZ1834" s="19">
        <v>70205002</v>
      </c>
      <c r="BA1834" s="18" t="s">
        <v>200</v>
      </c>
      <c r="BB1834" s="17">
        <v>0</v>
      </c>
      <c r="BC1834" s="28">
        <v>0</v>
      </c>
      <c r="BD1834" s="28">
        <v>0</v>
      </c>
      <c r="BE1834" s="46" t="s">
        <v>767</v>
      </c>
      <c r="BF1834" s="46" t="s">
        <v>768</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19.5" customHeight="1">
      <c r="C1835" s="19">
        <v>70205006</v>
      </c>
      <c r="D1835" s="18" t="s">
        <v>999</v>
      </c>
      <c r="E1835" s="18" t="s">
        <v>1000</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1</v>
      </c>
      <c r="Y1835" s="13">
        <v>0</v>
      </c>
      <c r="Z1835" s="17">
        <v>0</v>
      </c>
      <c r="AA1835" s="17">
        <v>1</v>
      </c>
      <c r="AB1835" s="17">
        <v>0</v>
      </c>
      <c r="AC1835" s="17">
        <v>0</v>
      </c>
      <c r="AD1835" s="17">
        <v>0</v>
      </c>
      <c r="AE1835" s="17">
        <v>0</v>
      </c>
      <c r="AF1835" s="17">
        <v>15</v>
      </c>
      <c r="AG1835" s="17">
        <v>1</v>
      </c>
      <c r="AH1835" s="17" t="s">
        <v>861</v>
      </c>
      <c r="AI1835" s="13">
        <v>0</v>
      </c>
      <c r="AJ1835" s="13">
        <v>0</v>
      </c>
      <c r="AK1835" s="13">
        <v>0</v>
      </c>
      <c r="AL1835" s="13">
        <v>0</v>
      </c>
      <c r="AM1835" s="17">
        <v>0</v>
      </c>
      <c r="AN1835" s="17">
        <v>0</v>
      </c>
      <c r="AO1835" s="17">
        <v>0</v>
      </c>
      <c r="AP1835" s="17">
        <v>0.5</v>
      </c>
      <c r="AQ1835" s="17">
        <v>999999</v>
      </c>
      <c r="AR1835" s="17">
        <v>0.5</v>
      </c>
      <c r="AS1835" s="17">
        <v>0</v>
      </c>
      <c r="AT1835" s="13">
        <v>0</v>
      </c>
      <c r="AU1835" s="13">
        <v>90105006</v>
      </c>
      <c r="AV1835" s="13"/>
      <c r="AW1835" s="20" t="s">
        <v>617</v>
      </c>
      <c r="AX1835" s="17" t="s">
        <v>534</v>
      </c>
      <c r="AY1835" s="19">
        <v>10000007</v>
      </c>
      <c r="AZ1835" s="19">
        <v>70205003</v>
      </c>
      <c r="BA1835" s="20" t="s">
        <v>315</v>
      </c>
      <c r="BB1835" s="20" t="s">
        <v>371</v>
      </c>
      <c r="BC1835" s="28">
        <v>0</v>
      </c>
      <c r="BD1835" s="28">
        <v>0</v>
      </c>
      <c r="BE1835" s="46" t="s">
        <v>1001</v>
      </c>
      <c r="BF1835" s="46" t="s">
        <v>1002</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19.5" customHeight="1">
      <c r="C1836" s="19">
        <v>70205007</v>
      </c>
      <c r="D1836" s="18" t="s">
        <v>4244</v>
      </c>
      <c r="E1836" s="18" t="s">
        <v>4245</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2</v>
      </c>
      <c r="Y1836" s="13">
        <v>0</v>
      </c>
      <c r="Z1836" s="17">
        <v>0</v>
      </c>
      <c r="AA1836" s="17">
        <v>1</v>
      </c>
      <c r="AB1836" s="17">
        <v>0</v>
      </c>
      <c r="AC1836" s="17">
        <v>0</v>
      </c>
      <c r="AD1836" s="17">
        <v>0</v>
      </c>
      <c r="AE1836" s="17">
        <v>0</v>
      </c>
      <c r="AF1836" s="17">
        <v>15</v>
      </c>
      <c r="AG1836" s="17">
        <v>1</v>
      </c>
      <c r="AH1836" s="17" t="s">
        <v>861</v>
      </c>
      <c r="AI1836" s="13">
        <v>0</v>
      </c>
      <c r="AJ1836" s="13">
        <v>0</v>
      </c>
      <c r="AK1836" s="13">
        <v>0</v>
      </c>
      <c r="AL1836" s="13">
        <v>0</v>
      </c>
      <c r="AM1836" s="17">
        <v>0</v>
      </c>
      <c r="AN1836" s="17">
        <v>0</v>
      </c>
      <c r="AO1836" s="17">
        <v>0</v>
      </c>
      <c r="AP1836" s="17">
        <v>0.5</v>
      </c>
      <c r="AQ1836" s="17">
        <v>999999</v>
      </c>
      <c r="AR1836" s="17">
        <v>0.5</v>
      </c>
      <c r="AS1836" s="17">
        <v>0</v>
      </c>
      <c r="AT1836" s="13">
        <v>0</v>
      </c>
      <c r="AU1836" s="13">
        <v>90205007</v>
      </c>
      <c r="AV1836" s="13"/>
      <c r="AW1836" s="20" t="s">
        <v>617</v>
      </c>
      <c r="AX1836" s="17" t="s">
        <v>534</v>
      </c>
      <c r="AY1836" s="19">
        <v>10000007</v>
      </c>
      <c r="AZ1836" s="19">
        <v>70205001</v>
      </c>
      <c r="BA1836" s="20" t="s">
        <v>315</v>
      </c>
      <c r="BB1836" s="20" t="s">
        <v>371</v>
      </c>
      <c r="BC1836" s="28">
        <v>0</v>
      </c>
      <c r="BD1836" s="28">
        <v>0</v>
      </c>
      <c r="BE1836" s="46"/>
      <c r="BF1836" s="46"/>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19.5" customHeight="1">
      <c r="C1837" s="19">
        <v>70301001</v>
      </c>
      <c r="D1837" s="18" t="s">
        <v>4246</v>
      </c>
      <c r="E1837" s="18" t="s">
        <v>4247</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3</v>
      </c>
      <c r="Y1837" s="13">
        <v>0</v>
      </c>
      <c r="Z1837" s="17">
        <v>0</v>
      </c>
      <c r="AA1837" s="17">
        <v>1</v>
      </c>
      <c r="AB1837" s="17">
        <v>0</v>
      </c>
      <c r="AC1837" s="17">
        <v>0</v>
      </c>
      <c r="AD1837" s="17">
        <v>0</v>
      </c>
      <c r="AE1837" s="17">
        <v>0</v>
      </c>
      <c r="AF1837" s="17">
        <v>15</v>
      </c>
      <c r="AG1837" s="17">
        <v>1</v>
      </c>
      <c r="AH1837" s="17" t="s">
        <v>607</v>
      </c>
      <c r="AI1837" s="13">
        <v>0</v>
      </c>
      <c r="AJ1837" s="13">
        <v>1</v>
      </c>
      <c r="AK1837" s="13">
        <v>0</v>
      </c>
      <c r="AL1837" s="13">
        <v>3</v>
      </c>
      <c r="AM1837" s="17">
        <v>0</v>
      </c>
      <c r="AN1837" s="17">
        <v>0</v>
      </c>
      <c r="AO1837" s="17">
        <v>0</v>
      </c>
      <c r="AP1837" s="17">
        <v>3</v>
      </c>
      <c r="AQ1837" s="17">
        <v>5000</v>
      </c>
      <c r="AR1837" s="17">
        <v>2.5</v>
      </c>
      <c r="AS1837" s="17">
        <v>0</v>
      </c>
      <c r="AT1837" s="13">
        <v>0</v>
      </c>
      <c r="AU1837" s="17" t="s">
        <v>659</v>
      </c>
      <c r="AV1837" s="17"/>
      <c r="AW1837" s="20" t="s">
        <v>617</v>
      </c>
      <c r="AX1837" s="17" t="s">
        <v>534</v>
      </c>
      <c r="AY1837" s="19">
        <v>10000007</v>
      </c>
      <c r="AZ1837" s="19">
        <v>70301001</v>
      </c>
      <c r="BA1837" s="18" t="s">
        <v>200</v>
      </c>
      <c r="BB1837" s="17">
        <v>0</v>
      </c>
      <c r="BC1837" s="28">
        <v>0</v>
      </c>
      <c r="BD1837" s="28">
        <v>0</v>
      </c>
      <c r="BE1837" s="46" t="s">
        <v>4248</v>
      </c>
      <c r="BF1837" s="46" t="s">
        <v>4249</v>
      </c>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spans="3:75" ht="20.100000000000001" customHeight="1">
      <c r="C1838" s="19">
        <v>70301002</v>
      </c>
      <c r="D1838" s="18" t="s">
        <v>4250</v>
      </c>
      <c r="E1838" s="18" t="s">
        <v>4251</v>
      </c>
      <c r="F1838" s="17">
        <v>1</v>
      </c>
      <c r="G1838" s="17">
        <v>60010300</v>
      </c>
      <c r="H1838" s="19">
        <v>0</v>
      </c>
      <c r="I1838" s="28">
        <v>0</v>
      </c>
      <c r="J1838" s="19">
        <v>1</v>
      </c>
      <c r="K1838" s="19">
        <v>0</v>
      </c>
      <c r="L1838" s="19">
        <v>0</v>
      </c>
      <c r="M1838" s="17">
        <v>0</v>
      </c>
      <c r="N1838" s="17">
        <v>0</v>
      </c>
      <c r="O1838" s="17">
        <v>2</v>
      </c>
      <c r="P1838" s="17">
        <v>2</v>
      </c>
      <c r="Q1838" s="17">
        <v>0.8</v>
      </c>
      <c r="R1838" s="17">
        <v>0</v>
      </c>
      <c r="S1838" s="13">
        <v>0</v>
      </c>
      <c r="T1838" s="17">
        <v>0</v>
      </c>
      <c r="U1838" s="17">
        <v>1</v>
      </c>
      <c r="V1838" s="17">
        <v>2</v>
      </c>
      <c r="W1838" s="17">
        <v>0</v>
      </c>
      <c r="X1838" s="17">
        <v>0</v>
      </c>
      <c r="Y1838" s="13">
        <v>0</v>
      </c>
      <c r="Z1838" s="17">
        <v>0</v>
      </c>
      <c r="AA1838" s="17">
        <v>0</v>
      </c>
      <c r="AB1838" s="17">
        <v>0</v>
      </c>
      <c r="AC1838" s="17">
        <v>0</v>
      </c>
      <c r="AD1838" s="17">
        <v>0</v>
      </c>
      <c r="AE1838" s="17">
        <v>0</v>
      </c>
      <c r="AF1838" s="17">
        <v>20</v>
      </c>
      <c r="AG1838" s="17">
        <v>0</v>
      </c>
      <c r="AH1838" s="17">
        <v>0</v>
      </c>
      <c r="AI1838" s="13">
        <v>2</v>
      </c>
      <c r="AJ1838" s="13">
        <v>2</v>
      </c>
      <c r="AK1838" s="13">
        <v>0</v>
      </c>
      <c r="AL1838" s="13">
        <v>1.5</v>
      </c>
      <c r="AM1838" s="17">
        <v>0</v>
      </c>
      <c r="AN1838" s="17">
        <v>0</v>
      </c>
      <c r="AO1838" s="17">
        <v>0</v>
      </c>
      <c r="AP1838" s="17">
        <v>1</v>
      </c>
      <c r="AQ1838" s="17">
        <v>3000</v>
      </c>
      <c r="AR1838" s="17">
        <v>0.5</v>
      </c>
      <c r="AS1838" s="17">
        <v>0</v>
      </c>
      <c r="AT1838" s="13">
        <v>0</v>
      </c>
      <c r="AU1838" s="17" t="s">
        <v>198</v>
      </c>
      <c r="AV1838" s="17"/>
      <c r="AW1838" s="20" t="s">
        <v>199</v>
      </c>
      <c r="AX1838" s="17" t="s">
        <v>545</v>
      </c>
      <c r="AY1838" s="19">
        <v>0</v>
      </c>
      <c r="AZ1838" s="19">
        <v>0</v>
      </c>
      <c r="BA1838" s="18" t="s">
        <v>528</v>
      </c>
      <c r="BB1838" s="17" t="s">
        <v>4252</v>
      </c>
      <c r="BC1838" s="28">
        <v>0</v>
      </c>
      <c r="BD1838" s="28">
        <v>0</v>
      </c>
      <c r="BE1838" s="46" t="s">
        <v>4253</v>
      </c>
      <c r="BF1838" s="46" t="s">
        <v>4254</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70301003</v>
      </c>
      <c r="D1839" s="18" t="s">
        <v>1067</v>
      </c>
      <c r="E1839" s="18" t="s">
        <v>1068</v>
      </c>
      <c r="F1839" s="19">
        <v>1</v>
      </c>
      <c r="G1839" s="17">
        <v>60010100</v>
      </c>
      <c r="H1839" s="19">
        <v>0</v>
      </c>
      <c r="I1839" s="28">
        <v>0</v>
      </c>
      <c r="J1839" s="19">
        <v>1</v>
      </c>
      <c r="K1839" s="19">
        <v>0</v>
      </c>
      <c r="L1839" s="19">
        <v>0</v>
      </c>
      <c r="M1839" s="17">
        <v>0</v>
      </c>
      <c r="N1839" s="17">
        <v>0</v>
      </c>
      <c r="O1839" s="17">
        <v>2</v>
      </c>
      <c r="P1839" s="17">
        <v>1</v>
      </c>
      <c r="Q1839" s="17">
        <v>0.3</v>
      </c>
      <c r="R1839" s="17">
        <v>0</v>
      </c>
      <c r="S1839" s="13">
        <v>0</v>
      </c>
      <c r="T1839" s="17">
        <v>0</v>
      </c>
      <c r="U1839" s="17">
        <v>1</v>
      </c>
      <c r="V1839" s="17">
        <v>2</v>
      </c>
      <c r="W1839" s="17">
        <v>0</v>
      </c>
      <c r="X1839" s="17">
        <v>3</v>
      </c>
      <c r="Y1839" s="13">
        <v>0</v>
      </c>
      <c r="Z1839" s="17">
        <v>0</v>
      </c>
      <c r="AA1839" s="17">
        <v>1</v>
      </c>
      <c r="AB1839" s="17">
        <v>0</v>
      </c>
      <c r="AC1839" s="17">
        <v>0</v>
      </c>
      <c r="AD1839" s="17">
        <v>0</v>
      </c>
      <c r="AE1839" s="17">
        <v>0</v>
      </c>
      <c r="AF1839" s="17">
        <v>12</v>
      </c>
      <c r="AG1839" s="17">
        <v>1</v>
      </c>
      <c r="AH1839" s="17">
        <v>3</v>
      </c>
      <c r="AI1839" s="13">
        <v>6</v>
      </c>
      <c r="AJ1839" s="13">
        <v>1</v>
      </c>
      <c r="AK1839" s="13">
        <v>0</v>
      </c>
      <c r="AL1839" s="13">
        <v>1.5</v>
      </c>
      <c r="AM1839" s="17">
        <v>0</v>
      </c>
      <c r="AN1839" s="17">
        <v>0</v>
      </c>
      <c r="AO1839" s="17">
        <v>0</v>
      </c>
      <c r="AP1839" s="17">
        <v>3</v>
      </c>
      <c r="AQ1839" s="17">
        <v>5000</v>
      </c>
      <c r="AR1839" s="17">
        <v>3</v>
      </c>
      <c r="AS1839" s="17">
        <v>0</v>
      </c>
      <c r="AT1839" s="13">
        <v>0</v>
      </c>
      <c r="AU1839" s="17">
        <v>80001030</v>
      </c>
      <c r="AV1839" s="17"/>
      <c r="AW1839" s="20" t="s">
        <v>256</v>
      </c>
      <c r="AX1839" s="17" t="s">
        <v>534</v>
      </c>
      <c r="AY1839" s="19">
        <v>10000007</v>
      </c>
      <c r="AZ1839" s="19">
        <v>70301003</v>
      </c>
      <c r="BA1839" s="18" t="s">
        <v>200</v>
      </c>
      <c r="BB1839" s="17" t="s">
        <v>4255</v>
      </c>
      <c r="BC1839" s="28">
        <v>0</v>
      </c>
      <c r="BD1839" s="28">
        <v>0</v>
      </c>
      <c r="BE1839" s="46" t="s">
        <v>4256</v>
      </c>
      <c r="BF1839" s="46" t="s">
        <v>4257</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70301004</v>
      </c>
      <c r="D1840" s="20" t="s">
        <v>4258</v>
      </c>
      <c r="E1840" s="20" t="s">
        <v>4259</v>
      </c>
      <c r="F1840" s="19">
        <v>1</v>
      </c>
      <c r="G1840" s="19">
        <v>60010500</v>
      </c>
      <c r="H1840" s="19">
        <v>0</v>
      </c>
      <c r="I1840" s="28">
        <v>0</v>
      </c>
      <c r="J1840" s="19">
        <v>1</v>
      </c>
      <c r="K1840" s="19">
        <v>0</v>
      </c>
      <c r="L1840" s="19">
        <v>0</v>
      </c>
      <c r="M1840" s="19">
        <v>0</v>
      </c>
      <c r="N1840" s="19">
        <v>0</v>
      </c>
      <c r="O1840" s="17">
        <v>2</v>
      </c>
      <c r="P1840" s="19">
        <v>2</v>
      </c>
      <c r="Q1840" s="19">
        <v>0.3</v>
      </c>
      <c r="R1840" s="19">
        <v>0</v>
      </c>
      <c r="S1840" s="13">
        <v>0</v>
      </c>
      <c r="T1840" s="28">
        <v>0</v>
      </c>
      <c r="U1840" s="17">
        <v>1</v>
      </c>
      <c r="V1840" s="19">
        <v>2</v>
      </c>
      <c r="W1840" s="19">
        <v>0</v>
      </c>
      <c r="X1840" s="19">
        <v>0</v>
      </c>
      <c r="Y1840" s="13">
        <v>0</v>
      </c>
      <c r="Z1840" s="19">
        <v>0</v>
      </c>
      <c r="AA1840" s="19">
        <v>0</v>
      </c>
      <c r="AB1840" s="19">
        <v>0</v>
      </c>
      <c r="AC1840" s="19">
        <v>0</v>
      </c>
      <c r="AD1840" s="17">
        <v>0</v>
      </c>
      <c r="AE1840" s="19">
        <v>0</v>
      </c>
      <c r="AF1840" s="19">
        <v>20</v>
      </c>
      <c r="AG1840" s="19">
        <v>0</v>
      </c>
      <c r="AH1840" s="19">
        <v>0</v>
      </c>
      <c r="AI1840" s="13">
        <v>7</v>
      </c>
      <c r="AJ1840" s="13">
        <v>0</v>
      </c>
      <c r="AK1840" s="13">
        <v>0</v>
      </c>
      <c r="AL1840" s="13">
        <v>0</v>
      </c>
      <c r="AM1840" s="19">
        <v>0</v>
      </c>
      <c r="AN1840" s="19">
        <v>0</v>
      </c>
      <c r="AO1840" s="19">
        <v>0</v>
      </c>
      <c r="AP1840" s="19">
        <v>0</v>
      </c>
      <c r="AQ1840" s="19">
        <v>1000</v>
      </c>
      <c r="AR1840" s="19">
        <v>0</v>
      </c>
      <c r="AS1840" s="19">
        <v>0</v>
      </c>
      <c r="AT1840" s="13">
        <v>0</v>
      </c>
      <c r="AU1840" s="19" t="s">
        <v>4260</v>
      </c>
      <c r="AV1840" s="19"/>
      <c r="AW1840" s="20" t="s">
        <v>199</v>
      </c>
      <c r="AX1840" s="19" t="s">
        <v>348</v>
      </c>
      <c r="AY1840" s="19">
        <v>0</v>
      </c>
      <c r="AZ1840" s="19">
        <v>0</v>
      </c>
      <c r="BA1840" s="20" t="s">
        <v>200</v>
      </c>
      <c r="BB1840" s="20" t="s">
        <v>198</v>
      </c>
      <c r="BC1840" s="28">
        <v>0</v>
      </c>
      <c r="BD1840" s="28">
        <v>0</v>
      </c>
      <c r="BE1840" s="89" t="s">
        <v>4261</v>
      </c>
      <c r="BF1840" s="89" t="s">
        <v>4262</v>
      </c>
      <c r="BG1840" s="19">
        <v>0</v>
      </c>
      <c r="BH1840" s="17">
        <v>0</v>
      </c>
      <c r="BI1840" s="19">
        <v>0</v>
      </c>
      <c r="BJ1840" s="19">
        <v>0</v>
      </c>
      <c r="BK1840" s="19">
        <v>0</v>
      </c>
      <c r="BL1840" s="19">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70301005</v>
      </c>
      <c r="D1841" s="20" t="s">
        <v>4263</v>
      </c>
      <c r="E1841" s="20" t="s">
        <v>4264</v>
      </c>
      <c r="F1841" s="19">
        <v>1</v>
      </c>
      <c r="G1841" s="19">
        <v>60010500</v>
      </c>
      <c r="H1841" s="19">
        <v>0</v>
      </c>
      <c r="I1841" s="28">
        <v>0</v>
      </c>
      <c r="J1841" s="19">
        <v>1</v>
      </c>
      <c r="K1841" s="19">
        <v>0</v>
      </c>
      <c r="L1841" s="19">
        <v>0</v>
      </c>
      <c r="M1841" s="19">
        <v>0</v>
      </c>
      <c r="N1841" s="19">
        <v>0</v>
      </c>
      <c r="O1841" s="17">
        <v>2</v>
      </c>
      <c r="P1841" s="19">
        <v>0</v>
      </c>
      <c r="Q1841" s="19">
        <v>0</v>
      </c>
      <c r="R1841" s="19">
        <v>0</v>
      </c>
      <c r="S1841" s="13">
        <v>0</v>
      </c>
      <c r="T1841" s="28">
        <v>0</v>
      </c>
      <c r="U1841" s="17">
        <v>1</v>
      </c>
      <c r="V1841" s="19">
        <v>1</v>
      </c>
      <c r="W1841" s="19">
        <v>0</v>
      </c>
      <c r="X1841" s="19">
        <v>1</v>
      </c>
      <c r="Y1841" s="13">
        <v>0</v>
      </c>
      <c r="Z1841" s="19">
        <v>0</v>
      </c>
      <c r="AA1841" s="19">
        <v>0</v>
      </c>
      <c r="AB1841" s="19">
        <v>0</v>
      </c>
      <c r="AC1841" s="19">
        <v>0</v>
      </c>
      <c r="AD1841" s="17">
        <v>0</v>
      </c>
      <c r="AE1841" s="19">
        <v>0</v>
      </c>
      <c r="AF1841" s="19">
        <v>1</v>
      </c>
      <c r="AG1841" s="19">
        <v>0</v>
      </c>
      <c r="AH1841" s="19">
        <v>0</v>
      </c>
      <c r="AI1841" s="13">
        <v>7</v>
      </c>
      <c r="AJ1841" s="13">
        <v>0</v>
      </c>
      <c r="AK1841" s="13">
        <v>0</v>
      </c>
      <c r="AL1841" s="13">
        <v>0</v>
      </c>
      <c r="AM1841" s="19">
        <v>0</v>
      </c>
      <c r="AN1841" s="19">
        <v>0</v>
      </c>
      <c r="AO1841" s="19">
        <v>0</v>
      </c>
      <c r="AP1841" s="19">
        <v>0</v>
      </c>
      <c r="AQ1841" s="19">
        <v>1000</v>
      </c>
      <c r="AR1841" s="19">
        <v>0.5</v>
      </c>
      <c r="AS1841" s="19">
        <v>10</v>
      </c>
      <c r="AT1841" s="13">
        <v>0</v>
      </c>
      <c r="AU1841" s="19" t="s">
        <v>4265</v>
      </c>
      <c r="AV1841" s="19"/>
      <c r="AW1841" s="20" t="s">
        <v>741</v>
      </c>
      <c r="AX1841" s="19">
        <v>0</v>
      </c>
      <c r="AY1841" s="19">
        <v>10000011</v>
      </c>
      <c r="AZ1841" s="19">
        <v>50000001</v>
      </c>
      <c r="BA1841" s="20" t="s">
        <v>250</v>
      </c>
      <c r="BB1841" s="20" t="s">
        <v>198</v>
      </c>
      <c r="BC1841" s="28">
        <v>0</v>
      </c>
      <c r="BD1841" s="28">
        <v>0</v>
      </c>
      <c r="BE1841" s="89" t="s">
        <v>4266</v>
      </c>
      <c r="BF1841" s="89" t="s">
        <v>4267</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spans="3:75" ht="19.5" customHeight="1">
      <c r="C1842" s="19">
        <v>70302001</v>
      </c>
      <c r="D1842" s="18" t="s">
        <v>1017</v>
      </c>
      <c r="E1842" s="18" t="s">
        <v>1018</v>
      </c>
      <c r="F1842" s="19">
        <v>1</v>
      </c>
      <c r="G1842" s="17">
        <v>60010100</v>
      </c>
      <c r="H1842" s="19">
        <v>0</v>
      </c>
      <c r="I1842" s="28">
        <v>0</v>
      </c>
      <c r="J1842" s="19">
        <v>1</v>
      </c>
      <c r="K1842" s="19">
        <v>0</v>
      </c>
      <c r="L1842" s="19">
        <v>0</v>
      </c>
      <c r="M1842" s="17">
        <v>0</v>
      </c>
      <c r="N1842" s="17">
        <v>0</v>
      </c>
      <c r="O1842" s="17">
        <v>2</v>
      </c>
      <c r="P1842" s="17">
        <v>1</v>
      </c>
      <c r="Q1842" s="17">
        <v>0.5</v>
      </c>
      <c r="R1842" s="17">
        <v>0</v>
      </c>
      <c r="S1842" s="13">
        <v>0</v>
      </c>
      <c r="T1842" s="17">
        <v>0</v>
      </c>
      <c r="U1842" s="17">
        <v>1</v>
      </c>
      <c r="V1842" s="17">
        <v>2</v>
      </c>
      <c r="W1842" s="17">
        <v>0</v>
      </c>
      <c r="X1842" s="17">
        <v>1</v>
      </c>
      <c r="Y1842" s="13">
        <v>0</v>
      </c>
      <c r="Z1842" s="17">
        <v>0</v>
      </c>
      <c r="AA1842" s="17">
        <v>1</v>
      </c>
      <c r="AB1842" s="17">
        <v>0</v>
      </c>
      <c r="AC1842" s="17">
        <v>0</v>
      </c>
      <c r="AD1842" s="17">
        <v>0</v>
      </c>
      <c r="AE1842" s="17">
        <v>0</v>
      </c>
      <c r="AF1842" s="17">
        <v>10</v>
      </c>
      <c r="AG1842" s="17">
        <v>1</v>
      </c>
      <c r="AH1842" s="17" t="s">
        <v>861</v>
      </c>
      <c r="AI1842" s="13">
        <v>0</v>
      </c>
      <c r="AJ1842" s="13">
        <v>0</v>
      </c>
      <c r="AK1842" s="13">
        <v>0</v>
      </c>
      <c r="AL1842" s="13">
        <v>0</v>
      </c>
      <c r="AM1842" s="17">
        <v>0</v>
      </c>
      <c r="AN1842" s="17">
        <v>0</v>
      </c>
      <c r="AO1842" s="17">
        <v>0</v>
      </c>
      <c r="AP1842" s="17">
        <v>0.5</v>
      </c>
      <c r="AQ1842" s="17">
        <v>999999</v>
      </c>
      <c r="AR1842" s="17">
        <v>0.5</v>
      </c>
      <c r="AS1842" s="17">
        <v>0</v>
      </c>
      <c r="AT1842" s="13">
        <v>0</v>
      </c>
      <c r="AU1842" s="355" t="s">
        <v>1019</v>
      </c>
      <c r="AV1842" s="13"/>
      <c r="AW1842" s="20" t="s">
        <v>256</v>
      </c>
      <c r="AX1842" s="17" t="s">
        <v>534</v>
      </c>
      <c r="AY1842" s="19">
        <v>10000007</v>
      </c>
      <c r="AZ1842" s="19">
        <v>70302001</v>
      </c>
      <c r="BA1842" s="20" t="s">
        <v>315</v>
      </c>
      <c r="BB1842" s="20" t="s">
        <v>371</v>
      </c>
      <c r="BC1842" s="28">
        <v>0</v>
      </c>
      <c r="BD1842" s="28">
        <v>0</v>
      </c>
      <c r="BE1842" s="46" t="s">
        <v>1020</v>
      </c>
      <c r="BF1842" s="46" t="s">
        <v>1021</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spans="3:75" ht="20.100000000000001" customHeight="1">
      <c r="C1843" s="19">
        <v>70302002</v>
      </c>
      <c r="D1843" s="20" t="s">
        <v>1022</v>
      </c>
      <c r="E1843" s="20" t="s">
        <v>1023</v>
      </c>
      <c r="F1843" s="19">
        <v>1</v>
      </c>
      <c r="G1843" s="19">
        <v>60010500</v>
      </c>
      <c r="H1843" s="19">
        <v>0</v>
      </c>
      <c r="I1843" s="28">
        <v>0</v>
      </c>
      <c r="J1843" s="19">
        <v>1</v>
      </c>
      <c r="K1843" s="19">
        <v>0</v>
      </c>
      <c r="L1843" s="19">
        <v>0</v>
      </c>
      <c r="M1843" s="19">
        <v>0</v>
      </c>
      <c r="N1843" s="19">
        <v>0</v>
      </c>
      <c r="O1843" s="17">
        <v>2</v>
      </c>
      <c r="P1843" s="19">
        <v>2</v>
      </c>
      <c r="Q1843" s="19">
        <v>0.3</v>
      </c>
      <c r="R1843" s="19">
        <v>0</v>
      </c>
      <c r="S1843" s="13">
        <v>0</v>
      </c>
      <c r="T1843" s="28">
        <v>0</v>
      </c>
      <c r="U1843" s="17">
        <v>1</v>
      </c>
      <c r="V1843" s="19">
        <v>2</v>
      </c>
      <c r="W1843" s="19">
        <v>0</v>
      </c>
      <c r="X1843" s="19">
        <v>0</v>
      </c>
      <c r="Y1843" s="13">
        <v>0</v>
      </c>
      <c r="Z1843" s="19">
        <v>0</v>
      </c>
      <c r="AA1843" s="19">
        <v>0</v>
      </c>
      <c r="AB1843" s="19">
        <v>0</v>
      </c>
      <c r="AC1843" s="19">
        <v>0</v>
      </c>
      <c r="AD1843" s="17">
        <v>0</v>
      </c>
      <c r="AE1843" s="19">
        <v>0</v>
      </c>
      <c r="AF1843" s="17">
        <v>30</v>
      </c>
      <c r="AG1843" s="19">
        <v>0</v>
      </c>
      <c r="AH1843" s="19">
        <v>0</v>
      </c>
      <c r="AI1843" s="13">
        <v>8</v>
      </c>
      <c r="AJ1843" s="13">
        <v>0</v>
      </c>
      <c r="AK1843" s="13">
        <v>0</v>
      </c>
      <c r="AL1843" s="13">
        <v>0</v>
      </c>
      <c r="AM1843" s="19">
        <v>0</v>
      </c>
      <c r="AN1843" s="19">
        <v>0</v>
      </c>
      <c r="AO1843" s="19">
        <v>0</v>
      </c>
      <c r="AP1843" s="19">
        <v>0</v>
      </c>
      <c r="AQ1843" s="19">
        <v>1000</v>
      </c>
      <c r="AR1843" s="19">
        <v>0</v>
      </c>
      <c r="AS1843" s="19">
        <v>0</v>
      </c>
      <c r="AT1843" s="13">
        <v>90301006</v>
      </c>
      <c r="AU1843" s="19" t="s">
        <v>198</v>
      </c>
      <c r="AV1843" s="19"/>
      <c r="AW1843" s="20" t="s">
        <v>199</v>
      </c>
      <c r="AX1843" s="19" t="s">
        <v>348</v>
      </c>
      <c r="AY1843" s="19">
        <v>0</v>
      </c>
      <c r="AZ1843" s="19">
        <v>0</v>
      </c>
      <c r="BA1843" s="20" t="s">
        <v>200</v>
      </c>
      <c r="BB1843" s="20" t="s">
        <v>198</v>
      </c>
      <c r="BC1843" s="28">
        <v>0</v>
      </c>
      <c r="BD1843" s="28">
        <v>0</v>
      </c>
      <c r="BE1843" s="89" t="s">
        <v>4218</v>
      </c>
      <c r="BF1843" s="89" t="s">
        <v>4219</v>
      </c>
      <c r="BG1843" s="19">
        <v>0</v>
      </c>
      <c r="BH1843" s="17">
        <v>0</v>
      </c>
      <c r="BI1843" s="19">
        <v>0</v>
      </c>
      <c r="BJ1843" s="19">
        <v>0</v>
      </c>
      <c r="BK1843" s="19">
        <v>0</v>
      </c>
      <c r="BL1843" s="19">
        <v>0</v>
      </c>
      <c r="BM1843" s="16">
        <v>0</v>
      </c>
      <c r="BN1843" s="13">
        <v>0</v>
      </c>
      <c r="BO1843" s="13">
        <v>0</v>
      </c>
      <c r="BP1843" s="13">
        <v>0</v>
      </c>
      <c r="BQ1843" s="13">
        <v>0</v>
      </c>
      <c r="BR1843" s="13">
        <v>0</v>
      </c>
      <c r="BS1843" s="13">
        <v>0</v>
      </c>
      <c r="BT1843" s="13">
        <v>0</v>
      </c>
      <c r="BU1843" s="49">
        <v>0</v>
      </c>
      <c r="BV1843" s="49"/>
      <c r="BW1843" s="49"/>
    </row>
    <row r="1844" spans="3:75" ht="19.5" customHeight="1">
      <c r="C1844" s="19">
        <v>70302003</v>
      </c>
      <c r="D1844" s="18" t="s">
        <v>1324</v>
      </c>
      <c r="E1844" s="18" t="s">
        <v>1325</v>
      </c>
      <c r="F1844" s="19">
        <v>1</v>
      </c>
      <c r="G1844" s="17">
        <v>60010100</v>
      </c>
      <c r="H1844" s="19">
        <v>0</v>
      </c>
      <c r="I1844" s="28">
        <v>0</v>
      </c>
      <c r="J1844" s="19">
        <v>1</v>
      </c>
      <c r="K1844" s="19">
        <v>0</v>
      </c>
      <c r="L1844" s="19">
        <v>0</v>
      </c>
      <c r="M1844" s="17">
        <v>0</v>
      </c>
      <c r="N1844" s="17">
        <v>0</v>
      </c>
      <c r="O1844" s="17">
        <v>2</v>
      </c>
      <c r="P1844" s="17">
        <v>1</v>
      </c>
      <c r="Q1844" s="17">
        <v>0.5</v>
      </c>
      <c r="R1844" s="17">
        <v>0</v>
      </c>
      <c r="S1844" s="13">
        <v>0</v>
      </c>
      <c r="T1844" s="17">
        <v>0</v>
      </c>
      <c r="U1844" s="17">
        <v>1</v>
      </c>
      <c r="V1844" s="17">
        <v>2</v>
      </c>
      <c r="W1844" s="17">
        <v>0</v>
      </c>
      <c r="X1844" s="17">
        <v>2</v>
      </c>
      <c r="Y1844" s="13">
        <v>0</v>
      </c>
      <c r="Z1844" s="17">
        <v>0</v>
      </c>
      <c r="AA1844" s="17">
        <v>1</v>
      </c>
      <c r="AB1844" s="17">
        <v>0</v>
      </c>
      <c r="AC1844" s="17">
        <v>0</v>
      </c>
      <c r="AD1844" s="17">
        <v>0</v>
      </c>
      <c r="AE1844" s="17">
        <v>0</v>
      </c>
      <c r="AF1844" s="17">
        <v>12</v>
      </c>
      <c r="AG1844" s="17">
        <v>2</v>
      </c>
      <c r="AH1844" s="17" t="s">
        <v>213</v>
      </c>
      <c r="AI1844" s="13">
        <v>0</v>
      </c>
      <c r="AJ1844" s="13">
        <v>2</v>
      </c>
      <c r="AK1844" s="13">
        <v>0</v>
      </c>
      <c r="AL1844" s="13">
        <v>1.5</v>
      </c>
      <c r="AM1844" s="17">
        <v>0</v>
      </c>
      <c r="AN1844" s="17">
        <v>0</v>
      </c>
      <c r="AO1844" s="17">
        <v>0</v>
      </c>
      <c r="AP1844" s="17">
        <v>1.5</v>
      </c>
      <c r="AQ1844" s="17">
        <v>10000</v>
      </c>
      <c r="AR1844" s="17">
        <v>1</v>
      </c>
      <c r="AS1844" s="17">
        <v>5</v>
      </c>
      <c r="AT1844" s="13">
        <v>0</v>
      </c>
      <c r="AU1844" s="17" t="s">
        <v>198</v>
      </c>
      <c r="AV1844" s="17"/>
      <c r="AW1844" s="20" t="s">
        <v>617</v>
      </c>
      <c r="AX1844" s="17" t="s">
        <v>534</v>
      </c>
      <c r="AY1844" s="19">
        <v>10000007</v>
      </c>
      <c r="AZ1844" s="19">
        <v>70302003</v>
      </c>
      <c r="BA1844" s="20" t="s">
        <v>586</v>
      </c>
      <c r="BB1844" s="17">
        <v>0</v>
      </c>
      <c r="BC1844" s="28">
        <v>0</v>
      </c>
      <c r="BD1844" s="28">
        <v>0</v>
      </c>
      <c r="BE1844" s="46" t="s">
        <v>2962</v>
      </c>
      <c r="BF1844" s="46" t="s">
        <v>2963</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70302004</v>
      </c>
      <c r="D1845" s="18" t="s">
        <v>1029</v>
      </c>
      <c r="E1845" s="18" t="s">
        <v>1030</v>
      </c>
      <c r="F1845" s="19">
        <v>1</v>
      </c>
      <c r="G1845" s="17">
        <v>60010100</v>
      </c>
      <c r="H1845" s="19">
        <v>0</v>
      </c>
      <c r="I1845" s="28">
        <v>0</v>
      </c>
      <c r="J1845" s="19">
        <v>1</v>
      </c>
      <c r="K1845" s="19">
        <v>0</v>
      </c>
      <c r="L1845" s="19">
        <v>0</v>
      </c>
      <c r="M1845" s="17">
        <v>0</v>
      </c>
      <c r="N1845" s="17">
        <v>0</v>
      </c>
      <c r="O1845" s="17">
        <v>2</v>
      </c>
      <c r="P1845" s="17">
        <v>1</v>
      </c>
      <c r="Q1845" s="17">
        <v>0.5</v>
      </c>
      <c r="R1845" s="17">
        <v>0</v>
      </c>
      <c r="S1845" s="13">
        <v>0</v>
      </c>
      <c r="T1845" s="17">
        <v>0</v>
      </c>
      <c r="U1845" s="17">
        <v>1</v>
      </c>
      <c r="V1845" s="17">
        <v>2</v>
      </c>
      <c r="W1845" s="17">
        <v>0</v>
      </c>
      <c r="X1845" s="17">
        <v>2</v>
      </c>
      <c r="Y1845" s="13">
        <v>0</v>
      </c>
      <c r="Z1845" s="17">
        <v>0</v>
      </c>
      <c r="AA1845" s="17">
        <v>1</v>
      </c>
      <c r="AB1845" s="17">
        <v>0</v>
      </c>
      <c r="AC1845" s="17">
        <v>0</v>
      </c>
      <c r="AD1845" s="17">
        <v>0</v>
      </c>
      <c r="AE1845" s="17">
        <v>0</v>
      </c>
      <c r="AF1845" s="17">
        <v>12</v>
      </c>
      <c r="AG1845" s="17">
        <v>1</v>
      </c>
      <c r="AH1845" s="17">
        <v>3</v>
      </c>
      <c r="AI1845" s="13">
        <v>4</v>
      </c>
      <c r="AJ1845" s="13">
        <v>1</v>
      </c>
      <c r="AK1845" s="13">
        <v>0</v>
      </c>
      <c r="AL1845" s="13">
        <v>1.5</v>
      </c>
      <c r="AM1845" s="17">
        <v>0</v>
      </c>
      <c r="AN1845" s="17">
        <v>0</v>
      </c>
      <c r="AO1845" s="17">
        <v>0</v>
      </c>
      <c r="AP1845" s="17">
        <v>3</v>
      </c>
      <c r="AQ1845" s="17">
        <v>999999</v>
      </c>
      <c r="AR1845" s="17">
        <v>3</v>
      </c>
      <c r="AS1845" s="17">
        <v>0</v>
      </c>
      <c r="AT1845" s="13">
        <v>0</v>
      </c>
      <c r="AU1845" s="17" t="s">
        <v>198</v>
      </c>
      <c r="AV1845" s="17"/>
      <c r="AW1845" s="20" t="s">
        <v>287</v>
      </c>
      <c r="AX1845" s="17" t="s">
        <v>534</v>
      </c>
      <c r="AY1845" s="19">
        <v>10000007</v>
      </c>
      <c r="AZ1845" s="19">
        <v>70302004</v>
      </c>
      <c r="BA1845" s="18" t="s">
        <v>200</v>
      </c>
      <c r="BB1845" s="17" t="s">
        <v>4268</v>
      </c>
      <c r="BC1845" s="28">
        <v>0</v>
      </c>
      <c r="BD1845" s="28">
        <v>0</v>
      </c>
      <c r="BE1845" s="46" t="s">
        <v>4220</v>
      </c>
      <c r="BF1845" s="46" t="s">
        <v>4221</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70303001</v>
      </c>
      <c r="D1846" s="18" t="s">
        <v>1086</v>
      </c>
      <c r="E1846" s="18" t="s">
        <v>1087</v>
      </c>
      <c r="F1846" s="17">
        <v>1</v>
      </c>
      <c r="G1846" s="17">
        <v>60010300</v>
      </c>
      <c r="H1846" s="19">
        <v>0</v>
      </c>
      <c r="I1846" s="28">
        <v>0</v>
      </c>
      <c r="J1846" s="19">
        <v>1</v>
      </c>
      <c r="K1846" s="19">
        <v>0</v>
      </c>
      <c r="L1846" s="19">
        <v>0</v>
      </c>
      <c r="M1846" s="17">
        <v>0</v>
      </c>
      <c r="N1846" s="17">
        <v>0</v>
      </c>
      <c r="O1846" s="17">
        <v>2</v>
      </c>
      <c r="P1846" s="17">
        <v>2</v>
      </c>
      <c r="Q1846" s="17">
        <v>0.8</v>
      </c>
      <c r="R1846" s="17">
        <v>1</v>
      </c>
      <c r="S1846" s="13">
        <v>0</v>
      </c>
      <c r="T1846" s="17">
        <v>0</v>
      </c>
      <c r="U1846" s="17">
        <v>1</v>
      </c>
      <c r="V1846" s="17">
        <v>2</v>
      </c>
      <c r="W1846" s="17">
        <v>0</v>
      </c>
      <c r="X1846" s="17">
        <v>0</v>
      </c>
      <c r="Y1846" s="13">
        <v>0</v>
      </c>
      <c r="Z1846" s="17">
        <v>0</v>
      </c>
      <c r="AA1846" s="17">
        <v>0</v>
      </c>
      <c r="AB1846" s="17">
        <v>0</v>
      </c>
      <c r="AC1846" s="17">
        <v>0</v>
      </c>
      <c r="AD1846" s="17">
        <v>0</v>
      </c>
      <c r="AE1846" s="17">
        <v>0</v>
      </c>
      <c r="AF1846" s="17">
        <v>99999</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4269</v>
      </c>
      <c r="BC1846" s="28">
        <v>0</v>
      </c>
      <c r="BD1846" s="28">
        <v>0</v>
      </c>
      <c r="BE1846" s="46" t="s">
        <v>1089</v>
      </c>
      <c r="BF1846" s="46" t="s">
        <v>1090</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19.5" customHeight="1">
      <c r="C1847" s="19">
        <v>70303002</v>
      </c>
      <c r="D1847" s="18" t="s">
        <v>1091</v>
      </c>
      <c r="E1847" s="18" t="s">
        <v>1092</v>
      </c>
      <c r="F1847" s="19">
        <v>1</v>
      </c>
      <c r="G1847" s="17">
        <v>60010100</v>
      </c>
      <c r="H1847" s="19">
        <v>0</v>
      </c>
      <c r="I1847" s="28">
        <v>0</v>
      </c>
      <c r="J1847" s="19">
        <v>1</v>
      </c>
      <c r="K1847" s="19">
        <v>0</v>
      </c>
      <c r="L1847" s="19">
        <v>0</v>
      </c>
      <c r="M1847" s="17">
        <v>0</v>
      </c>
      <c r="N1847" s="17">
        <v>0</v>
      </c>
      <c r="O1847" s="17">
        <v>2</v>
      </c>
      <c r="P1847" s="17">
        <v>1</v>
      </c>
      <c r="Q1847" s="17">
        <v>0.3</v>
      </c>
      <c r="R1847" s="17">
        <v>0</v>
      </c>
      <c r="S1847" s="13">
        <v>0</v>
      </c>
      <c r="T1847" s="17">
        <v>0</v>
      </c>
      <c r="U1847" s="17">
        <v>1</v>
      </c>
      <c r="V1847" s="17">
        <v>2</v>
      </c>
      <c r="W1847" s="17">
        <v>0</v>
      </c>
      <c r="X1847" s="17">
        <v>3</v>
      </c>
      <c r="Y1847" s="13">
        <v>0</v>
      </c>
      <c r="Z1847" s="17">
        <v>0</v>
      </c>
      <c r="AA1847" s="17">
        <v>1</v>
      </c>
      <c r="AB1847" s="17">
        <v>0</v>
      </c>
      <c r="AC1847" s="17">
        <v>0</v>
      </c>
      <c r="AD1847" s="17">
        <v>0</v>
      </c>
      <c r="AE1847" s="17">
        <v>0</v>
      </c>
      <c r="AF1847" s="17">
        <v>12</v>
      </c>
      <c r="AG1847" s="17">
        <v>1</v>
      </c>
      <c r="AH1847" s="17" t="s">
        <v>607</v>
      </c>
      <c r="AI1847" s="13">
        <v>0</v>
      </c>
      <c r="AJ1847" s="13">
        <v>1</v>
      </c>
      <c r="AK1847" s="13">
        <v>0</v>
      </c>
      <c r="AL1847" s="13">
        <v>3</v>
      </c>
      <c r="AM1847" s="17">
        <v>0</v>
      </c>
      <c r="AN1847" s="17">
        <v>0</v>
      </c>
      <c r="AO1847" s="17">
        <v>0</v>
      </c>
      <c r="AP1847" s="17">
        <v>3</v>
      </c>
      <c r="AQ1847" s="17">
        <v>5000</v>
      </c>
      <c r="AR1847" s="17">
        <v>2.5</v>
      </c>
      <c r="AS1847" s="17">
        <v>0</v>
      </c>
      <c r="AT1847" s="13">
        <v>0</v>
      </c>
      <c r="AU1847" s="17">
        <v>80001030</v>
      </c>
      <c r="AV1847" s="17"/>
      <c r="AW1847" s="20" t="s">
        <v>287</v>
      </c>
      <c r="AX1847" s="17" t="s">
        <v>534</v>
      </c>
      <c r="AY1847" s="19">
        <v>10000007</v>
      </c>
      <c r="AZ1847" s="19">
        <v>70204001</v>
      </c>
      <c r="BA1847" s="18" t="s">
        <v>200</v>
      </c>
      <c r="BB1847" s="17">
        <v>0</v>
      </c>
      <c r="BC1847" s="28">
        <v>0</v>
      </c>
      <c r="BD1847" s="28">
        <v>0</v>
      </c>
      <c r="BE1847" s="46" t="s">
        <v>1093</v>
      </c>
      <c r="BF1847" s="46" t="s">
        <v>1094</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20.100000000000001" customHeight="1">
      <c r="C1848" s="19">
        <v>70303003</v>
      </c>
      <c r="D1848" s="18" t="s">
        <v>946</v>
      </c>
      <c r="E1848" s="18" t="s">
        <v>947</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2.5</v>
      </c>
      <c r="Y1848" s="13">
        <v>0</v>
      </c>
      <c r="Z1848" s="17">
        <v>0</v>
      </c>
      <c r="AA1848" s="17">
        <v>1</v>
      </c>
      <c r="AB1848" s="17">
        <v>0</v>
      </c>
      <c r="AC1848" s="17">
        <v>0</v>
      </c>
      <c r="AD1848" s="17">
        <v>0</v>
      </c>
      <c r="AE1848" s="17">
        <v>0</v>
      </c>
      <c r="AF1848" s="17">
        <v>12</v>
      </c>
      <c r="AG1848" s="17">
        <v>1</v>
      </c>
      <c r="AH1848" s="17">
        <v>3</v>
      </c>
      <c r="AI1848" s="13">
        <v>4</v>
      </c>
      <c r="AJ1848" s="13">
        <v>1</v>
      </c>
      <c r="AK1848" s="13">
        <v>0</v>
      </c>
      <c r="AL1848" s="13">
        <v>1.5</v>
      </c>
      <c r="AM1848" s="17">
        <v>0</v>
      </c>
      <c r="AN1848" s="17">
        <v>0</v>
      </c>
      <c r="AO1848" s="17">
        <v>0</v>
      </c>
      <c r="AP1848" s="17">
        <v>3</v>
      </c>
      <c r="AQ1848" s="17">
        <v>5000</v>
      </c>
      <c r="AR1848" s="17">
        <v>3</v>
      </c>
      <c r="AS1848" s="17">
        <v>0</v>
      </c>
      <c r="AT1848" s="13">
        <v>0</v>
      </c>
      <c r="AU1848" s="17">
        <v>80001030</v>
      </c>
      <c r="AV1848" s="17"/>
      <c r="AW1848" s="20" t="s">
        <v>256</v>
      </c>
      <c r="AX1848" s="17" t="s">
        <v>534</v>
      </c>
      <c r="AY1848" s="19">
        <v>10000007</v>
      </c>
      <c r="AZ1848" s="19">
        <v>70204002</v>
      </c>
      <c r="BA1848" s="18" t="s">
        <v>200</v>
      </c>
      <c r="BB1848" s="17" t="s">
        <v>4270</v>
      </c>
      <c r="BC1848" s="28">
        <v>0</v>
      </c>
      <c r="BD1848" s="28">
        <v>0</v>
      </c>
      <c r="BE1848" s="46" t="s">
        <v>1096</v>
      </c>
      <c r="BF1848" s="46" t="s">
        <v>1097</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70303004</v>
      </c>
      <c r="D1849" s="18" t="s">
        <v>951</v>
      </c>
      <c r="E1849" s="18" t="s">
        <v>952</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3</v>
      </c>
      <c r="Y1849" s="13">
        <v>0</v>
      </c>
      <c r="Z1849" s="17">
        <v>0</v>
      </c>
      <c r="AA1849" s="17">
        <v>1</v>
      </c>
      <c r="AB1849" s="17">
        <v>0</v>
      </c>
      <c r="AC1849" s="17">
        <v>0</v>
      </c>
      <c r="AD1849" s="17">
        <v>0</v>
      </c>
      <c r="AE1849" s="17">
        <v>0</v>
      </c>
      <c r="AF1849" s="17">
        <v>12</v>
      </c>
      <c r="AG1849" s="17">
        <v>1</v>
      </c>
      <c r="AH1849" s="17">
        <v>3</v>
      </c>
      <c r="AI1849" s="13">
        <v>6</v>
      </c>
      <c r="AJ1849" s="13">
        <v>1</v>
      </c>
      <c r="AK1849" s="13">
        <v>0</v>
      </c>
      <c r="AL1849" s="13">
        <v>1.5</v>
      </c>
      <c r="AM1849" s="17">
        <v>0</v>
      </c>
      <c r="AN1849" s="17">
        <v>0</v>
      </c>
      <c r="AO1849" s="17">
        <v>0</v>
      </c>
      <c r="AP1849" s="17">
        <v>3</v>
      </c>
      <c r="AQ1849" s="17">
        <v>5000</v>
      </c>
      <c r="AR1849" s="17">
        <v>3</v>
      </c>
      <c r="AS1849" s="17">
        <v>0</v>
      </c>
      <c r="AT1849" s="13">
        <v>0</v>
      </c>
      <c r="AU1849" s="17">
        <v>80001030</v>
      </c>
      <c r="AV1849" s="17"/>
      <c r="AW1849" s="20" t="s">
        <v>617</v>
      </c>
      <c r="AX1849" s="17" t="s">
        <v>534</v>
      </c>
      <c r="AY1849" s="19">
        <v>10000007</v>
      </c>
      <c r="AZ1849" s="19">
        <v>70204003</v>
      </c>
      <c r="BA1849" s="18" t="s">
        <v>200</v>
      </c>
      <c r="BB1849" s="17" t="s">
        <v>4237</v>
      </c>
      <c r="BC1849" s="28">
        <v>0</v>
      </c>
      <c r="BD1849" s="28">
        <v>0</v>
      </c>
      <c r="BE1849" s="46" t="s">
        <v>1099</v>
      </c>
      <c r="BF1849" s="46" t="s">
        <v>1100</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70304001</v>
      </c>
      <c r="D1850" s="18" t="s">
        <v>4271</v>
      </c>
      <c r="E1850" s="18" t="s">
        <v>4272</v>
      </c>
      <c r="F1850" s="17">
        <v>1</v>
      </c>
      <c r="G1850" s="17">
        <v>60010300</v>
      </c>
      <c r="H1850" s="19">
        <v>0</v>
      </c>
      <c r="I1850" s="28">
        <v>0</v>
      </c>
      <c r="J1850" s="19">
        <v>1</v>
      </c>
      <c r="K1850" s="19">
        <v>0</v>
      </c>
      <c r="L1850" s="19">
        <v>0</v>
      </c>
      <c r="M1850" s="17">
        <v>0</v>
      </c>
      <c r="N1850" s="17">
        <v>0</v>
      </c>
      <c r="O1850" s="17">
        <v>2</v>
      </c>
      <c r="P1850" s="17">
        <v>2</v>
      </c>
      <c r="Q1850" s="17">
        <v>0.8</v>
      </c>
      <c r="R1850" s="17">
        <v>0</v>
      </c>
      <c r="S1850" s="13">
        <v>0</v>
      </c>
      <c r="T1850" s="17">
        <v>0</v>
      </c>
      <c r="U1850" s="17">
        <v>1</v>
      </c>
      <c r="V1850" s="17">
        <v>2</v>
      </c>
      <c r="W1850" s="17">
        <v>0</v>
      </c>
      <c r="X1850" s="17">
        <v>0</v>
      </c>
      <c r="Y1850" s="13">
        <v>0</v>
      </c>
      <c r="Z1850" s="17">
        <v>0</v>
      </c>
      <c r="AA1850" s="17">
        <v>0</v>
      </c>
      <c r="AB1850" s="17">
        <v>0</v>
      </c>
      <c r="AC1850" s="17">
        <v>0</v>
      </c>
      <c r="AD1850" s="17">
        <v>0</v>
      </c>
      <c r="AE1850" s="17">
        <v>0</v>
      </c>
      <c r="AF1850" s="17">
        <v>20</v>
      </c>
      <c r="AG1850" s="17">
        <v>0</v>
      </c>
      <c r="AH1850" s="17">
        <v>0</v>
      </c>
      <c r="AI1850" s="13">
        <v>2</v>
      </c>
      <c r="AJ1850" s="13">
        <v>2</v>
      </c>
      <c r="AK1850" s="13">
        <v>0</v>
      </c>
      <c r="AL1850" s="13">
        <v>1.5</v>
      </c>
      <c r="AM1850" s="17">
        <v>0</v>
      </c>
      <c r="AN1850" s="17">
        <v>0</v>
      </c>
      <c r="AO1850" s="17">
        <v>0</v>
      </c>
      <c r="AP1850" s="17">
        <v>1</v>
      </c>
      <c r="AQ1850" s="17">
        <v>3000</v>
      </c>
      <c r="AR1850" s="17">
        <v>0.5</v>
      </c>
      <c r="AS1850" s="17">
        <v>0</v>
      </c>
      <c r="AT1850" s="13">
        <v>0</v>
      </c>
      <c r="AU1850" s="17" t="s">
        <v>198</v>
      </c>
      <c r="AV1850" s="17"/>
      <c r="AW1850" s="20" t="s">
        <v>199</v>
      </c>
      <c r="AX1850" s="17" t="s">
        <v>545</v>
      </c>
      <c r="AY1850" s="19">
        <v>0</v>
      </c>
      <c r="AZ1850" s="19">
        <v>0</v>
      </c>
      <c r="BA1850" s="18" t="s">
        <v>528</v>
      </c>
      <c r="BB1850" s="17" t="s">
        <v>4273</v>
      </c>
      <c r="BC1850" s="28">
        <v>0</v>
      </c>
      <c r="BD1850" s="28">
        <v>0</v>
      </c>
      <c r="BE1850" s="46" t="s">
        <v>4274</v>
      </c>
      <c r="BF1850" s="46" t="s">
        <v>4275</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70304002</v>
      </c>
      <c r="D1851" s="20" t="s">
        <v>744</v>
      </c>
      <c r="E1851" s="20" t="s">
        <v>745</v>
      </c>
      <c r="F1851" s="19">
        <v>1</v>
      </c>
      <c r="G1851" s="19">
        <v>60010500</v>
      </c>
      <c r="H1851" s="19">
        <v>0</v>
      </c>
      <c r="I1851" s="28">
        <v>0</v>
      </c>
      <c r="J1851" s="19">
        <v>1</v>
      </c>
      <c r="K1851" s="19">
        <v>0</v>
      </c>
      <c r="L1851" s="19">
        <v>0</v>
      </c>
      <c r="M1851" s="19">
        <v>0</v>
      </c>
      <c r="N1851" s="19">
        <v>0</v>
      </c>
      <c r="O1851" s="17">
        <v>2</v>
      </c>
      <c r="P1851" s="19">
        <v>1</v>
      </c>
      <c r="Q1851" s="19">
        <v>0.05</v>
      </c>
      <c r="R1851" s="19">
        <v>0</v>
      </c>
      <c r="S1851" s="13">
        <v>0</v>
      </c>
      <c r="T1851" s="28">
        <v>0</v>
      </c>
      <c r="U1851" s="17">
        <v>1</v>
      </c>
      <c r="V1851" s="19">
        <v>1</v>
      </c>
      <c r="W1851" s="19">
        <v>0</v>
      </c>
      <c r="X1851" s="19">
        <v>2</v>
      </c>
      <c r="Y1851" s="13">
        <v>0</v>
      </c>
      <c r="Z1851" s="19">
        <v>0</v>
      </c>
      <c r="AA1851" s="19">
        <v>0</v>
      </c>
      <c r="AB1851" s="19">
        <v>0</v>
      </c>
      <c r="AC1851" s="19">
        <v>0</v>
      </c>
      <c r="AD1851" s="17">
        <v>0</v>
      </c>
      <c r="AE1851" s="19">
        <v>0</v>
      </c>
      <c r="AF1851" s="19">
        <v>10</v>
      </c>
      <c r="AG1851" s="19">
        <v>0</v>
      </c>
      <c r="AH1851" s="19">
        <v>0</v>
      </c>
      <c r="AI1851" s="13">
        <v>7</v>
      </c>
      <c r="AJ1851" s="13">
        <v>0</v>
      </c>
      <c r="AK1851" s="13">
        <v>0</v>
      </c>
      <c r="AL1851" s="13">
        <v>0</v>
      </c>
      <c r="AM1851" s="19">
        <v>0</v>
      </c>
      <c r="AN1851" s="19">
        <v>0</v>
      </c>
      <c r="AO1851" s="19">
        <v>0</v>
      </c>
      <c r="AP1851" s="19">
        <v>0</v>
      </c>
      <c r="AQ1851" s="19">
        <v>1000</v>
      </c>
      <c r="AR1851" s="19">
        <v>0.5</v>
      </c>
      <c r="AS1851" s="19">
        <v>0</v>
      </c>
      <c r="AT1851" s="13">
        <v>0</v>
      </c>
      <c r="AU1851" s="19" t="s">
        <v>659</v>
      </c>
      <c r="AV1851" s="19"/>
      <c r="AW1851" s="20" t="s">
        <v>741</v>
      </c>
      <c r="AX1851" s="19">
        <v>0</v>
      </c>
      <c r="AY1851" s="19">
        <v>10007001</v>
      </c>
      <c r="AZ1851" s="19">
        <v>0</v>
      </c>
      <c r="BA1851" s="20" t="s">
        <v>200</v>
      </c>
      <c r="BB1851" s="20" t="s">
        <v>198</v>
      </c>
      <c r="BC1851" s="28">
        <v>0</v>
      </c>
      <c r="BD1851" s="28">
        <v>0</v>
      </c>
      <c r="BE1851" s="89" t="s">
        <v>746</v>
      </c>
      <c r="BF1851" s="89" t="s">
        <v>747</v>
      </c>
      <c r="BG1851" s="19">
        <v>0</v>
      </c>
      <c r="BH1851" s="17">
        <v>0</v>
      </c>
      <c r="BI1851" s="19">
        <v>0</v>
      </c>
      <c r="BJ1851" s="19">
        <v>0</v>
      </c>
      <c r="BK1851" s="19">
        <v>0</v>
      </c>
      <c r="BL1851" s="19">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70304003</v>
      </c>
      <c r="D1852" s="18" t="s">
        <v>748</v>
      </c>
      <c r="E1852" s="18" t="s">
        <v>749</v>
      </c>
      <c r="F1852" s="19">
        <v>1</v>
      </c>
      <c r="G1852" s="17">
        <v>60010100</v>
      </c>
      <c r="H1852" s="19">
        <v>0</v>
      </c>
      <c r="I1852" s="28">
        <v>0</v>
      </c>
      <c r="J1852" s="19">
        <v>1</v>
      </c>
      <c r="K1852" s="19">
        <v>0</v>
      </c>
      <c r="L1852" s="19">
        <v>0</v>
      </c>
      <c r="M1852" s="17">
        <v>0</v>
      </c>
      <c r="N1852" s="17">
        <v>0</v>
      </c>
      <c r="O1852" s="17">
        <v>2</v>
      </c>
      <c r="P1852" s="17">
        <v>1</v>
      </c>
      <c r="Q1852" s="17">
        <v>1</v>
      </c>
      <c r="R1852" s="17">
        <v>0</v>
      </c>
      <c r="S1852" s="13">
        <v>0</v>
      </c>
      <c r="T1852" s="17">
        <v>0</v>
      </c>
      <c r="U1852" s="17">
        <v>1</v>
      </c>
      <c r="V1852" s="17">
        <v>2</v>
      </c>
      <c r="W1852" s="17">
        <v>0</v>
      </c>
      <c r="X1852" s="17">
        <v>2</v>
      </c>
      <c r="Y1852" s="13">
        <v>0</v>
      </c>
      <c r="Z1852" s="17">
        <v>0</v>
      </c>
      <c r="AA1852" s="17">
        <v>1</v>
      </c>
      <c r="AB1852" s="17">
        <v>0</v>
      </c>
      <c r="AC1852" s="17">
        <v>0</v>
      </c>
      <c r="AD1852" s="17">
        <v>0</v>
      </c>
      <c r="AE1852" s="17">
        <v>0</v>
      </c>
      <c r="AF1852" s="17">
        <v>12</v>
      </c>
      <c r="AG1852" s="17">
        <v>2</v>
      </c>
      <c r="AH1852" s="17" t="s">
        <v>213</v>
      </c>
      <c r="AI1852" s="13">
        <v>0</v>
      </c>
      <c r="AJ1852" s="13">
        <v>0</v>
      </c>
      <c r="AK1852" s="13">
        <v>0</v>
      </c>
      <c r="AL1852" s="13">
        <v>1.5</v>
      </c>
      <c r="AM1852" s="17">
        <v>0</v>
      </c>
      <c r="AN1852" s="17">
        <v>0</v>
      </c>
      <c r="AO1852" s="17">
        <v>0</v>
      </c>
      <c r="AP1852" s="17">
        <v>1</v>
      </c>
      <c r="AQ1852" s="17">
        <v>5000</v>
      </c>
      <c r="AR1852" s="17">
        <v>0.5</v>
      </c>
      <c r="AS1852" s="17">
        <v>0</v>
      </c>
      <c r="AT1852" s="13">
        <v>0</v>
      </c>
      <c r="AU1852" s="17" t="s">
        <v>198</v>
      </c>
      <c r="AV1852" s="17"/>
      <c r="AW1852" s="20" t="s">
        <v>617</v>
      </c>
      <c r="AX1852" s="17" t="s">
        <v>534</v>
      </c>
      <c r="AY1852" s="19">
        <v>10000007</v>
      </c>
      <c r="AZ1852" s="19">
        <v>70201001</v>
      </c>
      <c r="BA1852" s="18" t="s">
        <v>200</v>
      </c>
      <c r="BB1852" s="17">
        <v>0</v>
      </c>
      <c r="BC1852" s="28">
        <v>0</v>
      </c>
      <c r="BD1852" s="28">
        <v>0</v>
      </c>
      <c r="BE1852" s="46" t="s">
        <v>750</v>
      </c>
      <c r="BF1852" s="46" t="s">
        <v>751</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70304004</v>
      </c>
      <c r="D1853" s="20" t="s">
        <v>4215</v>
      </c>
      <c r="E1853" s="20" t="s">
        <v>4216</v>
      </c>
      <c r="F1853" s="19">
        <v>1</v>
      </c>
      <c r="G1853" s="19">
        <v>60010500</v>
      </c>
      <c r="H1853" s="19">
        <v>0</v>
      </c>
      <c r="I1853" s="28">
        <v>0</v>
      </c>
      <c r="J1853" s="19">
        <v>1</v>
      </c>
      <c r="K1853" s="19">
        <v>0</v>
      </c>
      <c r="L1853" s="19">
        <v>0</v>
      </c>
      <c r="M1853" s="19">
        <v>0</v>
      </c>
      <c r="N1853" s="19">
        <v>0</v>
      </c>
      <c r="O1853" s="17">
        <v>2</v>
      </c>
      <c r="P1853" s="19">
        <v>2</v>
      </c>
      <c r="Q1853" s="19">
        <v>0.3</v>
      </c>
      <c r="R1853" s="19">
        <v>0</v>
      </c>
      <c r="S1853" s="13">
        <v>0</v>
      </c>
      <c r="T1853" s="28">
        <v>0</v>
      </c>
      <c r="U1853" s="17">
        <v>1</v>
      </c>
      <c r="V1853" s="19">
        <v>2</v>
      </c>
      <c r="W1853" s="19">
        <v>0</v>
      </c>
      <c r="X1853" s="19">
        <v>0</v>
      </c>
      <c r="Y1853" s="13">
        <v>0</v>
      </c>
      <c r="Z1853" s="19">
        <v>0</v>
      </c>
      <c r="AA1853" s="19">
        <v>0</v>
      </c>
      <c r="AB1853" s="19">
        <v>0</v>
      </c>
      <c r="AC1853" s="19">
        <v>0</v>
      </c>
      <c r="AD1853" s="17">
        <v>0</v>
      </c>
      <c r="AE1853" s="19">
        <v>0</v>
      </c>
      <c r="AF1853" s="17">
        <v>99999</v>
      </c>
      <c r="AG1853" s="19">
        <v>0</v>
      </c>
      <c r="AH1853" s="19">
        <v>0</v>
      </c>
      <c r="AI1853" s="13">
        <v>2</v>
      </c>
      <c r="AJ1853" s="13">
        <v>0</v>
      </c>
      <c r="AK1853" s="13">
        <v>0</v>
      </c>
      <c r="AL1853" s="13">
        <v>0</v>
      </c>
      <c r="AM1853" s="19">
        <v>0</v>
      </c>
      <c r="AN1853" s="19">
        <v>0</v>
      </c>
      <c r="AO1853" s="19">
        <v>0</v>
      </c>
      <c r="AP1853" s="19">
        <v>0</v>
      </c>
      <c r="AQ1853" s="19">
        <v>1000</v>
      </c>
      <c r="AR1853" s="19">
        <v>0</v>
      </c>
      <c r="AS1853" s="19">
        <v>0</v>
      </c>
      <c r="AT1853" s="13" t="s">
        <v>754</v>
      </c>
      <c r="AU1853" s="19" t="s">
        <v>198</v>
      </c>
      <c r="AV1853" s="19"/>
      <c r="AW1853" s="20" t="s">
        <v>199</v>
      </c>
      <c r="AX1853" s="19" t="s">
        <v>348</v>
      </c>
      <c r="AY1853" s="19">
        <v>0</v>
      </c>
      <c r="AZ1853" s="19">
        <v>0</v>
      </c>
      <c r="BA1853" s="20" t="s">
        <v>200</v>
      </c>
      <c r="BB1853" s="20" t="s">
        <v>198</v>
      </c>
      <c r="BC1853" s="28">
        <v>0</v>
      </c>
      <c r="BD1853" s="28">
        <v>0</v>
      </c>
      <c r="BE1853" s="89" t="s">
        <v>755</v>
      </c>
      <c r="BF1853" s="89" t="s">
        <v>756</v>
      </c>
      <c r="BG1853" s="19">
        <v>0</v>
      </c>
      <c r="BH1853" s="17">
        <v>0</v>
      </c>
      <c r="BI1853" s="19">
        <v>0</v>
      </c>
      <c r="BJ1853" s="19">
        <v>0</v>
      </c>
      <c r="BK1853" s="19">
        <v>0</v>
      </c>
      <c r="BL1853" s="19">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70304005</v>
      </c>
      <c r="D1854" s="20" t="s">
        <v>757</v>
      </c>
      <c r="E1854" s="20" t="s">
        <v>399</v>
      </c>
      <c r="F1854" s="19">
        <v>1</v>
      </c>
      <c r="G1854" s="19">
        <v>60010500</v>
      </c>
      <c r="H1854" s="19">
        <v>0</v>
      </c>
      <c r="I1854" s="28">
        <v>0</v>
      </c>
      <c r="J1854" s="19">
        <v>1</v>
      </c>
      <c r="K1854" s="19">
        <v>0</v>
      </c>
      <c r="L1854" s="19">
        <v>0</v>
      </c>
      <c r="M1854" s="19">
        <v>0</v>
      </c>
      <c r="N1854" s="19">
        <v>0</v>
      </c>
      <c r="O1854" s="17">
        <v>2</v>
      </c>
      <c r="P1854" s="19">
        <v>2</v>
      </c>
      <c r="Q1854" s="19">
        <v>1</v>
      </c>
      <c r="R1854" s="19">
        <v>0</v>
      </c>
      <c r="S1854" s="13">
        <v>0</v>
      </c>
      <c r="T1854" s="28">
        <v>0</v>
      </c>
      <c r="U1854" s="17">
        <v>1</v>
      </c>
      <c r="V1854" s="19">
        <v>2</v>
      </c>
      <c r="W1854" s="19">
        <v>0</v>
      </c>
      <c r="X1854" s="19">
        <v>0</v>
      </c>
      <c r="Y1854" s="13">
        <v>0</v>
      </c>
      <c r="Z1854" s="19">
        <v>0</v>
      </c>
      <c r="AA1854" s="19">
        <v>0</v>
      </c>
      <c r="AB1854" s="19">
        <v>0</v>
      </c>
      <c r="AC1854" s="19">
        <v>0</v>
      </c>
      <c r="AD1854" s="17">
        <v>0</v>
      </c>
      <c r="AE1854" s="19">
        <v>0</v>
      </c>
      <c r="AF1854" s="17">
        <v>20</v>
      </c>
      <c r="AG1854" s="19">
        <v>0</v>
      </c>
      <c r="AH1854" s="19">
        <v>0</v>
      </c>
      <c r="AI1854" s="13">
        <v>2</v>
      </c>
      <c r="AJ1854" s="13">
        <v>0</v>
      </c>
      <c r="AK1854" s="13">
        <v>0</v>
      </c>
      <c r="AL1854" s="13">
        <v>0</v>
      </c>
      <c r="AM1854" s="19">
        <v>0</v>
      </c>
      <c r="AN1854" s="19">
        <v>0</v>
      </c>
      <c r="AO1854" s="19">
        <v>0</v>
      </c>
      <c r="AP1854" s="19">
        <v>0</v>
      </c>
      <c r="AQ1854" s="19">
        <v>1000</v>
      </c>
      <c r="AR1854" s="19">
        <v>0</v>
      </c>
      <c r="AS1854" s="19">
        <v>0</v>
      </c>
      <c r="AT1854" s="13">
        <v>90304001</v>
      </c>
      <c r="AU1854" s="19" t="s">
        <v>198</v>
      </c>
      <c r="AV1854" s="19"/>
      <c r="AW1854" s="20" t="s">
        <v>199</v>
      </c>
      <c r="AX1854" s="19" t="s">
        <v>348</v>
      </c>
      <c r="AY1854" s="19">
        <v>0</v>
      </c>
      <c r="AZ1854" s="19">
        <v>0</v>
      </c>
      <c r="BA1854" s="20" t="s">
        <v>200</v>
      </c>
      <c r="BB1854" s="20" t="s">
        <v>198</v>
      </c>
      <c r="BC1854" s="28">
        <v>0</v>
      </c>
      <c r="BD1854" s="28">
        <v>0</v>
      </c>
      <c r="BE1854" s="89" t="s">
        <v>758</v>
      </c>
      <c r="BF1854" s="89" t="s">
        <v>759</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70304006</v>
      </c>
      <c r="D1855" s="18" t="s">
        <v>760</v>
      </c>
      <c r="E1855" s="18" t="s">
        <v>761</v>
      </c>
      <c r="F1855" s="17">
        <v>2</v>
      </c>
      <c r="G1855" s="17">
        <v>61012301</v>
      </c>
      <c r="H1855" s="17">
        <v>0</v>
      </c>
      <c r="I1855" s="28">
        <v>0</v>
      </c>
      <c r="J1855" s="19">
        <v>1</v>
      </c>
      <c r="K1855" s="19">
        <v>0</v>
      </c>
      <c r="L1855" s="19">
        <v>0</v>
      </c>
      <c r="M1855" s="17">
        <v>0</v>
      </c>
      <c r="N1855" s="17">
        <v>0</v>
      </c>
      <c r="O1855" s="17">
        <v>2</v>
      </c>
      <c r="P1855" s="17">
        <v>1</v>
      </c>
      <c r="Q1855" s="17">
        <v>0.5</v>
      </c>
      <c r="R1855" s="17">
        <v>0</v>
      </c>
      <c r="S1855" s="13">
        <v>0</v>
      </c>
      <c r="T1855" s="17">
        <v>0</v>
      </c>
      <c r="U1855" s="17">
        <v>1</v>
      </c>
      <c r="V1855" s="17">
        <v>2</v>
      </c>
      <c r="W1855" s="17">
        <v>0</v>
      </c>
      <c r="X1855" s="17">
        <v>1.4</v>
      </c>
      <c r="Y1855" s="13">
        <v>0</v>
      </c>
      <c r="Z1855" s="17">
        <v>150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1200</v>
      </c>
      <c r="AR1855" s="17">
        <v>1</v>
      </c>
      <c r="AS1855" s="17">
        <v>15</v>
      </c>
      <c r="AT1855" s="13">
        <v>0</v>
      </c>
      <c r="AU1855" s="17" t="s">
        <v>198</v>
      </c>
      <c r="AV1855" s="17"/>
      <c r="AW1855" s="18" t="s">
        <v>256</v>
      </c>
      <c r="AX1855" s="17" t="s">
        <v>215</v>
      </c>
      <c r="AY1855" s="19">
        <v>10000011</v>
      </c>
      <c r="AZ1855" s="19">
        <v>70404001</v>
      </c>
      <c r="BA1855" s="18" t="s">
        <v>216</v>
      </c>
      <c r="BB1855" s="17">
        <v>0</v>
      </c>
      <c r="BC1855" s="28">
        <v>0</v>
      </c>
      <c r="BD1855" s="28">
        <v>0</v>
      </c>
      <c r="BE1855" s="46" t="s">
        <v>798</v>
      </c>
      <c r="BF1855" s="46" t="s">
        <v>799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19.5" customHeight="1">
      <c r="C1856" s="19">
        <v>70304007</v>
      </c>
      <c r="D1856" s="18" t="s">
        <v>765</v>
      </c>
      <c r="E1856" s="18" t="s">
        <v>766</v>
      </c>
      <c r="F1856" s="19">
        <v>1</v>
      </c>
      <c r="G1856" s="17">
        <v>60010100</v>
      </c>
      <c r="H1856" s="19">
        <v>0</v>
      </c>
      <c r="I1856" s="28">
        <v>0</v>
      </c>
      <c r="J1856" s="19">
        <v>1</v>
      </c>
      <c r="K1856" s="19">
        <v>0</v>
      </c>
      <c r="L1856" s="19">
        <v>0</v>
      </c>
      <c r="M1856" s="17">
        <v>0</v>
      </c>
      <c r="N1856" s="17">
        <v>0</v>
      </c>
      <c r="O1856" s="17">
        <v>2</v>
      </c>
      <c r="P1856" s="17">
        <v>1</v>
      </c>
      <c r="Q1856" s="17">
        <v>0.3</v>
      </c>
      <c r="R1856" s="17">
        <v>0</v>
      </c>
      <c r="S1856" s="13">
        <v>0</v>
      </c>
      <c r="T1856" s="17">
        <v>0</v>
      </c>
      <c r="U1856" s="17">
        <v>1</v>
      </c>
      <c r="V1856" s="17">
        <v>2</v>
      </c>
      <c r="W1856" s="17">
        <v>0</v>
      </c>
      <c r="X1856" s="17">
        <v>3</v>
      </c>
      <c r="Y1856" s="13">
        <v>0</v>
      </c>
      <c r="Z1856" s="17">
        <v>0</v>
      </c>
      <c r="AA1856" s="17">
        <v>1</v>
      </c>
      <c r="AB1856" s="17">
        <v>0</v>
      </c>
      <c r="AC1856" s="17">
        <v>0</v>
      </c>
      <c r="AD1856" s="17">
        <v>0</v>
      </c>
      <c r="AE1856" s="17">
        <v>0</v>
      </c>
      <c r="AF1856" s="17">
        <v>15</v>
      </c>
      <c r="AG1856" s="17">
        <v>1</v>
      </c>
      <c r="AH1856" s="17" t="s">
        <v>607</v>
      </c>
      <c r="AI1856" s="13">
        <v>0</v>
      </c>
      <c r="AJ1856" s="13">
        <v>1</v>
      </c>
      <c r="AK1856" s="13">
        <v>0</v>
      </c>
      <c r="AL1856" s="13">
        <v>3</v>
      </c>
      <c r="AM1856" s="17">
        <v>0</v>
      </c>
      <c r="AN1856" s="17">
        <v>0</v>
      </c>
      <c r="AO1856" s="17">
        <v>0</v>
      </c>
      <c r="AP1856" s="17">
        <v>3</v>
      </c>
      <c r="AQ1856" s="17">
        <v>5000</v>
      </c>
      <c r="AR1856" s="17">
        <v>2.5</v>
      </c>
      <c r="AS1856" s="17">
        <v>0</v>
      </c>
      <c r="AT1856" s="13">
        <v>0</v>
      </c>
      <c r="AU1856" s="17" t="s">
        <v>659</v>
      </c>
      <c r="AV1856" s="17"/>
      <c r="AW1856" s="20" t="s">
        <v>256</v>
      </c>
      <c r="AX1856" s="17" t="s">
        <v>534</v>
      </c>
      <c r="AY1856" s="19">
        <v>10000007</v>
      </c>
      <c r="AZ1856" s="19">
        <v>70205002</v>
      </c>
      <c r="BA1856" s="18" t="s">
        <v>200</v>
      </c>
      <c r="BB1856" s="17">
        <v>0</v>
      </c>
      <c r="BC1856" s="28">
        <v>0</v>
      </c>
      <c r="BD1856" s="28">
        <v>0</v>
      </c>
      <c r="BE1856" s="46" t="s">
        <v>767</v>
      </c>
      <c r="BF1856" s="46" t="s">
        <v>768</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20.100000000000001" customHeight="1">
      <c r="C1857" s="19">
        <v>70304008</v>
      </c>
      <c r="D1857" s="16" t="s">
        <v>800</v>
      </c>
      <c r="E1857" s="16" t="s">
        <v>455</v>
      </c>
      <c r="F1857" s="16">
        <v>1</v>
      </c>
      <c r="G1857" s="16">
        <v>60010002</v>
      </c>
      <c r="H1857" s="16">
        <v>0</v>
      </c>
      <c r="I1857" s="27">
        <v>0</v>
      </c>
      <c r="J1857" s="16">
        <v>0</v>
      </c>
      <c r="K1857" s="16">
        <v>0</v>
      </c>
      <c r="L1857" s="27">
        <v>0</v>
      </c>
      <c r="M1857" s="27">
        <v>0</v>
      </c>
      <c r="N1857" s="16">
        <v>0</v>
      </c>
      <c r="O1857" s="17">
        <v>2</v>
      </c>
      <c r="P1857" s="16">
        <v>2</v>
      </c>
      <c r="Q1857" s="16">
        <v>0.95</v>
      </c>
      <c r="R1857" s="16">
        <v>0</v>
      </c>
      <c r="S1857" s="13">
        <v>0</v>
      </c>
      <c r="T1857" s="16">
        <v>0</v>
      </c>
      <c r="U1857" s="17">
        <v>1</v>
      </c>
      <c r="V1857" s="16">
        <v>2</v>
      </c>
      <c r="W1857" s="27">
        <v>0</v>
      </c>
      <c r="X1857" s="16">
        <v>3</v>
      </c>
      <c r="Y1857" s="13">
        <v>0</v>
      </c>
      <c r="Z1857" s="16">
        <v>0</v>
      </c>
      <c r="AA1857" s="16">
        <v>0</v>
      </c>
      <c r="AB1857" s="16">
        <v>0</v>
      </c>
      <c r="AC1857" s="27">
        <v>0</v>
      </c>
      <c r="AD1857" s="16">
        <v>0</v>
      </c>
      <c r="AE1857" s="16">
        <v>0</v>
      </c>
      <c r="AF1857" s="16">
        <v>15</v>
      </c>
      <c r="AG1857" s="16">
        <v>2</v>
      </c>
      <c r="AH1857" s="16" t="s">
        <v>801</v>
      </c>
      <c r="AI1857" s="71">
        <v>0</v>
      </c>
      <c r="AJ1857" s="71">
        <v>2</v>
      </c>
      <c r="AK1857" s="13">
        <v>0</v>
      </c>
      <c r="AL1857" s="16">
        <v>4</v>
      </c>
      <c r="AM1857" s="34">
        <v>0</v>
      </c>
      <c r="AN1857" s="16">
        <v>0</v>
      </c>
      <c r="AO1857" s="16">
        <v>0</v>
      </c>
      <c r="AP1857" s="16">
        <v>2</v>
      </c>
      <c r="AQ1857" s="17">
        <v>4000</v>
      </c>
      <c r="AR1857" s="16">
        <v>2</v>
      </c>
      <c r="AS1857" s="16">
        <v>0</v>
      </c>
      <c r="AT1857" s="13">
        <v>0</v>
      </c>
      <c r="AU1857" s="17" t="s">
        <v>659</v>
      </c>
      <c r="AV1857" s="17"/>
      <c r="AW1857" s="20" t="s">
        <v>287</v>
      </c>
      <c r="AX1857" s="27">
        <v>0</v>
      </c>
      <c r="AY1857" s="27">
        <v>0</v>
      </c>
      <c r="AZ1857" s="27">
        <v>70205004</v>
      </c>
      <c r="BA1857" s="20" t="s">
        <v>200</v>
      </c>
      <c r="BB1857" s="17">
        <v>0</v>
      </c>
      <c r="BC1857" s="28">
        <v>0</v>
      </c>
      <c r="BD1857" s="28">
        <v>0</v>
      </c>
      <c r="BE1857" s="46" t="s">
        <v>802</v>
      </c>
      <c r="BF1857" s="88" t="s">
        <v>803</v>
      </c>
      <c r="BG1857" s="16">
        <v>2</v>
      </c>
      <c r="BH1857" s="16">
        <v>0</v>
      </c>
      <c r="BI1857" s="19">
        <v>0</v>
      </c>
      <c r="BJ1857" s="16">
        <v>1</v>
      </c>
      <c r="BK1857" s="16">
        <v>2</v>
      </c>
      <c r="BL1857" s="34">
        <v>0</v>
      </c>
      <c r="BM1857" s="16">
        <v>0</v>
      </c>
      <c r="BN1857" s="13">
        <v>0</v>
      </c>
      <c r="BO1857" s="13">
        <v>0</v>
      </c>
      <c r="BP1857" s="13">
        <v>0</v>
      </c>
      <c r="BQ1857" s="13">
        <v>0</v>
      </c>
      <c r="BR1857" s="13">
        <v>0</v>
      </c>
      <c r="BS1857" s="13">
        <v>0</v>
      </c>
      <c r="BT1857" s="13">
        <v>0</v>
      </c>
      <c r="BU1857" s="49">
        <v>0</v>
      </c>
      <c r="BV1857" s="49"/>
      <c r="BW1857" s="49"/>
    </row>
    <row r="1858" spans="3:75" ht="20.100000000000001" customHeight="1">
      <c r="C1858" s="19">
        <v>70305001</v>
      </c>
      <c r="D1858" s="18" t="s">
        <v>1116</v>
      </c>
      <c r="E1858" s="18" t="s">
        <v>391</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2.5</v>
      </c>
      <c r="Y1858" s="13">
        <v>0</v>
      </c>
      <c r="Z1858" s="17">
        <v>0</v>
      </c>
      <c r="AA1858" s="17">
        <v>1</v>
      </c>
      <c r="AB1858" s="17">
        <v>0</v>
      </c>
      <c r="AC1858" s="17">
        <v>0</v>
      </c>
      <c r="AD1858" s="17">
        <v>0</v>
      </c>
      <c r="AE1858" s="17">
        <v>0</v>
      </c>
      <c r="AF1858" s="17">
        <v>12</v>
      </c>
      <c r="AG1858" s="17">
        <v>1</v>
      </c>
      <c r="AH1858" s="17">
        <v>3</v>
      </c>
      <c r="AI1858" s="13">
        <v>4</v>
      </c>
      <c r="AJ1858" s="13">
        <v>1</v>
      </c>
      <c r="AK1858" s="13">
        <v>0</v>
      </c>
      <c r="AL1858" s="13">
        <v>1.5</v>
      </c>
      <c r="AM1858" s="17">
        <v>0</v>
      </c>
      <c r="AN1858" s="17">
        <v>0</v>
      </c>
      <c r="AO1858" s="17">
        <v>0</v>
      </c>
      <c r="AP1858" s="17">
        <v>3</v>
      </c>
      <c r="AQ1858" s="17">
        <v>5000</v>
      </c>
      <c r="AR1858" s="17">
        <v>3</v>
      </c>
      <c r="AS1858" s="17">
        <v>0</v>
      </c>
      <c r="AT1858" s="13">
        <v>0</v>
      </c>
      <c r="AU1858" s="17">
        <v>80001030</v>
      </c>
      <c r="AV1858" s="17"/>
      <c r="AW1858" s="20" t="s">
        <v>256</v>
      </c>
      <c r="AX1858" s="17" t="s">
        <v>534</v>
      </c>
      <c r="AY1858" s="19">
        <v>10000007</v>
      </c>
      <c r="AZ1858" s="19">
        <v>70204002</v>
      </c>
      <c r="BA1858" s="18" t="s">
        <v>200</v>
      </c>
      <c r="BB1858" s="17" t="s">
        <v>4276</v>
      </c>
      <c r="BC1858" s="28">
        <v>0</v>
      </c>
      <c r="BD1858" s="28">
        <v>0</v>
      </c>
      <c r="BE1858" s="46" t="s">
        <v>1322</v>
      </c>
      <c r="BF1858" s="46" t="s">
        <v>1323</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spans="3:75" ht="20.100000000000001" customHeight="1">
      <c r="C1859" s="19">
        <v>70305002</v>
      </c>
      <c r="D1859" s="18" t="s">
        <v>1324</v>
      </c>
      <c r="E1859" s="18" t="s">
        <v>1325</v>
      </c>
      <c r="F1859" s="19">
        <v>1</v>
      </c>
      <c r="G1859" s="17">
        <v>60010100</v>
      </c>
      <c r="H1859" s="19">
        <v>0</v>
      </c>
      <c r="I1859" s="28">
        <v>0</v>
      </c>
      <c r="J1859" s="19">
        <v>1</v>
      </c>
      <c r="K1859" s="19">
        <v>0</v>
      </c>
      <c r="L1859" s="19">
        <v>0</v>
      </c>
      <c r="M1859" s="17">
        <v>0</v>
      </c>
      <c r="N1859" s="17">
        <v>0</v>
      </c>
      <c r="O1859" s="17">
        <v>2</v>
      </c>
      <c r="P1859" s="17">
        <v>1</v>
      </c>
      <c r="Q1859" s="17">
        <v>1</v>
      </c>
      <c r="R1859" s="17">
        <v>0</v>
      </c>
      <c r="S1859" s="13">
        <v>0</v>
      </c>
      <c r="T1859" s="17">
        <v>0</v>
      </c>
      <c r="U1859" s="17">
        <v>1</v>
      </c>
      <c r="V1859" s="17">
        <v>2</v>
      </c>
      <c r="W1859" s="17">
        <v>0</v>
      </c>
      <c r="X1859" s="17">
        <v>2</v>
      </c>
      <c r="Y1859" s="13">
        <v>0</v>
      </c>
      <c r="Z1859" s="17">
        <v>0</v>
      </c>
      <c r="AA1859" s="17">
        <v>1</v>
      </c>
      <c r="AB1859" s="17">
        <v>0</v>
      </c>
      <c r="AC1859" s="17">
        <v>0</v>
      </c>
      <c r="AD1859" s="17">
        <v>0</v>
      </c>
      <c r="AE1859" s="17">
        <v>0</v>
      </c>
      <c r="AF1859" s="17">
        <v>12</v>
      </c>
      <c r="AG1859" s="17">
        <v>2</v>
      </c>
      <c r="AH1859" s="17" t="s">
        <v>213</v>
      </c>
      <c r="AI1859" s="13">
        <v>0</v>
      </c>
      <c r="AJ1859" s="13">
        <v>2</v>
      </c>
      <c r="AK1859" s="13">
        <v>0</v>
      </c>
      <c r="AL1859" s="13">
        <v>1.5</v>
      </c>
      <c r="AM1859" s="17">
        <v>0</v>
      </c>
      <c r="AN1859" s="17">
        <v>0</v>
      </c>
      <c r="AO1859" s="17">
        <v>0</v>
      </c>
      <c r="AP1859" s="17">
        <v>1.5</v>
      </c>
      <c r="AQ1859" s="17">
        <v>10000</v>
      </c>
      <c r="AR1859" s="17">
        <v>1</v>
      </c>
      <c r="AS1859" s="17">
        <v>5</v>
      </c>
      <c r="AT1859" s="13">
        <v>0</v>
      </c>
      <c r="AU1859" s="17" t="s">
        <v>198</v>
      </c>
      <c r="AV1859" s="17"/>
      <c r="AW1859" s="20" t="s">
        <v>617</v>
      </c>
      <c r="AX1859" s="17" t="s">
        <v>534</v>
      </c>
      <c r="AY1859" s="19">
        <v>10000007</v>
      </c>
      <c r="AZ1859" s="19">
        <v>70302003</v>
      </c>
      <c r="BA1859" s="20" t="s">
        <v>586</v>
      </c>
      <c r="BB1859" s="17">
        <v>0</v>
      </c>
      <c r="BC1859" s="28">
        <v>0</v>
      </c>
      <c r="BD1859" s="28">
        <v>0</v>
      </c>
      <c r="BE1859" s="46" t="s">
        <v>1108</v>
      </c>
      <c r="BF1859" s="46" t="s">
        <v>1109</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20.100000000000001" customHeight="1">
      <c r="C1860" s="19">
        <v>70305003</v>
      </c>
      <c r="D1860" s="20" t="s">
        <v>621</v>
      </c>
      <c r="E1860" s="20" t="s">
        <v>622</v>
      </c>
      <c r="F1860" s="19">
        <v>1</v>
      </c>
      <c r="G1860" s="19">
        <v>60010500</v>
      </c>
      <c r="H1860" s="19">
        <v>0</v>
      </c>
      <c r="I1860" s="28">
        <v>0</v>
      </c>
      <c r="J1860" s="19">
        <v>1</v>
      </c>
      <c r="K1860" s="19">
        <v>0</v>
      </c>
      <c r="L1860" s="19">
        <v>0</v>
      </c>
      <c r="M1860" s="19">
        <v>0</v>
      </c>
      <c r="N1860" s="19">
        <v>0</v>
      </c>
      <c r="O1860" s="17">
        <v>2</v>
      </c>
      <c r="P1860" s="19">
        <v>2</v>
      </c>
      <c r="Q1860" s="19">
        <v>0.3</v>
      </c>
      <c r="R1860" s="19">
        <v>0</v>
      </c>
      <c r="S1860" s="13">
        <v>0</v>
      </c>
      <c r="T1860" s="28">
        <v>0</v>
      </c>
      <c r="U1860" s="17">
        <v>1</v>
      </c>
      <c r="V1860" s="19">
        <v>2</v>
      </c>
      <c r="W1860" s="19">
        <v>0</v>
      </c>
      <c r="X1860" s="19">
        <v>0</v>
      </c>
      <c r="Y1860" s="13">
        <v>0</v>
      </c>
      <c r="Z1860" s="19">
        <v>0</v>
      </c>
      <c r="AA1860" s="19">
        <v>0</v>
      </c>
      <c r="AB1860" s="19">
        <v>0</v>
      </c>
      <c r="AC1860" s="19">
        <v>0</v>
      </c>
      <c r="AD1860" s="17">
        <v>0</v>
      </c>
      <c r="AE1860" s="19">
        <v>0</v>
      </c>
      <c r="AF1860" s="17">
        <v>12</v>
      </c>
      <c r="AG1860" s="19">
        <v>0</v>
      </c>
      <c r="AH1860" s="19">
        <v>0</v>
      </c>
      <c r="AI1860" s="13">
        <v>7</v>
      </c>
      <c r="AJ1860" s="13">
        <v>0</v>
      </c>
      <c r="AK1860" s="13">
        <v>0</v>
      </c>
      <c r="AL1860" s="13">
        <v>0</v>
      </c>
      <c r="AM1860" s="19">
        <v>0</v>
      </c>
      <c r="AN1860" s="19">
        <v>0</v>
      </c>
      <c r="AO1860" s="19">
        <v>0</v>
      </c>
      <c r="AP1860" s="19">
        <v>0</v>
      </c>
      <c r="AQ1860" s="19">
        <v>1000</v>
      </c>
      <c r="AR1860" s="19">
        <v>0</v>
      </c>
      <c r="AS1860" s="19">
        <v>0</v>
      </c>
      <c r="AT1860" s="13">
        <v>0</v>
      </c>
      <c r="AU1860" s="19">
        <v>90204004</v>
      </c>
      <c r="AV1860" s="19"/>
      <c r="AW1860" s="20" t="s">
        <v>199</v>
      </c>
      <c r="AX1860" s="19" t="s">
        <v>348</v>
      </c>
      <c r="AY1860" s="19">
        <v>0</v>
      </c>
      <c r="AZ1860" s="19">
        <v>0</v>
      </c>
      <c r="BA1860" s="20" t="s">
        <v>200</v>
      </c>
      <c r="BB1860" s="20" t="s">
        <v>198</v>
      </c>
      <c r="BC1860" s="28">
        <v>0</v>
      </c>
      <c r="BD1860" s="28">
        <v>0</v>
      </c>
      <c r="BE1860" s="89" t="s">
        <v>623</v>
      </c>
      <c r="BF1860" s="89" t="s">
        <v>624</v>
      </c>
      <c r="BG1860" s="19">
        <v>0</v>
      </c>
      <c r="BH1860" s="17">
        <v>0</v>
      </c>
      <c r="BI1860" s="19">
        <v>0</v>
      </c>
      <c r="BJ1860" s="19">
        <v>0</v>
      </c>
      <c r="BK1860" s="19">
        <v>0</v>
      </c>
      <c r="BL1860" s="19">
        <v>0</v>
      </c>
      <c r="BM1860" s="16">
        <v>0</v>
      </c>
      <c r="BN1860" s="13">
        <v>0</v>
      </c>
      <c r="BO1860" s="13">
        <v>0</v>
      </c>
      <c r="BP1860" s="13">
        <v>0</v>
      </c>
      <c r="BQ1860" s="13">
        <v>0</v>
      </c>
      <c r="BR1860" s="13">
        <v>0</v>
      </c>
      <c r="BS1860" s="13">
        <v>0</v>
      </c>
      <c r="BT1860" s="13">
        <v>0</v>
      </c>
      <c r="BU1860" s="49">
        <v>0</v>
      </c>
      <c r="BV1860" s="49"/>
      <c r="BW1860" s="49"/>
    </row>
    <row r="1861" spans="3:75" ht="19.5" customHeight="1">
      <c r="C1861" s="19">
        <v>70305004</v>
      </c>
      <c r="D1861" s="20" t="s">
        <v>757</v>
      </c>
      <c r="E1861" s="20" t="s">
        <v>399</v>
      </c>
      <c r="F1861" s="19">
        <v>1</v>
      </c>
      <c r="G1861" s="19">
        <v>60010500</v>
      </c>
      <c r="H1861" s="19">
        <v>0</v>
      </c>
      <c r="I1861" s="28">
        <v>0</v>
      </c>
      <c r="J1861" s="19">
        <v>1</v>
      </c>
      <c r="K1861" s="19">
        <v>0</v>
      </c>
      <c r="L1861" s="19">
        <v>0</v>
      </c>
      <c r="M1861" s="19">
        <v>0</v>
      </c>
      <c r="N1861" s="19">
        <v>0</v>
      </c>
      <c r="O1861" s="17">
        <v>2</v>
      </c>
      <c r="P1861" s="19">
        <v>2</v>
      </c>
      <c r="Q1861" s="19">
        <v>0.3</v>
      </c>
      <c r="R1861" s="19">
        <v>0</v>
      </c>
      <c r="S1861" s="13">
        <v>0</v>
      </c>
      <c r="T1861" s="28">
        <v>0</v>
      </c>
      <c r="U1861" s="17">
        <v>1</v>
      </c>
      <c r="V1861" s="19">
        <v>2</v>
      </c>
      <c r="W1861" s="19">
        <v>0</v>
      </c>
      <c r="X1861" s="19">
        <v>0</v>
      </c>
      <c r="Y1861" s="13">
        <v>0</v>
      </c>
      <c r="Z1861" s="19">
        <v>0</v>
      </c>
      <c r="AA1861" s="19">
        <v>0</v>
      </c>
      <c r="AB1861" s="19">
        <v>0</v>
      </c>
      <c r="AC1861" s="19">
        <v>0</v>
      </c>
      <c r="AD1861" s="17">
        <v>0</v>
      </c>
      <c r="AE1861" s="19">
        <v>0</v>
      </c>
      <c r="AF1861" s="17">
        <v>15</v>
      </c>
      <c r="AG1861" s="19">
        <v>0</v>
      </c>
      <c r="AH1861" s="19">
        <v>0</v>
      </c>
      <c r="AI1861" s="13">
        <v>2</v>
      </c>
      <c r="AJ1861" s="13">
        <v>0</v>
      </c>
      <c r="AK1861" s="13">
        <v>0</v>
      </c>
      <c r="AL1861" s="13">
        <v>0</v>
      </c>
      <c r="AM1861" s="19">
        <v>0</v>
      </c>
      <c r="AN1861" s="19">
        <v>0</v>
      </c>
      <c r="AO1861" s="19">
        <v>0</v>
      </c>
      <c r="AP1861" s="19">
        <v>0</v>
      </c>
      <c r="AQ1861" s="19">
        <v>1000</v>
      </c>
      <c r="AR1861" s="19">
        <v>0</v>
      </c>
      <c r="AS1861" s="19">
        <v>0</v>
      </c>
      <c r="AT1861" s="13" t="s">
        <v>754</v>
      </c>
      <c r="AU1861" s="19" t="s">
        <v>198</v>
      </c>
      <c r="AV1861" s="19"/>
      <c r="AW1861" s="20" t="s">
        <v>199</v>
      </c>
      <c r="AX1861" s="19" t="s">
        <v>348</v>
      </c>
      <c r="AY1861" s="19">
        <v>0</v>
      </c>
      <c r="AZ1861" s="19">
        <v>0</v>
      </c>
      <c r="BA1861" s="20" t="s">
        <v>200</v>
      </c>
      <c r="BB1861" s="20" t="s">
        <v>198</v>
      </c>
      <c r="BC1861" s="28">
        <v>0</v>
      </c>
      <c r="BD1861" s="28">
        <v>0</v>
      </c>
      <c r="BE1861" s="89" t="s">
        <v>1118</v>
      </c>
      <c r="BF1861" s="89" t="s">
        <v>1119</v>
      </c>
      <c r="BG1861" s="19">
        <v>0</v>
      </c>
      <c r="BH1861" s="17">
        <v>0</v>
      </c>
      <c r="BI1861" s="19">
        <v>0</v>
      </c>
      <c r="BJ1861" s="19">
        <v>0</v>
      </c>
      <c r="BK1861" s="19">
        <v>0</v>
      </c>
      <c r="BL1861" s="19">
        <v>0</v>
      </c>
      <c r="BM1861" s="16">
        <v>0</v>
      </c>
      <c r="BN1861" s="13">
        <v>0</v>
      </c>
      <c r="BO1861" s="13">
        <v>0</v>
      </c>
      <c r="BP1861" s="13">
        <v>0</v>
      </c>
      <c r="BQ1861" s="13">
        <v>0</v>
      </c>
      <c r="BR1861" s="13">
        <v>0</v>
      </c>
      <c r="BS1861" s="13">
        <v>0</v>
      </c>
      <c r="BT1861" s="13">
        <v>0</v>
      </c>
      <c r="BU1861" s="49">
        <v>0</v>
      </c>
      <c r="BV1861" s="49"/>
      <c r="BW1861" s="49"/>
    </row>
    <row r="1862" spans="3:75" ht="19.5" customHeight="1">
      <c r="C1862" s="19">
        <v>70305005</v>
      </c>
      <c r="D1862" s="18" t="s">
        <v>1326</v>
      </c>
      <c r="E1862" s="18" t="s">
        <v>1327</v>
      </c>
      <c r="F1862" s="19">
        <v>1</v>
      </c>
      <c r="G1862" s="17">
        <v>60010100</v>
      </c>
      <c r="H1862" s="19">
        <v>0</v>
      </c>
      <c r="I1862" s="28">
        <v>0</v>
      </c>
      <c r="J1862" s="19">
        <v>1</v>
      </c>
      <c r="K1862" s="19">
        <v>0</v>
      </c>
      <c r="L1862" s="19">
        <v>0</v>
      </c>
      <c r="M1862" s="17">
        <v>0</v>
      </c>
      <c r="N1862" s="17">
        <v>0</v>
      </c>
      <c r="O1862" s="17">
        <v>2</v>
      </c>
      <c r="P1862" s="17">
        <v>1</v>
      </c>
      <c r="Q1862" s="17">
        <v>0.3</v>
      </c>
      <c r="R1862" s="17">
        <v>0</v>
      </c>
      <c r="S1862" s="13">
        <v>0</v>
      </c>
      <c r="T1862" s="17">
        <v>0</v>
      </c>
      <c r="U1862" s="17">
        <v>1</v>
      </c>
      <c r="V1862" s="17">
        <v>2</v>
      </c>
      <c r="W1862" s="17">
        <v>0</v>
      </c>
      <c r="X1862" s="17">
        <v>3</v>
      </c>
      <c r="Y1862" s="13">
        <v>0</v>
      </c>
      <c r="Z1862" s="17">
        <v>0</v>
      </c>
      <c r="AA1862" s="17">
        <v>1</v>
      </c>
      <c r="AB1862" s="17">
        <v>0</v>
      </c>
      <c r="AC1862" s="17">
        <v>0</v>
      </c>
      <c r="AD1862" s="17">
        <v>0</v>
      </c>
      <c r="AE1862" s="17">
        <v>0</v>
      </c>
      <c r="AF1862" s="17">
        <v>15</v>
      </c>
      <c r="AG1862" s="17">
        <v>1</v>
      </c>
      <c r="AH1862" s="17" t="s">
        <v>607</v>
      </c>
      <c r="AI1862" s="13">
        <v>0</v>
      </c>
      <c r="AJ1862" s="13">
        <v>1</v>
      </c>
      <c r="AK1862" s="13">
        <v>0</v>
      </c>
      <c r="AL1862" s="13">
        <v>3</v>
      </c>
      <c r="AM1862" s="17">
        <v>0</v>
      </c>
      <c r="AN1862" s="17">
        <v>0</v>
      </c>
      <c r="AO1862" s="17">
        <v>0</v>
      </c>
      <c r="AP1862" s="17">
        <v>3</v>
      </c>
      <c r="AQ1862" s="17">
        <v>5000</v>
      </c>
      <c r="AR1862" s="17">
        <v>2.5</v>
      </c>
      <c r="AS1862" s="17">
        <v>0</v>
      </c>
      <c r="AT1862" s="13">
        <v>0</v>
      </c>
      <c r="AU1862" s="17" t="s">
        <v>659</v>
      </c>
      <c r="AV1862" s="17"/>
      <c r="AW1862" s="20" t="s">
        <v>287</v>
      </c>
      <c r="AX1862" s="17" t="s">
        <v>534</v>
      </c>
      <c r="AY1862" s="19">
        <v>10000007</v>
      </c>
      <c r="AZ1862" s="19">
        <v>70305005</v>
      </c>
      <c r="BA1862" s="18" t="s">
        <v>200</v>
      </c>
      <c r="BB1862" s="17">
        <v>0</v>
      </c>
      <c r="BC1862" s="28">
        <v>0</v>
      </c>
      <c r="BD1862" s="28">
        <v>0</v>
      </c>
      <c r="BE1862" s="46" t="s">
        <v>4277</v>
      </c>
      <c r="BF1862" s="46" t="s">
        <v>4278</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19.5" customHeight="1">
      <c r="C1863" s="19">
        <v>70305006</v>
      </c>
      <c r="D1863" s="18" t="s">
        <v>4279</v>
      </c>
      <c r="E1863" s="18" t="s">
        <v>4280</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15</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4281</v>
      </c>
      <c r="BC1863" s="28">
        <v>0</v>
      </c>
      <c r="BD1863" s="28">
        <v>0</v>
      </c>
      <c r="BE1863" s="46" t="s">
        <v>4282</v>
      </c>
      <c r="BF1863" s="46" t="s">
        <v>4283</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19.5" customHeight="1">
      <c r="C1864" s="19">
        <v>70305007</v>
      </c>
      <c r="D1864" s="18" t="s">
        <v>4284</v>
      </c>
      <c r="E1864" s="18" t="s">
        <v>4285</v>
      </c>
      <c r="F1864" s="19">
        <v>1</v>
      </c>
      <c r="G1864" s="17">
        <v>60010100</v>
      </c>
      <c r="H1864" s="19">
        <v>0</v>
      </c>
      <c r="I1864" s="28">
        <v>0</v>
      </c>
      <c r="J1864" s="19">
        <v>1</v>
      </c>
      <c r="K1864" s="19">
        <v>0</v>
      </c>
      <c r="L1864" s="19">
        <v>0</v>
      </c>
      <c r="M1864" s="17">
        <v>0</v>
      </c>
      <c r="N1864" s="17">
        <v>0</v>
      </c>
      <c r="O1864" s="17">
        <v>2</v>
      </c>
      <c r="P1864" s="17">
        <v>1</v>
      </c>
      <c r="Q1864" s="17">
        <v>1</v>
      </c>
      <c r="R1864" s="17">
        <v>0</v>
      </c>
      <c r="S1864" s="13">
        <v>0</v>
      </c>
      <c r="T1864" s="17">
        <v>0</v>
      </c>
      <c r="U1864" s="17">
        <v>1</v>
      </c>
      <c r="V1864" s="17">
        <v>2</v>
      </c>
      <c r="W1864" s="17">
        <v>0</v>
      </c>
      <c r="X1864" s="17">
        <v>3</v>
      </c>
      <c r="Y1864" s="13">
        <v>0</v>
      </c>
      <c r="Z1864" s="17">
        <v>0</v>
      </c>
      <c r="AA1864" s="17">
        <v>1</v>
      </c>
      <c r="AB1864" s="17">
        <v>0</v>
      </c>
      <c r="AC1864" s="17">
        <v>0</v>
      </c>
      <c r="AD1864" s="17">
        <v>0</v>
      </c>
      <c r="AE1864" s="17">
        <v>0</v>
      </c>
      <c r="AF1864" s="17">
        <v>7</v>
      </c>
      <c r="AG1864" s="17">
        <v>1</v>
      </c>
      <c r="AH1864" s="17" t="s">
        <v>607</v>
      </c>
      <c r="AI1864" s="13">
        <v>0</v>
      </c>
      <c r="AJ1864" s="13">
        <v>1</v>
      </c>
      <c r="AK1864" s="13">
        <v>0</v>
      </c>
      <c r="AL1864" s="13">
        <v>3</v>
      </c>
      <c r="AM1864" s="17">
        <v>0</v>
      </c>
      <c r="AN1864" s="17">
        <v>0</v>
      </c>
      <c r="AO1864" s="17">
        <v>0</v>
      </c>
      <c r="AP1864" s="17">
        <v>3</v>
      </c>
      <c r="AQ1864" s="17">
        <v>5000</v>
      </c>
      <c r="AR1864" s="17">
        <v>2.5</v>
      </c>
      <c r="AS1864" s="17">
        <v>0</v>
      </c>
      <c r="AT1864" s="13">
        <v>0</v>
      </c>
      <c r="AU1864" s="17" t="s">
        <v>198</v>
      </c>
      <c r="AV1864" s="17"/>
      <c r="AW1864" s="20" t="s">
        <v>199</v>
      </c>
      <c r="AX1864" s="17" t="s">
        <v>534</v>
      </c>
      <c r="AY1864" s="19">
        <v>10000007</v>
      </c>
      <c r="AZ1864" s="19">
        <v>70305007</v>
      </c>
      <c r="BA1864" s="18" t="s">
        <v>200</v>
      </c>
      <c r="BB1864" s="17">
        <v>0</v>
      </c>
      <c r="BC1864" s="28">
        <v>0</v>
      </c>
      <c r="BD1864" s="28">
        <v>0</v>
      </c>
      <c r="BE1864" s="46" t="s">
        <v>582</v>
      </c>
      <c r="BF1864" s="46" t="s">
        <v>583</v>
      </c>
      <c r="BG1864" s="17">
        <v>0</v>
      </c>
      <c r="BH1864" s="17">
        <v>0</v>
      </c>
      <c r="BI1864" s="17">
        <v>0</v>
      </c>
      <c r="BJ1864" s="17">
        <v>0</v>
      </c>
      <c r="BK1864" s="17">
        <v>0</v>
      </c>
      <c r="BL1864" s="17">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70401001</v>
      </c>
      <c r="D1865" s="18" t="s">
        <v>600</v>
      </c>
      <c r="E1865" s="18" t="s">
        <v>601</v>
      </c>
      <c r="F1865" s="17">
        <v>1</v>
      </c>
      <c r="G1865" s="17">
        <v>60010300</v>
      </c>
      <c r="H1865" s="19">
        <v>0</v>
      </c>
      <c r="I1865" s="28">
        <v>0</v>
      </c>
      <c r="J1865" s="19">
        <v>1</v>
      </c>
      <c r="K1865" s="19">
        <v>0</v>
      </c>
      <c r="L1865" s="19">
        <v>0</v>
      </c>
      <c r="M1865" s="17">
        <v>0</v>
      </c>
      <c r="N1865" s="17">
        <v>0</v>
      </c>
      <c r="O1865" s="17">
        <v>2</v>
      </c>
      <c r="P1865" s="17">
        <v>2</v>
      </c>
      <c r="Q1865" s="17">
        <v>0.8</v>
      </c>
      <c r="R1865" s="17">
        <v>0</v>
      </c>
      <c r="S1865" s="13">
        <v>0</v>
      </c>
      <c r="T1865" s="17">
        <v>0</v>
      </c>
      <c r="U1865" s="17">
        <v>1</v>
      </c>
      <c r="V1865" s="17">
        <v>2</v>
      </c>
      <c r="W1865" s="17">
        <v>0</v>
      </c>
      <c r="X1865" s="17">
        <v>0</v>
      </c>
      <c r="Y1865" s="13">
        <v>0</v>
      </c>
      <c r="Z1865" s="17">
        <v>0</v>
      </c>
      <c r="AA1865" s="17">
        <v>0</v>
      </c>
      <c r="AB1865" s="17">
        <v>0</v>
      </c>
      <c r="AC1865" s="17">
        <v>0</v>
      </c>
      <c r="AD1865" s="17">
        <v>0</v>
      </c>
      <c r="AE1865" s="17">
        <v>0</v>
      </c>
      <c r="AF1865" s="17">
        <v>20</v>
      </c>
      <c r="AG1865" s="17">
        <v>0</v>
      </c>
      <c r="AH1865" s="17">
        <v>0</v>
      </c>
      <c r="AI1865" s="13">
        <v>2</v>
      </c>
      <c r="AJ1865" s="13">
        <v>2</v>
      </c>
      <c r="AK1865" s="13">
        <v>0</v>
      </c>
      <c r="AL1865" s="13">
        <v>1.5</v>
      </c>
      <c r="AM1865" s="17">
        <v>0</v>
      </c>
      <c r="AN1865" s="17">
        <v>0</v>
      </c>
      <c r="AO1865" s="17">
        <v>0</v>
      </c>
      <c r="AP1865" s="17">
        <v>1</v>
      </c>
      <c r="AQ1865" s="17">
        <v>3000</v>
      </c>
      <c r="AR1865" s="17">
        <v>0.5</v>
      </c>
      <c r="AS1865" s="17">
        <v>0</v>
      </c>
      <c r="AT1865" s="13">
        <v>0</v>
      </c>
      <c r="AU1865" s="17" t="s">
        <v>198</v>
      </c>
      <c r="AV1865" s="17"/>
      <c r="AW1865" s="20" t="s">
        <v>199</v>
      </c>
      <c r="AX1865" s="17" t="s">
        <v>545</v>
      </c>
      <c r="AY1865" s="19">
        <v>0</v>
      </c>
      <c r="AZ1865" s="19">
        <v>0</v>
      </c>
      <c r="BA1865" s="18" t="s">
        <v>528</v>
      </c>
      <c r="BB1865" s="17" t="s">
        <v>4286</v>
      </c>
      <c r="BC1865" s="28">
        <v>0</v>
      </c>
      <c r="BD1865" s="28">
        <v>0</v>
      </c>
      <c r="BE1865" s="46" t="s">
        <v>4287</v>
      </c>
      <c r="BF1865" s="46" t="s">
        <v>4288</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70401002</v>
      </c>
      <c r="D1866" s="18" t="s">
        <v>4289</v>
      </c>
      <c r="E1866" s="18" t="s">
        <v>4290</v>
      </c>
      <c r="F1866" s="17">
        <v>1</v>
      </c>
      <c r="G1866" s="17">
        <v>60010300</v>
      </c>
      <c r="H1866" s="19">
        <v>0</v>
      </c>
      <c r="I1866" s="28">
        <v>0</v>
      </c>
      <c r="J1866" s="19">
        <v>1</v>
      </c>
      <c r="K1866" s="19">
        <v>0</v>
      </c>
      <c r="L1866" s="19">
        <v>0</v>
      </c>
      <c r="M1866" s="17">
        <v>0</v>
      </c>
      <c r="N1866" s="17">
        <v>0</v>
      </c>
      <c r="O1866" s="17">
        <v>2</v>
      </c>
      <c r="P1866" s="17">
        <v>2</v>
      </c>
      <c r="Q1866" s="17">
        <v>0.8</v>
      </c>
      <c r="R1866" s="17">
        <v>0</v>
      </c>
      <c r="S1866" s="13">
        <v>0</v>
      </c>
      <c r="T1866" s="17">
        <v>0</v>
      </c>
      <c r="U1866" s="17">
        <v>1</v>
      </c>
      <c r="V1866" s="17">
        <v>2</v>
      </c>
      <c r="W1866" s="17">
        <v>0</v>
      </c>
      <c r="X1866" s="17">
        <v>0</v>
      </c>
      <c r="Y1866" s="13">
        <v>0</v>
      </c>
      <c r="Z1866" s="17">
        <v>0</v>
      </c>
      <c r="AA1866" s="17">
        <v>0</v>
      </c>
      <c r="AB1866" s="17">
        <v>0</v>
      </c>
      <c r="AC1866" s="17">
        <v>0</v>
      </c>
      <c r="AD1866" s="17">
        <v>0</v>
      </c>
      <c r="AE1866" s="17">
        <v>0</v>
      </c>
      <c r="AF1866" s="17">
        <v>30</v>
      </c>
      <c r="AG1866" s="17">
        <v>0</v>
      </c>
      <c r="AH1866" s="17">
        <v>0</v>
      </c>
      <c r="AI1866" s="13">
        <v>2</v>
      </c>
      <c r="AJ1866" s="13">
        <v>2</v>
      </c>
      <c r="AK1866" s="13">
        <v>0</v>
      </c>
      <c r="AL1866" s="13">
        <v>1.5</v>
      </c>
      <c r="AM1866" s="17">
        <v>0</v>
      </c>
      <c r="AN1866" s="17">
        <v>0</v>
      </c>
      <c r="AO1866" s="17">
        <v>0</v>
      </c>
      <c r="AP1866" s="17">
        <v>1</v>
      </c>
      <c r="AQ1866" s="17">
        <v>3000</v>
      </c>
      <c r="AR1866" s="17">
        <v>0.5</v>
      </c>
      <c r="AS1866" s="17">
        <v>0</v>
      </c>
      <c r="AT1866" s="13">
        <v>0</v>
      </c>
      <c r="AU1866" s="17" t="s">
        <v>198</v>
      </c>
      <c r="AV1866" s="17"/>
      <c r="AW1866" s="20" t="s">
        <v>199</v>
      </c>
      <c r="AX1866" s="17" t="s">
        <v>545</v>
      </c>
      <c r="AY1866" s="19">
        <v>0</v>
      </c>
      <c r="AZ1866" s="19">
        <v>0</v>
      </c>
      <c r="BA1866" s="18" t="s">
        <v>528</v>
      </c>
      <c r="BB1866" s="17" t="s">
        <v>4291</v>
      </c>
      <c r="BC1866" s="28">
        <v>0</v>
      </c>
      <c r="BD1866" s="28">
        <v>0</v>
      </c>
      <c r="BE1866" s="46" t="s">
        <v>4292</v>
      </c>
      <c r="BF1866" s="46" t="s">
        <v>4293</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70401003</v>
      </c>
      <c r="D1867" s="20" t="s">
        <v>744</v>
      </c>
      <c r="E1867" s="20" t="s">
        <v>745</v>
      </c>
      <c r="F1867" s="19">
        <v>1</v>
      </c>
      <c r="G1867" s="19">
        <v>60010500</v>
      </c>
      <c r="H1867" s="19">
        <v>0</v>
      </c>
      <c r="I1867" s="28">
        <v>0</v>
      </c>
      <c r="J1867" s="19">
        <v>1</v>
      </c>
      <c r="K1867" s="19">
        <v>0</v>
      </c>
      <c r="L1867" s="19">
        <v>0</v>
      </c>
      <c r="M1867" s="19">
        <v>0</v>
      </c>
      <c r="N1867" s="19">
        <v>0</v>
      </c>
      <c r="O1867" s="17">
        <v>2</v>
      </c>
      <c r="P1867" s="19">
        <v>1</v>
      </c>
      <c r="Q1867" s="19">
        <v>0.05</v>
      </c>
      <c r="R1867" s="19">
        <v>0</v>
      </c>
      <c r="S1867" s="13">
        <v>0</v>
      </c>
      <c r="T1867" s="28">
        <v>0</v>
      </c>
      <c r="U1867" s="17">
        <v>1</v>
      </c>
      <c r="V1867" s="19">
        <v>1</v>
      </c>
      <c r="W1867" s="19">
        <v>0</v>
      </c>
      <c r="X1867" s="19">
        <v>2</v>
      </c>
      <c r="Y1867" s="13">
        <v>0</v>
      </c>
      <c r="Z1867" s="19">
        <v>0</v>
      </c>
      <c r="AA1867" s="19">
        <v>0</v>
      </c>
      <c r="AB1867" s="19">
        <v>0</v>
      </c>
      <c r="AC1867" s="19">
        <v>0</v>
      </c>
      <c r="AD1867" s="17">
        <v>0</v>
      </c>
      <c r="AE1867" s="19">
        <v>0</v>
      </c>
      <c r="AF1867" s="19">
        <v>10</v>
      </c>
      <c r="AG1867" s="19">
        <v>0</v>
      </c>
      <c r="AH1867" s="19">
        <v>0</v>
      </c>
      <c r="AI1867" s="13">
        <v>7</v>
      </c>
      <c r="AJ1867" s="13">
        <v>0</v>
      </c>
      <c r="AK1867" s="13">
        <v>0</v>
      </c>
      <c r="AL1867" s="13">
        <v>0</v>
      </c>
      <c r="AM1867" s="19">
        <v>0</v>
      </c>
      <c r="AN1867" s="19">
        <v>0</v>
      </c>
      <c r="AO1867" s="19">
        <v>0</v>
      </c>
      <c r="AP1867" s="19">
        <v>0</v>
      </c>
      <c r="AQ1867" s="19">
        <v>1000</v>
      </c>
      <c r="AR1867" s="19">
        <v>0.5</v>
      </c>
      <c r="AS1867" s="19">
        <v>0</v>
      </c>
      <c r="AT1867" s="13">
        <v>0</v>
      </c>
      <c r="AU1867" s="19" t="s">
        <v>659</v>
      </c>
      <c r="AV1867" s="19"/>
      <c r="AW1867" s="20" t="s">
        <v>741</v>
      </c>
      <c r="AX1867" s="19">
        <v>0</v>
      </c>
      <c r="AY1867" s="19">
        <v>10007001</v>
      </c>
      <c r="AZ1867" s="19">
        <v>0</v>
      </c>
      <c r="BA1867" s="20" t="s">
        <v>200</v>
      </c>
      <c r="BB1867" s="20" t="s">
        <v>198</v>
      </c>
      <c r="BC1867" s="28">
        <v>0</v>
      </c>
      <c r="BD1867" s="28">
        <v>0</v>
      </c>
      <c r="BE1867" s="89" t="s">
        <v>746</v>
      </c>
      <c r="BF1867" s="89" t="s">
        <v>747</v>
      </c>
      <c r="BG1867" s="19">
        <v>0</v>
      </c>
      <c r="BH1867" s="17">
        <v>0</v>
      </c>
      <c r="BI1867" s="19">
        <v>0</v>
      </c>
      <c r="BJ1867" s="19">
        <v>0</v>
      </c>
      <c r="BK1867" s="19">
        <v>0</v>
      </c>
      <c r="BL1867" s="19">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70401004</v>
      </c>
      <c r="D1868" s="20" t="s">
        <v>538</v>
      </c>
      <c r="E1868" s="20" t="s">
        <v>539</v>
      </c>
      <c r="F1868" s="19">
        <v>1</v>
      </c>
      <c r="G1868" s="19">
        <v>60010500</v>
      </c>
      <c r="H1868" s="19">
        <v>0</v>
      </c>
      <c r="I1868" s="28">
        <v>0</v>
      </c>
      <c r="J1868" s="19">
        <v>1</v>
      </c>
      <c r="K1868" s="19">
        <v>0</v>
      </c>
      <c r="L1868" s="19">
        <v>0</v>
      </c>
      <c r="M1868" s="19">
        <v>0</v>
      </c>
      <c r="N1868" s="19">
        <v>0</v>
      </c>
      <c r="O1868" s="17">
        <v>2</v>
      </c>
      <c r="P1868" s="19">
        <v>2</v>
      </c>
      <c r="Q1868" s="19">
        <v>0.6</v>
      </c>
      <c r="R1868" s="19">
        <v>0</v>
      </c>
      <c r="S1868" s="13">
        <v>0</v>
      </c>
      <c r="T1868" s="28">
        <v>0</v>
      </c>
      <c r="U1868" s="17">
        <v>1</v>
      </c>
      <c r="V1868" s="19">
        <v>2</v>
      </c>
      <c r="W1868" s="19">
        <v>0</v>
      </c>
      <c r="X1868" s="19">
        <v>0</v>
      </c>
      <c r="Y1868" s="13">
        <v>0</v>
      </c>
      <c r="Z1868" s="19">
        <v>0</v>
      </c>
      <c r="AA1868" s="19">
        <v>0</v>
      </c>
      <c r="AB1868" s="19">
        <v>0</v>
      </c>
      <c r="AC1868" s="19">
        <v>0</v>
      </c>
      <c r="AD1868" s="17">
        <v>0</v>
      </c>
      <c r="AE1868" s="19">
        <v>0</v>
      </c>
      <c r="AF1868" s="19">
        <v>20</v>
      </c>
      <c r="AG1868" s="19">
        <v>0</v>
      </c>
      <c r="AH1868" s="19">
        <v>0</v>
      </c>
      <c r="AI1868" s="13">
        <v>2</v>
      </c>
      <c r="AJ1868" s="13">
        <v>0</v>
      </c>
      <c r="AK1868" s="13">
        <v>0</v>
      </c>
      <c r="AL1868" s="13">
        <v>0</v>
      </c>
      <c r="AM1868" s="19">
        <v>0</v>
      </c>
      <c r="AN1868" s="19">
        <v>0</v>
      </c>
      <c r="AO1868" s="19">
        <v>0</v>
      </c>
      <c r="AP1868" s="19">
        <v>0</v>
      </c>
      <c r="AQ1868" s="19">
        <v>1000</v>
      </c>
      <c r="AR1868" s="19">
        <v>0</v>
      </c>
      <c r="AS1868" s="19">
        <v>0</v>
      </c>
      <c r="AT1868" s="13">
        <v>90401004</v>
      </c>
      <c r="AU1868" s="19" t="s">
        <v>198</v>
      </c>
      <c r="AV1868" s="19"/>
      <c r="AW1868" s="20" t="s">
        <v>198</v>
      </c>
      <c r="AX1868" s="19" t="s">
        <v>348</v>
      </c>
      <c r="AY1868" s="19">
        <v>0</v>
      </c>
      <c r="AZ1868" s="19">
        <v>40000003</v>
      </c>
      <c r="BA1868" s="20" t="s">
        <v>200</v>
      </c>
      <c r="BB1868" s="20" t="s">
        <v>198</v>
      </c>
      <c r="BC1868" s="28">
        <v>0</v>
      </c>
      <c r="BD1868" s="28">
        <v>0</v>
      </c>
      <c r="BE1868" s="89" t="s">
        <v>864</v>
      </c>
      <c r="BF1868" s="89" t="s">
        <v>865</v>
      </c>
      <c r="BG1868" s="19">
        <v>0</v>
      </c>
      <c r="BH1868" s="17">
        <v>0</v>
      </c>
      <c r="BI1868" s="19">
        <v>0</v>
      </c>
      <c r="BJ1868" s="19">
        <v>0</v>
      </c>
      <c r="BK1868" s="19">
        <v>0</v>
      </c>
      <c r="BL1868" s="19">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70401005</v>
      </c>
      <c r="D1869" s="20" t="s">
        <v>757</v>
      </c>
      <c r="E1869" s="20" t="s">
        <v>399</v>
      </c>
      <c r="F1869" s="19">
        <v>1</v>
      </c>
      <c r="G1869" s="19">
        <v>60010500</v>
      </c>
      <c r="H1869" s="19">
        <v>0</v>
      </c>
      <c r="I1869" s="28">
        <v>0</v>
      </c>
      <c r="J1869" s="19">
        <v>1</v>
      </c>
      <c r="K1869" s="19">
        <v>0</v>
      </c>
      <c r="L1869" s="19">
        <v>0</v>
      </c>
      <c r="M1869" s="19">
        <v>0</v>
      </c>
      <c r="N1869" s="19">
        <v>0</v>
      </c>
      <c r="O1869" s="17">
        <v>2</v>
      </c>
      <c r="P1869" s="19">
        <v>2</v>
      </c>
      <c r="Q1869" s="19">
        <v>0.3</v>
      </c>
      <c r="R1869" s="19">
        <v>0</v>
      </c>
      <c r="S1869" s="13">
        <v>0</v>
      </c>
      <c r="T1869" s="28">
        <v>0</v>
      </c>
      <c r="U1869" s="17">
        <v>1</v>
      </c>
      <c r="V1869" s="19">
        <v>2</v>
      </c>
      <c r="W1869" s="19">
        <v>0</v>
      </c>
      <c r="X1869" s="19">
        <v>0</v>
      </c>
      <c r="Y1869" s="13">
        <v>0</v>
      </c>
      <c r="Z1869" s="19">
        <v>0</v>
      </c>
      <c r="AA1869" s="19">
        <v>0</v>
      </c>
      <c r="AB1869" s="19">
        <v>0</v>
      </c>
      <c r="AC1869" s="19">
        <v>0</v>
      </c>
      <c r="AD1869" s="17">
        <v>0</v>
      </c>
      <c r="AE1869" s="19">
        <v>0</v>
      </c>
      <c r="AF1869" s="17">
        <v>15</v>
      </c>
      <c r="AG1869" s="19">
        <v>0</v>
      </c>
      <c r="AH1869" s="19">
        <v>0</v>
      </c>
      <c r="AI1869" s="13">
        <v>2</v>
      </c>
      <c r="AJ1869" s="13">
        <v>0</v>
      </c>
      <c r="AK1869" s="13">
        <v>0</v>
      </c>
      <c r="AL1869" s="13">
        <v>0</v>
      </c>
      <c r="AM1869" s="19">
        <v>0</v>
      </c>
      <c r="AN1869" s="19">
        <v>0</v>
      </c>
      <c r="AO1869" s="19">
        <v>0</v>
      </c>
      <c r="AP1869" s="19">
        <v>0</v>
      </c>
      <c r="AQ1869" s="19">
        <v>1000</v>
      </c>
      <c r="AR1869" s="19">
        <v>0</v>
      </c>
      <c r="AS1869" s="19">
        <v>0</v>
      </c>
      <c r="AT1869" s="13">
        <v>90304001</v>
      </c>
      <c r="AU1869" s="19" t="s">
        <v>198</v>
      </c>
      <c r="AV1869" s="19"/>
      <c r="AW1869" s="20" t="s">
        <v>287</v>
      </c>
      <c r="AX1869" s="19" t="s">
        <v>348</v>
      </c>
      <c r="AY1869" s="19">
        <v>0</v>
      </c>
      <c r="AZ1869" s="19">
        <v>0</v>
      </c>
      <c r="BA1869" s="20" t="s">
        <v>200</v>
      </c>
      <c r="BB1869" s="20" t="s">
        <v>198</v>
      </c>
      <c r="BC1869" s="28">
        <v>0</v>
      </c>
      <c r="BD1869" s="28">
        <v>0</v>
      </c>
      <c r="BE1869" s="89" t="s">
        <v>758</v>
      </c>
      <c r="BF1869" s="89" t="s">
        <v>759</v>
      </c>
      <c r="BG1869" s="19">
        <v>0</v>
      </c>
      <c r="BH1869" s="17">
        <v>0</v>
      </c>
      <c r="BI1869" s="19">
        <v>0</v>
      </c>
      <c r="BJ1869" s="19">
        <v>0</v>
      </c>
      <c r="BK1869" s="19">
        <v>0</v>
      </c>
      <c r="BL1869" s="19">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70401006</v>
      </c>
      <c r="D1870" s="18" t="s">
        <v>4294</v>
      </c>
      <c r="E1870" s="18" t="s">
        <v>4295</v>
      </c>
      <c r="F1870" s="19">
        <v>1</v>
      </c>
      <c r="G1870" s="17">
        <v>60010300</v>
      </c>
      <c r="H1870" s="19">
        <v>0</v>
      </c>
      <c r="I1870" s="28">
        <v>0</v>
      </c>
      <c r="J1870" s="19">
        <v>1</v>
      </c>
      <c r="K1870" s="19">
        <v>0</v>
      </c>
      <c r="L1870" s="19">
        <v>0</v>
      </c>
      <c r="M1870" s="17">
        <v>0</v>
      </c>
      <c r="N1870" s="17">
        <v>0</v>
      </c>
      <c r="O1870" s="17">
        <v>2</v>
      </c>
      <c r="P1870" s="17">
        <v>1</v>
      </c>
      <c r="Q1870" s="17">
        <v>0.3</v>
      </c>
      <c r="R1870" s="17">
        <v>0</v>
      </c>
      <c r="S1870" s="13">
        <v>0</v>
      </c>
      <c r="T1870" s="17">
        <v>0</v>
      </c>
      <c r="U1870" s="17">
        <v>1</v>
      </c>
      <c r="V1870" s="17">
        <v>2</v>
      </c>
      <c r="W1870" s="17">
        <v>0</v>
      </c>
      <c r="X1870" s="17">
        <v>3</v>
      </c>
      <c r="Y1870" s="13">
        <v>0</v>
      </c>
      <c r="Z1870" s="17">
        <v>350</v>
      </c>
      <c r="AA1870" s="17">
        <v>0</v>
      </c>
      <c r="AB1870" s="17">
        <v>0</v>
      </c>
      <c r="AC1870" s="17">
        <v>0</v>
      </c>
      <c r="AD1870" s="17">
        <v>0</v>
      </c>
      <c r="AE1870" s="17">
        <v>0</v>
      </c>
      <c r="AF1870" s="17">
        <v>9</v>
      </c>
      <c r="AG1870" s="17">
        <v>2</v>
      </c>
      <c r="AH1870" s="17" t="s">
        <v>213</v>
      </c>
      <c r="AI1870" s="13">
        <v>0</v>
      </c>
      <c r="AJ1870" s="13">
        <v>2</v>
      </c>
      <c r="AK1870" s="13">
        <v>0</v>
      </c>
      <c r="AL1870" s="13">
        <v>1.5</v>
      </c>
      <c r="AM1870" s="17">
        <v>0</v>
      </c>
      <c r="AN1870" s="17">
        <v>0</v>
      </c>
      <c r="AO1870" s="17">
        <v>0</v>
      </c>
      <c r="AP1870" s="17">
        <v>1.5</v>
      </c>
      <c r="AQ1870" s="17">
        <v>3000</v>
      </c>
      <c r="AR1870" s="17">
        <v>1</v>
      </c>
      <c r="AS1870" s="17">
        <v>0</v>
      </c>
      <c r="AT1870" s="13">
        <v>0</v>
      </c>
      <c r="AU1870" s="17" t="s">
        <v>4296</v>
      </c>
      <c r="AV1870" s="17"/>
      <c r="AW1870" s="20" t="s">
        <v>617</v>
      </c>
      <c r="AX1870" s="17" t="s">
        <v>545</v>
      </c>
      <c r="AY1870" s="19">
        <v>10000007</v>
      </c>
      <c r="AZ1870" s="19">
        <v>70401006</v>
      </c>
      <c r="BA1870" s="18" t="s">
        <v>200</v>
      </c>
      <c r="BB1870" s="17">
        <v>0</v>
      </c>
      <c r="BC1870" s="28">
        <v>0</v>
      </c>
      <c r="BD1870" s="28">
        <v>0</v>
      </c>
      <c r="BE1870" s="46" t="s">
        <v>4297</v>
      </c>
      <c r="BF1870" s="46" t="s">
        <v>4298</v>
      </c>
      <c r="BG1870" s="17">
        <v>0</v>
      </c>
      <c r="BH1870" s="17">
        <v>0</v>
      </c>
      <c r="BI1870" s="17">
        <v>0</v>
      </c>
      <c r="BJ1870" s="17">
        <v>0</v>
      </c>
      <c r="BK1870" s="17">
        <v>0</v>
      </c>
      <c r="BL1870" s="17">
        <v>0</v>
      </c>
      <c r="BM1870" s="16">
        <v>0</v>
      </c>
      <c r="BN1870" s="13">
        <v>0</v>
      </c>
      <c r="BO1870" s="13">
        <v>0</v>
      </c>
      <c r="BP1870" s="13">
        <v>0</v>
      </c>
      <c r="BQ1870" s="13">
        <v>0</v>
      </c>
      <c r="BR1870" s="13">
        <v>0</v>
      </c>
      <c r="BS1870" s="13">
        <v>0</v>
      </c>
      <c r="BT1870" s="13">
        <v>0</v>
      </c>
      <c r="BU1870" s="49">
        <v>0</v>
      </c>
      <c r="BV1870" s="49"/>
      <c r="BW1870" s="49"/>
    </row>
    <row r="1871" spans="3:75" ht="19.5" customHeight="1">
      <c r="C1871" s="19">
        <v>70402001</v>
      </c>
      <c r="D1871" s="18" t="s">
        <v>1124</v>
      </c>
      <c r="E1871" s="18" t="s">
        <v>1125</v>
      </c>
      <c r="F1871" s="19">
        <v>1</v>
      </c>
      <c r="G1871" s="17">
        <v>60010100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1</v>
      </c>
      <c r="Y1871" s="13">
        <v>0</v>
      </c>
      <c r="Z1871" s="17">
        <v>0</v>
      </c>
      <c r="AA1871" s="17">
        <v>1</v>
      </c>
      <c r="AB1871" s="17">
        <v>0</v>
      </c>
      <c r="AC1871" s="17">
        <v>0</v>
      </c>
      <c r="AD1871" s="17">
        <v>0</v>
      </c>
      <c r="AE1871" s="17">
        <v>0</v>
      </c>
      <c r="AF1871" s="17">
        <v>30</v>
      </c>
      <c r="AG1871" s="17">
        <v>1</v>
      </c>
      <c r="AH1871" s="17" t="s">
        <v>861</v>
      </c>
      <c r="AI1871" s="13">
        <v>0</v>
      </c>
      <c r="AJ1871" s="13">
        <v>0</v>
      </c>
      <c r="AK1871" s="13">
        <v>0</v>
      </c>
      <c r="AL1871" s="13">
        <v>0</v>
      </c>
      <c r="AM1871" s="17">
        <v>0</v>
      </c>
      <c r="AN1871" s="17">
        <v>0</v>
      </c>
      <c r="AO1871" s="17">
        <v>0</v>
      </c>
      <c r="AP1871" s="17">
        <v>0.5</v>
      </c>
      <c r="AQ1871" s="17">
        <v>999999</v>
      </c>
      <c r="AR1871" s="17">
        <v>0.5</v>
      </c>
      <c r="AS1871" s="17">
        <v>0</v>
      </c>
      <c r="AT1871" s="13">
        <v>0</v>
      </c>
      <c r="AU1871" s="355" t="s">
        <v>1019</v>
      </c>
      <c r="AV1871" s="13"/>
      <c r="AW1871" s="20" t="s">
        <v>287</v>
      </c>
      <c r="AX1871" s="17" t="s">
        <v>534</v>
      </c>
      <c r="AY1871" s="19">
        <v>10000007</v>
      </c>
      <c r="AZ1871" s="19">
        <v>70202004</v>
      </c>
      <c r="BA1871" s="20" t="s">
        <v>315</v>
      </c>
      <c r="BB1871" s="20" t="s">
        <v>371</v>
      </c>
      <c r="BC1871" s="28">
        <v>0</v>
      </c>
      <c r="BD1871" s="28">
        <v>0</v>
      </c>
      <c r="BE1871" s="46" t="s">
        <v>1001</v>
      </c>
      <c r="BF1871" s="46" t="s">
        <v>1002</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70402002</v>
      </c>
      <c r="D1872" s="18" t="s">
        <v>4299</v>
      </c>
      <c r="E1872" s="18" t="s">
        <v>4300</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4301</v>
      </c>
      <c r="BC1872" s="28">
        <v>0</v>
      </c>
      <c r="BD1872" s="28">
        <v>0</v>
      </c>
      <c r="BE1872" s="46" t="s">
        <v>4302</v>
      </c>
      <c r="BF1872" s="46" t="s">
        <v>4303</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19.5" customHeight="1">
      <c r="C1873" s="19">
        <v>70402003</v>
      </c>
      <c r="D1873" s="18" t="s">
        <v>4246</v>
      </c>
      <c r="E1873" s="18" t="s">
        <v>4247</v>
      </c>
      <c r="F1873" s="19">
        <v>1</v>
      </c>
      <c r="G1873" s="17">
        <v>60010100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0</v>
      </c>
      <c r="AA1873" s="17">
        <v>1</v>
      </c>
      <c r="AB1873" s="17">
        <v>0</v>
      </c>
      <c r="AC1873" s="17">
        <v>0</v>
      </c>
      <c r="AD1873" s="17">
        <v>0</v>
      </c>
      <c r="AE1873" s="17">
        <v>0</v>
      </c>
      <c r="AF1873" s="17">
        <v>15</v>
      </c>
      <c r="AG1873" s="17">
        <v>1</v>
      </c>
      <c r="AH1873" s="17" t="s">
        <v>607</v>
      </c>
      <c r="AI1873" s="13">
        <v>0</v>
      </c>
      <c r="AJ1873" s="13">
        <v>1</v>
      </c>
      <c r="AK1873" s="13">
        <v>0</v>
      </c>
      <c r="AL1873" s="13">
        <v>3</v>
      </c>
      <c r="AM1873" s="17">
        <v>0</v>
      </c>
      <c r="AN1873" s="17">
        <v>0</v>
      </c>
      <c r="AO1873" s="17">
        <v>0</v>
      </c>
      <c r="AP1873" s="17">
        <v>2.5</v>
      </c>
      <c r="AQ1873" s="17">
        <v>5000</v>
      </c>
      <c r="AR1873" s="17">
        <v>2</v>
      </c>
      <c r="AS1873" s="17">
        <v>0</v>
      </c>
      <c r="AT1873" s="13">
        <v>0</v>
      </c>
      <c r="AU1873" s="17" t="s">
        <v>659</v>
      </c>
      <c r="AV1873" s="17"/>
      <c r="AW1873" s="20" t="s">
        <v>617</v>
      </c>
      <c r="AX1873" s="17" t="s">
        <v>534</v>
      </c>
      <c r="AY1873" s="19">
        <v>10000007</v>
      </c>
      <c r="AZ1873" s="19">
        <v>70402003</v>
      </c>
      <c r="BA1873" s="18" t="s">
        <v>200</v>
      </c>
      <c r="BB1873" s="17">
        <v>0</v>
      </c>
      <c r="BC1873" s="28">
        <v>0</v>
      </c>
      <c r="BD1873" s="28">
        <v>0</v>
      </c>
      <c r="BE1873" s="46" t="s">
        <v>4277</v>
      </c>
      <c r="BF1873" s="46" t="s">
        <v>4278</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20.100000000000001" customHeight="1">
      <c r="C1874" s="19">
        <v>70402004</v>
      </c>
      <c r="D1874" s="20" t="s">
        <v>744</v>
      </c>
      <c r="E1874" s="20" t="s">
        <v>745</v>
      </c>
      <c r="F1874" s="19">
        <v>1</v>
      </c>
      <c r="G1874" s="19">
        <v>60010500</v>
      </c>
      <c r="H1874" s="19">
        <v>0</v>
      </c>
      <c r="I1874" s="28">
        <v>0</v>
      </c>
      <c r="J1874" s="19">
        <v>1</v>
      </c>
      <c r="K1874" s="19">
        <v>0</v>
      </c>
      <c r="L1874" s="19">
        <v>0</v>
      </c>
      <c r="M1874" s="19">
        <v>0</v>
      </c>
      <c r="N1874" s="19">
        <v>0</v>
      </c>
      <c r="O1874" s="17">
        <v>2</v>
      </c>
      <c r="P1874" s="19">
        <v>1</v>
      </c>
      <c r="Q1874" s="19">
        <v>0.05</v>
      </c>
      <c r="R1874" s="19">
        <v>0</v>
      </c>
      <c r="S1874" s="13">
        <v>0</v>
      </c>
      <c r="T1874" s="28">
        <v>0</v>
      </c>
      <c r="U1874" s="17">
        <v>1</v>
      </c>
      <c r="V1874" s="19">
        <v>1</v>
      </c>
      <c r="W1874" s="19">
        <v>0</v>
      </c>
      <c r="X1874" s="19">
        <v>2</v>
      </c>
      <c r="Y1874" s="13">
        <v>0</v>
      </c>
      <c r="Z1874" s="19">
        <v>0</v>
      </c>
      <c r="AA1874" s="19">
        <v>0</v>
      </c>
      <c r="AB1874" s="19">
        <v>0</v>
      </c>
      <c r="AC1874" s="19">
        <v>0</v>
      </c>
      <c r="AD1874" s="17">
        <v>0</v>
      </c>
      <c r="AE1874" s="19">
        <v>0</v>
      </c>
      <c r="AF1874" s="19">
        <v>10</v>
      </c>
      <c r="AG1874" s="19">
        <v>0</v>
      </c>
      <c r="AH1874" s="19">
        <v>0</v>
      </c>
      <c r="AI1874" s="13">
        <v>7</v>
      </c>
      <c r="AJ1874" s="13">
        <v>0</v>
      </c>
      <c r="AK1874" s="13">
        <v>0</v>
      </c>
      <c r="AL1874" s="13">
        <v>0</v>
      </c>
      <c r="AM1874" s="19">
        <v>0</v>
      </c>
      <c r="AN1874" s="19">
        <v>0</v>
      </c>
      <c r="AO1874" s="19">
        <v>0</v>
      </c>
      <c r="AP1874" s="19">
        <v>0</v>
      </c>
      <c r="AQ1874" s="19">
        <v>1000</v>
      </c>
      <c r="AR1874" s="19">
        <v>0.5</v>
      </c>
      <c r="AS1874" s="19">
        <v>0</v>
      </c>
      <c r="AT1874" s="13">
        <v>0</v>
      </c>
      <c r="AU1874" s="19" t="s">
        <v>854</v>
      </c>
      <c r="AV1874" s="19"/>
      <c r="AW1874" s="20" t="s">
        <v>741</v>
      </c>
      <c r="AX1874" s="19">
        <v>0</v>
      </c>
      <c r="AY1874" s="19">
        <v>10007001</v>
      </c>
      <c r="AZ1874" s="19">
        <v>0</v>
      </c>
      <c r="BA1874" s="20" t="s">
        <v>200</v>
      </c>
      <c r="BB1874" s="20" t="s">
        <v>198</v>
      </c>
      <c r="BC1874" s="28">
        <v>0</v>
      </c>
      <c r="BD1874" s="28">
        <v>0</v>
      </c>
      <c r="BE1874" s="89" t="s">
        <v>4304</v>
      </c>
      <c r="BF1874" s="89" t="s">
        <v>4305</v>
      </c>
      <c r="BG1874" s="19">
        <v>0</v>
      </c>
      <c r="BH1874" s="17">
        <v>0</v>
      </c>
      <c r="BI1874" s="19">
        <v>0</v>
      </c>
      <c r="BJ1874" s="19">
        <v>0</v>
      </c>
      <c r="BK1874" s="19">
        <v>0</v>
      </c>
      <c r="BL1874" s="19">
        <v>0</v>
      </c>
      <c r="BM1874" s="16">
        <v>0</v>
      </c>
      <c r="BN1874" s="13">
        <v>0</v>
      </c>
      <c r="BO1874" s="13">
        <v>0</v>
      </c>
      <c r="BP1874" s="13">
        <v>0</v>
      </c>
      <c r="BQ1874" s="13">
        <v>0</v>
      </c>
      <c r="BR1874" s="13">
        <v>0</v>
      </c>
      <c r="BS1874" s="13">
        <v>0</v>
      </c>
      <c r="BT1874" s="13">
        <v>0</v>
      </c>
      <c r="BU1874" s="49">
        <v>0</v>
      </c>
      <c r="BV1874" s="49"/>
      <c r="BW1874" s="49"/>
    </row>
    <row r="1875" spans="3:75" ht="20.100000000000001" customHeight="1">
      <c r="C1875" s="19">
        <v>70402005</v>
      </c>
      <c r="D1875" s="20" t="s">
        <v>567</v>
      </c>
      <c r="E1875" s="20" t="s">
        <v>568</v>
      </c>
      <c r="F1875" s="19">
        <v>1</v>
      </c>
      <c r="G1875" s="19">
        <v>60010500</v>
      </c>
      <c r="H1875" s="19">
        <v>0</v>
      </c>
      <c r="I1875" s="28">
        <v>0</v>
      </c>
      <c r="J1875" s="19">
        <v>1</v>
      </c>
      <c r="K1875" s="19">
        <v>0</v>
      </c>
      <c r="L1875" s="19">
        <v>0</v>
      </c>
      <c r="M1875" s="19">
        <v>0</v>
      </c>
      <c r="N1875" s="19">
        <v>0</v>
      </c>
      <c r="O1875" s="17">
        <v>2</v>
      </c>
      <c r="P1875" s="19">
        <v>2</v>
      </c>
      <c r="Q1875" s="19">
        <v>0.3</v>
      </c>
      <c r="R1875" s="19">
        <v>1</v>
      </c>
      <c r="S1875" s="13">
        <v>0</v>
      </c>
      <c r="T1875" s="28">
        <v>0</v>
      </c>
      <c r="U1875" s="17">
        <v>1</v>
      </c>
      <c r="V1875" s="19">
        <v>2</v>
      </c>
      <c r="W1875" s="19">
        <v>0</v>
      </c>
      <c r="X1875" s="19">
        <v>0</v>
      </c>
      <c r="Y1875" s="13">
        <v>0</v>
      </c>
      <c r="Z1875" s="19">
        <v>0</v>
      </c>
      <c r="AA1875" s="19">
        <v>0</v>
      </c>
      <c r="AB1875" s="19">
        <v>0</v>
      </c>
      <c r="AC1875" s="19">
        <v>0</v>
      </c>
      <c r="AD1875" s="17">
        <v>0</v>
      </c>
      <c r="AE1875" s="19">
        <v>0</v>
      </c>
      <c r="AF1875" s="17">
        <v>15</v>
      </c>
      <c r="AG1875" s="19">
        <v>0</v>
      </c>
      <c r="AH1875" s="19">
        <v>0</v>
      </c>
      <c r="AI1875" s="13">
        <v>2</v>
      </c>
      <c r="AJ1875" s="13">
        <v>0</v>
      </c>
      <c r="AK1875" s="13">
        <v>0</v>
      </c>
      <c r="AL1875" s="13">
        <v>0</v>
      </c>
      <c r="AM1875" s="19">
        <v>0</v>
      </c>
      <c r="AN1875" s="19">
        <v>0</v>
      </c>
      <c r="AO1875" s="19">
        <v>0</v>
      </c>
      <c r="AP1875" s="19">
        <v>0</v>
      </c>
      <c r="AQ1875" s="19">
        <v>1000</v>
      </c>
      <c r="AR1875" s="19">
        <v>0</v>
      </c>
      <c r="AS1875" s="19">
        <v>0</v>
      </c>
      <c r="AT1875" s="13">
        <v>90402005</v>
      </c>
      <c r="AU1875" s="19" t="s">
        <v>198</v>
      </c>
      <c r="AV1875" s="19"/>
      <c r="AW1875" s="20" t="s">
        <v>199</v>
      </c>
      <c r="AX1875" s="19" t="s">
        <v>348</v>
      </c>
      <c r="AY1875" s="19">
        <v>0</v>
      </c>
      <c r="AZ1875" s="19">
        <v>0</v>
      </c>
      <c r="BA1875" s="20" t="s">
        <v>200</v>
      </c>
      <c r="BB1875" s="20" t="s">
        <v>198</v>
      </c>
      <c r="BC1875" s="28">
        <v>0</v>
      </c>
      <c r="BD1875" s="28">
        <v>0</v>
      </c>
      <c r="BE1875" s="89" t="s">
        <v>850</v>
      </c>
      <c r="BF1875" s="89" t="s">
        <v>851</v>
      </c>
      <c r="BG1875" s="19">
        <v>0</v>
      </c>
      <c r="BH1875" s="17">
        <v>0</v>
      </c>
      <c r="BI1875" s="19">
        <v>0</v>
      </c>
      <c r="BJ1875" s="19">
        <v>0</v>
      </c>
      <c r="BK1875" s="19">
        <v>0</v>
      </c>
      <c r="BL1875" s="19">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70403001</v>
      </c>
      <c r="D1876" s="18" t="s">
        <v>4306</v>
      </c>
      <c r="E1876" s="18" t="s">
        <v>4307</v>
      </c>
      <c r="F1876" s="17">
        <v>1</v>
      </c>
      <c r="G1876" s="17">
        <v>60010300</v>
      </c>
      <c r="H1876" s="19">
        <v>0</v>
      </c>
      <c r="I1876" s="28">
        <v>0</v>
      </c>
      <c r="J1876" s="19">
        <v>1</v>
      </c>
      <c r="K1876" s="19">
        <v>0</v>
      </c>
      <c r="L1876" s="19">
        <v>0</v>
      </c>
      <c r="M1876" s="17">
        <v>0</v>
      </c>
      <c r="N1876" s="17">
        <v>0</v>
      </c>
      <c r="O1876" s="17">
        <v>2</v>
      </c>
      <c r="P1876" s="17">
        <v>2</v>
      </c>
      <c r="Q1876" s="17">
        <v>0.8</v>
      </c>
      <c r="R1876" s="17">
        <v>0</v>
      </c>
      <c r="S1876" s="13">
        <v>0</v>
      </c>
      <c r="T1876" s="17">
        <v>0</v>
      </c>
      <c r="U1876" s="17">
        <v>1</v>
      </c>
      <c r="V1876" s="17">
        <v>2</v>
      </c>
      <c r="W1876" s="17">
        <v>0</v>
      </c>
      <c r="X1876" s="17">
        <v>0</v>
      </c>
      <c r="Y1876" s="13">
        <v>0</v>
      </c>
      <c r="Z1876" s="17">
        <v>0</v>
      </c>
      <c r="AA1876" s="17">
        <v>0</v>
      </c>
      <c r="AB1876" s="17">
        <v>0</v>
      </c>
      <c r="AC1876" s="17">
        <v>0</v>
      </c>
      <c r="AD1876" s="17">
        <v>0</v>
      </c>
      <c r="AE1876" s="17">
        <v>0</v>
      </c>
      <c r="AF1876" s="17">
        <v>15</v>
      </c>
      <c r="AG1876" s="17">
        <v>0</v>
      </c>
      <c r="AH1876" s="17">
        <v>0</v>
      </c>
      <c r="AI1876" s="13">
        <v>2</v>
      </c>
      <c r="AJ1876" s="13">
        <v>2</v>
      </c>
      <c r="AK1876" s="13">
        <v>0</v>
      </c>
      <c r="AL1876" s="13">
        <v>1.5</v>
      </c>
      <c r="AM1876" s="17">
        <v>0</v>
      </c>
      <c r="AN1876" s="17">
        <v>0</v>
      </c>
      <c r="AO1876" s="17">
        <v>0</v>
      </c>
      <c r="AP1876" s="17">
        <v>1</v>
      </c>
      <c r="AQ1876" s="17">
        <v>3000</v>
      </c>
      <c r="AR1876" s="17">
        <v>0.5</v>
      </c>
      <c r="AS1876" s="17">
        <v>0</v>
      </c>
      <c r="AT1876" s="13">
        <v>0</v>
      </c>
      <c r="AU1876" s="17" t="s">
        <v>198</v>
      </c>
      <c r="AV1876" s="17"/>
      <c r="AW1876" s="20" t="s">
        <v>199</v>
      </c>
      <c r="AX1876" s="17" t="s">
        <v>545</v>
      </c>
      <c r="AY1876" s="19">
        <v>0</v>
      </c>
      <c r="AZ1876" s="19">
        <v>0</v>
      </c>
      <c r="BA1876" s="18" t="s">
        <v>528</v>
      </c>
      <c r="BB1876" s="17" t="s">
        <v>4308</v>
      </c>
      <c r="BC1876" s="28">
        <v>0</v>
      </c>
      <c r="BD1876" s="28">
        <v>0</v>
      </c>
      <c r="BE1876" s="46" t="s">
        <v>4309</v>
      </c>
      <c r="BF1876" s="46" t="s">
        <v>4310</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70403002</v>
      </c>
      <c r="D1877" s="18" t="s">
        <v>4311</v>
      </c>
      <c r="E1877" s="18" t="s">
        <v>4312</v>
      </c>
      <c r="F1877" s="19">
        <v>1</v>
      </c>
      <c r="G1877" s="17">
        <v>60010300</v>
      </c>
      <c r="H1877" s="19">
        <v>0</v>
      </c>
      <c r="I1877" s="28">
        <v>0</v>
      </c>
      <c r="J1877" s="19">
        <v>1</v>
      </c>
      <c r="K1877" s="19">
        <v>0</v>
      </c>
      <c r="L1877" s="19">
        <v>0</v>
      </c>
      <c r="M1877" s="17">
        <v>0</v>
      </c>
      <c r="N1877" s="17">
        <v>0</v>
      </c>
      <c r="O1877" s="17">
        <v>2</v>
      </c>
      <c r="P1877" s="17">
        <v>1</v>
      </c>
      <c r="Q1877" s="17">
        <v>0.3</v>
      </c>
      <c r="R1877" s="17">
        <v>0</v>
      </c>
      <c r="S1877" s="13">
        <v>0</v>
      </c>
      <c r="T1877" s="17">
        <v>0</v>
      </c>
      <c r="U1877" s="17">
        <v>1</v>
      </c>
      <c r="V1877" s="17">
        <v>2</v>
      </c>
      <c r="W1877" s="17">
        <v>0</v>
      </c>
      <c r="X1877" s="17">
        <v>3</v>
      </c>
      <c r="Y1877" s="13">
        <v>0</v>
      </c>
      <c r="Z1877" s="17">
        <v>350</v>
      </c>
      <c r="AA1877" s="17">
        <v>0</v>
      </c>
      <c r="AB1877" s="17">
        <v>0</v>
      </c>
      <c r="AC1877" s="17">
        <v>0</v>
      </c>
      <c r="AD1877" s="17">
        <v>0</v>
      </c>
      <c r="AE1877" s="17">
        <v>0</v>
      </c>
      <c r="AF1877" s="17">
        <v>9</v>
      </c>
      <c r="AG1877" s="17">
        <v>2</v>
      </c>
      <c r="AH1877" s="17" t="s">
        <v>213</v>
      </c>
      <c r="AI1877" s="13">
        <v>0</v>
      </c>
      <c r="AJ1877" s="13">
        <v>2</v>
      </c>
      <c r="AK1877" s="13">
        <v>0</v>
      </c>
      <c r="AL1877" s="13">
        <v>1.5</v>
      </c>
      <c r="AM1877" s="17">
        <v>0</v>
      </c>
      <c r="AN1877" s="17">
        <v>0</v>
      </c>
      <c r="AO1877" s="17">
        <v>0</v>
      </c>
      <c r="AP1877" s="17">
        <v>1</v>
      </c>
      <c r="AQ1877" s="17">
        <v>3000</v>
      </c>
      <c r="AR1877" s="17">
        <v>0.5</v>
      </c>
      <c r="AS1877" s="17">
        <v>0</v>
      </c>
      <c r="AT1877" s="13">
        <v>0</v>
      </c>
      <c r="AU1877" s="17" t="s">
        <v>854</v>
      </c>
      <c r="AV1877" s="17"/>
      <c r="AW1877" s="18" t="s">
        <v>287</v>
      </c>
      <c r="AX1877" s="17" t="s">
        <v>545</v>
      </c>
      <c r="AY1877" s="19">
        <v>10000007</v>
      </c>
      <c r="AZ1877" s="19">
        <v>70403002</v>
      </c>
      <c r="BA1877" s="18" t="s">
        <v>200</v>
      </c>
      <c r="BB1877" s="17">
        <v>0</v>
      </c>
      <c r="BC1877" s="28">
        <v>0</v>
      </c>
      <c r="BD1877" s="28">
        <v>0</v>
      </c>
      <c r="BE1877" s="46" t="s">
        <v>4297</v>
      </c>
      <c r="BF1877" s="46" t="s">
        <v>4298</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spans="3:75" ht="19.5" customHeight="1">
      <c r="C1878" s="19">
        <v>70403003</v>
      </c>
      <c r="D1878" s="18" t="s">
        <v>1091</v>
      </c>
      <c r="E1878" s="18" t="s">
        <v>1092</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3</v>
      </c>
      <c r="Y1878" s="13">
        <v>0</v>
      </c>
      <c r="Z1878" s="17">
        <v>0</v>
      </c>
      <c r="AA1878" s="17">
        <v>1</v>
      </c>
      <c r="AB1878" s="17">
        <v>0</v>
      </c>
      <c r="AC1878" s="17">
        <v>0</v>
      </c>
      <c r="AD1878" s="17">
        <v>0</v>
      </c>
      <c r="AE1878" s="17">
        <v>0</v>
      </c>
      <c r="AF1878" s="17">
        <v>15</v>
      </c>
      <c r="AG1878" s="17">
        <v>1</v>
      </c>
      <c r="AH1878" s="17" t="s">
        <v>607</v>
      </c>
      <c r="AI1878" s="13">
        <v>0</v>
      </c>
      <c r="AJ1878" s="13">
        <v>1</v>
      </c>
      <c r="AK1878" s="13">
        <v>0</v>
      </c>
      <c r="AL1878" s="13">
        <v>3</v>
      </c>
      <c r="AM1878" s="17">
        <v>0</v>
      </c>
      <c r="AN1878" s="17">
        <v>0</v>
      </c>
      <c r="AO1878" s="17">
        <v>0</v>
      </c>
      <c r="AP1878" s="17">
        <v>3</v>
      </c>
      <c r="AQ1878" s="17">
        <v>5000</v>
      </c>
      <c r="AR1878" s="17">
        <v>2.5</v>
      </c>
      <c r="AS1878" s="17">
        <v>0</v>
      </c>
      <c r="AT1878" s="13">
        <v>0</v>
      </c>
      <c r="AU1878" s="17" t="s">
        <v>659</v>
      </c>
      <c r="AV1878" s="17"/>
      <c r="AW1878" s="20" t="s">
        <v>256</v>
      </c>
      <c r="AX1878" s="17" t="s">
        <v>534</v>
      </c>
      <c r="AY1878" s="19">
        <v>10000007</v>
      </c>
      <c r="AZ1878" s="19">
        <v>70403003</v>
      </c>
      <c r="BA1878" s="18" t="s">
        <v>200</v>
      </c>
      <c r="BB1878" s="17">
        <v>0</v>
      </c>
      <c r="BC1878" s="28">
        <v>0</v>
      </c>
      <c r="BD1878" s="28">
        <v>0</v>
      </c>
      <c r="BE1878" s="46" t="s">
        <v>4277</v>
      </c>
      <c r="BF1878" s="46" t="s">
        <v>4278</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70403004</v>
      </c>
      <c r="D1879" s="18" t="s">
        <v>951</v>
      </c>
      <c r="E1879" s="18" t="s">
        <v>952</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2.5</v>
      </c>
      <c r="Y1879" s="13">
        <v>0</v>
      </c>
      <c r="Z1879" s="17">
        <v>0</v>
      </c>
      <c r="AA1879" s="17">
        <v>1</v>
      </c>
      <c r="AB1879" s="17">
        <v>0</v>
      </c>
      <c r="AC1879" s="17">
        <v>0</v>
      </c>
      <c r="AD1879" s="17">
        <v>0</v>
      </c>
      <c r="AE1879" s="17">
        <v>0</v>
      </c>
      <c r="AF1879" s="17">
        <v>12</v>
      </c>
      <c r="AG1879" s="17">
        <v>1</v>
      </c>
      <c r="AH1879" s="17">
        <v>3</v>
      </c>
      <c r="AI1879" s="13">
        <v>4</v>
      </c>
      <c r="AJ1879" s="13">
        <v>1</v>
      </c>
      <c r="AK1879" s="13">
        <v>0</v>
      </c>
      <c r="AL1879" s="13">
        <v>1.5</v>
      </c>
      <c r="AM1879" s="17">
        <v>0</v>
      </c>
      <c r="AN1879" s="17">
        <v>0</v>
      </c>
      <c r="AO1879" s="17">
        <v>0</v>
      </c>
      <c r="AP1879" s="17">
        <v>2.5</v>
      </c>
      <c r="AQ1879" s="17">
        <v>5000</v>
      </c>
      <c r="AR1879" s="17">
        <v>2</v>
      </c>
      <c r="AS1879" s="17">
        <v>0</v>
      </c>
      <c r="AT1879" s="13">
        <v>0</v>
      </c>
      <c r="AU1879" s="17">
        <v>80001030</v>
      </c>
      <c r="AV1879" s="17"/>
      <c r="AW1879" s="20" t="s">
        <v>617</v>
      </c>
      <c r="AX1879" s="17" t="s">
        <v>534</v>
      </c>
      <c r="AY1879" s="19">
        <v>10000007</v>
      </c>
      <c r="AZ1879" s="19">
        <v>70403004</v>
      </c>
      <c r="BA1879" s="18" t="s">
        <v>200</v>
      </c>
      <c r="BB1879" s="17" t="s">
        <v>4313</v>
      </c>
      <c r="BC1879" s="28">
        <v>0</v>
      </c>
      <c r="BD1879" s="28">
        <v>0</v>
      </c>
      <c r="BE1879" s="46" t="s">
        <v>4314</v>
      </c>
      <c r="BF1879" s="46" t="s">
        <v>4315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70403005</v>
      </c>
      <c r="D1880" s="20" t="s">
        <v>567</v>
      </c>
      <c r="E1880" s="20" t="s">
        <v>568</v>
      </c>
      <c r="F1880" s="19">
        <v>1</v>
      </c>
      <c r="G1880" s="19">
        <v>60010500</v>
      </c>
      <c r="H1880" s="19">
        <v>0</v>
      </c>
      <c r="I1880" s="28">
        <v>0</v>
      </c>
      <c r="J1880" s="19">
        <v>1</v>
      </c>
      <c r="K1880" s="19">
        <v>0</v>
      </c>
      <c r="L1880" s="19">
        <v>0</v>
      </c>
      <c r="M1880" s="19">
        <v>0</v>
      </c>
      <c r="N1880" s="19">
        <v>0</v>
      </c>
      <c r="O1880" s="17">
        <v>2</v>
      </c>
      <c r="P1880" s="19">
        <v>2</v>
      </c>
      <c r="Q1880" s="19">
        <v>0.3</v>
      </c>
      <c r="R1880" s="19">
        <v>1</v>
      </c>
      <c r="S1880" s="13">
        <v>0</v>
      </c>
      <c r="T1880" s="28">
        <v>0</v>
      </c>
      <c r="U1880" s="17">
        <v>1</v>
      </c>
      <c r="V1880" s="19">
        <v>2</v>
      </c>
      <c r="W1880" s="19">
        <v>0</v>
      </c>
      <c r="X1880" s="19">
        <v>0</v>
      </c>
      <c r="Y1880" s="13">
        <v>0</v>
      </c>
      <c r="Z1880" s="19">
        <v>0</v>
      </c>
      <c r="AA1880" s="19">
        <v>0</v>
      </c>
      <c r="AB1880" s="19">
        <v>0</v>
      </c>
      <c r="AC1880" s="19">
        <v>0</v>
      </c>
      <c r="AD1880" s="17">
        <v>0</v>
      </c>
      <c r="AE1880" s="19">
        <v>0</v>
      </c>
      <c r="AF1880" s="17">
        <v>15</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90402005</v>
      </c>
      <c r="AU1880" s="19" t="s">
        <v>198</v>
      </c>
      <c r="AV1880" s="19"/>
      <c r="AW1880" s="20" t="s">
        <v>199</v>
      </c>
      <c r="AX1880" s="19" t="s">
        <v>348</v>
      </c>
      <c r="AY1880" s="19">
        <v>0</v>
      </c>
      <c r="AZ1880" s="19">
        <v>0</v>
      </c>
      <c r="BA1880" s="20" t="s">
        <v>200</v>
      </c>
      <c r="BB1880" s="20" t="s">
        <v>198</v>
      </c>
      <c r="BC1880" s="28">
        <v>0</v>
      </c>
      <c r="BD1880" s="28">
        <v>0</v>
      </c>
      <c r="BE1880" s="89" t="s">
        <v>798</v>
      </c>
      <c r="BF1880" s="89" t="s">
        <v>799</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spans="3:75" ht="19.5" customHeight="1">
      <c r="C1881" s="19">
        <v>70404001</v>
      </c>
      <c r="D1881" s="20" t="s">
        <v>760</v>
      </c>
      <c r="E1881" s="20" t="s">
        <v>761</v>
      </c>
      <c r="F1881" s="19">
        <v>1</v>
      </c>
      <c r="G1881" s="19">
        <v>60010300</v>
      </c>
      <c r="H1881" s="19">
        <v>0</v>
      </c>
      <c r="I1881" s="28">
        <v>0</v>
      </c>
      <c r="J1881" s="19">
        <v>1</v>
      </c>
      <c r="K1881" s="19">
        <v>0</v>
      </c>
      <c r="L1881" s="19">
        <v>0</v>
      </c>
      <c r="M1881" s="19">
        <v>0</v>
      </c>
      <c r="N1881" s="19">
        <v>0</v>
      </c>
      <c r="O1881" s="17">
        <v>2</v>
      </c>
      <c r="P1881" s="19">
        <v>0</v>
      </c>
      <c r="Q1881" s="19">
        <v>0</v>
      </c>
      <c r="R1881" s="19">
        <v>0</v>
      </c>
      <c r="S1881" s="13">
        <v>0</v>
      </c>
      <c r="T1881" s="28">
        <v>0</v>
      </c>
      <c r="U1881" s="17">
        <v>1</v>
      </c>
      <c r="V1881" s="19">
        <v>2</v>
      </c>
      <c r="W1881" s="19">
        <v>0</v>
      </c>
      <c r="X1881" s="19">
        <v>3</v>
      </c>
      <c r="Y1881" s="13">
        <v>0</v>
      </c>
      <c r="Z1881" s="19">
        <v>0</v>
      </c>
      <c r="AA1881" s="19">
        <v>0</v>
      </c>
      <c r="AB1881" s="19">
        <v>0</v>
      </c>
      <c r="AC1881" s="19">
        <v>0</v>
      </c>
      <c r="AD1881" s="17">
        <v>0</v>
      </c>
      <c r="AE1881" s="19">
        <v>0</v>
      </c>
      <c r="AF1881" s="19">
        <v>20</v>
      </c>
      <c r="AG1881" s="19">
        <v>1</v>
      </c>
      <c r="AH1881" s="19">
        <v>1</v>
      </c>
      <c r="AI1881" s="13">
        <v>2</v>
      </c>
      <c r="AJ1881" s="13">
        <v>2</v>
      </c>
      <c r="AK1881" s="13">
        <v>0</v>
      </c>
      <c r="AL1881" s="13">
        <v>1.5</v>
      </c>
      <c r="AM1881" s="19">
        <v>0</v>
      </c>
      <c r="AN1881" s="19">
        <v>0</v>
      </c>
      <c r="AO1881" s="19">
        <v>0</v>
      </c>
      <c r="AP1881" s="19">
        <v>1</v>
      </c>
      <c r="AQ1881" s="19">
        <v>30000</v>
      </c>
      <c r="AR1881" s="19">
        <v>0</v>
      </c>
      <c r="AS1881" s="19">
        <v>4</v>
      </c>
      <c r="AT1881" s="13">
        <v>0</v>
      </c>
      <c r="AU1881" s="17" t="s">
        <v>659</v>
      </c>
      <c r="AV1881" s="17"/>
      <c r="AW1881" s="20" t="s">
        <v>199</v>
      </c>
      <c r="AX1881" s="19" t="s">
        <v>545</v>
      </c>
      <c r="AY1881" s="19">
        <v>10003002</v>
      </c>
      <c r="AZ1881" s="19">
        <v>70106005</v>
      </c>
      <c r="BA1881" s="20" t="s">
        <v>586</v>
      </c>
      <c r="BB1881" s="20">
        <v>0</v>
      </c>
      <c r="BC1881" s="28">
        <v>0</v>
      </c>
      <c r="BD1881" s="28">
        <v>0</v>
      </c>
      <c r="BE1881" s="89" t="s">
        <v>1065</v>
      </c>
      <c r="BF1881" s="89" t="s">
        <v>1066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70404002</v>
      </c>
      <c r="D1882" s="18" t="s">
        <v>1067</v>
      </c>
      <c r="E1882" s="18" t="s">
        <v>1068</v>
      </c>
      <c r="F1882" s="19">
        <v>1</v>
      </c>
      <c r="G1882" s="17">
        <v>60010100</v>
      </c>
      <c r="H1882" s="19">
        <v>0</v>
      </c>
      <c r="I1882" s="28">
        <v>0</v>
      </c>
      <c r="J1882" s="19">
        <v>1</v>
      </c>
      <c r="K1882" s="19">
        <v>0</v>
      </c>
      <c r="L1882" s="19">
        <v>0</v>
      </c>
      <c r="M1882" s="17">
        <v>0</v>
      </c>
      <c r="N1882" s="17">
        <v>0</v>
      </c>
      <c r="O1882" s="17">
        <v>2</v>
      </c>
      <c r="P1882" s="17">
        <v>1</v>
      </c>
      <c r="Q1882" s="17">
        <v>0.3</v>
      </c>
      <c r="R1882" s="17">
        <v>0</v>
      </c>
      <c r="S1882" s="13">
        <v>0</v>
      </c>
      <c r="T1882" s="17">
        <v>0</v>
      </c>
      <c r="U1882" s="17">
        <v>1</v>
      </c>
      <c r="V1882" s="17">
        <v>2</v>
      </c>
      <c r="W1882" s="17">
        <v>0</v>
      </c>
      <c r="X1882" s="17">
        <v>2.5</v>
      </c>
      <c r="Y1882" s="13">
        <v>0</v>
      </c>
      <c r="Z1882" s="17">
        <v>0</v>
      </c>
      <c r="AA1882" s="17">
        <v>1</v>
      </c>
      <c r="AB1882" s="17">
        <v>0</v>
      </c>
      <c r="AC1882" s="17">
        <v>0</v>
      </c>
      <c r="AD1882" s="17">
        <v>0</v>
      </c>
      <c r="AE1882" s="17">
        <v>0</v>
      </c>
      <c r="AF1882" s="17">
        <v>12</v>
      </c>
      <c r="AG1882" s="17">
        <v>1</v>
      </c>
      <c r="AH1882" s="17">
        <v>3</v>
      </c>
      <c r="AI1882" s="13">
        <v>4</v>
      </c>
      <c r="AJ1882" s="13">
        <v>1</v>
      </c>
      <c r="AK1882" s="13">
        <v>0</v>
      </c>
      <c r="AL1882" s="13">
        <v>1.5</v>
      </c>
      <c r="AM1882" s="17">
        <v>0</v>
      </c>
      <c r="AN1882" s="17">
        <v>0</v>
      </c>
      <c r="AO1882" s="17">
        <v>0</v>
      </c>
      <c r="AP1882" s="17">
        <v>2.5</v>
      </c>
      <c r="AQ1882" s="17">
        <v>5000</v>
      </c>
      <c r="AR1882" s="17">
        <v>2</v>
      </c>
      <c r="AS1882" s="17">
        <v>0</v>
      </c>
      <c r="AT1882" s="13">
        <v>0</v>
      </c>
      <c r="AU1882" s="17">
        <v>0</v>
      </c>
      <c r="AV1882" s="17"/>
      <c r="AW1882" s="20" t="s">
        <v>617</v>
      </c>
      <c r="AX1882" s="17" t="s">
        <v>534</v>
      </c>
      <c r="AY1882" s="19">
        <v>10000007</v>
      </c>
      <c r="AZ1882" s="19">
        <v>70404002</v>
      </c>
      <c r="BA1882" s="18" t="s">
        <v>200</v>
      </c>
      <c r="BB1882" s="17" t="s">
        <v>4316</v>
      </c>
      <c r="BC1882" s="28">
        <v>0</v>
      </c>
      <c r="BD1882" s="28">
        <v>0</v>
      </c>
      <c r="BE1882" s="46" t="s">
        <v>4317</v>
      </c>
      <c r="BF1882" s="46" t="s">
        <v>4318</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70404003</v>
      </c>
      <c r="D1883" s="18" t="s">
        <v>793</v>
      </c>
      <c r="E1883" s="18" t="s">
        <v>794</v>
      </c>
      <c r="F1883" s="17">
        <v>1</v>
      </c>
      <c r="G1883" s="17">
        <v>60010300</v>
      </c>
      <c r="H1883" s="19">
        <v>0</v>
      </c>
      <c r="I1883" s="28">
        <v>0</v>
      </c>
      <c r="J1883" s="19">
        <v>1</v>
      </c>
      <c r="K1883" s="19">
        <v>0</v>
      </c>
      <c r="L1883" s="19">
        <v>0</v>
      </c>
      <c r="M1883" s="17">
        <v>0</v>
      </c>
      <c r="N1883" s="17">
        <v>0</v>
      </c>
      <c r="O1883" s="17">
        <v>2</v>
      </c>
      <c r="P1883" s="17">
        <v>2</v>
      </c>
      <c r="Q1883" s="17">
        <v>0.5</v>
      </c>
      <c r="R1883" s="17">
        <v>1</v>
      </c>
      <c r="S1883" s="13">
        <v>0</v>
      </c>
      <c r="T1883" s="17">
        <v>0</v>
      </c>
      <c r="U1883" s="17">
        <v>1</v>
      </c>
      <c r="V1883" s="17">
        <v>2</v>
      </c>
      <c r="W1883" s="17">
        <v>0</v>
      </c>
      <c r="X1883" s="17">
        <v>0</v>
      </c>
      <c r="Y1883" s="13">
        <v>0</v>
      </c>
      <c r="Z1883" s="17">
        <v>0</v>
      </c>
      <c r="AA1883" s="17">
        <v>0</v>
      </c>
      <c r="AB1883" s="17">
        <v>0</v>
      </c>
      <c r="AC1883" s="17">
        <v>0</v>
      </c>
      <c r="AD1883" s="17">
        <v>0</v>
      </c>
      <c r="AE1883" s="17">
        <v>0</v>
      </c>
      <c r="AF1883" s="17">
        <v>99999</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287</v>
      </c>
      <c r="AX1883" s="17" t="s">
        <v>545</v>
      </c>
      <c r="AY1883" s="19">
        <v>0</v>
      </c>
      <c r="AZ1883" s="19">
        <v>0</v>
      </c>
      <c r="BA1883" s="18" t="s">
        <v>528</v>
      </c>
      <c r="BB1883" s="17" t="s">
        <v>4319</v>
      </c>
      <c r="BC1883" s="28">
        <v>0</v>
      </c>
      <c r="BD1883" s="28">
        <v>0</v>
      </c>
      <c r="BE1883" s="46" t="s">
        <v>864</v>
      </c>
      <c r="BF1883" s="46" t="s">
        <v>865</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20.100000000000001" customHeight="1">
      <c r="C1884" s="19">
        <v>70404004</v>
      </c>
      <c r="D1884" s="20" t="s">
        <v>538</v>
      </c>
      <c r="E1884" s="20" t="s">
        <v>539</v>
      </c>
      <c r="F1884" s="19">
        <v>1</v>
      </c>
      <c r="G1884" s="19">
        <v>60010500</v>
      </c>
      <c r="H1884" s="19">
        <v>0</v>
      </c>
      <c r="I1884" s="28">
        <v>0</v>
      </c>
      <c r="J1884" s="19">
        <v>1</v>
      </c>
      <c r="K1884" s="19">
        <v>0</v>
      </c>
      <c r="L1884" s="19">
        <v>0</v>
      </c>
      <c r="M1884" s="19">
        <v>0</v>
      </c>
      <c r="N1884" s="19">
        <v>0</v>
      </c>
      <c r="O1884" s="17">
        <v>2</v>
      </c>
      <c r="P1884" s="19">
        <v>2</v>
      </c>
      <c r="Q1884" s="19">
        <v>0.6</v>
      </c>
      <c r="R1884" s="19">
        <v>0</v>
      </c>
      <c r="S1884" s="13">
        <v>0</v>
      </c>
      <c r="T1884" s="28">
        <v>0</v>
      </c>
      <c r="U1884" s="17">
        <v>1</v>
      </c>
      <c r="V1884" s="19">
        <v>2</v>
      </c>
      <c r="W1884" s="19">
        <v>0</v>
      </c>
      <c r="X1884" s="19">
        <v>0</v>
      </c>
      <c r="Y1884" s="13">
        <v>0</v>
      </c>
      <c r="Z1884" s="19">
        <v>0</v>
      </c>
      <c r="AA1884" s="19">
        <v>0</v>
      </c>
      <c r="AB1884" s="19">
        <v>0</v>
      </c>
      <c r="AC1884" s="19">
        <v>0</v>
      </c>
      <c r="AD1884" s="17">
        <v>0</v>
      </c>
      <c r="AE1884" s="19">
        <v>0</v>
      </c>
      <c r="AF1884" s="19">
        <v>20</v>
      </c>
      <c r="AG1884" s="19">
        <v>0</v>
      </c>
      <c r="AH1884" s="19">
        <v>0</v>
      </c>
      <c r="AI1884" s="13">
        <v>2</v>
      </c>
      <c r="AJ1884" s="13">
        <v>0</v>
      </c>
      <c r="AK1884" s="13">
        <v>0</v>
      </c>
      <c r="AL1884" s="13">
        <v>0</v>
      </c>
      <c r="AM1884" s="19">
        <v>0</v>
      </c>
      <c r="AN1884" s="19">
        <v>0</v>
      </c>
      <c r="AO1884" s="19">
        <v>0</v>
      </c>
      <c r="AP1884" s="19">
        <v>0</v>
      </c>
      <c r="AQ1884" s="19">
        <v>1000</v>
      </c>
      <c r="AR1884" s="19">
        <v>0</v>
      </c>
      <c r="AS1884" s="19">
        <v>0</v>
      </c>
      <c r="AT1884" s="13">
        <v>90401004</v>
      </c>
      <c r="AU1884" s="19" t="s">
        <v>198</v>
      </c>
      <c r="AV1884" s="19"/>
      <c r="AW1884" s="20" t="s">
        <v>198</v>
      </c>
      <c r="AX1884" s="19" t="s">
        <v>348</v>
      </c>
      <c r="AY1884" s="19">
        <v>0</v>
      </c>
      <c r="AZ1884" s="19">
        <v>40000003</v>
      </c>
      <c r="BA1884" s="20" t="s">
        <v>200</v>
      </c>
      <c r="BB1884" s="20" t="s">
        <v>198</v>
      </c>
      <c r="BC1884" s="28">
        <v>0</v>
      </c>
      <c r="BD1884" s="28">
        <v>0</v>
      </c>
      <c r="BE1884" s="89" t="s">
        <v>850</v>
      </c>
      <c r="BF1884" s="89" t="s">
        <v>851</v>
      </c>
      <c r="BG1884" s="19">
        <v>0</v>
      </c>
      <c r="BH1884" s="17">
        <v>0</v>
      </c>
      <c r="BI1884" s="19">
        <v>0</v>
      </c>
      <c r="BJ1884" s="19">
        <v>0</v>
      </c>
      <c r="BK1884" s="19">
        <v>0</v>
      </c>
      <c r="BL1884" s="19">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70404005</v>
      </c>
      <c r="D1885" s="20" t="s">
        <v>567</v>
      </c>
      <c r="E1885" s="20" t="s">
        <v>568</v>
      </c>
      <c r="F1885" s="19">
        <v>1</v>
      </c>
      <c r="G1885" s="19">
        <v>60010500</v>
      </c>
      <c r="H1885" s="19">
        <v>0</v>
      </c>
      <c r="I1885" s="28">
        <v>0</v>
      </c>
      <c r="J1885" s="19">
        <v>1</v>
      </c>
      <c r="K1885" s="19">
        <v>0</v>
      </c>
      <c r="L1885" s="19">
        <v>0</v>
      </c>
      <c r="M1885" s="19">
        <v>0</v>
      </c>
      <c r="N1885" s="19">
        <v>0</v>
      </c>
      <c r="O1885" s="17">
        <v>2</v>
      </c>
      <c r="P1885" s="19">
        <v>2</v>
      </c>
      <c r="Q1885" s="19">
        <v>0.3</v>
      </c>
      <c r="R1885" s="19">
        <v>0</v>
      </c>
      <c r="S1885" s="13">
        <v>0</v>
      </c>
      <c r="T1885" s="28">
        <v>0</v>
      </c>
      <c r="U1885" s="17">
        <v>1</v>
      </c>
      <c r="V1885" s="19">
        <v>2</v>
      </c>
      <c r="W1885" s="19">
        <v>0</v>
      </c>
      <c r="X1885" s="19">
        <v>0</v>
      </c>
      <c r="Y1885" s="13">
        <v>0</v>
      </c>
      <c r="Z1885" s="19">
        <v>0</v>
      </c>
      <c r="AA1885" s="19">
        <v>0</v>
      </c>
      <c r="AB1885" s="19">
        <v>0</v>
      </c>
      <c r="AC1885" s="19">
        <v>0</v>
      </c>
      <c r="AD1885" s="17">
        <v>0</v>
      </c>
      <c r="AE1885" s="19">
        <v>0</v>
      </c>
      <c r="AF1885" s="17">
        <v>15</v>
      </c>
      <c r="AG1885" s="19">
        <v>0</v>
      </c>
      <c r="AH1885" s="19">
        <v>0</v>
      </c>
      <c r="AI1885" s="13">
        <v>2</v>
      </c>
      <c r="AJ1885" s="13">
        <v>0</v>
      </c>
      <c r="AK1885" s="13">
        <v>0</v>
      </c>
      <c r="AL1885" s="13">
        <v>0</v>
      </c>
      <c r="AM1885" s="19">
        <v>0</v>
      </c>
      <c r="AN1885" s="19">
        <v>0</v>
      </c>
      <c r="AO1885" s="19">
        <v>0</v>
      </c>
      <c r="AP1885" s="19">
        <v>0</v>
      </c>
      <c r="AQ1885" s="19">
        <v>1000</v>
      </c>
      <c r="AR1885" s="19">
        <v>0</v>
      </c>
      <c r="AS1885" s="19">
        <v>0</v>
      </c>
      <c r="AT1885" s="13">
        <v>90402005</v>
      </c>
      <c r="AU1885" s="19" t="s">
        <v>198</v>
      </c>
      <c r="AV1885" s="19"/>
      <c r="AW1885" s="20" t="s">
        <v>199</v>
      </c>
      <c r="AX1885" s="19" t="s">
        <v>348</v>
      </c>
      <c r="AY1885" s="19">
        <v>0</v>
      </c>
      <c r="AZ1885" s="19">
        <v>0</v>
      </c>
      <c r="BA1885" s="20" t="s">
        <v>200</v>
      </c>
      <c r="BB1885" s="20" t="s">
        <v>198</v>
      </c>
      <c r="BC1885" s="28">
        <v>0</v>
      </c>
      <c r="BD1885" s="28">
        <v>0</v>
      </c>
      <c r="BE1885" s="89" t="s">
        <v>755</v>
      </c>
      <c r="BF1885" s="89" t="s">
        <v>756</v>
      </c>
      <c r="BG1885" s="19">
        <v>0</v>
      </c>
      <c r="BH1885" s="17">
        <v>0</v>
      </c>
      <c r="BI1885" s="19">
        <v>0</v>
      </c>
      <c r="BJ1885" s="19">
        <v>0</v>
      </c>
      <c r="BK1885" s="19">
        <v>0</v>
      </c>
      <c r="BL1885" s="19">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70404006</v>
      </c>
      <c r="D1886" s="18" t="s">
        <v>1489</v>
      </c>
      <c r="E1886" s="18" t="s">
        <v>1490</v>
      </c>
      <c r="F1886" s="17">
        <v>2</v>
      </c>
      <c r="G1886" s="17">
        <v>61012301</v>
      </c>
      <c r="H1886" s="17">
        <v>0</v>
      </c>
      <c r="I1886" s="28">
        <v>0</v>
      </c>
      <c r="J1886" s="19">
        <v>1</v>
      </c>
      <c r="K1886" s="19">
        <v>0</v>
      </c>
      <c r="L1886" s="19">
        <v>0</v>
      </c>
      <c r="M1886" s="17">
        <v>0</v>
      </c>
      <c r="N1886" s="17">
        <v>0</v>
      </c>
      <c r="O1886" s="17">
        <v>2</v>
      </c>
      <c r="P1886" s="17">
        <v>1</v>
      </c>
      <c r="Q1886" s="17">
        <v>0.5</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12</v>
      </c>
      <c r="AG1886" s="17">
        <v>2</v>
      </c>
      <c r="AH1886" s="17" t="s">
        <v>213</v>
      </c>
      <c r="AI1886" s="13">
        <v>0</v>
      </c>
      <c r="AJ1886" s="13">
        <v>2</v>
      </c>
      <c r="AK1886" s="13">
        <v>0</v>
      </c>
      <c r="AL1886" s="13">
        <v>1.5</v>
      </c>
      <c r="AM1886" s="17">
        <v>0</v>
      </c>
      <c r="AN1886" s="17">
        <v>0</v>
      </c>
      <c r="AO1886" s="17">
        <v>0</v>
      </c>
      <c r="AP1886" s="17">
        <v>1.5</v>
      </c>
      <c r="AQ1886" s="17">
        <v>1200</v>
      </c>
      <c r="AR1886" s="17">
        <v>1</v>
      </c>
      <c r="AS1886" s="17">
        <v>30</v>
      </c>
      <c r="AT1886" s="13">
        <v>0</v>
      </c>
      <c r="AU1886" s="17" t="s">
        <v>198</v>
      </c>
      <c r="AV1886" s="17"/>
      <c r="AW1886" s="18" t="s">
        <v>256</v>
      </c>
      <c r="AX1886" s="17" t="s">
        <v>215</v>
      </c>
      <c r="AY1886" s="19">
        <v>10000011</v>
      </c>
      <c r="AZ1886" s="19">
        <v>70404001</v>
      </c>
      <c r="BA1886" s="18" t="s">
        <v>216</v>
      </c>
      <c r="BB1886" s="17">
        <v>0</v>
      </c>
      <c r="BC1886" s="28">
        <v>0</v>
      </c>
      <c r="BD1886" s="28">
        <v>0</v>
      </c>
      <c r="BE1886" s="46" t="s">
        <v>4320</v>
      </c>
      <c r="BF1886" s="46" t="s">
        <v>4321</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19.5" customHeight="1">
      <c r="C1887" s="19">
        <v>70405001</v>
      </c>
      <c r="D1887" s="18" t="s">
        <v>600</v>
      </c>
      <c r="E1887" s="18" t="s">
        <v>601</v>
      </c>
      <c r="F1887" s="17">
        <v>1</v>
      </c>
      <c r="G1887" s="17">
        <v>60010300</v>
      </c>
      <c r="H1887" s="19">
        <v>0</v>
      </c>
      <c r="I1887" s="28">
        <v>0</v>
      </c>
      <c r="J1887" s="19">
        <v>1</v>
      </c>
      <c r="K1887" s="19">
        <v>0</v>
      </c>
      <c r="L1887" s="19">
        <v>0</v>
      </c>
      <c r="M1887" s="17">
        <v>0</v>
      </c>
      <c r="N1887" s="17">
        <v>0</v>
      </c>
      <c r="O1887" s="17">
        <v>2</v>
      </c>
      <c r="P1887" s="17">
        <v>2</v>
      </c>
      <c r="Q1887" s="17">
        <v>0.8</v>
      </c>
      <c r="R1887" s="17">
        <v>0</v>
      </c>
      <c r="S1887" s="13">
        <v>0</v>
      </c>
      <c r="T1887" s="17">
        <v>0</v>
      </c>
      <c r="U1887" s="17">
        <v>1</v>
      </c>
      <c r="V1887" s="17">
        <v>2</v>
      </c>
      <c r="W1887" s="17">
        <v>0</v>
      </c>
      <c r="X1887" s="17">
        <v>0</v>
      </c>
      <c r="Y1887" s="13">
        <v>0</v>
      </c>
      <c r="Z1887" s="17">
        <v>0</v>
      </c>
      <c r="AA1887" s="17">
        <v>0</v>
      </c>
      <c r="AB1887" s="17">
        <v>0</v>
      </c>
      <c r="AC1887" s="17">
        <v>0</v>
      </c>
      <c r="AD1887" s="17">
        <v>0</v>
      </c>
      <c r="AE1887" s="17">
        <v>0</v>
      </c>
      <c r="AF1887" s="17">
        <v>30</v>
      </c>
      <c r="AG1887" s="17">
        <v>0</v>
      </c>
      <c r="AH1887" s="17">
        <v>0</v>
      </c>
      <c r="AI1887" s="13">
        <v>2</v>
      </c>
      <c r="AJ1887" s="13">
        <v>2</v>
      </c>
      <c r="AK1887" s="13">
        <v>0</v>
      </c>
      <c r="AL1887" s="13">
        <v>1.5</v>
      </c>
      <c r="AM1887" s="17">
        <v>0</v>
      </c>
      <c r="AN1887" s="17">
        <v>0</v>
      </c>
      <c r="AO1887" s="17">
        <v>0</v>
      </c>
      <c r="AP1887" s="17">
        <v>1</v>
      </c>
      <c r="AQ1887" s="17">
        <v>3000</v>
      </c>
      <c r="AR1887" s="17">
        <v>0.5</v>
      </c>
      <c r="AS1887" s="17">
        <v>0</v>
      </c>
      <c r="AT1887" s="13">
        <v>0</v>
      </c>
      <c r="AU1887" s="17" t="s">
        <v>198</v>
      </c>
      <c r="AV1887" s="17"/>
      <c r="AW1887" s="20" t="s">
        <v>199</v>
      </c>
      <c r="AX1887" s="17" t="s">
        <v>545</v>
      </c>
      <c r="AY1887" s="19">
        <v>0</v>
      </c>
      <c r="AZ1887" s="19">
        <v>0</v>
      </c>
      <c r="BA1887" s="18" t="s">
        <v>528</v>
      </c>
      <c r="BB1887" s="17" t="s">
        <v>838</v>
      </c>
      <c r="BC1887" s="28">
        <v>0</v>
      </c>
      <c r="BD1887" s="28">
        <v>0</v>
      </c>
      <c r="BE1887" s="46" t="s">
        <v>4322</v>
      </c>
      <c r="BF1887" s="46" t="s">
        <v>4323</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19.5" customHeight="1">
      <c r="C1888" s="19">
        <v>70405002</v>
      </c>
      <c r="D1888" s="18" t="s">
        <v>1101</v>
      </c>
      <c r="E1888" s="18" t="s">
        <v>1102</v>
      </c>
      <c r="F1888" s="19">
        <v>1</v>
      </c>
      <c r="G1888" s="17">
        <v>60010100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0</v>
      </c>
      <c r="AA1888" s="17">
        <v>1</v>
      </c>
      <c r="AB1888" s="17">
        <v>0</v>
      </c>
      <c r="AC1888" s="17">
        <v>0</v>
      </c>
      <c r="AD1888" s="17">
        <v>0</v>
      </c>
      <c r="AE1888" s="17">
        <v>0</v>
      </c>
      <c r="AF1888" s="17">
        <v>15</v>
      </c>
      <c r="AG1888" s="17">
        <v>1</v>
      </c>
      <c r="AH1888" s="17" t="s">
        <v>607</v>
      </c>
      <c r="AI1888" s="13">
        <v>0</v>
      </c>
      <c r="AJ1888" s="13">
        <v>1</v>
      </c>
      <c r="AK1888" s="13">
        <v>0</v>
      </c>
      <c r="AL1888" s="13">
        <v>3</v>
      </c>
      <c r="AM1888" s="17">
        <v>0</v>
      </c>
      <c r="AN1888" s="17">
        <v>0</v>
      </c>
      <c r="AO1888" s="17">
        <v>0</v>
      </c>
      <c r="AP1888" s="17">
        <v>2.5</v>
      </c>
      <c r="AQ1888" s="17">
        <v>5000</v>
      </c>
      <c r="AR1888" s="17">
        <v>2</v>
      </c>
      <c r="AS1888" s="17">
        <v>0</v>
      </c>
      <c r="AT1888" s="13">
        <v>0</v>
      </c>
      <c r="AU1888" s="17">
        <v>80001030</v>
      </c>
      <c r="AV1888" s="17"/>
      <c r="AW1888" s="20" t="s">
        <v>256</v>
      </c>
      <c r="AX1888" s="17" t="s">
        <v>534</v>
      </c>
      <c r="AY1888" s="19">
        <v>10000007</v>
      </c>
      <c r="AZ1888" s="19">
        <v>70405001</v>
      </c>
      <c r="BA1888" s="18" t="s">
        <v>200</v>
      </c>
      <c r="BB1888" s="17">
        <v>0</v>
      </c>
      <c r="BC1888" s="28">
        <v>0</v>
      </c>
      <c r="BD1888" s="28">
        <v>0</v>
      </c>
      <c r="BE1888" s="46" t="s">
        <v>1103</v>
      </c>
      <c r="BF1888" s="46" t="s">
        <v>1104</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20.100000000000001" customHeight="1">
      <c r="C1889" s="19">
        <v>70405003</v>
      </c>
      <c r="D1889" s="18" t="s">
        <v>4226</v>
      </c>
      <c r="E1889" s="18" t="s">
        <v>1266</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2.5</v>
      </c>
      <c r="Y1889" s="13">
        <v>0</v>
      </c>
      <c r="Z1889" s="17">
        <v>0</v>
      </c>
      <c r="AA1889" s="17">
        <v>1</v>
      </c>
      <c r="AB1889" s="17">
        <v>0</v>
      </c>
      <c r="AC1889" s="17">
        <v>0</v>
      </c>
      <c r="AD1889" s="17">
        <v>0</v>
      </c>
      <c r="AE1889" s="17">
        <v>0</v>
      </c>
      <c r="AF1889" s="17">
        <v>15</v>
      </c>
      <c r="AG1889" s="17">
        <v>1</v>
      </c>
      <c r="AH1889" s="17">
        <v>3</v>
      </c>
      <c r="AI1889" s="13">
        <v>4</v>
      </c>
      <c r="AJ1889" s="13">
        <v>1</v>
      </c>
      <c r="AK1889" s="13">
        <v>0</v>
      </c>
      <c r="AL1889" s="13">
        <v>1.5</v>
      </c>
      <c r="AM1889" s="17">
        <v>0</v>
      </c>
      <c r="AN1889" s="17">
        <v>0</v>
      </c>
      <c r="AO1889" s="17">
        <v>0</v>
      </c>
      <c r="AP1889" s="17">
        <v>2.5</v>
      </c>
      <c r="AQ1889" s="17">
        <v>5000</v>
      </c>
      <c r="AR1889" s="17">
        <v>2</v>
      </c>
      <c r="AS1889" s="17">
        <v>0</v>
      </c>
      <c r="AT1889" s="13">
        <v>0</v>
      </c>
      <c r="AU1889" s="17">
        <v>80001030</v>
      </c>
      <c r="AV1889" s="17"/>
      <c r="AW1889" s="20" t="s">
        <v>256</v>
      </c>
      <c r="AX1889" s="17" t="s">
        <v>534</v>
      </c>
      <c r="AY1889" s="19">
        <v>10000007</v>
      </c>
      <c r="AZ1889" s="19">
        <v>70405002</v>
      </c>
      <c r="BA1889" s="18" t="s">
        <v>200</v>
      </c>
      <c r="BB1889" s="17" t="s">
        <v>4324</v>
      </c>
      <c r="BC1889" s="28">
        <v>0</v>
      </c>
      <c r="BD1889" s="28">
        <v>0</v>
      </c>
      <c r="BE1889" s="46" t="s">
        <v>1322</v>
      </c>
      <c r="BF1889" s="46" t="s">
        <v>1323</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70405004</v>
      </c>
      <c r="D1890" s="18" t="s">
        <v>1116</v>
      </c>
      <c r="E1890" s="18" t="s">
        <v>391</v>
      </c>
      <c r="F1890" s="19">
        <v>1</v>
      </c>
      <c r="G1890" s="17">
        <v>60010100</v>
      </c>
      <c r="H1890" s="19">
        <v>0</v>
      </c>
      <c r="I1890" s="28">
        <v>0</v>
      </c>
      <c r="J1890" s="19">
        <v>1</v>
      </c>
      <c r="K1890" s="19">
        <v>0</v>
      </c>
      <c r="L1890" s="19">
        <v>0</v>
      </c>
      <c r="M1890" s="17">
        <v>0</v>
      </c>
      <c r="N1890" s="17">
        <v>0</v>
      </c>
      <c r="O1890" s="17">
        <v>2</v>
      </c>
      <c r="P1890" s="17">
        <v>1</v>
      </c>
      <c r="Q1890" s="17">
        <v>1</v>
      </c>
      <c r="R1890" s="17">
        <v>0</v>
      </c>
      <c r="S1890" s="13">
        <v>0</v>
      </c>
      <c r="T1890" s="17">
        <v>0</v>
      </c>
      <c r="U1890" s="17">
        <v>1</v>
      </c>
      <c r="V1890" s="17">
        <v>2</v>
      </c>
      <c r="W1890" s="17">
        <v>0</v>
      </c>
      <c r="X1890" s="17">
        <v>3</v>
      </c>
      <c r="Y1890" s="13">
        <v>0</v>
      </c>
      <c r="Z1890" s="17">
        <v>0</v>
      </c>
      <c r="AA1890" s="17">
        <v>1</v>
      </c>
      <c r="AB1890" s="17">
        <v>0</v>
      </c>
      <c r="AC1890" s="17">
        <v>0</v>
      </c>
      <c r="AD1890" s="17">
        <v>0</v>
      </c>
      <c r="AE1890" s="17">
        <v>0</v>
      </c>
      <c r="AF1890" s="17">
        <v>6</v>
      </c>
      <c r="AG1890" s="17">
        <v>1</v>
      </c>
      <c r="AH1890" s="17">
        <v>3</v>
      </c>
      <c r="AI1890" s="13">
        <v>6</v>
      </c>
      <c r="AJ1890" s="13">
        <v>1</v>
      </c>
      <c r="AK1890" s="13">
        <v>0</v>
      </c>
      <c r="AL1890" s="13">
        <v>1.5</v>
      </c>
      <c r="AM1890" s="17">
        <v>0</v>
      </c>
      <c r="AN1890" s="17">
        <v>0</v>
      </c>
      <c r="AO1890" s="17">
        <v>0</v>
      </c>
      <c r="AP1890" s="17">
        <v>2.5</v>
      </c>
      <c r="AQ1890" s="17">
        <v>5000</v>
      </c>
      <c r="AR1890" s="17">
        <v>2</v>
      </c>
      <c r="AS1890" s="17">
        <v>0</v>
      </c>
      <c r="AT1890" s="13">
        <v>0</v>
      </c>
      <c r="AU1890" s="17">
        <v>80001030</v>
      </c>
      <c r="AV1890" s="17"/>
      <c r="AW1890" s="20" t="s">
        <v>256</v>
      </c>
      <c r="AX1890" s="17" t="s">
        <v>534</v>
      </c>
      <c r="AY1890" s="19">
        <v>10000007</v>
      </c>
      <c r="AZ1890" s="19">
        <v>70405003</v>
      </c>
      <c r="BA1890" s="18" t="s">
        <v>200</v>
      </c>
      <c r="BB1890" s="17" t="s">
        <v>4325</v>
      </c>
      <c r="BC1890" s="28">
        <v>0</v>
      </c>
      <c r="BD1890" s="28">
        <v>0</v>
      </c>
      <c r="BE1890" s="46" t="s">
        <v>4256</v>
      </c>
      <c r="BF1890" s="46" t="s">
        <v>4257</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70405005</v>
      </c>
      <c r="D1891" s="20" t="s">
        <v>567</v>
      </c>
      <c r="E1891" s="20" t="s">
        <v>568</v>
      </c>
      <c r="F1891" s="19">
        <v>1</v>
      </c>
      <c r="G1891" s="19">
        <v>60010500</v>
      </c>
      <c r="H1891" s="19">
        <v>0</v>
      </c>
      <c r="I1891" s="28">
        <v>0</v>
      </c>
      <c r="J1891" s="19">
        <v>1</v>
      </c>
      <c r="K1891" s="19">
        <v>0</v>
      </c>
      <c r="L1891" s="19">
        <v>0</v>
      </c>
      <c r="M1891" s="19">
        <v>0</v>
      </c>
      <c r="N1891" s="19">
        <v>0</v>
      </c>
      <c r="O1891" s="17">
        <v>2</v>
      </c>
      <c r="P1891" s="19">
        <v>2</v>
      </c>
      <c r="Q1891" s="19">
        <v>0.3</v>
      </c>
      <c r="R1891" s="19">
        <v>0</v>
      </c>
      <c r="S1891" s="13">
        <v>0</v>
      </c>
      <c r="T1891" s="28">
        <v>0</v>
      </c>
      <c r="U1891" s="17">
        <v>1</v>
      </c>
      <c r="V1891" s="19">
        <v>2</v>
      </c>
      <c r="W1891" s="19">
        <v>0</v>
      </c>
      <c r="X1891" s="19">
        <v>0</v>
      </c>
      <c r="Y1891" s="13">
        <v>0</v>
      </c>
      <c r="Z1891" s="19">
        <v>0</v>
      </c>
      <c r="AA1891" s="19">
        <v>0</v>
      </c>
      <c r="AB1891" s="19">
        <v>0</v>
      </c>
      <c r="AC1891" s="19">
        <v>0</v>
      </c>
      <c r="AD1891" s="17">
        <v>0</v>
      </c>
      <c r="AE1891" s="19">
        <v>0</v>
      </c>
      <c r="AF1891" s="17">
        <v>15</v>
      </c>
      <c r="AG1891" s="19">
        <v>0</v>
      </c>
      <c r="AH1891" s="19">
        <v>0</v>
      </c>
      <c r="AI1891" s="13">
        <v>2</v>
      </c>
      <c r="AJ1891" s="13">
        <v>0</v>
      </c>
      <c r="AK1891" s="13">
        <v>0</v>
      </c>
      <c r="AL1891" s="13">
        <v>0</v>
      </c>
      <c r="AM1891" s="19">
        <v>0</v>
      </c>
      <c r="AN1891" s="19">
        <v>0</v>
      </c>
      <c r="AO1891" s="19">
        <v>0</v>
      </c>
      <c r="AP1891" s="19">
        <v>0</v>
      </c>
      <c r="AQ1891" s="19">
        <v>1000</v>
      </c>
      <c r="AR1891" s="19">
        <v>0</v>
      </c>
      <c r="AS1891" s="19">
        <v>0</v>
      </c>
      <c r="AT1891" s="13">
        <v>90402005</v>
      </c>
      <c r="AU1891" s="19" t="s">
        <v>198</v>
      </c>
      <c r="AV1891" s="19"/>
      <c r="AW1891" s="20" t="s">
        <v>199</v>
      </c>
      <c r="AX1891" s="19" t="s">
        <v>348</v>
      </c>
      <c r="AY1891" s="19">
        <v>0</v>
      </c>
      <c r="AZ1891" s="19">
        <v>0</v>
      </c>
      <c r="BA1891" s="20" t="s">
        <v>200</v>
      </c>
      <c r="BB1891" s="20" t="s">
        <v>198</v>
      </c>
      <c r="BC1891" s="28">
        <v>0</v>
      </c>
      <c r="BD1891" s="28">
        <v>0</v>
      </c>
      <c r="BE1891" s="89" t="s">
        <v>850</v>
      </c>
      <c r="BF1891" s="89" t="s">
        <v>851</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20.100000000000001" customHeight="1">
      <c r="C1892" s="19">
        <v>70405006</v>
      </c>
      <c r="D1892" s="18" t="s">
        <v>748</v>
      </c>
      <c r="E1892" s="18" t="s">
        <v>749</v>
      </c>
      <c r="F1892" s="19">
        <v>1</v>
      </c>
      <c r="G1892" s="17">
        <v>60010300</v>
      </c>
      <c r="H1892" s="19">
        <v>0</v>
      </c>
      <c r="I1892" s="28">
        <v>0</v>
      </c>
      <c r="J1892" s="19">
        <v>1</v>
      </c>
      <c r="K1892" s="19">
        <v>0</v>
      </c>
      <c r="L1892" s="19">
        <v>0</v>
      </c>
      <c r="M1892" s="17">
        <v>0</v>
      </c>
      <c r="N1892" s="17">
        <v>0</v>
      </c>
      <c r="O1892" s="17">
        <v>2</v>
      </c>
      <c r="P1892" s="17">
        <v>1</v>
      </c>
      <c r="Q1892" s="17">
        <v>0.3</v>
      </c>
      <c r="R1892" s="17">
        <v>0</v>
      </c>
      <c r="S1892" s="13">
        <v>0</v>
      </c>
      <c r="T1892" s="17">
        <v>0</v>
      </c>
      <c r="U1892" s="17">
        <v>1</v>
      </c>
      <c r="V1892" s="17">
        <v>2</v>
      </c>
      <c r="W1892" s="17">
        <v>0</v>
      </c>
      <c r="X1892" s="17">
        <v>3</v>
      </c>
      <c r="Y1892" s="13">
        <v>0</v>
      </c>
      <c r="Z1892" s="17">
        <v>350</v>
      </c>
      <c r="AA1892" s="17">
        <v>0</v>
      </c>
      <c r="AB1892" s="17">
        <v>0</v>
      </c>
      <c r="AC1892" s="17">
        <v>0</v>
      </c>
      <c r="AD1892" s="17">
        <v>0</v>
      </c>
      <c r="AE1892" s="17">
        <v>0</v>
      </c>
      <c r="AF1892" s="17">
        <v>9</v>
      </c>
      <c r="AG1892" s="17">
        <v>2</v>
      </c>
      <c r="AH1892" s="17" t="s">
        <v>213</v>
      </c>
      <c r="AI1892" s="13">
        <v>0</v>
      </c>
      <c r="AJ1892" s="13">
        <v>2</v>
      </c>
      <c r="AK1892" s="13">
        <v>0</v>
      </c>
      <c r="AL1892" s="13">
        <v>1.5</v>
      </c>
      <c r="AM1892" s="17">
        <v>0</v>
      </c>
      <c r="AN1892" s="17">
        <v>0</v>
      </c>
      <c r="AO1892" s="17">
        <v>0</v>
      </c>
      <c r="AP1892" s="17">
        <v>1</v>
      </c>
      <c r="AQ1892" s="17">
        <v>3000</v>
      </c>
      <c r="AR1892" s="17">
        <v>0.5</v>
      </c>
      <c r="AS1892" s="17">
        <v>0</v>
      </c>
      <c r="AT1892" s="13">
        <v>0</v>
      </c>
      <c r="AU1892" s="17" t="s">
        <v>854</v>
      </c>
      <c r="AV1892" s="17"/>
      <c r="AW1892" s="18" t="s">
        <v>617</v>
      </c>
      <c r="AX1892" s="17" t="s">
        <v>545</v>
      </c>
      <c r="AY1892" s="19">
        <v>10000007</v>
      </c>
      <c r="AZ1892" s="19">
        <v>70403002</v>
      </c>
      <c r="BA1892" s="18" t="s">
        <v>200</v>
      </c>
      <c r="BB1892" s="17">
        <v>0</v>
      </c>
      <c r="BC1892" s="28">
        <v>0</v>
      </c>
      <c r="BD1892" s="28">
        <v>0</v>
      </c>
      <c r="BE1892" s="46" t="s">
        <v>750</v>
      </c>
      <c r="BF1892" s="46" t="s">
        <v>751</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spans="3:75" ht="19.5" customHeight="1">
      <c r="C1893" s="19">
        <v>70405007</v>
      </c>
      <c r="D1893" s="18" t="s">
        <v>4326</v>
      </c>
      <c r="E1893" s="18" t="s">
        <v>4327</v>
      </c>
      <c r="F1893" s="19">
        <v>1</v>
      </c>
      <c r="G1893" s="17">
        <v>60010100</v>
      </c>
      <c r="H1893" s="19">
        <v>0</v>
      </c>
      <c r="I1893" s="28">
        <v>0</v>
      </c>
      <c r="J1893" s="19">
        <v>1</v>
      </c>
      <c r="K1893" s="19">
        <v>0</v>
      </c>
      <c r="L1893" s="19">
        <v>0</v>
      </c>
      <c r="M1893" s="17">
        <v>0</v>
      </c>
      <c r="N1893" s="17">
        <v>0</v>
      </c>
      <c r="O1893" s="17">
        <v>2</v>
      </c>
      <c r="P1893" s="17">
        <v>1</v>
      </c>
      <c r="Q1893" s="17">
        <v>0.3</v>
      </c>
      <c r="R1893" s="17">
        <v>0</v>
      </c>
      <c r="S1893" s="13">
        <v>0</v>
      </c>
      <c r="T1893" s="17">
        <v>0</v>
      </c>
      <c r="U1893" s="17">
        <v>1</v>
      </c>
      <c r="V1893" s="17">
        <v>2</v>
      </c>
      <c r="W1893" s="17">
        <v>0</v>
      </c>
      <c r="X1893" s="17">
        <v>2</v>
      </c>
      <c r="Y1893" s="13">
        <v>0</v>
      </c>
      <c r="Z1893" s="17">
        <v>0</v>
      </c>
      <c r="AA1893" s="17">
        <v>1</v>
      </c>
      <c r="AB1893" s="17">
        <v>0</v>
      </c>
      <c r="AC1893" s="17">
        <v>0</v>
      </c>
      <c r="AD1893" s="17">
        <v>0</v>
      </c>
      <c r="AE1893" s="17">
        <v>0</v>
      </c>
      <c r="AF1893" s="17">
        <v>20</v>
      </c>
      <c r="AG1893" s="17">
        <v>1</v>
      </c>
      <c r="AH1893" s="17" t="s">
        <v>861</v>
      </c>
      <c r="AI1893" s="13">
        <v>1</v>
      </c>
      <c r="AJ1893" s="13">
        <v>0</v>
      </c>
      <c r="AK1893" s="13">
        <v>0</v>
      </c>
      <c r="AL1893" s="13">
        <v>0</v>
      </c>
      <c r="AM1893" s="17">
        <v>0</v>
      </c>
      <c r="AN1893" s="17">
        <v>0</v>
      </c>
      <c r="AO1893" s="17">
        <v>0</v>
      </c>
      <c r="AP1893" s="17">
        <v>0.5</v>
      </c>
      <c r="AQ1893" s="17">
        <v>999999</v>
      </c>
      <c r="AR1893" s="17">
        <v>2</v>
      </c>
      <c r="AS1893" s="17">
        <v>0</v>
      </c>
      <c r="AT1893" s="13">
        <v>0</v>
      </c>
      <c r="AU1893" s="17" t="s">
        <v>854</v>
      </c>
      <c r="AV1893" s="17"/>
      <c r="AW1893" s="20" t="s">
        <v>287</v>
      </c>
      <c r="AX1893" s="17" t="s">
        <v>534</v>
      </c>
      <c r="AY1893" s="19">
        <v>10000007</v>
      </c>
      <c r="AZ1893" s="19">
        <v>70405007</v>
      </c>
      <c r="BA1893" s="20" t="s">
        <v>315</v>
      </c>
      <c r="BB1893" s="20" t="s">
        <v>371</v>
      </c>
      <c r="BC1893" s="28">
        <v>0</v>
      </c>
      <c r="BD1893" s="28">
        <v>0</v>
      </c>
      <c r="BE1893" s="46" t="s">
        <v>4328</v>
      </c>
      <c r="BF1893" s="46" t="s">
        <v>4329</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70405008</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199</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19.5" customHeight="1">
      <c r="C1895" s="19">
        <v>70405009</v>
      </c>
      <c r="D1895" s="20" t="s">
        <v>1324</v>
      </c>
      <c r="E1895" s="20" t="s">
        <v>1325</v>
      </c>
      <c r="F1895" s="19">
        <v>1</v>
      </c>
      <c r="G1895" s="19">
        <v>60010300</v>
      </c>
      <c r="H1895" s="19">
        <v>0</v>
      </c>
      <c r="I1895" s="28">
        <v>0</v>
      </c>
      <c r="J1895" s="19">
        <v>1</v>
      </c>
      <c r="K1895" s="19">
        <v>0</v>
      </c>
      <c r="L1895" s="19">
        <v>0</v>
      </c>
      <c r="M1895" s="19">
        <v>0</v>
      </c>
      <c r="N1895" s="19">
        <v>0</v>
      </c>
      <c r="O1895" s="17">
        <v>2</v>
      </c>
      <c r="P1895" s="19">
        <v>2</v>
      </c>
      <c r="Q1895" s="19">
        <v>0.8</v>
      </c>
      <c r="R1895" s="19">
        <v>0</v>
      </c>
      <c r="S1895" s="13">
        <v>0</v>
      </c>
      <c r="T1895" s="28">
        <v>0</v>
      </c>
      <c r="U1895" s="17">
        <v>1</v>
      </c>
      <c r="V1895" s="19">
        <v>2</v>
      </c>
      <c r="W1895" s="19">
        <v>0</v>
      </c>
      <c r="X1895" s="19">
        <v>5</v>
      </c>
      <c r="Y1895" s="13">
        <v>0</v>
      </c>
      <c r="Z1895" s="19">
        <v>0</v>
      </c>
      <c r="AA1895" s="19">
        <v>0</v>
      </c>
      <c r="AB1895" s="19">
        <v>0</v>
      </c>
      <c r="AC1895" s="19">
        <v>0</v>
      </c>
      <c r="AD1895" s="17">
        <v>0</v>
      </c>
      <c r="AE1895" s="19">
        <v>0</v>
      </c>
      <c r="AF1895" s="19">
        <v>30</v>
      </c>
      <c r="AG1895" s="19">
        <v>1</v>
      </c>
      <c r="AH1895" s="19">
        <v>1</v>
      </c>
      <c r="AI1895" s="13">
        <v>2</v>
      </c>
      <c r="AJ1895" s="13">
        <v>2</v>
      </c>
      <c r="AK1895" s="13">
        <v>0</v>
      </c>
      <c r="AL1895" s="13">
        <v>1.5</v>
      </c>
      <c r="AM1895" s="19">
        <v>0</v>
      </c>
      <c r="AN1895" s="19">
        <v>0</v>
      </c>
      <c r="AO1895" s="19">
        <v>0</v>
      </c>
      <c r="AP1895" s="19">
        <v>1</v>
      </c>
      <c r="AQ1895" s="19">
        <v>30000</v>
      </c>
      <c r="AR1895" s="19">
        <v>0</v>
      </c>
      <c r="AS1895" s="19">
        <v>4</v>
      </c>
      <c r="AT1895" s="13">
        <v>0</v>
      </c>
      <c r="AU1895" s="19" t="s">
        <v>198</v>
      </c>
      <c r="AV1895" s="19"/>
      <c r="AW1895" s="20" t="s">
        <v>199</v>
      </c>
      <c r="AX1895" s="19" t="s">
        <v>545</v>
      </c>
      <c r="AY1895" s="19">
        <v>10003002</v>
      </c>
      <c r="AZ1895" s="19">
        <v>70405007</v>
      </c>
      <c r="BA1895" s="20" t="s">
        <v>586</v>
      </c>
      <c r="BB1895" s="20">
        <v>0</v>
      </c>
      <c r="BC1895" s="28">
        <v>0</v>
      </c>
      <c r="BD1895" s="28">
        <v>0</v>
      </c>
      <c r="BE1895" s="89" t="s">
        <v>868</v>
      </c>
      <c r="BF1895" s="89" t="s">
        <v>869</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19.5" customHeight="1">
      <c r="C1896" s="19">
        <v>70501001</v>
      </c>
      <c r="D1896" s="18" t="s">
        <v>600</v>
      </c>
      <c r="E1896" s="18" t="s">
        <v>601</v>
      </c>
      <c r="F1896" s="17">
        <v>1</v>
      </c>
      <c r="G1896" s="17">
        <v>60010300</v>
      </c>
      <c r="H1896" s="19">
        <v>0</v>
      </c>
      <c r="I1896" s="28">
        <v>0</v>
      </c>
      <c r="J1896" s="19">
        <v>1</v>
      </c>
      <c r="K1896" s="19">
        <v>0</v>
      </c>
      <c r="L1896" s="19">
        <v>0</v>
      </c>
      <c r="M1896" s="17">
        <v>0</v>
      </c>
      <c r="N1896" s="17">
        <v>0</v>
      </c>
      <c r="O1896" s="17">
        <v>2</v>
      </c>
      <c r="P1896" s="17">
        <v>2</v>
      </c>
      <c r="Q1896" s="17">
        <v>0.8</v>
      </c>
      <c r="R1896" s="17">
        <v>0</v>
      </c>
      <c r="S1896" s="13">
        <v>0</v>
      </c>
      <c r="T1896" s="17">
        <v>0</v>
      </c>
      <c r="U1896" s="17">
        <v>1</v>
      </c>
      <c r="V1896" s="17">
        <v>2</v>
      </c>
      <c r="W1896" s="17">
        <v>0</v>
      </c>
      <c r="X1896" s="17">
        <v>0</v>
      </c>
      <c r="Y1896" s="13">
        <v>0</v>
      </c>
      <c r="Z1896" s="17">
        <v>0</v>
      </c>
      <c r="AA1896" s="17">
        <v>0</v>
      </c>
      <c r="AB1896" s="17">
        <v>0</v>
      </c>
      <c r="AC1896" s="17">
        <v>0</v>
      </c>
      <c r="AD1896" s="17">
        <v>0</v>
      </c>
      <c r="AE1896" s="17">
        <v>0</v>
      </c>
      <c r="AF1896" s="17">
        <v>15</v>
      </c>
      <c r="AG1896" s="17">
        <v>0</v>
      </c>
      <c r="AH1896" s="17">
        <v>0</v>
      </c>
      <c r="AI1896" s="13">
        <v>2</v>
      </c>
      <c r="AJ1896" s="13">
        <v>2</v>
      </c>
      <c r="AK1896" s="13">
        <v>0</v>
      </c>
      <c r="AL1896" s="13">
        <v>1.5</v>
      </c>
      <c r="AM1896" s="17">
        <v>0</v>
      </c>
      <c r="AN1896" s="17">
        <v>0</v>
      </c>
      <c r="AO1896" s="17">
        <v>0</v>
      </c>
      <c r="AP1896" s="17">
        <v>1</v>
      </c>
      <c r="AQ1896" s="17">
        <v>3000</v>
      </c>
      <c r="AR1896" s="17">
        <v>0.5</v>
      </c>
      <c r="AS1896" s="17">
        <v>0</v>
      </c>
      <c r="AT1896" s="13">
        <v>0</v>
      </c>
      <c r="AU1896" s="17" t="s">
        <v>198</v>
      </c>
      <c r="AV1896" s="17"/>
      <c r="AW1896" s="20" t="s">
        <v>199</v>
      </c>
      <c r="AX1896" s="17" t="s">
        <v>545</v>
      </c>
      <c r="AY1896" s="19">
        <v>0</v>
      </c>
      <c r="AZ1896" s="19">
        <v>0</v>
      </c>
      <c r="BA1896" s="18" t="s">
        <v>528</v>
      </c>
      <c r="BB1896" s="17" t="s">
        <v>4330</v>
      </c>
      <c r="BC1896" s="28">
        <v>0</v>
      </c>
      <c r="BD1896" s="28">
        <v>0</v>
      </c>
      <c r="BE1896" s="46" t="s">
        <v>4322</v>
      </c>
      <c r="BF1896" s="46" t="s">
        <v>4323</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spans="3:75" ht="20.100000000000001" customHeight="1">
      <c r="C1897" s="19">
        <v>70501002</v>
      </c>
      <c r="D1897" s="20" t="s">
        <v>744</v>
      </c>
      <c r="E1897" s="20" t="s">
        <v>745</v>
      </c>
      <c r="F1897" s="19">
        <v>1</v>
      </c>
      <c r="G1897" s="19">
        <v>60010500</v>
      </c>
      <c r="H1897" s="19">
        <v>0</v>
      </c>
      <c r="I1897" s="28">
        <v>0</v>
      </c>
      <c r="J1897" s="19">
        <v>1</v>
      </c>
      <c r="K1897" s="19">
        <v>0</v>
      </c>
      <c r="L1897" s="19">
        <v>0</v>
      </c>
      <c r="M1897" s="19">
        <v>0</v>
      </c>
      <c r="N1897" s="19">
        <v>0</v>
      </c>
      <c r="O1897" s="17">
        <v>2</v>
      </c>
      <c r="P1897" s="19">
        <v>1</v>
      </c>
      <c r="Q1897" s="19">
        <v>0.05</v>
      </c>
      <c r="R1897" s="19">
        <v>0</v>
      </c>
      <c r="S1897" s="13">
        <v>0</v>
      </c>
      <c r="T1897" s="28">
        <v>0</v>
      </c>
      <c r="U1897" s="17">
        <v>1</v>
      </c>
      <c r="V1897" s="19">
        <v>1</v>
      </c>
      <c r="W1897" s="19">
        <v>0</v>
      </c>
      <c r="X1897" s="19">
        <v>2</v>
      </c>
      <c r="Y1897" s="13">
        <v>0</v>
      </c>
      <c r="Z1897" s="19">
        <v>0</v>
      </c>
      <c r="AA1897" s="19">
        <v>0</v>
      </c>
      <c r="AB1897" s="19">
        <v>0</v>
      </c>
      <c r="AC1897" s="19">
        <v>0</v>
      </c>
      <c r="AD1897" s="17">
        <v>0</v>
      </c>
      <c r="AE1897" s="19">
        <v>0</v>
      </c>
      <c r="AF1897" s="19">
        <v>10</v>
      </c>
      <c r="AG1897" s="19">
        <v>0</v>
      </c>
      <c r="AH1897" s="19">
        <v>0</v>
      </c>
      <c r="AI1897" s="13">
        <v>7</v>
      </c>
      <c r="AJ1897" s="13">
        <v>0</v>
      </c>
      <c r="AK1897" s="13">
        <v>0</v>
      </c>
      <c r="AL1897" s="13">
        <v>0</v>
      </c>
      <c r="AM1897" s="19">
        <v>0</v>
      </c>
      <c r="AN1897" s="19">
        <v>0</v>
      </c>
      <c r="AO1897" s="19">
        <v>0</v>
      </c>
      <c r="AP1897" s="19">
        <v>0</v>
      </c>
      <c r="AQ1897" s="19">
        <v>1000</v>
      </c>
      <c r="AR1897" s="19">
        <v>0.5</v>
      </c>
      <c r="AS1897" s="19">
        <v>0</v>
      </c>
      <c r="AT1897" s="13">
        <v>0</v>
      </c>
      <c r="AU1897" s="19" t="s">
        <v>659</v>
      </c>
      <c r="AV1897" s="19"/>
      <c r="AW1897" s="20" t="s">
        <v>741</v>
      </c>
      <c r="AX1897" s="19">
        <v>0</v>
      </c>
      <c r="AY1897" s="19">
        <v>10007001</v>
      </c>
      <c r="AZ1897" s="19">
        <v>0</v>
      </c>
      <c r="BA1897" s="20" t="s">
        <v>200</v>
      </c>
      <c r="BB1897" s="20" t="s">
        <v>198</v>
      </c>
      <c r="BC1897" s="28">
        <v>0</v>
      </c>
      <c r="BD1897" s="28">
        <v>0</v>
      </c>
      <c r="BE1897" s="89" t="s">
        <v>746</v>
      </c>
      <c r="BF1897" s="89" t="s">
        <v>747</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spans="3:75" ht="20.100000000000001" customHeight="1">
      <c r="C1898" s="19">
        <v>70501003</v>
      </c>
      <c r="D1898" s="20" t="s">
        <v>538</v>
      </c>
      <c r="E1898" s="20" t="s">
        <v>539</v>
      </c>
      <c r="F1898" s="19">
        <v>1</v>
      </c>
      <c r="G1898" s="19">
        <v>60010500</v>
      </c>
      <c r="H1898" s="19">
        <v>0</v>
      </c>
      <c r="I1898" s="28">
        <v>0</v>
      </c>
      <c r="J1898" s="19">
        <v>1</v>
      </c>
      <c r="K1898" s="19">
        <v>0</v>
      </c>
      <c r="L1898" s="19">
        <v>0</v>
      </c>
      <c r="M1898" s="19">
        <v>0</v>
      </c>
      <c r="N1898" s="19">
        <v>0</v>
      </c>
      <c r="O1898" s="17">
        <v>2</v>
      </c>
      <c r="P1898" s="19">
        <v>2</v>
      </c>
      <c r="Q1898" s="19">
        <v>0.6</v>
      </c>
      <c r="R1898" s="19">
        <v>0</v>
      </c>
      <c r="S1898" s="13">
        <v>0</v>
      </c>
      <c r="T1898" s="28">
        <v>0</v>
      </c>
      <c r="U1898" s="17">
        <v>1</v>
      </c>
      <c r="V1898" s="19">
        <v>2</v>
      </c>
      <c r="W1898" s="19">
        <v>0</v>
      </c>
      <c r="X1898" s="19">
        <v>0</v>
      </c>
      <c r="Y1898" s="13">
        <v>0</v>
      </c>
      <c r="Z1898" s="19">
        <v>0</v>
      </c>
      <c r="AA1898" s="19">
        <v>0</v>
      </c>
      <c r="AB1898" s="19">
        <v>0</v>
      </c>
      <c r="AC1898" s="19">
        <v>0</v>
      </c>
      <c r="AD1898" s="17">
        <v>0</v>
      </c>
      <c r="AE1898" s="19">
        <v>0</v>
      </c>
      <c r="AF1898" s="19">
        <v>20</v>
      </c>
      <c r="AG1898" s="19">
        <v>0</v>
      </c>
      <c r="AH1898" s="19">
        <v>0</v>
      </c>
      <c r="AI1898" s="13">
        <v>2</v>
      </c>
      <c r="AJ1898" s="13">
        <v>0</v>
      </c>
      <c r="AK1898" s="13">
        <v>0</v>
      </c>
      <c r="AL1898" s="13">
        <v>0</v>
      </c>
      <c r="AM1898" s="19">
        <v>0</v>
      </c>
      <c r="AN1898" s="19">
        <v>0</v>
      </c>
      <c r="AO1898" s="19">
        <v>0</v>
      </c>
      <c r="AP1898" s="19">
        <v>0</v>
      </c>
      <c r="AQ1898" s="19">
        <v>1000</v>
      </c>
      <c r="AR1898" s="19">
        <v>0</v>
      </c>
      <c r="AS1898" s="19">
        <v>0</v>
      </c>
      <c r="AT1898" s="13">
        <v>90401004</v>
      </c>
      <c r="AU1898" s="19" t="s">
        <v>198</v>
      </c>
      <c r="AV1898" s="19"/>
      <c r="AW1898" s="20" t="s">
        <v>198</v>
      </c>
      <c r="AX1898" s="19" t="s">
        <v>348</v>
      </c>
      <c r="AY1898" s="19">
        <v>0</v>
      </c>
      <c r="AZ1898" s="19">
        <v>40000003</v>
      </c>
      <c r="BA1898" s="20" t="s">
        <v>200</v>
      </c>
      <c r="BB1898" s="20" t="s">
        <v>198</v>
      </c>
      <c r="BC1898" s="28">
        <v>0</v>
      </c>
      <c r="BD1898" s="28">
        <v>0</v>
      </c>
      <c r="BE1898" s="89" t="s">
        <v>864</v>
      </c>
      <c r="BF1898" s="89" t="s">
        <v>865</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70501004</v>
      </c>
      <c r="D1899" s="20" t="s">
        <v>757</v>
      </c>
      <c r="E1899" s="20" t="s">
        <v>399</v>
      </c>
      <c r="F1899" s="19">
        <v>1</v>
      </c>
      <c r="G1899" s="19">
        <v>60010500</v>
      </c>
      <c r="H1899" s="19">
        <v>0</v>
      </c>
      <c r="I1899" s="28">
        <v>0</v>
      </c>
      <c r="J1899" s="19">
        <v>1</v>
      </c>
      <c r="K1899" s="19">
        <v>0</v>
      </c>
      <c r="L1899" s="19">
        <v>0</v>
      </c>
      <c r="M1899" s="19">
        <v>0</v>
      </c>
      <c r="N1899" s="19">
        <v>0</v>
      </c>
      <c r="O1899" s="17">
        <v>2</v>
      </c>
      <c r="P1899" s="19">
        <v>2</v>
      </c>
      <c r="Q1899" s="19">
        <v>0.3</v>
      </c>
      <c r="R1899" s="19">
        <v>0</v>
      </c>
      <c r="S1899" s="13">
        <v>0</v>
      </c>
      <c r="T1899" s="28">
        <v>0</v>
      </c>
      <c r="U1899" s="17">
        <v>1</v>
      </c>
      <c r="V1899" s="19">
        <v>2</v>
      </c>
      <c r="W1899" s="19">
        <v>0</v>
      </c>
      <c r="X1899" s="19">
        <v>0</v>
      </c>
      <c r="Y1899" s="13">
        <v>0</v>
      </c>
      <c r="Z1899" s="19">
        <v>0</v>
      </c>
      <c r="AA1899" s="19">
        <v>0</v>
      </c>
      <c r="AB1899" s="19">
        <v>0</v>
      </c>
      <c r="AC1899" s="19">
        <v>0</v>
      </c>
      <c r="AD1899" s="17">
        <v>0</v>
      </c>
      <c r="AE1899" s="19">
        <v>0</v>
      </c>
      <c r="AF1899" s="17">
        <v>15</v>
      </c>
      <c r="AG1899" s="19">
        <v>0</v>
      </c>
      <c r="AH1899" s="19">
        <v>0</v>
      </c>
      <c r="AI1899" s="13">
        <v>2</v>
      </c>
      <c r="AJ1899" s="13">
        <v>0</v>
      </c>
      <c r="AK1899" s="13">
        <v>0</v>
      </c>
      <c r="AL1899" s="13">
        <v>0</v>
      </c>
      <c r="AM1899" s="19">
        <v>0</v>
      </c>
      <c r="AN1899" s="19">
        <v>0</v>
      </c>
      <c r="AO1899" s="19">
        <v>0</v>
      </c>
      <c r="AP1899" s="19">
        <v>0</v>
      </c>
      <c r="AQ1899" s="19">
        <v>1000</v>
      </c>
      <c r="AR1899" s="19">
        <v>0</v>
      </c>
      <c r="AS1899" s="19">
        <v>0</v>
      </c>
      <c r="AT1899" s="13">
        <v>90304001</v>
      </c>
      <c r="AU1899" s="19" t="s">
        <v>198</v>
      </c>
      <c r="AV1899" s="19"/>
      <c r="AW1899" s="20" t="s">
        <v>287</v>
      </c>
      <c r="AX1899" s="19" t="s">
        <v>348</v>
      </c>
      <c r="AY1899" s="19">
        <v>0</v>
      </c>
      <c r="AZ1899" s="19">
        <v>0</v>
      </c>
      <c r="BA1899" s="20" t="s">
        <v>200</v>
      </c>
      <c r="BB1899" s="20" t="s">
        <v>198</v>
      </c>
      <c r="BC1899" s="28">
        <v>0</v>
      </c>
      <c r="BD1899" s="28">
        <v>0</v>
      </c>
      <c r="BE1899" s="89" t="s">
        <v>4331</v>
      </c>
      <c r="BF1899" s="89" t="s">
        <v>4332</v>
      </c>
      <c r="BG1899" s="19">
        <v>0</v>
      </c>
      <c r="BH1899" s="17">
        <v>0</v>
      </c>
      <c r="BI1899" s="19">
        <v>0</v>
      </c>
      <c r="BJ1899" s="19">
        <v>0</v>
      </c>
      <c r="BK1899" s="19">
        <v>0</v>
      </c>
      <c r="BL1899" s="19">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70501005</v>
      </c>
      <c r="D1900" s="18" t="s">
        <v>4294</v>
      </c>
      <c r="E1900" s="18" t="s">
        <v>4295</v>
      </c>
      <c r="F1900" s="19">
        <v>1</v>
      </c>
      <c r="G1900" s="17">
        <v>60010300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350</v>
      </c>
      <c r="AA1900" s="17">
        <v>0</v>
      </c>
      <c r="AB1900" s="17">
        <v>0</v>
      </c>
      <c r="AC1900" s="17">
        <v>0</v>
      </c>
      <c r="AD1900" s="17">
        <v>0</v>
      </c>
      <c r="AE1900" s="17">
        <v>0</v>
      </c>
      <c r="AF1900" s="17">
        <v>9</v>
      </c>
      <c r="AG1900" s="17">
        <v>2</v>
      </c>
      <c r="AH1900" s="17" t="s">
        <v>213</v>
      </c>
      <c r="AI1900" s="13">
        <v>0</v>
      </c>
      <c r="AJ1900" s="13">
        <v>2</v>
      </c>
      <c r="AK1900" s="13">
        <v>0</v>
      </c>
      <c r="AL1900" s="13">
        <v>1.5</v>
      </c>
      <c r="AM1900" s="17">
        <v>0</v>
      </c>
      <c r="AN1900" s="17">
        <v>0</v>
      </c>
      <c r="AO1900" s="17">
        <v>0</v>
      </c>
      <c r="AP1900" s="17">
        <v>1.5</v>
      </c>
      <c r="AQ1900" s="17">
        <v>3000</v>
      </c>
      <c r="AR1900" s="17">
        <v>1</v>
      </c>
      <c r="AS1900" s="17">
        <v>0</v>
      </c>
      <c r="AT1900" s="13">
        <v>0</v>
      </c>
      <c r="AU1900" s="17" t="s">
        <v>4296</v>
      </c>
      <c r="AV1900" s="17"/>
      <c r="AW1900" s="20" t="s">
        <v>617</v>
      </c>
      <c r="AX1900" s="17" t="s">
        <v>545</v>
      </c>
      <c r="AY1900" s="19">
        <v>10000007</v>
      </c>
      <c r="AZ1900" s="19">
        <v>70401006</v>
      </c>
      <c r="BA1900" s="18" t="s">
        <v>200</v>
      </c>
      <c r="BB1900" s="17">
        <v>0</v>
      </c>
      <c r="BC1900" s="28">
        <v>0</v>
      </c>
      <c r="BD1900" s="28">
        <v>0</v>
      </c>
      <c r="BE1900" s="46" t="s">
        <v>4297</v>
      </c>
      <c r="BF1900" s="46" t="s">
        <v>4298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19.5" customHeight="1">
      <c r="C1901" s="19">
        <v>70501006</v>
      </c>
      <c r="D1901" s="20" t="s">
        <v>1324</v>
      </c>
      <c r="E1901" s="20" t="s">
        <v>1325</v>
      </c>
      <c r="F1901" s="19">
        <v>1</v>
      </c>
      <c r="G1901" s="19">
        <v>60010300</v>
      </c>
      <c r="H1901" s="19">
        <v>0</v>
      </c>
      <c r="I1901" s="28">
        <v>0</v>
      </c>
      <c r="J1901" s="19">
        <v>1</v>
      </c>
      <c r="K1901" s="19">
        <v>0</v>
      </c>
      <c r="L1901" s="19">
        <v>0</v>
      </c>
      <c r="M1901" s="19">
        <v>0</v>
      </c>
      <c r="N1901" s="19">
        <v>0</v>
      </c>
      <c r="O1901" s="17">
        <v>2</v>
      </c>
      <c r="P1901" s="19">
        <v>2</v>
      </c>
      <c r="Q1901" s="19">
        <v>0.8</v>
      </c>
      <c r="R1901" s="19">
        <v>0</v>
      </c>
      <c r="S1901" s="13">
        <v>0</v>
      </c>
      <c r="T1901" s="28">
        <v>0</v>
      </c>
      <c r="U1901" s="17">
        <v>1</v>
      </c>
      <c r="V1901" s="19">
        <v>2</v>
      </c>
      <c r="W1901" s="19">
        <v>0</v>
      </c>
      <c r="X1901" s="19">
        <v>5</v>
      </c>
      <c r="Y1901" s="13">
        <v>0</v>
      </c>
      <c r="Z1901" s="19">
        <v>0</v>
      </c>
      <c r="AA1901" s="19">
        <v>0</v>
      </c>
      <c r="AB1901" s="19">
        <v>0</v>
      </c>
      <c r="AC1901" s="19">
        <v>0</v>
      </c>
      <c r="AD1901" s="17">
        <v>0</v>
      </c>
      <c r="AE1901" s="19">
        <v>0</v>
      </c>
      <c r="AF1901" s="19">
        <v>30</v>
      </c>
      <c r="AG1901" s="19">
        <v>1</v>
      </c>
      <c r="AH1901" s="19">
        <v>1</v>
      </c>
      <c r="AI1901" s="13">
        <v>2</v>
      </c>
      <c r="AJ1901" s="13">
        <v>2</v>
      </c>
      <c r="AK1901" s="13">
        <v>0</v>
      </c>
      <c r="AL1901" s="13">
        <v>1.5</v>
      </c>
      <c r="AM1901" s="19">
        <v>0</v>
      </c>
      <c r="AN1901" s="19">
        <v>0</v>
      </c>
      <c r="AO1901" s="19">
        <v>0</v>
      </c>
      <c r="AP1901" s="19">
        <v>1</v>
      </c>
      <c r="AQ1901" s="19">
        <v>30000</v>
      </c>
      <c r="AR1901" s="19">
        <v>0</v>
      </c>
      <c r="AS1901" s="19">
        <v>4</v>
      </c>
      <c r="AT1901" s="13">
        <v>0</v>
      </c>
      <c r="AU1901" s="19" t="s">
        <v>198</v>
      </c>
      <c r="AV1901" s="19"/>
      <c r="AW1901" s="20" t="s">
        <v>199</v>
      </c>
      <c r="AX1901" s="19" t="s">
        <v>545</v>
      </c>
      <c r="AY1901" s="19">
        <v>10003002</v>
      </c>
      <c r="AZ1901" s="19">
        <v>70405007</v>
      </c>
      <c r="BA1901" s="20" t="s">
        <v>586</v>
      </c>
      <c r="BB1901" s="20">
        <v>0</v>
      </c>
      <c r="BC1901" s="28">
        <v>0</v>
      </c>
      <c r="BD1901" s="28">
        <v>0</v>
      </c>
      <c r="BE1901" s="89" t="s">
        <v>868</v>
      </c>
      <c r="BF1901" s="89" t="s">
        <v>869</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spans="3:75" ht="19.5" customHeight="1">
      <c r="C1902" s="19">
        <v>70502001</v>
      </c>
      <c r="D1902" s="18" t="s">
        <v>605</v>
      </c>
      <c r="E1902" s="18" t="s">
        <v>606</v>
      </c>
      <c r="F1902" s="19">
        <v>1</v>
      </c>
      <c r="G1902" s="17">
        <v>60010100</v>
      </c>
      <c r="H1902" s="19">
        <v>0</v>
      </c>
      <c r="I1902" s="28">
        <v>0</v>
      </c>
      <c r="J1902" s="19">
        <v>1</v>
      </c>
      <c r="K1902" s="19">
        <v>0</v>
      </c>
      <c r="L1902" s="19">
        <v>0</v>
      </c>
      <c r="M1902" s="17">
        <v>0</v>
      </c>
      <c r="N1902" s="17">
        <v>0</v>
      </c>
      <c r="O1902" s="17">
        <v>2</v>
      </c>
      <c r="P1902" s="17">
        <v>1</v>
      </c>
      <c r="Q1902" s="17">
        <v>0.3</v>
      </c>
      <c r="R1902" s="17">
        <v>0</v>
      </c>
      <c r="S1902" s="13">
        <v>0</v>
      </c>
      <c r="T1902" s="17">
        <v>0</v>
      </c>
      <c r="U1902" s="17">
        <v>1</v>
      </c>
      <c r="V1902" s="17">
        <v>2</v>
      </c>
      <c r="W1902" s="17">
        <v>0</v>
      </c>
      <c r="X1902" s="17">
        <v>3</v>
      </c>
      <c r="Y1902" s="13">
        <v>0</v>
      </c>
      <c r="Z1902" s="17">
        <v>0</v>
      </c>
      <c r="AA1902" s="17">
        <v>1</v>
      </c>
      <c r="AB1902" s="17">
        <v>0</v>
      </c>
      <c r="AC1902" s="17">
        <v>0</v>
      </c>
      <c r="AD1902" s="17">
        <v>0</v>
      </c>
      <c r="AE1902" s="17">
        <v>0</v>
      </c>
      <c r="AF1902" s="17">
        <v>12</v>
      </c>
      <c r="AG1902" s="17">
        <v>1</v>
      </c>
      <c r="AH1902" s="17" t="s">
        <v>607</v>
      </c>
      <c r="AI1902" s="13">
        <v>1</v>
      </c>
      <c r="AJ1902" s="13">
        <v>1</v>
      </c>
      <c r="AK1902" s="13">
        <v>0</v>
      </c>
      <c r="AL1902" s="13">
        <v>3</v>
      </c>
      <c r="AM1902" s="17">
        <v>0</v>
      </c>
      <c r="AN1902" s="17">
        <v>0</v>
      </c>
      <c r="AO1902" s="17">
        <v>0</v>
      </c>
      <c r="AP1902" s="17">
        <v>3</v>
      </c>
      <c r="AQ1902" s="17">
        <v>5000</v>
      </c>
      <c r="AR1902" s="17">
        <v>2.5</v>
      </c>
      <c r="AS1902" s="17">
        <v>0</v>
      </c>
      <c r="AT1902" s="13">
        <v>0</v>
      </c>
      <c r="AU1902" s="17" t="s">
        <v>198</v>
      </c>
      <c r="AV1902" s="17"/>
      <c r="AW1902" s="20" t="s">
        <v>287</v>
      </c>
      <c r="AX1902" s="17" t="s">
        <v>534</v>
      </c>
      <c r="AY1902" s="19">
        <v>10000007</v>
      </c>
      <c r="AZ1902" s="19">
        <v>70107001</v>
      </c>
      <c r="BA1902" s="18" t="s">
        <v>200</v>
      </c>
      <c r="BB1902" s="17">
        <v>0</v>
      </c>
      <c r="BC1902" s="28">
        <v>0</v>
      </c>
      <c r="BD1902" s="28">
        <v>0</v>
      </c>
      <c r="BE1902" s="46" t="s">
        <v>608</v>
      </c>
      <c r="BF1902" s="46" t="s">
        <v>609</v>
      </c>
      <c r="BG1902" s="17">
        <v>0</v>
      </c>
      <c r="BH1902" s="17">
        <v>0</v>
      </c>
      <c r="BI1902" s="17">
        <v>0</v>
      </c>
      <c r="BJ1902" s="17">
        <v>0</v>
      </c>
      <c r="BK1902" s="17">
        <v>0</v>
      </c>
      <c r="BL1902" s="17">
        <v>0</v>
      </c>
      <c r="BM1902" s="16">
        <v>0</v>
      </c>
      <c r="BN1902" s="13">
        <v>0</v>
      </c>
      <c r="BO1902" s="13">
        <v>0</v>
      </c>
      <c r="BP1902" s="13">
        <v>0</v>
      </c>
      <c r="BQ1902" s="13">
        <v>0</v>
      </c>
      <c r="BR1902" s="13">
        <v>0</v>
      </c>
      <c r="BS1902" s="13">
        <v>0</v>
      </c>
      <c r="BT1902" s="13">
        <v>0</v>
      </c>
      <c r="BU1902" s="49">
        <v>0</v>
      </c>
      <c r="BV1902" s="49"/>
      <c r="BW1902" s="49"/>
    </row>
    <row r="1903" spans="3:75" ht="20.100000000000001" customHeight="1">
      <c r="C1903" s="19">
        <v>70502002</v>
      </c>
      <c r="D1903" s="18" t="s">
        <v>660</v>
      </c>
      <c r="E1903" s="18" t="s">
        <v>661</v>
      </c>
      <c r="F1903" s="19">
        <v>1</v>
      </c>
      <c r="G1903" s="17">
        <v>60010100</v>
      </c>
      <c r="H1903" s="19">
        <v>0</v>
      </c>
      <c r="I1903" s="28">
        <v>0</v>
      </c>
      <c r="J1903" s="19">
        <v>1</v>
      </c>
      <c r="K1903" s="19">
        <v>0</v>
      </c>
      <c r="L1903" s="19">
        <v>0</v>
      </c>
      <c r="M1903" s="17">
        <v>0</v>
      </c>
      <c r="N1903" s="17">
        <v>0</v>
      </c>
      <c r="O1903" s="17">
        <v>2</v>
      </c>
      <c r="P1903" s="17">
        <v>1</v>
      </c>
      <c r="Q1903" s="17">
        <v>0.3</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12</v>
      </c>
      <c r="AG1903" s="17">
        <v>1</v>
      </c>
      <c r="AH1903" s="17">
        <v>3</v>
      </c>
      <c r="AI1903" s="13">
        <v>4</v>
      </c>
      <c r="AJ1903" s="13">
        <v>1</v>
      </c>
      <c r="AK1903" s="13">
        <v>0</v>
      </c>
      <c r="AL1903" s="13">
        <v>1.5</v>
      </c>
      <c r="AM1903" s="17">
        <v>0</v>
      </c>
      <c r="AN1903" s="17">
        <v>0</v>
      </c>
      <c r="AO1903" s="17">
        <v>0</v>
      </c>
      <c r="AP1903" s="17">
        <v>3</v>
      </c>
      <c r="AQ1903" s="17">
        <v>5000</v>
      </c>
      <c r="AR1903" s="17">
        <v>3</v>
      </c>
      <c r="AS1903" s="17">
        <v>0</v>
      </c>
      <c r="AT1903" s="13">
        <v>0</v>
      </c>
      <c r="AU1903" s="17" t="s">
        <v>198</v>
      </c>
      <c r="AV1903" s="17"/>
      <c r="AW1903" s="20" t="s">
        <v>199</v>
      </c>
      <c r="AX1903" s="17" t="s">
        <v>534</v>
      </c>
      <c r="AY1903" s="19">
        <v>10000007</v>
      </c>
      <c r="AZ1903" s="19">
        <v>70103003</v>
      </c>
      <c r="BA1903" s="18" t="s">
        <v>200</v>
      </c>
      <c r="BB1903" s="17" t="s">
        <v>4333</v>
      </c>
      <c r="BC1903" s="28">
        <v>0</v>
      </c>
      <c r="BD1903" s="28">
        <v>0</v>
      </c>
      <c r="BE1903" s="46" t="s">
        <v>663</v>
      </c>
      <c r="BF1903" s="46" t="s">
        <v>664</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70502003</v>
      </c>
      <c r="D1904" s="18" t="s">
        <v>665</v>
      </c>
      <c r="E1904" s="18" t="s">
        <v>606</v>
      </c>
      <c r="F1904" s="17">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3</v>
      </c>
      <c r="Y1904" s="13">
        <v>0</v>
      </c>
      <c r="Z1904" s="17">
        <v>0</v>
      </c>
      <c r="AA1904" s="17">
        <v>0</v>
      </c>
      <c r="AB1904" s="17">
        <v>0</v>
      </c>
      <c r="AC1904" s="17">
        <v>0</v>
      </c>
      <c r="AD1904" s="17">
        <v>0</v>
      </c>
      <c r="AE1904" s="17">
        <v>0</v>
      </c>
      <c r="AF1904" s="17">
        <v>12</v>
      </c>
      <c r="AG1904" s="17">
        <v>1</v>
      </c>
      <c r="AH1904" s="17">
        <v>3</v>
      </c>
      <c r="AI1904" s="13">
        <v>6</v>
      </c>
      <c r="AJ1904" s="13">
        <v>1</v>
      </c>
      <c r="AK1904" s="13">
        <v>0</v>
      </c>
      <c r="AL1904" s="13">
        <v>1.5</v>
      </c>
      <c r="AM1904" s="17">
        <v>0</v>
      </c>
      <c r="AN1904" s="17">
        <v>0</v>
      </c>
      <c r="AO1904" s="17">
        <v>0</v>
      </c>
      <c r="AP1904" s="17">
        <v>3</v>
      </c>
      <c r="AQ1904" s="17">
        <v>5000</v>
      </c>
      <c r="AR1904" s="17">
        <v>3</v>
      </c>
      <c r="AS1904" s="17">
        <v>0</v>
      </c>
      <c r="AT1904" s="13">
        <v>0</v>
      </c>
      <c r="AU1904" s="17" t="s">
        <v>198</v>
      </c>
      <c r="AV1904" s="17"/>
      <c r="AW1904" s="20" t="s">
        <v>256</v>
      </c>
      <c r="AX1904" s="17" t="s">
        <v>534</v>
      </c>
      <c r="AY1904" s="19">
        <v>10000007</v>
      </c>
      <c r="AZ1904" s="19">
        <v>70103003</v>
      </c>
      <c r="BA1904" s="18" t="s">
        <v>200</v>
      </c>
      <c r="BB1904" s="17" t="s">
        <v>4334</v>
      </c>
      <c r="BC1904" s="28">
        <v>0</v>
      </c>
      <c r="BD1904" s="28">
        <v>0</v>
      </c>
      <c r="BE1904" s="46" t="s">
        <v>667</v>
      </c>
      <c r="BF1904" s="46" t="s">
        <v>668</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70502004</v>
      </c>
      <c r="D1905" s="20" t="s">
        <v>669</v>
      </c>
      <c r="E1905" s="20" t="s">
        <v>670</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9">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90102001</v>
      </c>
      <c r="AU1905" s="19" t="s">
        <v>198</v>
      </c>
      <c r="AV1905" s="19"/>
      <c r="AW1905" s="20" t="s">
        <v>199</v>
      </c>
      <c r="AX1905" s="19" t="s">
        <v>348</v>
      </c>
      <c r="AY1905" s="19">
        <v>0</v>
      </c>
      <c r="AZ1905" s="19">
        <v>40000003</v>
      </c>
      <c r="BA1905" s="20" t="s">
        <v>200</v>
      </c>
      <c r="BB1905" s="20" t="s">
        <v>198</v>
      </c>
      <c r="BC1905" s="28">
        <v>0</v>
      </c>
      <c r="BD1905" s="28">
        <v>0</v>
      </c>
      <c r="BE1905" s="89" t="s">
        <v>671</v>
      </c>
      <c r="BF1905" s="89" t="s">
        <v>672</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70502005</v>
      </c>
      <c r="D1906" s="20" t="s">
        <v>673</v>
      </c>
      <c r="E1906" s="20" t="s">
        <v>674</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9">
        <v>0</v>
      </c>
      <c r="AE1906" s="19">
        <v>0</v>
      </c>
      <c r="AF1906" s="17">
        <v>99999</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90104002</v>
      </c>
      <c r="AU1906" s="19" t="s">
        <v>198</v>
      </c>
      <c r="AV1906" s="19"/>
      <c r="AW1906" s="20" t="s">
        <v>199</v>
      </c>
      <c r="AX1906" s="19" t="s">
        <v>348</v>
      </c>
      <c r="AY1906" s="19">
        <v>0</v>
      </c>
      <c r="AZ1906" s="19">
        <v>0</v>
      </c>
      <c r="BA1906" s="20" t="s">
        <v>200</v>
      </c>
      <c r="BB1906" s="20" t="s">
        <v>198</v>
      </c>
      <c r="BC1906" s="28">
        <v>0</v>
      </c>
      <c r="BD1906" s="28">
        <v>0</v>
      </c>
      <c r="BE1906" s="89" t="s">
        <v>675</v>
      </c>
      <c r="BF1906" s="89" t="s">
        <v>676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19.5" customHeight="1">
      <c r="C1907" s="19">
        <v>70503001</v>
      </c>
      <c r="D1907" s="20" t="s">
        <v>760</v>
      </c>
      <c r="E1907" s="20" t="s">
        <v>761</v>
      </c>
      <c r="F1907" s="19">
        <v>1</v>
      </c>
      <c r="G1907" s="19">
        <v>60010300</v>
      </c>
      <c r="H1907" s="19">
        <v>0</v>
      </c>
      <c r="I1907" s="28">
        <v>0</v>
      </c>
      <c r="J1907" s="19">
        <v>1</v>
      </c>
      <c r="K1907" s="19">
        <v>0</v>
      </c>
      <c r="L1907" s="19">
        <v>0</v>
      </c>
      <c r="M1907" s="19">
        <v>0</v>
      </c>
      <c r="N1907" s="19">
        <v>0</v>
      </c>
      <c r="O1907" s="17">
        <v>2</v>
      </c>
      <c r="P1907" s="19">
        <v>0</v>
      </c>
      <c r="Q1907" s="19">
        <v>0</v>
      </c>
      <c r="R1907" s="19">
        <v>0</v>
      </c>
      <c r="S1907" s="13">
        <v>0</v>
      </c>
      <c r="T1907" s="28">
        <v>0</v>
      </c>
      <c r="U1907" s="17">
        <v>1</v>
      </c>
      <c r="V1907" s="19">
        <v>2</v>
      </c>
      <c r="W1907" s="19">
        <v>0</v>
      </c>
      <c r="X1907" s="19">
        <v>3</v>
      </c>
      <c r="Y1907" s="13">
        <v>0</v>
      </c>
      <c r="Z1907" s="19">
        <v>0</v>
      </c>
      <c r="AA1907" s="19">
        <v>0</v>
      </c>
      <c r="AB1907" s="19">
        <v>0</v>
      </c>
      <c r="AC1907" s="19">
        <v>0</v>
      </c>
      <c r="AD1907" s="17">
        <v>0</v>
      </c>
      <c r="AE1907" s="19">
        <v>0</v>
      </c>
      <c r="AF1907" s="19">
        <v>20</v>
      </c>
      <c r="AG1907" s="19">
        <v>1</v>
      </c>
      <c r="AH1907" s="19">
        <v>1</v>
      </c>
      <c r="AI1907" s="13">
        <v>2</v>
      </c>
      <c r="AJ1907" s="13">
        <v>2</v>
      </c>
      <c r="AK1907" s="13">
        <v>0</v>
      </c>
      <c r="AL1907" s="13">
        <v>1.5</v>
      </c>
      <c r="AM1907" s="19">
        <v>0</v>
      </c>
      <c r="AN1907" s="19">
        <v>0</v>
      </c>
      <c r="AO1907" s="19">
        <v>0</v>
      </c>
      <c r="AP1907" s="19">
        <v>1</v>
      </c>
      <c r="AQ1907" s="19">
        <v>30000</v>
      </c>
      <c r="AR1907" s="19">
        <v>0</v>
      </c>
      <c r="AS1907" s="19">
        <v>4</v>
      </c>
      <c r="AT1907" s="13">
        <v>0</v>
      </c>
      <c r="AU1907" s="17" t="s">
        <v>659</v>
      </c>
      <c r="AV1907" s="17"/>
      <c r="AW1907" s="20" t="s">
        <v>199</v>
      </c>
      <c r="AX1907" s="19" t="s">
        <v>545</v>
      </c>
      <c r="AY1907" s="19">
        <v>10003002</v>
      </c>
      <c r="AZ1907" s="19">
        <v>70106005</v>
      </c>
      <c r="BA1907" s="20" t="s">
        <v>586</v>
      </c>
      <c r="BB1907" s="20">
        <v>0</v>
      </c>
      <c r="BC1907" s="28">
        <v>0</v>
      </c>
      <c r="BD1907" s="28">
        <v>0</v>
      </c>
      <c r="BE1907" s="89" t="s">
        <v>1065</v>
      </c>
      <c r="BF1907" s="89" t="s">
        <v>1066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70503002</v>
      </c>
      <c r="D1908" s="18" t="s">
        <v>1067</v>
      </c>
      <c r="E1908" s="18" t="s">
        <v>1068</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2.5</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2.5</v>
      </c>
      <c r="AQ1908" s="17">
        <v>5000</v>
      </c>
      <c r="AR1908" s="17">
        <v>2</v>
      </c>
      <c r="AS1908" s="17">
        <v>0</v>
      </c>
      <c r="AT1908" s="13">
        <v>0</v>
      </c>
      <c r="AU1908" s="17">
        <v>0</v>
      </c>
      <c r="AV1908" s="17"/>
      <c r="AW1908" s="20" t="s">
        <v>617</v>
      </c>
      <c r="AX1908" s="17" t="s">
        <v>534</v>
      </c>
      <c r="AY1908" s="19">
        <v>10000007</v>
      </c>
      <c r="AZ1908" s="19">
        <v>70404002</v>
      </c>
      <c r="BA1908" s="18" t="s">
        <v>200</v>
      </c>
      <c r="BB1908" s="17" t="s">
        <v>4335</v>
      </c>
      <c r="BC1908" s="28">
        <v>0</v>
      </c>
      <c r="BD1908" s="28">
        <v>0</v>
      </c>
      <c r="BE1908" s="46" t="s">
        <v>4317</v>
      </c>
      <c r="BF1908" s="46" t="s">
        <v>4318</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70503003</v>
      </c>
      <c r="D1909" s="20" t="s">
        <v>538</v>
      </c>
      <c r="E1909" s="20" t="s">
        <v>539</v>
      </c>
      <c r="F1909" s="19">
        <v>1</v>
      </c>
      <c r="G1909" s="19">
        <v>60010500</v>
      </c>
      <c r="H1909" s="19">
        <v>0</v>
      </c>
      <c r="I1909" s="28">
        <v>0</v>
      </c>
      <c r="J1909" s="19">
        <v>1</v>
      </c>
      <c r="K1909" s="19">
        <v>0</v>
      </c>
      <c r="L1909" s="19">
        <v>0</v>
      </c>
      <c r="M1909" s="19">
        <v>0</v>
      </c>
      <c r="N1909" s="19">
        <v>0</v>
      </c>
      <c r="O1909" s="17">
        <v>2</v>
      </c>
      <c r="P1909" s="19">
        <v>2</v>
      </c>
      <c r="Q1909" s="19">
        <v>0.6</v>
      </c>
      <c r="R1909" s="19">
        <v>0</v>
      </c>
      <c r="S1909" s="13">
        <v>0</v>
      </c>
      <c r="T1909" s="28">
        <v>0</v>
      </c>
      <c r="U1909" s="17">
        <v>1</v>
      </c>
      <c r="V1909" s="19">
        <v>2</v>
      </c>
      <c r="W1909" s="19">
        <v>0</v>
      </c>
      <c r="X1909" s="19">
        <v>0</v>
      </c>
      <c r="Y1909" s="13">
        <v>0</v>
      </c>
      <c r="Z1909" s="19">
        <v>0</v>
      </c>
      <c r="AA1909" s="19">
        <v>0</v>
      </c>
      <c r="AB1909" s="19">
        <v>0</v>
      </c>
      <c r="AC1909" s="19">
        <v>0</v>
      </c>
      <c r="AD1909" s="17">
        <v>0</v>
      </c>
      <c r="AE1909" s="19">
        <v>0</v>
      </c>
      <c r="AF1909" s="19">
        <v>20</v>
      </c>
      <c r="AG1909" s="19">
        <v>0</v>
      </c>
      <c r="AH1909" s="19">
        <v>0</v>
      </c>
      <c r="AI1909" s="13">
        <v>2</v>
      </c>
      <c r="AJ1909" s="13">
        <v>0</v>
      </c>
      <c r="AK1909" s="13">
        <v>0</v>
      </c>
      <c r="AL1909" s="13">
        <v>0</v>
      </c>
      <c r="AM1909" s="19">
        <v>0</v>
      </c>
      <c r="AN1909" s="19">
        <v>0</v>
      </c>
      <c r="AO1909" s="19">
        <v>0</v>
      </c>
      <c r="AP1909" s="19">
        <v>0</v>
      </c>
      <c r="AQ1909" s="19">
        <v>1000</v>
      </c>
      <c r="AR1909" s="19">
        <v>0</v>
      </c>
      <c r="AS1909" s="19">
        <v>0</v>
      </c>
      <c r="AT1909" s="13">
        <v>90401004</v>
      </c>
      <c r="AU1909" s="19" t="s">
        <v>198</v>
      </c>
      <c r="AV1909" s="19"/>
      <c r="AW1909" s="20" t="s">
        <v>198</v>
      </c>
      <c r="AX1909" s="19" t="s">
        <v>348</v>
      </c>
      <c r="AY1909" s="19">
        <v>0</v>
      </c>
      <c r="AZ1909" s="19">
        <v>40000003</v>
      </c>
      <c r="BA1909" s="20" t="s">
        <v>200</v>
      </c>
      <c r="BB1909" s="20" t="s">
        <v>198</v>
      </c>
      <c r="BC1909" s="28">
        <v>0</v>
      </c>
      <c r="BD1909" s="28">
        <v>0</v>
      </c>
      <c r="BE1909" s="89" t="s">
        <v>850</v>
      </c>
      <c r="BF1909" s="89" t="s">
        <v>851</v>
      </c>
      <c r="BG1909" s="19">
        <v>0</v>
      </c>
      <c r="BH1909" s="17">
        <v>0</v>
      </c>
      <c r="BI1909" s="19">
        <v>0</v>
      </c>
      <c r="BJ1909" s="19">
        <v>0</v>
      </c>
      <c r="BK1909" s="19">
        <v>0</v>
      </c>
      <c r="BL1909" s="19">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70503004</v>
      </c>
      <c r="D1910" s="20" t="s">
        <v>567</v>
      </c>
      <c r="E1910" s="20" t="s">
        <v>568</v>
      </c>
      <c r="F1910" s="19">
        <v>1</v>
      </c>
      <c r="G1910" s="19">
        <v>60010500</v>
      </c>
      <c r="H1910" s="19">
        <v>0</v>
      </c>
      <c r="I1910" s="28">
        <v>0</v>
      </c>
      <c r="J1910" s="19">
        <v>1</v>
      </c>
      <c r="K1910" s="19">
        <v>0</v>
      </c>
      <c r="L1910" s="19">
        <v>0</v>
      </c>
      <c r="M1910" s="19">
        <v>0</v>
      </c>
      <c r="N1910" s="19">
        <v>0</v>
      </c>
      <c r="O1910" s="17">
        <v>2</v>
      </c>
      <c r="P1910" s="19">
        <v>2</v>
      </c>
      <c r="Q1910" s="19">
        <v>0.3</v>
      </c>
      <c r="R1910" s="19">
        <v>0</v>
      </c>
      <c r="S1910" s="13">
        <v>0</v>
      </c>
      <c r="T1910" s="28">
        <v>0</v>
      </c>
      <c r="U1910" s="17">
        <v>1</v>
      </c>
      <c r="V1910" s="19">
        <v>2</v>
      </c>
      <c r="W1910" s="19">
        <v>0</v>
      </c>
      <c r="X1910" s="19">
        <v>0</v>
      </c>
      <c r="Y1910" s="13">
        <v>0</v>
      </c>
      <c r="Z1910" s="19">
        <v>0</v>
      </c>
      <c r="AA1910" s="19">
        <v>0</v>
      </c>
      <c r="AB1910" s="19">
        <v>0</v>
      </c>
      <c r="AC1910" s="19">
        <v>0</v>
      </c>
      <c r="AD1910" s="17">
        <v>0</v>
      </c>
      <c r="AE1910" s="19">
        <v>0</v>
      </c>
      <c r="AF1910" s="17">
        <v>15</v>
      </c>
      <c r="AG1910" s="19">
        <v>0</v>
      </c>
      <c r="AH1910" s="19">
        <v>0</v>
      </c>
      <c r="AI1910" s="13">
        <v>2</v>
      </c>
      <c r="AJ1910" s="13">
        <v>0</v>
      </c>
      <c r="AK1910" s="13">
        <v>0</v>
      </c>
      <c r="AL1910" s="13">
        <v>0</v>
      </c>
      <c r="AM1910" s="19">
        <v>0</v>
      </c>
      <c r="AN1910" s="19">
        <v>0</v>
      </c>
      <c r="AO1910" s="19">
        <v>0</v>
      </c>
      <c r="AP1910" s="19">
        <v>0</v>
      </c>
      <c r="AQ1910" s="19">
        <v>1000</v>
      </c>
      <c r="AR1910" s="19">
        <v>0</v>
      </c>
      <c r="AS1910" s="19">
        <v>0</v>
      </c>
      <c r="AT1910" s="13">
        <v>90402005</v>
      </c>
      <c r="AU1910" s="19" t="s">
        <v>198</v>
      </c>
      <c r="AV1910" s="19"/>
      <c r="AW1910" s="20" t="s">
        <v>199</v>
      </c>
      <c r="AX1910" s="19" t="s">
        <v>348</v>
      </c>
      <c r="AY1910" s="19">
        <v>0</v>
      </c>
      <c r="AZ1910" s="19">
        <v>0</v>
      </c>
      <c r="BA1910" s="20" t="s">
        <v>200</v>
      </c>
      <c r="BB1910" s="20" t="s">
        <v>198</v>
      </c>
      <c r="BC1910" s="28">
        <v>0</v>
      </c>
      <c r="BD1910" s="28">
        <v>0</v>
      </c>
      <c r="BE1910" s="89" t="s">
        <v>755</v>
      </c>
      <c r="BF1910" s="89" t="s">
        <v>756</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70503005</v>
      </c>
      <c r="D1911" s="18" t="s">
        <v>1489</v>
      </c>
      <c r="E1911" s="18" t="s">
        <v>1490</v>
      </c>
      <c r="F1911" s="17">
        <v>2</v>
      </c>
      <c r="G1911" s="17">
        <v>61012301</v>
      </c>
      <c r="H1911" s="17">
        <v>0</v>
      </c>
      <c r="I1911" s="28">
        <v>0</v>
      </c>
      <c r="J1911" s="19">
        <v>1</v>
      </c>
      <c r="K1911" s="19">
        <v>0</v>
      </c>
      <c r="L1911" s="19">
        <v>0</v>
      </c>
      <c r="M1911" s="17">
        <v>0</v>
      </c>
      <c r="N1911" s="17">
        <v>0</v>
      </c>
      <c r="O1911" s="17">
        <v>2</v>
      </c>
      <c r="P1911" s="17">
        <v>1</v>
      </c>
      <c r="Q1911" s="17">
        <v>0.5</v>
      </c>
      <c r="R1911" s="17">
        <v>0</v>
      </c>
      <c r="S1911" s="13">
        <v>0</v>
      </c>
      <c r="T1911" s="17">
        <v>0</v>
      </c>
      <c r="U1911" s="17">
        <v>1</v>
      </c>
      <c r="V1911" s="17">
        <v>2</v>
      </c>
      <c r="W1911" s="17">
        <v>0</v>
      </c>
      <c r="X1911" s="17">
        <v>3</v>
      </c>
      <c r="Y1911" s="13">
        <v>0</v>
      </c>
      <c r="Z1911" s="17">
        <v>0</v>
      </c>
      <c r="AA1911" s="17">
        <v>1</v>
      </c>
      <c r="AB1911" s="17">
        <v>0</v>
      </c>
      <c r="AC1911" s="17">
        <v>0</v>
      </c>
      <c r="AD1911" s="17">
        <v>0</v>
      </c>
      <c r="AE1911" s="17">
        <v>0</v>
      </c>
      <c r="AF1911" s="17">
        <v>12</v>
      </c>
      <c r="AG1911" s="17">
        <v>2</v>
      </c>
      <c r="AH1911" s="17" t="s">
        <v>213</v>
      </c>
      <c r="AI1911" s="13">
        <v>0</v>
      </c>
      <c r="AJ1911" s="13">
        <v>2</v>
      </c>
      <c r="AK1911" s="13">
        <v>0</v>
      </c>
      <c r="AL1911" s="13">
        <v>1.5</v>
      </c>
      <c r="AM1911" s="17">
        <v>0</v>
      </c>
      <c r="AN1911" s="17">
        <v>0</v>
      </c>
      <c r="AO1911" s="17">
        <v>0</v>
      </c>
      <c r="AP1911" s="17">
        <v>0.2</v>
      </c>
      <c r="AQ1911" s="17">
        <v>200</v>
      </c>
      <c r="AR1911" s="17">
        <v>1</v>
      </c>
      <c r="AS1911" s="17">
        <v>30</v>
      </c>
      <c r="AT1911" s="13">
        <v>0</v>
      </c>
      <c r="AU1911" s="17" t="s">
        <v>198</v>
      </c>
      <c r="AV1911" s="17"/>
      <c r="AW1911" s="18" t="s">
        <v>256</v>
      </c>
      <c r="AX1911" s="17" t="s">
        <v>215</v>
      </c>
      <c r="AY1911" s="19">
        <v>10000011</v>
      </c>
      <c r="AZ1911" s="19">
        <v>70404001</v>
      </c>
      <c r="BA1911" s="18" t="s">
        <v>216</v>
      </c>
      <c r="BB1911" s="17">
        <v>0</v>
      </c>
      <c r="BC1911" s="28">
        <v>0</v>
      </c>
      <c r="BD1911" s="28">
        <v>0</v>
      </c>
      <c r="BE1911" s="46" t="s">
        <v>4320</v>
      </c>
      <c r="BF1911" s="46" t="s">
        <v>4321</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70503006</v>
      </c>
      <c r="D1912" s="18" t="s">
        <v>1029</v>
      </c>
      <c r="E1912" s="18" t="s">
        <v>1030</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v>
      </c>
      <c r="Y1912" s="13">
        <v>0</v>
      </c>
      <c r="Z1912" s="17">
        <v>0</v>
      </c>
      <c r="AA1912" s="17">
        <v>1</v>
      </c>
      <c r="AB1912" s="17">
        <v>0</v>
      </c>
      <c r="AC1912" s="17">
        <v>0</v>
      </c>
      <c r="AD1912" s="17">
        <v>0</v>
      </c>
      <c r="AE1912" s="17">
        <v>0</v>
      </c>
      <c r="AF1912" s="17">
        <v>12</v>
      </c>
      <c r="AG1912" s="17">
        <v>1</v>
      </c>
      <c r="AH1912" s="17">
        <v>3</v>
      </c>
      <c r="AI1912" s="13">
        <v>4</v>
      </c>
      <c r="AJ1912" s="13">
        <v>1</v>
      </c>
      <c r="AK1912" s="13">
        <v>0</v>
      </c>
      <c r="AL1912" s="13">
        <v>1.5</v>
      </c>
      <c r="AM1912" s="17">
        <v>0</v>
      </c>
      <c r="AN1912" s="17">
        <v>0</v>
      </c>
      <c r="AO1912" s="17">
        <v>0</v>
      </c>
      <c r="AP1912" s="17">
        <v>3</v>
      </c>
      <c r="AQ1912" s="17">
        <v>999999</v>
      </c>
      <c r="AR1912" s="17">
        <v>3</v>
      </c>
      <c r="AS1912" s="17">
        <v>0</v>
      </c>
      <c r="AT1912" s="13">
        <v>0</v>
      </c>
      <c r="AU1912" s="17" t="s">
        <v>198</v>
      </c>
      <c r="AV1912" s="17"/>
      <c r="AW1912" s="20" t="s">
        <v>287</v>
      </c>
      <c r="AX1912" s="17" t="s">
        <v>534</v>
      </c>
      <c r="AY1912" s="19">
        <v>10000007</v>
      </c>
      <c r="AZ1912" s="19">
        <v>70302004</v>
      </c>
      <c r="BA1912" s="18" t="s">
        <v>200</v>
      </c>
      <c r="BB1912" s="17" t="s">
        <v>4336</v>
      </c>
      <c r="BC1912" s="28">
        <v>0</v>
      </c>
      <c r="BD1912" s="28">
        <v>0</v>
      </c>
      <c r="BE1912" s="46" t="s">
        <v>4220</v>
      </c>
      <c r="BF1912" s="46" t="s">
        <v>4221</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70504001</v>
      </c>
      <c r="D1913" s="18" t="s">
        <v>1086</v>
      </c>
      <c r="E1913" s="18" t="s">
        <v>1087</v>
      </c>
      <c r="F1913" s="17">
        <v>1</v>
      </c>
      <c r="G1913" s="17">
        <v>60010300</v>
      </c>
      <c r="H1913" s="19">
        <v>0</v>
      </c>
      <c r="I1913" s="28">
        <v>0</v>
      </c>
      <c r="J1913" s="19">
        <v>1</v>
      </c>
      <c r="K1913" s="19">
        <v>0</v>
      </c>
      <c r="L1913" s="19">
        <v>0</v>
      </c>
      <c r="M1913" s="17">
        <v>0</v>
      </c>
      <c r="N1913" s="17">
        <v>0</v>
      </c>
      <c r="O1913" s="17">
        <v>2</v>
      </c>
      <c r="P1913" s="17">
        <v>2</v>
      </c>
      <c r="Q1913" s="17">
        <v>0.8</v>
      </c>
      <c r="R1913" s="17">
        <v>1</v>
      </c>
      <c r="S1913" s="13">
        <v>0</v>
      </c>
      <c r="T1913" s="17">
        <v>0</v>
      </c>
      <c r="U1913" s="17">
        <v>1</v>
      </c>
      <c r="V1913" s="17">
        <v>2</v>
      </c>
      <c r="W1913" s="17">
        <v>0</v>
      </c>
      <c r="X1913" s="17">
        <v>0</v>
      </c>
      <c r="Y1913" s="13">
        <v>0</v>
      </c>
      <c r="Z1913" s="17">
        <v>0</v>
      </c>
      <c r="AA1913" s="17">
        <v>0</v>
      </c>
      <c r="AB1913" s="17">
        <v>0</v>
      </c>
      <c r="AC1913" s="17">
        <v>0</v>
      </c>
      <c r="AD1913" s="17">
        <v>0</v>
      </c>
      <c r="AE1913" s="17">
        <v>0</v>
      </c>
      <c r="AF1913" s="17">
        <v>99999</v>
      </c>
      <c r="AG1913" s="17">
        <v>0</v>
      </c>
      <c r="AH1913" s="17">
        <v>0</v>
      </c>
      <c r="AI1913" s="13">
        <v>2</v>
      </c>
      <c r="AJ1913" s="13">
        <v>2</v>
      </c>
      <c r="AK1913" s="13">
        <v>0</v>
      </c>
      <c r="AL1913" s="13">
        <v>1.5</v>
      </c>
      <c r="AM1913" s="17">
        <v>0</v>
      </c>
      <c r="AN1913" s="17">
        <v>0</v>
      </c>
      <c r="AO1913" s="17">
        <v>0</v>
      </c>
      <c r="AP1913" s="17">
        <v>1</v>
      </c>
      <c r="AQ1913" s="17">
        <v>3000</v>
      </c>
      <c r="AR1913" s="17">
        <v>0.5</v>
      </c>
      <c r="AS1913" s="17">
        <v>0</v>
      </c>
      <c r="AT1913" s="13">
        <v>0</v>
      </c>
      <c r="AU1913" s="17" t="s">
        <v>198</v>
      </c>
      <c r="AV1913" s="17"/>
      <c r="AW1913" s="20" t="s">
        <v>199</v>
      </c>
      <c r="AX1913" s="17" t="s">
        <v>545</v>
      </c>
      <c r="AY1913" s="19">
        <v>0</v>
      </c>
      <c r="AZ1913" s="19">
        <v>0</v>
      </c>
      <c r="BA1913" s="18" t="s">
        <v>528</v>
      </c>
      <c r="BB1913" s="17" t="s">
        <v>1088</v>
      </c>
      <c r="BC1913" s="28">
        <v>0</v>
      </c>
      <c r="BD1913" s="28">
        <v>0</v>
      </c>
      <c r="BE1913" s="46" t="s">
        <v>1089</v>
      </c>
      <c r="BF1913" s="46" t="s">
        <v>1090</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19.5" customHeight="1">
      <c r="C1914" s="19">
        <v>70504002</v>
      </c>
      <c r="D1914" s="18" t="s">
        <v>1091</v>
      </c>
      <c r="E1914" s="18" t="s">
        <v>1092</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2.5</v>
      </c>
      <c r="Y1914" s="13">
        <v>0</v>
      </c>
      <c r="Z1914" s="17">
        <v>0</v>
      </c>
      <c r="AA1914" s="17">
        <v>1</v>
      </c>
      <c r="AB1914" s="17">
        <v>0</v>
      </c>
      <c r="AC1914" s="17">
        <v>0</v>
      </c>
      <c r="AD1914" s="17">
        <v>0</v>
      </c>
      <c r="AE1914" s="17">
        <v>0</v>
      </c>
      <c r="AF1914" s="17">
        <v>16</v>
      </c>
      <c r="AG1914" s="17">
        <v>1</v>
      </c>
      <c r="AH1914" s="17" t="s">
        <v>607</v>
      </c>
      <c r="AI1914" s="13">
        <v>0</v>
      </c>
      <c r="AJ1914" s="13">
        <v>1</v>
      </c>
      <c r="AK1914" s="13">
        <v>0</v>
      </c>
      <c r="AL1914" s="13">
        <v>3</v>
      </c>
      <c r="AM1914" s="17">
        <v>0</v>
      </c>
      <c r="AN1914" s="17">
        <v>0</v>
      </c>
      <c r="AO1914" s="17">
        <v>0</v>
      </c>
      <c r="AP1914" s="17">
        <v>3</v>
      </c>
      <c r="AQ1914" s="17">
        <v>5000</v>
      </c>
      <c r="AR1914" s="17">
        <v>2.5</v>
      </c>
      <c r="AS1914" s="17">
        <v>0</v>
      </c>
      <c r="AT1914" s="13">
        <v>0</v>
      </c>
      <c r="AU1914" s="17">
        <v>80001030</v>
      </c>
      <c r="AV1914" s="17"/>
      <c r="AW1914" s="20" t="s">
        <v>287</v>
      </c>
      <c r="AX1914" s="17" t="s">
        <v>534</v>
      </c>
      <c r="AY1914" s="19">
        <v>10000007</v>
      </c>
      <c r="AZ1914" s="19">
        <v>70204001</v>
      </c>
      <c r="BA1914" s="18" t="s">
        <v>200</v>
      </c>
      <c r="BB1914" s="17">
        <v>0</v>
      </c>
      <c r="BC1914" s="28">
        <v>0</v>
      </c>
      <c r="BD1914" s="28">
        <v>0</v>
      </c>
      <c r="BE1914" s="46" t="s">
        <v>1093</v>
      </c>
      <c r="BF1914" s="46" t="s">
        <v>1094</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70504003</v>
      </c>
      <c r="D1915" s="18" t="s">
        <v>946</v>
      </c>
      <c r="E1915" s="18" t="s">
        <v>947</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16</v>
      </c>
      <c r="AG1915" s="17">
        <v>1</v>
      </c>
      <c r="AH1915" s="17">
        <v>3</v>
      </c>
      <c r="AI1915" s="13">
        <v>4</v>
      </c>
      <c r="AJ1915" s="13">
        <v>1</v>
      </c>
      <c r="AK1915" s="13">
        <v>0</v>
      </c>
      <c r="AL1915" s="13">
        <v>1.5</v>
      </c>
      <c r="AM1915" s="17">
        <v>0</v>
      </c>
      <c r="AN1915" s="17">
        <v>0</v>
      </c>
      <c r="AO1915" s="17">
        <v>0</v>
      </c>
      <c r="AP1915" s="17">
        <v>3</v>
      </c>
      <c r="AQ1915" s="17">
        <v>5000</v>
      </c>
      <c r="AR1915" s="17">
        <v>3</v>
      </c>
      <c r="AS1915" s="17">
        <v>0</v>
      </c>
      <c r="AT1915" s="13">
        <v>0</v>
      </c>
      <c r="AU1915" s="17">
        <v>80001030</v>
      </c>
      <c r="AV1915" s="17"/>
      <c r="AW1915" s="20" t="s">
        <v>256</v>
      </c>
      <c r="AX1915" s="17" t="s">
        <v>534</v>
      </c>
      <c r="AY1915" s="19">
        <v>10000007</v>
      </c>
      <c r="AZ1915" s="19">
        <v>70204002</v>
      </c>
      <c r="BA1915" s="18" t="s">
        <v>200</v>
      </c>
      <c r="BB1915" s="17" t="s">
        <v>4337</v>
      </c>
      <c r="BC1915" s="28">
        <v>0</v>
      </c>
      <c r="BD1915" s="28">
        <v>0</v>
      </c>
      <c r="BE1915" s="46" t="s">
        <v>1096</v>
      </c>
      <c r="BF1915" s="46" t="s">
        <v>1097</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70504004</v>
      </c>
      <c r="D1916" s="18" t="s">
        <v>951</v>
      </c>
      <c r="E1916" s="18" t="s">
        <v>952</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2.5</v>
      </c>
      <c r="Y1916" s="13">
        <v>0</v>
      </c>
      <c r="Z1916" s="17">
        <v>0</v>
      </c>
      <c r="AA1916" s="17">
        <v>1</v>
      </c>
      <c r="AB1916" s="17">
        <v>0</v>
      </c>
      <c r="AC1916" s="17">
        <v>0</v>
      </c>
      <c r="AD1916" s="17">
        <v>0</v>
      </c>
      <c r="AE1916" s="17">
        <v>0</v>
      </c>
      <c r="AF1916" s="17">
        <v>16</v>
      </c>
      <c r="AG1916" s="17">
        <v>1</v>
      </c>
      <c r="AH1916" s="17">
        <v>3</v>
      </c>
      <c r="AI1916" s="13">
        <v>6</v>
      </c>
      <c r="AJ1916" s="13">
        <v>1</v>
      </c>
      <c r="AK1916" s="13">
        <v>0</v>
      </c>
      <c r="AL1916" s="13">
        <v>1.5</v>
      </c>
      <c r="AM1916" s="17">
        <v>0</v>
      </c>
      <c r="AN1916" s="17">
        <v>0</v>
      </c>
      <c r="AO1916" s="17">
        <v>0</v>
      </c>
      <c r="AP1916" s="17">
        <v>3</v>
      </c>
      <c r="AQ1916" s="17">
        <v>5000</v>
      </c>
      <c r="AR1916" s="17">
        <v>3</v>
      </c>
      <c r="AS1916" s="17">
        <v>0</v>
      </c>
      <c r="AT1916" s="13">
        <v>0</v>
      </c>
      <c r="AU1916" s="17">
        <v>80001030</v>
      </c>
      <c r="AV1916" s="17"/>
      <c r="AW1916" s="20" t="s">
        <v>617</v>
      </c>
      <c r="AX1916" s="17" t="s">
        <v>534</v>
      </c>
      <c r="AY1916" s="19">
        <v>10000007</v>
      </c>
      <c r="AZ1916" s="19">
        <v>70204003</v>
      </c>
      <c r="BA1916" s="18" t="s">
        <v>200</v>
      </c>
      <c r="BB1916" s="17" t="s">
        <v>4338</v>
      </c>
      <c r="BC1916" s="28">
        <v>0</v>
      </c>
      <c r="BD1916" s="28">
        <v>0</v>
      </c>
      <c r="BE1916" s="46" t="s">
        <v>1099</v>
      </c>
      <c r="BF1916" s="46" t="s">
        <v>1100</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19.5" customHeight="1">
      <c r="C1917" s="19">
        <v>70504005</v>
      </c>
      <c r="D1917" s="18" t="s">
        <v>1101</v>
      </c>
      <c r="E1917" s="18" t="s">
        <v>1102</v>
      </c>
      <c r="F1917" s="19">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2.5</v>
      </c>
      <c r="Y1917" s="13">
        <v>0</v>
      </c>
      <c r="Z1917" s="17">
        <v>0</v>
      </c>
      <c r="AA1917" s="17">
        <v>1</v>
      </c>
      <c r="AB1917" s="17">
        <v>0</v>
      </c>
      <c r="AC1917" s="17">
        <v>0</v>
      </c>
      <c r="AD1917" s="17">
        <v>0</v>
      </c>
      <c r="AE1917" s="17">
        <v>0</v>
      </c>
      <c r="AF1917" s="17">
        <v>16</v>
      </c>
      <c r="AG1917" s="17">
        <v>1</v>
      </c>
      <c r="AH1917" s="17" t="s">
        <v>607</v>
      </c>
      <c r="AI1917" s="13">
        <v>0</v>
      </c>
      <c r="AJ1917" s="13">
        <v>1</v>
      </c>
      <c r="AK1917" s="13">
        <v>0</v>
      </c>
      <c r="AL1917" s="13">
        <v>3</v>
      </c>
      <c r="AM1917" s="17">
        <v>0</v>
      </c>
      <c r="AN1917" s="17">
        <v>0</v>
      </c>
      <c r="AO1917" s="17">
        <v>0</v>
      </c>
      <c r="AP1917" s="17">
        <v>2.5</v>
      </c>
      <c r="AQ1917" s="17">
        <v>5000</v>
      </c>
      <c r="AR1917" s="17">
        <v>2</v>
      </c>
      <c r="AS1917" s="17">
        <v>0</v>
      </c>
      <c r="AT1917" s="13">
        <v>0</v>
      </c>
      <c r="AU1917" s="17">
        <v>80001030</v>
      </c>
      <c r="AV1917" s="17"/>
      <c r="AW1917" s="20" t="s">
        <v>256</v>
      </c>
      <c r="AX1917" s="17" t="s">
        <v>534</v>
      </c>
      <c r="AY1917" s="19">
        <v>10000007</v>
      </c>
      <c r="AZ1917" s="19">
        <v>70405001</v>
      </c>
      <c r="BA1917" s="18" t="s">
        <v>200</v>
      </c>
      <c r="BB1917" s="17">
        <v>0</v>
      </c>
      <c r="BC1917" s="28">
        <v>0</v>
      </c>
      <c r="BD1917" s="28">
        <v>0</v>
      </c>
      <c r="BE1917" s="46" t="s">
        <v>1103</v>
      </c>
      <c r="BF1917" s="46" t="s">
        <v>1104</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spans="3:75" ht="20.100000000000001" customHeight="1">
      <c r="C1918" s="19">
        <v>70505001</v>
      </c>
      <c r="D1918" s="18" t="s">
        <v>1116</v>
      </c>
      <c r="E1918" s="18" t="s">
        <v>391</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2</v>
      </c>
      <c r="Y1918" s="13">
        <v>0</v>
      </c>
      <c r="Z1918" s="17">
        <v>0</v>
      </c>
      <c r="AA1918" s="17">
        <v>1</v>
      </c>
      <c r="AB1918" s="17">
        <v>0</v>
      </c>
      <c r="AC1918" s="17">
        <v>0</v>
      </c>
      <c r="AD1918" s="17">
        <v>0</v>
      </c>
      <c r="AE1918" s="17">
        <v>0</v>
      </c>
      <c r="AF1918" s="17">
        <v>12</v>
      </c>
      <c r="AG1918" s="17">
        <v>1</v>
      </c>
      <c r="AH1918" s="17">
        <v>3</v>
      </c>
      <c r="AI1918" s="13">
        <v>4</v>
      </c>
      <c r="AJ1918" s="13">
        <v>1</v>
      </c>
      <c r="AK1918" s="13">
        <v>0</v>
      </c>
      <c r="AL1918" s="13">
        <v>1.5</v>
      </c>
      <c r="AM1918" s="17">
        <v>0</v>
      </c>
      <c r="AN1918" s="17">
        <v>0</v>
      </c>
      <c r="AO1918" s="17">
        <v>0</v>
      </c>
      <c r="AP1918" s="17">
        <v>3</v>
      </c>
      <c r="AQ1918" s="17">
        <v>5000</v>
      </c>
      <c r="AR1918" s="17">
        <v>3</v>
      </c>
      <c r="AS1918" s="17">
        <v>0</v>
      </c>
      <c r="AT1918" s="13">
        <v>0</v>
      </c>
      <c r="AU1918" s="17">
        <v>80001030</v>
      </c>
      <c r="AV1918" s="17"/>
      <c r="AW1918" s="20" t="s">
        <v>256</v>
      </c>
      <c r="AX1918" s="17" t="s">
        <v>534</v>
      </c>
      <c r="AY1918" s="19">
        <v>10000007</v>
      </c>
      <c r="AZ1918" s="19">
        <v>70204002</v>
      </c>
      <c r="BA1918" s="18" t="s">
        <v>200</v>
      </c>
      <c r="BB1918" s="17" t="s">
        <v>4339</v>
      </c>
      <c r="BC1918" s="28">
        <v>0</v>
      </c>
      <c r="BD1918" s="28">
        <v>0</v>
      </c>
      <c r="BE1918" s="46" t="s">
        <v>1322</v>
      </c>
      <c r="BF1918" s="46" t="s">
        <v>1323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spans="3:75" ht="20.100000000000001" customHeight="1">
      <c r="C1919" s="19">
        <v>70505002</v>
      </c>
      <c r="D1919" s="18" t="s">
        <v>1324</v>
      </c>
      <c r="E1919" s="18" t="s">
        <v>1325</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2</v>
      </c>
      <c r="Y1919" s="13">
        <v>0</v>
      </c>
      <c r="Z1919" s="17">
        <v>0</v>
      </c>
      <c r="AA1919" s="17">
        <v>1</v>
      </c>
      <c r="AB1919" s="17">
        <v>0</v>
      </c>
      <c r="AC1919" s="17">
        <v>0</v>
      </c>
      <c r="AD1919" s="17">
        <v>0</v>
      </c>
      <c r="AE1919" s="17">
        <v>0</v>
      </c>
      <c r="AF1919" s="17">
        <v>12</v>
      </c>
      <c r="AG1919" s="17">
        <v>2</v>
      </c>
      <c r="AH1919" s="17" t="s">
        <v>213</v>
      </c>
      <c r="AI1919" s="13">
        <v>0</v>
      </c>
      <c r="AJ1919" s="13">
        <v>2</v>
      </c>
      <c r="AK1919" s="13">
        <v>0</v>
      </c>
      <c r="AL1919" s="13">
        <v>1.5</v>
      </c>
      <c r="AM1919" s="17">
        <v>0</v>
      </c>
      <c r="AN1919" s="17">
        <v>0</v>
      </c>
      <c r="AO1919" s="17">
        <v>0</v>
      </c>
      <c r="AP1919" s="17">
        <v>1.5</v>
      </c>
      <c r="AQ1919" s="17">
        <v>10000</v>
      </c>
      <c r="AR1919" s="17">
        <v>1</v>
      </c>
      <c r="AS1919" s="17">
        <v>5</v>
      </c>
      <c r="AT1919" s="13">
        <v>0</v>
      </c>
      <c r="AU1919" s="17" t="s">
        <v>198</v>
      </c>
      <c r="AV1919" s="17"/>
      <c r="AW1919" s="20" t="s">
        <v>617</v>
      </c>
      <c r="AX1919" s="17" t="s">
        <v>534</v>
      </c>
      <c r="AY1919" s="19">
        <v>10000007</v>
      </c>
      <c r="AZ1919" s="19">
        <v>70302003</v>
      </c>
      <c r="BA1919" s="20" t="s">
        <v>586</v>
      </c>
      <c r="BB1919" s="17">
        <v>0</v>
      </c>
      <c r="BC1919" s="28">
        <v>0</v>
      </c>
      <c r="BD1919" s="28">
        <v>0</v>
      </c>
      <c r="BE1919" s="46" t="s">
        <v>1108</v>
      </c>
      <c r="BF1919" s="46" t="s">
        <v>1109</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20.100000000000001" customHeight="1">
      <c r="C1920" s="19">
        <v>70505003</v>
      </c>
      <c r="D1920" s="20" t="s">
        <v>621</v>
      </c>
      <c r="E1920" s="20" t="s">
        <v>622</v>
      </c>
      <c r="F1920" s="19">
        <v>1</v>
      </c>
      <c r="G1920" s="19">
        <v>60010500</v>
      </c>
      <c r="H1920" s="19">
        <v>0</v>
      </c>
      <c r="I1920" s="28">
        <v>0</v>
      </c>
      <c r="J1920" s="19">
        <v>1</v>
      </c>
      <c r="K1920" s="19">
        <v>0</v>
      </c>
      <c r="L1920" s="19">
        <v>0</v>
      </c>
      <c r="M1920" s="19">
        <v>0</v>
      </c>
      <c r="N1920" s="19">
        <v>0</v>
      </c>
      <c r="O1920" s="17">
        <v>2</v>
      </c>
      <c r="P1920" s="19">
        <v>2</v>
      </c>
      <c r="Q1920" s="19">
        <v>0.3</v>
      </c>
      <c r="R1920" s="19">
        <v>0</v>
      </c>
      <c r="S1920" s="13">
        <v>0</v>
      </c>
      <c r="T1920" s="28">
        <v>0</v>
      </c>
      <c r="U1920" s="17">
        <v>1</v>
      </c>
      <c r="V1920" s="19">
        <v>2</v>
      </c>
      <c r="W1920" s="19">
        <v>0</v>
      </c>
      <c r="X1920" s="19">
        <v>0</v>
      </c>
      <c r="Y1920" s="13">
        <v>0</v>
      </c>
      <c r="Z1920" s="19">
        <v>0</v>
      </c>
      <c r="AA1920" s="19">
        <v>0</v>
      </c>
      <c r="AB1920" s="19">
        <v>0</v>
      </c>
      <c r="AC1920" s="19">
        <v>0</v>
      </c>
      <c r="AD1920" s="17">
        <v>0</v>
      </c>
      <c r="AE1920" s="19">
        <v>0</v>
      </c>
      <c r="AF1920" s="17">
        <v>12</v>
      </c>
      <c r="AG1920" s="19">
        <v>0</v>
      </c>
      <c r="AH1920" s="19">
        <v>0</v>
      </c>
      <c r="AI1920" s="13">
        <v>7</v>
      </c>
      <c r="AJ1920" s="13">
        <v>0</v>
      </c>
      <c r="AK1920" s="13">
        <v>0</v>
      </c>
      <c r="AL1920" s="13">
        <v>0</v>
      </c>
      <c r="AM1920" s="19">
        <v>0</v>
      </c>
      <c r="AN1920" s="19">
        <v>0</v>
      </c>
      <c r="AO1920" s="19">
        <v>0</v>
      </c>
      <c r="AP1920" s="19">
        <v>0</v>
      </c>
      <c r="AQ1920" s="19">
        <v>1000</v>
      </c>
      <c r="AR1920" s="19">
        <v>0</v>
      </c>
      <c r="AS1920" s="19">
        <v>0</v>
      </c>
      <c r="AT1920" s="13">
        <v>0</v>
      </c>
      <c r="AU1920" s="19">
        <v>90204004</v>
      </c>
      <c r="AV1920" s="19"/>
      <c r="AW1920" s="20" t="s">
        <v>199</v>
      </c>
      <c r="AX1920" s="19" t="s">
        <v>348</v>
      </c>
      <c r="AY1920" s="19">
        <v>0</v>
      </c>
      <c r="AZ1920" s="19">
        <v>0</v>
      </c>
      <c r="BA1920" s="20" t="s">
        <v>200</v>
      </c>
      <c r="BB1920" s="20" t="s">
        <v>198</v>
      </c>
      <c r="BC1920" s="28">
        <v>0</v>
      </c>
      <c r="BD1920" s="28">
        <v>0</v>
      </c>
      <c r="BE1920" s="89" t="s">
        <v>623</v>
      </c>
      <c r="BF1920" s="89" t="s">
        <v>624</v>
      </c>
      <c r="BG1920" s="19">
        <v>0</v>
      </c>
      <c r="BH1920" s="17">
        <v>0</v>
      </c>
      <c r="BI1920" s="19">
        <v>0</v>
      </c>
      <c r="BJ1920" s="19">
        <v>0</v>
      </c>
      <c r="BK1920" s="19">
        <v>0</v>
      </c>
      <c r="BL1920" s="19">
        <v>0</v>
      </c>
      <c r="BM1920" s="16">
        <v>0</v>
      </c>
      <c r="BN1920" s="13">
        <v>0</v>
      </c>
      <c r="BO1920" s="13">
        <v>0</v>
      </c>
      <c r="BP1920" s="13">
        <v>0</v>
      </c>
      <c r="BQ1920" s="13">
        <v>0</v>
      </c>
      <c r="BR1920" s="13">
        <v>0</v>
      </c>
      <c r="BS1920" s="13">
        <v>0</v>
      </c>
      <c r="BT1920" s="13">
        <v>0</v>
      </c>
      <c r="BU1920" s="49">
        <v>0</v>
      </c>
      <c r="BV1920" s="49"/>
      <c r="BW1920" s="49"/>
    </row>
    <row r="1921" spans="3:75" ht="19.5" customHeight="1">
      <c r="C1921" s="19">
        <v>70505004</v>
      </c>
      <c r="D1921" s="20" t="s">
        <v>757</v>
      </c>
      <c r="E1921" s="20" t="s">
        <v>399</v>
      </c>
      <c r="F1921" s="19">
        <v>1</v>
      </c>
      <c r="G1921" s="19">
        <v>60010500</v>
      </c>
      <c r="H1921" s="19">
        <v>0</v>
      </c>
      <c r="I1921" s="28">
        <v>0</v>
      </c>
      <c r="J1921" s="19">
        <v>1</v>
      </c>
      <c r="K1921" s="19">
        <v>0</v>
      </c>
      <c r="L1921" s="19">
        <v>0</v>
      </c>
      <c r="M1921" s="19">
        <v>0</v>
      </c>
      <c r="N1921" s="19">
        <v>0</v>
      </c>
      <c r="O1921" s="17">
        <v>2</v>
      </c>
      <c r="P1921" s="19">
        <v>2</v>
      </c>
      <c r="Q1921" s="19">
        <v>0.3</v>
      </c>
      <c r="R1921" s="19">
        <v>0</v>
      </c>
      <c r="S1921" s="13">
        <v>0</v>
      </c>
      <c r="T1921" s="28">
        <v>0</v>
      </c>
      <c r="U1921" s="17">
        <v>1</v>
      </c>
      <c r="V1921" s="19">
        <v>2</v>
      </c>
      <c r="W1921" s="19">
        <v>0</v>
      </c>
      <c r="X1921" s="19">
        <v>0</v>
      </c>
      <c r="Y1921" s="13">
        <v>0</v>
      </c>
      <c r="Z1921" s="19">
        <v>0</v>
      </c>
      <c r="AA1921" s="19">
        <v>0</v>
      </c>
      <c r="AB1921" s="19">
        <v>0</v>
      </c>
      <c r="AC1921" s="19">
        <v>0</v>
      </c>
      <c r="AD1921" s="17">
        <v>0</v>
      </c>
      <c r="AE1921" s="19">
        <v>0</v>
      </c>
      <c r="AF1921" s="17">
        <v>15</v>
      </c>
      <c r="AG1921" s="19">
        <v>0</v>
      </c>
      <c r="AH1921" s="19">
        <v>0</v>
      </c>
      <c r="AI1921" s="13">
        <v>2</v>
      </c>
      <c r="AJ1921" s="13">
        <v>0</v>
      </c>
      <c r="AK1921" s="13">
        <v>0</v>
      </c>
      <c r="AL1921" s="13">
        <v>0</v>
      </c>
      <c r="AM1921" s="19">
        <v>0</v>
      </c>
      <c r="AN1921" s="19">
        <v>0</v>
      </c>
      <c r="AO1921" s="19">
        <v>0</v>
      </c>
      <c r="AP1921" s="19">
        <v>0</v>
      </c>
      <c r="AQ1921" s="19">
        <v>1000</v>
      </c>
      <c r="AR1921" s="19">
        <v>0</v>
      </c>
      <c r="AS1921" s="19">
        <v>0</v>
      </c>
      <c r="AT1921" s="13" t="s">
        <v>754</v>
      </c>
      <c r="AU1921" s="19" t="s">
        <v>198</v>
      </c>
      <c r="AV1921" s="19"/>
      <c r="AW1921" s="20" t="s">
        <v>199</v>
      </c>
      <c r="AX1921" s="19" t="s">
        <v>348</v>
      </c>
      <c r="AY1921" s="19">
        <v>0</v>
      </c>
      <c r="AZ1921" s="19">
        <v>0</v>
      </c>
      <c r="BA1921" s="20" t="s">
        <v>200</v>
      </c>
      <c r="BB1921" s="20" t="s">
        <v>198</v>
      </c>
      <c r="BC1921" s="28">
        <v>0</v>
      </c>
      <c r="BD1921" s="28">
        <v>0</v>
      </c>
      <c r="BE1921" s="89" t="s">
        <v>1118</v>
      </c>
      <c r="BF1921" s="89" t="s">
        <v>1119</v>
      </c>
      <c r="BG1921" s="19">
        <v>0</v>
      </c>
      <c r="BH1921" s="17">
        <v>0</v>
      </c>
      <c r="BI1921" s="19">
        <v>0</v>
      </c>
      <c r="BJ1921" s="19">
        <v>0</v>
      </c>
      <c r="BK1921" s="19">
        <v>0</v>
      </c>
      <c r="BL1921" s="19">
        <v>0</v>
      </c>
      <c r="BM1921" s="16">
        <v>0</v>
      </c>
      <c r="BN1921" s="13">
        <v>0</v>
      </c>
      <c r="BO1921" s="13">
        <v>0</v>
      </c>
      <c r="BP1921" s="13">
        <v>0</v>
      </c>
      <c r="BQ1921" s="13">
        <v>0</v>
      </c>
      <c r="BR1921" s="13">
        <v>0</v>
      </c>
      <c r="BS1921" s="13">
        <v>0</v>
      </c>
      <c r="BT1921" s="13">
        <v>0</v>
      </c>
      <c r="BU1921" s="49">
        <v>0</v>
      </c>
      <c r="BV1921" s="49"/>
      <c r="BW1921" s="49"/>
    </row>
    <row r="1922" spans="3:75" ht="19.5" customHeight="1">
      <c r="C1922" s="19">
        <v>70505005</v>
      </c>
      <c r="D1922" s="18" t="s">
        <v>1326</v>
      </c>
      <c r="E1922" s="18" t="s">
        <v>1327</v>
      </c>
      <c r="F1922" s="19">
        <v>1</v>
      </c>
      <c r="G1922" s="17">
        <v>60010100</v>
      </c>
      <c r="H1922" s="19">
        <v>0</v>
      </c>
      <c r="I1922" s="28">
        <v>0</v>
      </c>
      <c r="J1922" s="19">
        <v>1</v>
      </c>
      <c r="K1922" s="19">
        <v>0</v>
      </c>
      <c r="L1922" s="19">
        <v>0</v>
      </c>
      <c r="M1922" s="17">
        <v>0</v>
      </c>
      <c r="N1922" s="17">
        <v>0</v>
      </c>
      <c r="O1922" s="17">
        <v>2</v>
      </c>
      <c r="P1922" s="17">
        <v>1</v>
      </c>
      <c r="Q1922" s="17">
        <v>0.3</v>
      </c>
      <c r="R1922" s="17">
        <v>0</v>
      </c>
      <c r="S1922" s="13">
        <v>0</v>
      </c>
      <c r="T1922" s="17">
        <v>0</v>
      </c>
      <c r="U1922" s="17">
        <v>1</v>
      </c>
      <c r="V1922" s="17">
        <v>2</v>
      </c>
      <c r="W1922" s="17">
        <v>0</v>
      </c>
      <c r="X1922" s="17">
        <v>3</v>
      </c>
      <c r="Y1922" s="13">
        <v>0</v>
      </c>
      <c r="Z1922" s="17">
        <v>0</v>
      </c>
      <c r="AA1922" s="17">
        <v>1</v>
      </c>
      <c r="AB1922" s="17">
        <v>0</v>
      </c>
      <c r="AC1922" s="17">
        <v>0</v>
      </c>
      <c r="AD1922" s="17">
        <v>0</v>
      </c>
      <c r="AE1922" s="17">
        <v>0</v>
      </c>
      <c r="AF1922" s="17">
        <v>15</v>
      </c>
      <c r="AG1922" s="17">
        <v>1</v>
      </c>
      <c r="AH1922" s="17" t="s">
        <v>607</v>
      </c>
      <c r="AI1922" s="13">
        <v>0</v>
      </c>
      <c r="AJ1922" s="13">
        <v>1</v>
      </c>
      <c r="AK1922" s="13">
        <v>0</v>
      </c>
      <c r="AL1922" s="13">
        <v>3</v>
      </c>
      <c r="AM1922" s="17">
        <v>0</v>
      </c>
      <c r="AN1922" s="17">
        <v>0</v>
      </c>
      <c r="AO1922" s="17">
        <v>0</v>
      </c>
      <c r="AP1922" s="17">
        <v>3</v>
      </c>
      <c r="AQ1922" s="17">
        <v>5000</v>
      </c>
      <c r="AR1922" s="17">
        <v>2.5</v>
      </c>
      <c r="AS1922" s="17">
        <v>0</v>
      </c>
      <c r="AT1922" s="13">
        <v>0</v>
      </c>
      <c r="AU1922" s="17" t="s">
        <v>659</v>
      </c>
      <c r="AV1922" s="17"/>
      <c r="AW1922" s="20" t="s">
        <v>287</v>
      </c>
      <c r="AX1922" s="17" t="s">
        <v>534</v>
      </c>
      <c r="AY1922" s="19">
        <v>10000007</v>
      </c>
      <c r="AZ1922" s="19">
        <v>70305005</v>
      </c>
      <c r="BA1922" s="18" t="s">
        <v>200</v>
      </c>
      <c r="BB1922" s="17">
        <v>0</v>
      </c>
      <c r="BC1922" s="28">
        <v>0</v>
      </c>
      <c r="BD1922" s="28">
        <v>0</v>
      </c>
      <c r="BE1922" s="46" t="s">
        <v>1122</v>
      </c>
      <c r="BF1922" s="46" t="s">
        <v>1123</v>
      </c>
      <c r="BG1922" s="17">
        <v>0</v>
      </c>
      <c r="BH1922" s="17">
        <v>0</v>
      </c>
      <c r="BI1922" s="17">
        <v>0</v>
      </c>
      <c r="BJ1922" s="17">
        <v>0</v>
      </c>
      <c r="BK1922" s="17">
        <v>0</v>
      </c>
      <c r="BL1922" s="17">
        <v>0</v>
      </c>
      <c r="BM1922" s="16">
        <v>0</v>
      </c>
      <c r="BN1922" s="13">
        <v>0</v>
      </c>
      <c r="BO1922" s="13">
        <v>0</v>
      </c>
      <c r="BP1922" s="13">
        <v>0</v>
      </c>
      <c r="BQ1922" s="13">
        <v>0</v>
      </c>
      <c r="BR1922" s="13">
        <v>0</v>
      </c>
      <c r="BS1922" s="13">
        <v>0</v>
      </c>
      <c r="BT1922" s="13">
        <v>0</v>
      </c>
      <c r="BU1922" s="49">
        <v>0</v>
      </c>
      <c r="BV1922" s="49"/>
      <c r="BW1922" s="49"/>
    </row>
    <row r="1923" spans="3:75" ht="19.5" customHeight="1">
      <c r="C1923" s="19">
        <v>70505006</v>
      </c>
      <c r="D1923" s="18" t="s">
        <v>4284</v>
      </c>
      <c r="E1923" s="18" t="s">
        <v>4285</v>
      </c>
      <c r="F1923" s="19">
        <v>1</v>
      </c>
      <c r="G1923" s="17">
        <v>60010100</v>
      </c>
      <c r="H1923" s="19">
        <v>0</v>
      </c>
      <c r="I1923" s="28">
        <v>0</v>
      </c>
      <c r="J1923" s="19">
        <v>1</v>
      </c>
      <c r="K1923" s="19">
        <v>0</v>
      </c>
      <c r="L1923" s="19">
        <v>0</v>
      </c>
      <c r="M1923" s="17">
        <v>0</v>
      </c>
      <c r="N1923" s="17">
        <v>0</v>
      </c>
      <c r="O1923" s="17">
        <v>2</v>
      </c>
      <c r="P1923" s="17">
        <v>1</v>
      </c>
      <c r="Q1923" s="17">
        <v>1</v>
      </c>
      <c r="R1923" s="17">
        <v>0</v>
      </c>
      <c r="S1923" s="13">
        <v>0</v>
      </c>
      <c r="T1923" s="17">
        <v>0</v>
      </c>
      <c r="U1923" s="17">
        <v>1</v>
      </c>
      <c r="V1923" s="17">
        <v>2</v>
      </c>
      <c r="W1923" s="17">
        <v>0</v>
      </c>
      <c r="X1923" s="17">
        <v>3</v>
      </c>
      <c r="Y1923" s="13">
        <v>0</v>
      </c>
      <c r="Z1923" s="17">
        <v>0</v>
      </c>
      <c r="AA1923" s="17">
        <v>1</v>
      </c>
      <c r="AB1923" s="17">
        <v>0</v>
      </c>
      <c r="AC1923" s="17">
        <v>0</v>
      </c>
      <c r="AD1923" s="17">
        <v>0</v>
      </c>
      <c r="AE1923" s="17">
        <v>0</v>
      </c>
      <c r="AF1923" s="17">
        <v>7</v>
      </c>
      <c r="AG1923" s="17">
        <v>1</v>
      </c>
      <c r="AH1923" s="17" t="s">
        <v>607</v>
      </c>
      <c r="AI1923" s="13">
        <v>0</v>
      </c>
      <c r="AJ1923" s="13">
        <v>1</v>
      </c>
      <c r="AK1923" s="13">
        <v>0</v>
      </c>
      <c r="AL1923" s="13">
        <v>3</v>
      </c>
      <c r="AM1923" s="17">
        <v>0</v>
      </c>
      <c r="AN1923" s="17">
        <v>0</v>
      </c>
      <c r="AO1923" s="17">
        <v>0</v>
      </c>
      <c r="AP1923" s="17">
        <v>3</v>
      </c>
      <c r="AQ1923" s="17">
        <v>5000</v>
      </c>
      <c r="AR1923" s="17">
        <v>2.5</v>
      </c>
      <c r="AS1923" s="17">
        <v>0</v>
      </c>
      <c r="AT1923" s="13">
        <v>0</v>
      </c>
      <c r="AU1923" s="17" t="s">
        <v>198</v>
      </c>
      <c r="AV1923" s="17"/>
      <c r="AW1923" s="20" t="s">
        <v>199</v>
      </c>
      <c r="AX1923" s="17" t="s">
        <v>534</v>
      </c>
      <c r="AY1923" s="19">
        <v>10000007</v>
      </c>
      <c r="AZ1923" s="19">
        <v>70305007</v>
      </c>
      <c r="BA1923" s="18" t="s">
        <v>200</v>
      </c>
      <c r="BB1923" s="17">
        <v>0</v>
      </c>
      <c r="BC1923" s="28">
        <v>0</v>
      </c>
      <c r="BD1923" s="28">
        <v>0</v>
      </c>
      <c r="BE1923" s="46" t="s">
        <v>582</v>
      </c>
      <c r="BF1923" s="46" t="s">
        <v>583</v>
      </c>
      <c r="BG1923" s="17">
        <v>0</v>
      </c>
      <c r="BH1923" s="17">
        <v>0</v>
      </c>
      <c r="BI1923" s="17">
        <v>0</v>
      </c>
      <c r="BJ1923" s="17">
        <v>0</v>
      </c>
      <c r="BK1923" s="17">
        <v>0</v>
      </c>
      <c r="BL1923" s="17">
        <v>0</v>
      </c>
      <c r="BM1923" s="16">
        <v>0</v>
      </c>
      <c r="BN1923" s="13">
        <v>0</v>
      </c>
      <c r="BO1923" s="13">
        <v>0</v>
      </c>
      <c r="BP1923" s="13">
        <v>0</v>
      </c>
      <c r="BQ1923" s="13">
        <v>0</v>
      </c>
      <c r="BR1923" s="13">
        <v>0</v>
      </c>
      <c r="BS1923" s="13">
        <v>0</v>
      </c>
      <c r="BT1923" s="13">
        <v>0</v>
      </c>
      <c r="BU1923" s="49">
        <v>0</v>
      </c>
      <c r="BV1923" s="49"/>
      <c r="BW1923" s="49"/>
    </row>
    <row r="1924" spans="3:75" ht="19.5" customHeight="1">
      <c r="C1924" s="19">
        <v>70505007</v>
      </c>
      <c r="D1924" s="18" t="s">
        <v>1124</v>
      </c>
      <c r="E1924" s="18" t="s">
        <v>1125</v>
      </c>
      <c r="F1924" s="19">
        <v>1</v>
      </c>
      <c r="G1924" s="17">
        <v>60010100</v>
      </c>
      <c r="H1924" s="19">
        <v>0</v>
      </c>
      <c r="I1924" s="28">
        <v>0</v>
      </c>
      <c r="J1924" s="19">
        <v>1</v>
      </c>
      <c r="K1924" s="19">
        <v>0</v>
      </c>
      <c r="L1924" s="19">
        <v>0</v>
      </c>
      <c r="M1924" s="17">
        <v>0</v>
      </c>
      <c r="N1924" s="17">
        <v>0</v>
      </c>
      <c r="O1924" s="17">
        <v>2</v>
      </c>
      <c r="P1924" s="17">
        <v>1</v>
      </c>
      <c r="Q1924" s="17">
        <v>0.3</v>
      </c>
      <c r="R1924" s="17">
        <v>0</v>
      </c>
      <c r="S1924" s="13">
        <v>0</v>
      </c>
      <c r="T1924" s="17">
        <v>0</v>
      </c>
      <c r="U1924" s="17">
        <v>1</v>
      </c>
      <c r="V1924" s="17">
        <v>2</v>
      </c>
      <c r="W1924" s="17">
        <v>0</v>
      </c>
      <c r="X1924" s="17">
        <v>1</v>
      </c>
      <c r="Y1924" s="13">
        <v>0</v>
      </c>
      <c r="Z1924" s="17">
        <v>0</v>
      </c>
      <c r="AA1924" s="17">
        <v>1</v>
      </c>
      <c r="AB1924" s="17">
        <v>0</v>
      </c>
      <c r="AC1924" s="17">
        <v>0</v>
      </c>
      <c r="AD1924" s="17">
        <v>0</v>
      </c>
      <c r="AE1924" s="17">
        <v>0</v>
      </c>
      <c r="AF1924" s="17">
        <v>30</v>
      </c>
      <c r="AG1924" s="17">
        <v>1</v>
      </c>
      <c r="AH1924" s="17" t="s">
        <v>861</v>
      </c>
      <c r="AI1924" s="13">
        <v>0</v>
      </c>
      <c r="AJ1924" s="13">
        <v>0</v>
      </c>
      <c r="AK1924" s="13">
        <v>0</v>
      </c>
      <c r="AL1924" s="13">
        <v>0</v>
      </c>
      <c r="AM1924" s="17">
        <v>0</v>
      </c>
      <c r="AN1924" s="17">
        <v>0</v>
      </c>
      <c r="AO1924" s="17">
        <v>0</v>
      </c>
      <c r="AP1924" s="17">
        <v>0.5</v>
      </c>
      <c r="AQ1924" s="17">
        <v>999999</v>
      </c>
      <c r="AR1924" s="17">
        <v>0.5</v>
      </c>
      <c r="AS1924" s="17">
        <v>0</v>
      </c>
      <c r="AT1924" s="13">
        <v>0</v>
      </c>
      <c r="AU1924" s="355" t="s">
        <v>1019</v>
      </c>
      <c r="AV1924" s="13"/>
      <c r="AW1924" s="20" t="s">
        <v>287</v>
      </c>
      <c r="AX1924" s="17" t="s">
        <v>534</v>
      </c>
      <c r="AY1924" s="19">
        <v>10000007</v>
      </c>
      <c r="AZ1924" s="19">
        <v>70202004</v>
      </c>
      <c r="BA1924" s="20" t="s">
        <v>315</v>
      </c>
      <c r="BB1924" s="20" t="s">
        <v>371</v>
      </c>
      <c r="BC1924" s="28">
        <v>0</v>
      </c>
      <c r="BD1924" s="28">
        <v>0</v>
      </c>
      <c r="BE1924" s="46" t="s">
        <v>1001</v>
      </c>
      <c r="BF1924" s="46" t="s">
        <v>1002</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spans="3:75" ht="19.5" customHeight="1">
      <c r="C1925" s="19">
        <v>70505008</v>
      </c>
      <c r="D1925" s="18" t="s">
        <v>1091</v>
      </c>
      <c r="E1925" s="18" t="s">
        <v>1092</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3</v>
      </c>
      <c r="Y1925" s="13">
        <v>0</v>
      </c>
      <c r="Z1925" s="17">
        <v>0</v>
      </c>
      <c r="AA1925" s="17">
        <v>1</v>
      </c>
      <c r="AB1925" s="17">
        <v>0</v>
      </c>
      <c r="AC1925" s="17">
        <v>0</v>
      </c>
      <c r="AD1925" s="17">
        <v>0</v>
      </c>
      <c r="AE1925" s="17">
        <v>0</v>
      </c>
      <c r="AF1925" s="17">
        <v>15</v>
      </c>
      <c r="AG1925" s="17">
        <v>1</v>
      </c>
      <c r="AH1925" s="17" t="s">
        <v>607</v>
      </c>
      <c r="AI1925" s="13">
        <v>0</v>
      </c>
      <c r="AJ1925" s="13">
        <v>1</v>
      </c>
      <c r="AK1925" s="13">
        <v>0</v>
      </c>
      <c r="AL1925" s="13">
        <v>3</v>
      </c>
      <c r="AM1925" s="17">
        <v>0</v>
      </c>
      <c r="AN1925" s="17">
        <v>0</v>
      </c>
      <c r="AO1925" s="17">
        <v>0</v>
      </c>
      <c r="AP1925" s="17">
        <v>3</v>
      </c>
      <c r="AQ1925" s="17">
        <v>5000</v>
      </c>
      <c r="AR1925" s="17">
        <v>2.5</v>
      </c>
      <c r="AS1925" s="17">
        <v>0</v>
      </c>
      <c r="AT1925" s="13">
        <v>0</v>
      </c>
      <c r="AU1925" s="17" t="s">
        <v>659</v>
      </c>
      <c r="AV1925" s="17"/>
      <c r="AW1925" s="20" t="s">
        <v>256</v>
      </c>
      <c r="AX1925" s="17" t="s">
        <v>534</v>
      </c>
      <c r="AY1925" s="19">
        <v>10000007</v>
      </c>
      <c r="AZ1925" s="19">
        <v>70403003</v>
      </c>
      <c r="BA1925" s="18" t="s">
        <v>200</v>
      </c>
      <c r="BB1925" s="17">
        <v>0</v>
      </c>
      <c r="BC1925" s="28">
        <v>0</v>
      </c>
      <c r="BD1925" s="28">
        <v>0</v>
      </c>
      <c r="BE1925" s="46" t="s">
        <v>1122</v>
      </c>
      <c r="BF1925" s="46" t="s">
        <v>1123</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19.5" customHeight="1">
      <c r="C1926" s="19">
        <v>71000001</v>
      </c>
      <c r="D1926" s="20" t="s">
        <v>4340</v>
      </c>
      <c r="E1926" s="20" t="s">
        <v>4341</v>
      </c>
      <c r="F1926" s="19">
        <v>1</v>
      </c>
      <c r="G1926" s="19">
        <v>60010100</v>
      </c>
      <c r="H1926" s="19">
        <v>0</v>
      </c>
      <c r="I1926" s="28">
        <v>0</v>
      </c>
      <c r="J1926" s="19">
        <v>1</v>
      </c>
      <c r="K1926" s="19">
        <v>0</v>
      </c>
      <c r="L1926" s="19">
        <v>0</v>
      </c>
      <c r="M1926" s="19">
        <v>0</v>
      </c>
      <c r="N1926" s="19">
        <v>0</v>
      </c>
      <c r="O1926" s="17">
        <v>2</v>
      </c>
      <c r="P1926" s="19">
        <v>0</v>
      </c>
      <c r="Q1926" s="19">
        <v>0</v>
      </c>
      <c r="R1926" s="19">
        <v>0</v>
      </c>
      <c r="S1926" s="13">
        <v>0</v>
      </c>
      <c r="T1926" s="28">
        <v>0</v>
      </c>
      <c r="U1926" s="17">
        <v>1</v>
      </c>
      <c r="V1926" s="19">
        <v>2</v>
      </c>
      <c r="W1926" s="19">
        <v>0</v>
      </c>
      <c r="X1926" s="19">
        <v>0</v>
      </c>
      <c r="Y1926" s="13">
        <v>0</v>
      </c>
      <c r="Z1926" s="19">
        <v>0</v>
      </c>
      <c r="AA1926" s="19">
        <v>1</v>
      </c>
      <c r="AB1926" s="19">
        <v>0</v>
      </c>
      <c r="AC1926" s="19">
        <v>0</v>
      </c>
      <c r="AD1926" s="17">
        <v>0</v>
      </c>
      <c r="AE1926" s="19">
        <v>0</v>
      </c>
      <c r="AF1926" s="19">
        <v>5</v>
      </c>
      <c r="AG1926" s="19">
        <v>1</v>
      </c>
      <c r="AH1926" s="19">
        <v>3</v>
      </c>
      <c r="AI1926" s="13">
        <v>2</v>
      </c>
      <c r="AJ1926" s="13">
        <v>0</v>
      </c>
      <c r="AK1926" s="13">
        <v>0</v>
      </c>
      <c r="AL1926" s="13">
        <v>1.6</v>
      </c>
      <c r="AM1926" s="19">
        <v>0</v>
      </c>
      <c r="AN1926" s="19">
        <v>0</v>
      </c>
      <c r="AO1926" s="19">
        <v>0</v>
      </c>
      <c r="AP1926" s="19">
        <v>0.5</v>
      </c>
      <c r="AQ1926" s="19">
        <v>3000</v>
      </c>
      <c r="AR1926" s="19">
        <v>0</v>
      </c>
      <c r="AS1926" s="19">
        <v>0</v>
      </c>
      <c r="AT1926" s="13">
        <v>0</v>
      </c>
      <c r="AU1926" s="19" t="s">
        <v>4342</v>
      </c>
      <c r="AV1926" s="19"/>
      <c r="AW1926" s="20" t="s">
        <v>256</v>
      </c>
      <c r="AX1926" s="19" t="s">
        <v>534</v>
      </c>
      <c r="AY1926" s="19" t="s">
        <v>198</v>
      </c>
      <c r="AZ1926" s="19" t="s">
        <v>198</v>
      </c>
      <c r="BA1926" s="20" t="s">
        <v>200</v>
      </c>
      <c r="BB1926" s="20">
        <v>0</v>
      </c>
      <c r="BC1926" s="28">
        <v>0</v>
      </c>
      <c r="BD1926" s="28">
        <v>0</v>
      </c>
      <c r="BE1926" s="89" t="s">
        <v>4343</v>
      </c>
      <c r="BF1926" s="89" t="s">
        <v>4344</v>
      </c>
      <c r="BG1926" s="19">
        <v>0</v>
      </c>
      <c r="BH1926" s="17">
        <v>0</v>
      </c>
      <c r="BI1926" s="19">
        <v>0</v>
      </c>
      <c r="BJ1926" s="19">
        <v>0</v>
      </c>
      <c r="BK1926" s="19">
        <v>0</v>
      </c>
      <c r="BL1926" s="19">
        <v>0</v>
      </c>
      <c r="BM1926" s="16">
        <v>0</v>
      </c>
      <c r="BN1926" s="13">
        <v>0</v>
      </c>
      <c r="BO1926" s="13">
        <v>0</v>
      </c>
      <c r="BP1926" s="13">
        <v>0</v>
      </c>
      <c r="BQ1926" s="13">
        <v>0</v>
      </c>
      <c r="BR1926" s="13">
        <v>0</v>
      </c>
      <c r="BS1926" s="13">
        <v>0</v>
      </c>
      <c r="BT1926" s="13">
        <v>0</v>
      </c>
      <c r="BU1926" s="49">
        <v>0</v>
      </c>
      <c r="BV1926" s="49"/>
      <c r="BW1926" s="49"/>
    </row>
    <row r="1927" spans="3:75" ht="19.5" customHeight="1">
      <c r="C1927" s="19">
        <v>71000002</v>
      </c>
      <c r="D1927" s="20" t="s">
        <v>4345</v>
      </c>
      <c r="E1927" s="20" t="s">
        <v>4346</v>
      </c>
      <c r="F1927" s="19">
        <v>1</v>
      </c>
      <c r="G1927" s="19">
        <v>60010100</v>
      </c>
      <c r="H1927" s="19">
        <v>0</v>
      </c>
      <c r="I1927" s="28">
        <v>0</v>
      </c>
      <c r="J1927" s="19">
        <v>1</v>
      </c>
      <c r="K1927" s="19">
        <v>0</v>
      </c>
      <c r="L1927" s="19">
        <v>0</v>
      </c>
      <c r="M1927" s="19">
        <v>0</v>
      </c>
      <c r="N1927" s="19">
        <v>0</v>
      </c>
      <c r="O1927" s="17">
        <v>2</v>
      </c>
      <c r="P1927" s="19">
        <v>0</v>
      </c>
      <c r="Q1927" s="19">
        <v>0</v>
      </c>
      <c r="R1927" s="19">
        <v>0</v>
      </c>
      <c r="S1927" s="13">
        <v>0</v>
      </c>
      <c r="T1927" s="28">
        <v>0</v>
      </c>
      <c r="U1927" s="17">
        <v>1</v>
      </c>
      <c r="V1927" s="19">
        <v>2</v>
      </c>
      <c r="W1927" s="19">
        <v>0</v>
      </c>
      <c r="X1927" s="19">
        <v>0</v>
      </c>
      <c r="Y1927" s="13">
        <v>0</v>
      </c>
      <c r="Z1927" s="19">
        <v>0</v>
      </c>
      <c r="AA1927" s="19">
        <v>1</v>
      </c>
      <c r="AB1927" s="19">
        <v>0</v>
      </c>
      <c r="AC1927" s="19">
        <v>0</v>
      </c>
      <c r="AD1927" s="17">
        <v>0</v>
      </c>
      <c r="AE1927" s="19">
        <v>0</v>
      </c>
      <c r="AF1927" s="19">
        <v>5</v>
      </c>
      <c r="AG1927" s="19">
        <v>1</v>
      </c>
      <c r="AH1927" s="19">
        <v>3</v>
      </c>
      <c r="AI1927" s="13">
        <v>2</v>
      </c>
      <c r="AJ1927" s="13">
        <v>0</v>
      </c>
      <c r="AK1927" s="13">
        <v>0</v>
      </c>
      <c r="AL1927" s="13">
        <v>1.6</v>
      </c>
      <c r="AM1927" s="19">
        <v>0</v>
      </c>
      <c r="AN1927" s="19">
        <v>0</v>
      </c>
      <c r="AO1927" s="19">
        <v>0</v>
      </c>
      <c r="AP1927" s="19">
        <v>0.5</v>
      </c>
      <c r="AQ1927" s="19">
        <v>3000</v>
      </c>
      <c r="AR1927" s="19">
        <v>0</v>
      </c>
      <c r="AS1927" s="19">
        <v>0</v>
      </c>
      <c r="AT1927" s="13">
        <v>0</v>
      </c>
      <c r="AU1927" s="19">
        <v>99004005</v>
      </c>
      <c r="AV1927" s="19"/>
      <c r="AW1927" s="20" t="s">
        <v>256</v>
      </c>
      <c r="AX1927" s="19" t="s">
        <v>534</v>
      </c>
      <c r="AY1927" s="19" t="s">
        <v>198</v>
      </c>
      <c r="AZ1927" s="19" t="s">
        <v>198</v>
      </c>
      <c r="BA1927" s="20" t="s">
        <v>200</v>
      </c>
      <c r="BB1927" s="20">
        <v>0</v>
      </c>
      <c r="BC1927" s="28">
        <v>0</v>
      </c>
      <c r="BD1927" s="28">
        <v>0</v>
      </c>
      <c r="BE1927" s="89" t="s">
        <v>4343</v>
      </c>
      <c r="BF1927" s="89" t="s">
        <v>4344</v>
      </c>
      <c r="BG1927" s="19">
        <v>0</v>
      </c>
      <c r="BH1927" s="17">
        <v>0</v>
      </c>
      <c r="BI1927" s="19">
        <v>0</v>
      </c>
      <c r="BJ1927" s="19">
        <v>0</v>
      </c>
      <c r="BK1927" s="19">
        <v>0</v>
      </c>
      <c r="BL1927" s="19">
        <v>0</v>
      </c>
      <c r="BM1927" s="16">
        <v>0</v>
      </c>
      <c r="BN1927" s="13">
        <v>0</v>
      </c>
      <c r="BO1927" s="13">
        <v>0</v>
      </c>
      <c r="BP1927" s="13">
        <v>0</v>
      </c>
      <c r="BQ1927" s="13">
        <v>0</v>
      </c>
      <c r="BR1927" s="13">
        <v>0</v>
      </c>
      <c r="BS1927" s="13">
        <v>0</v>
      </c>
      <c r="BT1927" s="13">
        <v>0</v>
      </c>
      <c r="BU1927" s="49">
        <v>0</v>
      </c>
      <c r="BV1927" s="49"/>
      <c r="BW1927" s="49"/>
    </row>
    <row r="1928" spans="3:75" ht="20.100000000000001" customHeight="1">
      <c r="C1928" s="19">
        <v>73001101</v>
      </c>
      <c r="D1928" s="20" t="s">
        <v>1582</v>
      </c>
      <c r="E1928" s="20" t="s">
        <v>1583</v>
      </c>
      <c r="F1928" s="19">
        <v>1</v>
      </c>
      <c r="G1928" s="16">
        <v>0</v>
      </c>
      <c r="H1928" s="19">
        <v>0</v>
      </c>
      <c r="I1928" s="28">
        <v>0</v>
      </c>
      <c r="J1928" s="19">
        <v>1</v>
      </c>
      <c r="K1928" s="19">
        <v>0</v>
      </c>
      <c r="L1928" s="19">
        <v>0</v>
      </c>
      <c r="M1928" s="19">
        <v>0</v>
      </c>
      <c r="N1928" s="19">
        <v>0</v>
      </c>
      <c r="O1928" s="19">
        <v>2</v>
      </c>
      <c r="P1928" s="19">
        <v>1</v>
      </c>
      <c r="Q1928" s="19">
        <v>0.1</v>
      </c>
      <c r="R1928" s="19">
        <v>0</v>
      </c>
      <c r="S1928" s="13">
        <v>0</v>
      </c>
      <c r="T1928" s="28">
        <v>0</v>
      </c>
      <c r="U1928" s="17">
        <v>1</v>
      </c>
      <c r="V1928" s="19">
        <v>1</v>
      </c>
      <c r="W1928" s="19">
        <v>0</v>
      </c>
      <c r="X1928" s="19">
        <v>1.5</v>
      </c>
      <c r="Y1928" s="13">
        <v>0</v>
      </c>
      <c r="Z1928" s="19">
        <v>0</v>
      </c>
      <c r="AA1928" s="19">
        <v>0</v>
      </c>
      <c r="AB1928" s="19">
        <v>0</v>
      </c>
      <c r="AC1928" s="19">
        <v>0</v>
      </c>
      <c r="AD1928" s="19">
        <v>1</v>
      </c>
      <c r="AE1928" s="19">
        <v>0</v>
      </c>
      <c r="AF1928" s="19">
        <v>5</v>
      </c>
      <c r="AG1928" s="19">
        <v>1</v>
      </c>
      <c r="AH1928" s="19">
        <v>3</v>
      </c>
      <c r="AI1928" s="13">
        <v>2</v>
      </c>
      <c r="AJ1928" s="13">
        <v>1</v>
      </c>
      <c r="AK1928" s="13">
        <v>0</v>
      </c>
      <c r="AL1928" s="13">
        <v>6</v>
      </c>
      <c r="AM1928" s="19">
        <v>0</v>
      </c>
      <c r="AN1928" s="19">
        <v>0</v>
      </c>
      <c r="AO1928" s="19">
        <v>0</v>
      </c>
      <c r="AP1928" s="19">
        <v>0.5</v>
      </c>
      <c r="AQ1928" s="19">
        <v>5000</v>
      </c>
      <c r="AR1928" s="19">
        <v>0.2</v>
      </c>
      <c r="AS1928" s="19">
        <v>0</v>
      </c>
      <c r="AT1928" s="13">
        <v>0</v>
      </c>
      <c r="AU1928" s="19" t="s">
        <v>198</v>
      </c>
      <c r="AV1928" s="19"/>
      <c r="AW1928" s="20" t="s">
        <v>199</v>
      </c>
      <c r="AX1928" s="19">
        <v>0</v>
      </c>
      <c r="AY1928" s="19">
        <v>10000006</v>
      </c>
      <c r="AZ1928" s="27">
        <v>60000004</v>
      </c>
      <c r="BA1928" s="20" t="s">
        <v>1586</v>
      </c>
      <c r="BB1928" s="20" t="s">
        <v>198</v>
      </c>
      <c r="BC1928" s="28">
        <v>0</v>
      </c>
      <c r="BD1928" s="28">
        <v>0</v>
      </c>
      <c r="BE1928" s="89"/>
      <c r="BF1928" s="89"/>
      <c r="BG1928" s="19">
        <v>0</v>
      </c>
      <c r="BH1928" s="17">
        <v>0</v>
      </c>
      <c r="BI1928" s="19">
        <v>0</v>
      </c>
      <c r="BJ1928" s="19">
        <v>0</v>
      </c>
      <c r="BK1928" s="19">
        <v>0</v>
      </c>
      <c r="BL1928" s="19">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73001102</v>
      </c>
      <c r="D1929" s="18" t="s">
        <v>532</v>
      </c>
      <c r="E1929" s="18" t="s">
        <v>255</v>
      </c>
      <c r="F1929" s="19">
        <v>1</v>
      </c>
      <c r="G1929" s="17">
        <v>0</v>
      </c>
      <c r="H1929" s="19">
        <v>0</v>
      </c>
      <c r="I1929" s="28">
        <v>0</v>
      </c>
      <c r="J1929" s="19">
        <v>1</v>
      </c>
      <c r="K1929" s="19">
        <v>0</v>
      </c>
      <c r="L1929" s="19">
        <v>0</v>
      </c>
      <c r="M1929" s="17">
        <v>0</v>
      </c>
      <c r="N1929" s="17">
        <v>0</v>
      </c>
      <c r="O1929" s="17">
        <v>2</v>
      </c>
      <c r="P1929" s="17">
        <v>1</v>
      </c>
      <c r="Q1929" s="17">
        <v>1</v>
      </c>
      <c r="R1929" s="17">
        <v>0</v>
      </c>
      <c r="S1929" s="13">
        <v>0</v>
      </c>
      <c r="T1929" s="17">
        <v>0</v>
      </c>
      <c r="U1929" s="17">
        <v>1</v>
      </c>
      <c r="V1929" s="17">
        <v>2</v>
      </c>
      <c r="W1929" s="17">
        <v>0</v>
      </c>
      <c r="X1929" s="17">
        <v>2</v>
      </c>
      <c r="Y1929" s="13">
        <v>0</v>
      </c>
      <c r="Z1929" s="17">
        <v>0</v>
      </c>
      <c r="AA1929" s="17">
        <v>1</v>
      </c>
      <c r="AB1929" s="17">
        <v>0</v>
      </c>
      <c r="AC1929" s="17">
        <v>0</v>
      </c>
      <c r="AD1929" s="17">
        <v>0</v>
      </c>
      <c r="AE1929" s="17">
        <v>0</v>
      </c>
      <c r="AF1929" s="17">
        <v>6</v>
      </c>
      <c r="AG1929" s="17">
        <v>1</v>
      </c>
      <c r="AH1929" s="17">
        <v>3</v>
      </c>
      <c r="AI1929" s="13">
        <v>0</v>
      </c>
      <c r="AJ1929" s="13">
        <v>0</v>
      </c>
      <c r="AK1929" s="13">
        <v>0</v>
      </c>
      <c r="AL1929" s="13">
        <v>1.5</v>
      </c>
      <c r="AM1929" s="17">
        <v>0</v>
      </c>
      <c r="AN1929" s="17">
        <v>0</v>
      </c>
      <c r="AO1929" s="17">
        <v>0</v>
      </c>
      <c r="AP1929" s="17">
        <v>1</v>
      </c>
      <c r="AQ1929" s="17">
        <v>5000</v>
      </c>
      <c r="AR1929" s="17">
        <v>0.5</v>
      </c>
      <c r="AS1929" s="17">
        <v>0</v>
      </c>
      <c r="AT1929" s="13">
        <v>0</v>
      </c>
      <c r="AU1929" s="17" t="s">
        <v>198</v>
      </c>
      <c r="AV1929" s="17"/>
      <c r="AW1929" s="20" t="s">
        <v>199</v>
      </c>
      <c r="AX1929" s="17" t="s">
        <v>534</v>
      </c>
      <c r="AY1929" s="19">
        <v>10000007</v>
      </c>
      <c r="AZ1929" s="19">
        <v>70105001</v>
      </c>
      <c r="BA1929" s="18" t="s">
        <v>200</v>
      </c>
      <c r="BB1929" s="17" t="s">
        <v>4195</v>
      </c>
      <c r="BC1929" s="28">
        <v>0</v>
      </c>
      <c r="BD1929" s="28">
        <v>0</v>
      </c>
      <c r="BE1929" s="46" t="s">
        <v>4196</v>
      </c>
      <c r="BF1929" s="46" t="s">
        <v>4197</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21.75" customHeight="1">
      <c r="C1930" s="19">
        <v>73001103</v>
      </c>
      <c r="D1930" s="18" t="s">
        <v>532</v>
      </c>
      <c r="E1930" s="18" t="s">
        <v>255</v>
      </c>
      <c r="F1930" s="19">
        <v>1</v>
      </c>
      <c r="G1930" s="17">
        <v>0</v>
      </c>
      <c r="H1930" s="19">
        <v>0</v>
      </c>
      <c r="I1930" s="28">
        <v>0</v>
      </c>
      <c r="J1930" s="19">
        <v>1</v>
      </c>
      <c r="K1930" s="19">
        <v>0</v>
      </c>
      <c r="L1930" s="19">
        <v>0</v>
      </c>
      <c r="M1930" s="17">
        <v>0</v>
      </c>
      <c r="N1930" s="17">
        <v>0</v>
      </c>
      <c r="O1930" s="17">
        <v>2</v>
      </c>
      <c r="P1930" s="17">
        <v>3</v>
      </c>
      <c r="Q1930" s="17">
        <v>1</v>
      </c>
      <c r="R1930" s="17">
        <v>0</v>
      </c>
      <c r="S1930" s="13">
        <v>0</v>
      </c>
      <c r="T1930" s="17">
        <v>0</v>
      </c>
      <c r="U1930" s="17">
        <v>1</v>
      </c>
      <c r="V1930" s="17">
        <v>2</v>
      </c>
      <c r="W1930" s="17">
        <v>0</v>
      </c>
      <c r="X1930" s="17">
        <v>3</v>
      </c>
      <c r="Y1930" s="13">
        <v>0</v>
      </c>
      <c r="Z1930" s="17">
        <v>0</v>
      </c>
      <c r="AA1930" s="17">
        <v>1</v>
      </c>
      <c r="AB1930" s="17">
        <v>0</v>
      </c>
      <c r="AC1930" s="17">
        <v>0</v>
      </c>
      <c r="AD1930" s="17">
        <v>0</v>
      </c>
      <c r="AE1930" s="17">
        <v>0</v>
      </c>
      <c r="AF1930" s="17">
        <v>9</v>
      </c>
      <c r="AG1930" s="17">
        <v>1</v>
      </c>
      <c r="AH1930" s="17">
        <v>4</v>
      </c>
      <c r="AI1930" s="13">
        <v>0</v>
      </c>
      <c r="AJ1930" s="13">
        <v>1</v>
      </c>
      <c r="AK1930" s="13">
        <v>0</v>
      </c>
      <c r="AL1930" s="13">
        <v>2</v>
      </c>
      <c r="AM1930" s="17">
        <v>0</v>
      </c>
      <c r="AN1930" s="17">
        <v>0</v>
      </c>
      <c r="AO1930" s="17">
        <v>0</v>
      </c>
      <c r="AP1930" s="17">
        <v>3</v>
      </c>
      <c r="AQ1930" s="17">
        <v>5000</v>
      </c>
      <c r="AR1930" s="17">
        <v>2.5</v>
      </c>
      <c r="AS1930" s="17">
        <v>0</v>
      </c>
      <c r="AT1930" s="13">
        <v>0</v>
      </c>
      <c r="AU1930" s="17" t="s">
        <v>533</v>
      </c>
      <c r="AV1930" s="17"/>
      <c r="AW1930" s="18" t="s">
        <v>287</v>
      </c>
      <c r="AX1930" s="17" t="s">
        <v>534</v>
      </c>
      <c r="AY1930" s="19">
        <v>10000007</v>
      </c>
      <c r="AZ1930" s="19">
        <v>70102001</v>
      </c>
      <c r="BA1930" s="18" t="s">
        <v>200</v>
      </c>
      <c r="BB1930" s="17" t="s">
        <v>4190</v>
      </c>
      <c r="BC1930" s="28">
        <v>0</v>
      </c>
      <c r="BD1930" s="28">
        <v>0</v>
      </c>
      <c r="BE1930" s="46" t="s">
        <v>536</v>
      </c>
      <c r="BF1930" s="46" t="s">
        <v>537</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19.5" customHeight="1">
      <c r="C1931" s="19">
        <v>73001201</v>
      </c>
      <c r="D1931" s="18" t="s">
        <v>4326</v>
      </c>
      <c r="E1931" s="18" t="s">
        <v>4327</v>
      </c>
      <c r="F1931" s="19">
        <v>1</v>
      </c>
      <c r="G1931" s="17">
        <v>60010100</v>
      </c>
      <c r="H1931" s="19">
        <v>0</v>
      </c>
      <c r="I1931" s="28">
        <v>0</v>
      </c>
      <c r="J1931" s="19">
        <v>1</v>
      </c>
      <c r="K1931" s="19">
        <v>0</v>
      </c>
      <c r="L1931" s="19">
        <v>0</v>
      </c>
      <c r="M1931" s="17">
        <v>0</v>
      </c>
      <c r="N1931" s="17">
        <v>0</v>
      </c>
      <c r="O1931" s="17">
        <v>2</v>
      </c>
      <c r="P1931" s="17">
        <v>1</v>
      </c>
      <c r="Q1931" s="17">
        <v>0.3</v>
      </c>
      <c r="R1931" s="17">
        <v>0</v>
      </c>
      <c r="S1931" s="13">
        <v>0</v>
      </c>
      <c r="T1931" s="17">
        <v>0</v>
      </c>
      <c r="U1931" s="17">
        <v>1</v>
      </c>
      <c r="V1931" s="17">
        <v>2</v>
      </c>
      <c r="W1931" s="17">
        <v>0</v>
      </c>
      <c r="X1931" s="17">
        <v>2</v>
      </c>
      <c r="Y1931" s="13">
        <v>0</v>
      </c>
      <c r="Z1931" s="17">
        <v>0</v>
      </c>
      <c r="AA1931" s="17">
        <v>1</v>
      </c>
      <c r="AB1931" s="17">
        <v>0</v>
      </c>
      <c r="AC1931" s="17">
        <v>0</v>
      </c>
      <c r="AD1931" s="17">
        <v>0</v>
      </c>
      <c r="AE1931" s="17">
        <v>0</v>
      </c>
      <c r="AF1931" s="17">
        <v>20</v>
      </c>
      <c r="AG1931" s="17">
        <v>1</v>
      </c>
      <c r="AH1931" s="17" t="s">
        <v>861</v>
      </c>
      <c r="AI1931" s="13">
        <v>1</v>
      </c>
      <c r="AJ1931" s="13">
        <v>0</v>
      </c>
      <c r="AK1931" s="13">
        <v>0</v>
      </c>
      <c r="AL1931" s="13">
        <v>0</v>
      </c>
      <c r="AM1931" s="17">
        <v>0</v>
      </c>
      <c r="AN1931" s="17">
        <v>0</v>
      </c>
      <c r="AO1931" s="17">
        <v>0</v>
      </c>
      <c r="AP1931" s="17">
        <v>0.5</v>
      </c>
      <c r="AQ1931" s="17">
        <v>999999</v>
      </c>
      <c r="AR1931" s="17">
        <v>2</v>
      </c>
      <c r="AS1931" s="17">
        <v>0</v>
      </c>
      <c r="AT1931" s="13">
        <v>0</v>
      </c>
      <c r="AU1931" s="17" t="s">
        <v>854</v>
      </c>
      <c r="AV1931" s="17"/>
      <c r="AW1931" s="20" t="s">
        <v>287</v>
      </c>
      <c r="AX1931" s="17" t="s">
        <v>534</v>
      </c>
      <c r="AY1931" s="19">
        <v>10000007</v>
      </c>
      <c r="AZ1931" s="19">
        <v>70405007</v>
      </c>
      <c r="BA1931" s="20" t="s">
        <v>315</v>
      </c>
      <c r="BB1931" s="20" t="s">
        <v>371</v>
      </c>
      <c r="BC1931" s="28">
        <v>0</v>
      </c>
      <c r="BD1931" s="28">
        <v>0</v>
      </c>
      <c r="BE1931" s="46" t="s">
        <v>4328</v>
      </c>
      <c r="BF1931" s="46" t="s">
        <v>4329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73001203</v>
      </c>
      <c r="D1932" s="18" t="s">
        <v>4198</v>
      </c>
      <c r="E1932" s="18" t="s">
        <v>4199</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30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4347</v>
      </c>
      <c r="BC1932" s="28">
        <v>0</v>
      </c>
      <c r="BD1932" s="28">
        <v>0</v>
      </c>
      <c r="BE1932" s="46" t="s">
        <v>4201</v>
      </c>
      <c r="BF1932" s="46" t="s">
        <v>4202</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73001204</v>
      </c>
      <c r="D1933" s="18" t="s">
        <v>2953</v>
      </c>
      <c r="E1933" s="18" t="s">
        <v>2954</v>
      </c>
      <c r="F1933" s="19">
        <v>1</v>
      </c>
      <c r="G1933" s="17">
        <v>60010100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1</v>
      </c>
      <c r="AB1933" s="17">
        <v>0</v>
      </c>
      <c r="AC1933" s="17">
        <v>0</v>
      </c>
      <c r="AD1933" s="17">
        <v>0</v>
      </c>
      <c r="AE1933" s="17">
        <v>0</v>
      </c>
      <c r="AF1933" s="17">
        <v>10</v>
      </c>
      <c r="AG1933" s="17">
        <v>1</v>
      </c>
      <c r="AH1933" s="17">
        <v>3</v>
      </c>
      <c r="AI1933" s="13">
        <v>1</v>
      </c>
      <c r="AJ1933" s="13">
        <v>1</v>
      </c>
      <c r="AK1933" s="13">
        <v>0</v>
      </c>
      <c r="AL1933" s="13">
        <v>1.5</v>
      </c>
      <c r="AM1933" s="17">
        <v>0</v>
      </c>
      <c r="AN1933" s="17">
        <v>0</v>
      </c>
      <c r="AO1933" s="17">
        <v>0</v>
      </c>
      <c r="AP1933" s="17">
        <v>0.5</v>
      </c>
      <c r="AQ1933" s="17">
        <v>5000</v>
      </c>
      <c r="AR1933" s="17">
        <v>3</v>
      </c>
      <c r="AS1933" s="17">
        <v>0</v>
      </c>
      <c r="AT1933" s="13">
        <v>0</v>
      </c>
      <c r="AU1933" s="17" t="s">
        <v>198</v>
      </c>
      <c r="AV1933" s="17"/>
      <c r="AW1933" s="20" t="s">
        <v>199</v>
      </c>
      <c r="AX1933" s="17" t="s">
        <v>534</v>
      </c>
      <c r="AY1933" s="19">
        <v>10000007</v>
      </c>
      <c r="AZ1933" s="19">
        <v>70103003</v>
      </c>
      <c r="BA1933" s="18" t="s">
        <v>200</v>
      </c>
      <c r="BB1933" s="17" t="s">
        <v>4348</v>
      </c>
      <c r="BC1933" s="28">
        <v>0</v>
      </c>
      <c r="BD1933" s="28">
        <v>0</v>
      </c>
      <c r="BE1933" s="46" t="s">
        <v>2956</v>
      </c>
      <c r="BF1933" s="46" t="s">
        <v>2957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19.5" customHeight="1">
      <c r="C1934" s="19">
        <v>73001205</v>
      </c>
      <c r="D1934" s="20" t="s">
        <v>584</v>
      </c>
      <c r="E1934" s="20" t="s">
        <v>585</v>
      </c>
      <c r="F1934" s="19">
        <v>1</v>
      </c>
      <c r="G1934" s="19">
        <v>60010300</v>
      </c>
      <c r="H1934" s="19">
        <v>0</v>
      </c>
      <c r="I1934" s="28">
        <v>0</v>
      </c>
      <c r="J1934" s="19">
        <v>1</v>
      </c>
      <c r="K1934" s="19">
        <v>0</v>
      </c>
      <c r="L1934" s="19">
        <v>0</v>
      </c>
      <c r="M1934" s="19">
        <v>0</v>
      </c>
      <c r="N1934" s="19">
        <v>0</v>
      </c>
      <c r="O1934" s="17">
        <v>2</v>
      </c>
      <c r="P1934" s="19">
        <v>1</v>
      </c>
      <c r="Q1934" s="19">
        <v>0.5</v>
      </c>
      <c r="R1934" s="19">
        <v>0</v>
      </c>
      <c r="S1934" s="13">
        <v>0</v>
      </c>
      <c r="T1934" s="28">
        <v>0</v>
      </c>
      <c r="U1934" s="17">
        <v>1</v>
      </c>
      <c r="V1934" s="19">
        <v>2</v>
      </c>
      <c r="W1934" s="19">
        <v>0</v>
      </c>
      <c r="X1934" s="19">
        <v>3</v>
      </c>
      <c r="Y1934" s="13">
        <v>0</v>
      </c>
      <c r="Z1934" s="19">
        <v>0</v>
      </c>
      <c r="AA1934" s="19">
        <v>0</v>
      </c>
      <c r="AB1934" s="19">
        <v>0</v>
      </c>
      <c r="AC1934" s="19">
        <v>0</v>
      </c>
      <c r="AD1934" s="19">
        <v>0</v>
      </c>
      <c r="AE1934" s="19">
        <v>0</v>
      </c>
      <c r="AF1934" s="19">
        <v>15</v>
      </c>
      <c r="AG1934" s="19">
        <v>1</v>
      </c>
      <c r="AH1934" s="19">
        <v>2</v>
      </c>
      <c r="AI1934" s="13">
        <v>2</v>
      </c>
      <c r="AJ1934" s="13">
        <v>2</v>
      </c>
      <c r="AK1934" s="13">
        <v>0</v>
      </c>
      <c r="AL1934" s="13">
        <v>3</v>
      </c>
      <c r="AM1934" s="19">
        <v>0</v>
      </c>
      <c r="AN1934" s="19">
        <v>0</v>
      </c>
      <c r="AO1934" s="19">
        <v>0</v>
      </c>
      <c r="AP1934" s="19">
        <v>2</v>
      </c>
      <c r="AQ1934" s="19">
        <v>30000</v>
      </c>
      <c r="AR1934" s="19">
        <v>2</v>
      </c>
      <c r="AS1934" s="19">
        <v>4</v>
      </c>
      <c r="AT1934" s="13">
        <v>0</v>
      </c>
      <c r="AU1934" s="19" t="s">
        <v>198</v>
      </c>
      <c r="AV1934" s="19"/>
      <c r="AW1934" s="20" t="s">
        <v>199</v>
      </c>
      <c r="AX1934" s="19" t="s">
        <v>545</v>
      </c>
      <c r="AY1934" s="19">
        <v>10003002</v>
      </c>
      <c r="AZ1934" s="19">
        <v>70106005</v>
      </c>
      <c r="BA1934" s="20" t="s">
        <v>586</v>
      </c>
      <c r="BB1934" s="20">
        <v>0</v>
      </c>
      <c r="BC1934" s="28">
        <v>0</v>
      </c>
      <c r="BD1934" s="28">
        <v>0</v>
      </c>
      <c r="BE1934" s="89" t="s">
        <v>577</v>
      </c>
      <c r="BF1934" s="89" t="s">
        <v>578</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spans="3:75" ht="20.100000000000001" customHeight="1">
      <c r="C1935" s="19">
        <v>73001301</v>
      </c>
      <c r="D1935" s="18" t="s">
        <v>760</v>
      </c>
      <c r="E1935" s="18" t="s">
        <v>761</v>
      </c>
      <c r="F1935" s="17">
        <v>2</v>
      </c>
      <c r="G1935" s="17">
        <v>61012301</v>
      </c>
      <c r="H1935" s="17">
        <v>0</v>
      </c>
      <c r="I1935" s="28">
        <v>0</v>
      </c>
      <c r="J1935" s="19">
        <v>1</v>
      </c>
      <c r="K1935" s="19">
        <v>0</v>
      </c>
      <c r="L1935" s="19">
        <v>0</v>
      </c>
      <c r="M1935" s="17">
        <v>0</v>
      </c>
      <c r="N1935" s="17">
        <v>0</v>
      </c>
      <c r="O1935" s="17">
        <v>2</v>
      </c>
      <c r="P1935" s="17">
        <v>1</v>
      </c>
      <c r="Q1935" s="17">
        <v>0.5</v>
      </c>
      <c r="R1935" s="17">
        <v>0</v>
      </c>
      <c r="S1935" s="13">
        <v>0</v>
      </c>
      <c r="T1935" s="17">
        <v>0</v>
      </c>
      <c r="U1935" s="17">
        <v>1</v>
      </c>
      <c r="V1935" s="17">
        <v>2</v>
      </c>
      <c r="W1935" s="17">
        <v>0</v>
      </c>
      <c r="X1935" s="17">
        <v>1.4</v>
      </c>
      <c r="Y1935" s="13">
        <v>0</v>
      </c>
      <c r="Z1935" s="17">
        <v>150</v>
      </c>
      <c r="AA1935" s="17">
        <v>1</v>
      </c>
      <c r="AB1935" s="17">
        <v>0</v>
      </c>
      <c r="AC1935" s="17">
        <v>0</v>
      </c>
      <c r="AD1935" s="17">
        <v>0</v>
      </c>
      <c r="AE1935" s="17">
        <v>0</v>
      </c>
      <c r="AF1935" s="17">
        <v>12</v>
      </c>
      <c r="AG1935" s="17">
        <v>2</v>
      </c>
      <c r="AH1935" s="17" t="s">
        <v>213</v>
      </c>
      <c r="AI1935" s="13">
        <v>0</v>
      </c>
      <c r="AJ1935" s="13">
        <v>2</v>
      </c>
      <c r="AK1935" s="13">
        <v>0</v>
      </c>
      <c r="AL1935" s="13">
        <v>1.5</v>
      </c>
      <c r="AM1935" s="17">
        <v>0</v>
      </c>
      <c r="AN1935" s="17">
        <v>0</v>
      </c>
      <c r="AO1935" s="17">
        <v>0</v>
      </c>
      <c r="AP1935" s="17">
        <v>1.5</v>
      </c>
      <c r="AQ1935" s="17">
        <v>1200</v>
      </c>
      <c r="AR1935" s="17">
        <v>1</v>
      </c>
      <c r="AS1935" s="17">
        <v>15</v>
      </c>
      <c r="AT1935" s="13">
        <v>0</v>
      </c>
      <c r="AU1935" s="17" t="s">
        <v>198</v>
      </c>
      <c r="AV1935" s="17"/>
      <c r="AW1935" s="18" t="s">
        <v>256</v>
      </c>
      <c r="AX1935" s="17" t="s">
        <v>215</v>
      </c>
      <c r="AY1935" s="19">
        <v>10000011</v>
      </c>
      <c r="AZ1935" s="19">
        <v>70404001</v>
      </c>
      <c r="BA1935" s="18" t="s">
        <v>216</v>
      </c>
      <c r="BB1935" s="17">
        <v>0</v>
      </c>
      <c r="BC1935" s="28">
        <v>0</v>
      </c>
      <c r="BD1935" s="28">
        <v>0</v>
      </c>
      <c r="BE1935" s="46" t="s">
        <v>798</v>
      </c>
      <c r="BF1935" s="46" t="s">
        <v>799</v>
      </c>
      <c r="BG1935" s="17">
        <v>0</v>
      </c>
      <c r="BH1935" s="17">
        <v>0</v>
      </c>
      <c r="BI1935" s="17">
        <v>0</v>
      </c>
      <c r="BJ1935" s="17">
        <v>0</v>
      </c>
      <c r="BK1935" s="17">
        <v>0</v>
      </c>
      <c r="BL1935" s="17">
        <v>0</v>
      </c>
      <c r="BM1935" s="16">
        <v>0</v>
      </c>
      <c r="BN1935" s="13">
        <v>0</v>
      </c>
      <c r="BO1935" s="13">
        <v>0</v>
      </c>
      <c r="BP1935" s="13">
        <v>0</v>
      </c>
      <c r="BQ1935" s="13">
        <v>0</v>
      </c>
      <c r="BR1935" s="13">
        <v>0</v>
      </c>
      <c r="BS1935" s="13">
        <v>0</v>
      </c>
      <c r="BT1935" s="13">
        <v>0</v>
      </c>
      <c r="BU1935" s="49">
        <v>0</v>
      </c>
      <c r="BV1935" s="49"/>
      <c r="BW1935" s="49"/>
    </row>
    <row r="1936" spans="3:75" ht="20.100000000000001" customHeight="1">
      <c r="C1936" s="19">
        <v>73001302</v>
      </c>
      <c r="D1936" s="18" t="s">
        <v>4198</v>
      </c>
      <c r="E1936" s="18" t="s">
        <v>4199</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4349</v>
      </c>
      <c r="BC1936" s="28">
        <v>0</v>
      </c>
      <c r="BD1936" s="28">
        <v>0</v>
      </c>
      <c r="BE1936" s="46" t="s">
        <v>4201</v>
      </c>
      <c r="BF1936" s="46" t="s">
        <v>4202</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73001303</v>
      </c>
      <c r="D1937" s="18" t="s">
        <v>543</v>
      </c>
      <c r="E1937" s="18" t="s">
        <v>544</v>
      </c>
      <c r="F1937" s="19">
        <v>1</v>
      </c>
      <c r="G1937" s="17">
        <v>60010300</v>
      </c>
      <c r="H1937" s="19">
        <v>0</v>
      </c>
      <c r="I1937" s="28">
        <v>0</v>
      </c>
      <c r="J1937" s="19">
        <v>1</v>
      </c>
      <c r="K1937" s="19">
        <v>0</v>
      </c>
      <c r="L1937" s="19">
        <v>0</v>
      </c>
      <c r="M1937" s="17">
        <v>0</v>
      </c>
      <c r="N1937" s="17">
        <v>0</v>
      </c>
      <c r="O1937" s="17">
        <v>2</v>
      </c>
      <c r="P1937" s="17">
        <v>1</v>
      </c>
      <c r="Q1937" s="17">
        <v>0.5</v>
      </c>
      <c r="R1937" s="17">
        <v>0</v>
      </c>
      <c r="S1937" s="13">
        <v>0</v>
      </c>
      <c r="T1937" s="17">
        <v>0</v>
      </c>
      <c r="U1937" s="17">
        <v>1</v>
      </c>
      <c r="V1937" s="17">
        <v>2</v>
      </c>
      <c r="W1937" s="17">
        <v>0</v>
      </c>
      <c r="X1937" s="17">
        <v>3</v>
      </c>
      <c r="Y1937" s="13">
        <v>0</v>
      </c>
      <c r="Z1937" s="17">
        <v>0</v>
      </c>
      <c r="AA1937" s="17">
        <v>0</v>
      </c>
      <c r="AB1937" s="17">
        <v>0</v>
      </c>
      <c r="AC1937" s="17">
        <v>0</v>
      </c>
      <c r="AD1937" s="17">
        <v>0</v>
      </c>
      <c r="AE1937" s="17">
        <v>0</v>
      </c>
      <c r="AF1937" s="17">
        <v>12</v>
      </c>
      <c r="AG1937" s="17">
        <v>2</v>
      </c>
      <c r="AH1937" s="17" t="s">
        <v>213</v>
      </c>
      <c r="AI1937" s="13">
        <v>0</v>
      </c>
      <c r="AJ1937" s="13">
        <v>2</v>
      </c>
      <c r="AK1937" s="13">
        <v>0</v>
      </c>
      <c r="AL1937" s="13">
        <v>1.5</v>
      </c>
      <c r="AM1937" s="17">
        <v>0</v>
      </c>
      <c r="AN1937" s="17">
        <v>0</v>
      </c>
      <c r="AO1937" s="17">
        <v>0</v>
      </c>
      <c r="AP1937" s="17">
        <v>2.5</v>
      </c>
      <c r="AQ1937" s="17">
        <v>4000</v>
      </c>
      <c r="AR1937" s="17">
        <v>2</v>
      </c>
      <c r="AS1937" s="17">
        <v>0</v>
      </c>
      <c r="AT1937" s="13">
        <v>0</v>
      </c>
      <c r="AU1937" s="17" t="s">
        <v>198</v>
      </c>
      <c r="AV1937" s="17"/>
      <c r="AW1937" s="20" t="s">
        <v>287</v>
      </c>
      <c r="AX1937" s="17" t="s">
        <v>545</v>
      </c>
      <c r="AY1937" s="19">
        <v>10001007</v>
      </c>
      <c r="AZ1937" s="19">
        <v>70103001</v>
      </c>
      <c r="BA1937" s="18" t="s">
        <v>200</v>
      </c>
      <c r="BB1937" s="17">
        <v>0</v>
      </c>
      <c r="BC1937" s="28">
        <v>0</v>
      </c>
      <c r="BD1937" s="28">
        <v>0</v>
      </c>
      <c r="BE1937" s="46" t="s">
        <v>546</v>
      </c>
      <c r="BF1937" s="46" t="s">
        <v>547</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19.5" customHeight="1">
      <c r="C1938" s="19">
        <v>73001305</v>
      </c>
      <c r="D1938" s="20" t="s">
        <v>757</v>
      </c>
      <c r="E1938" s="20" t="s">
        <v>399</v>
      </c>
      <c r="F1938" s="19">
        <v>1</v>
      </c>
      <c r="G1938" s="19">
        <v>60010500</v>
      </c>
      <c r="H1938" s="19">
        <v>0</v>
      </c>
      <c r="I1938" s="28">
        <v>0</v>
      </c>
      <c r="J1938" s="19">
        <v>1</v>
      </c>
      <c r="K1938" s="19">
        <v>0</v>
      </c>
      <c r="L1938" s="19">
        <v>0</v>
      </c>
      <c r="M1938" s="19">
        <v>0</v>
      </c>
      <c r="N1938" s="19">
        <v>0</v>
      </c>
      <c r="O1938" s="17">
        <v>2</v>
      </c>
      <c r="P1938" s="19">
        <v>2</v>
      </c>
      <c r="Q1938" s="19">
        <v>0.5</v>
      </c>
      <c r="R1938" s="19">
        <v>0</v>
      </c>
      <c r="S1938" s="13">
        <v>0</v>
      </c>
      <c r="T1938" s="28">
        <v>0</v>
      </c>
      <c r="U1938" s="17">
        <v>1</v>
      </c>
      <c r="V1938" s="19">
        <v>2</v>
      </c>
      <c r="W1938" s="19">
        <v>0</v>
      </c>
      <c r="X1938" s="19">
        <v>0</v>
      </c>
      <c r="Y1938" s="13">
        <v>0</v>
      </c>
      <c r="Z1938" s="19">
        <v>0</v>
      </c>
      <c r="AA1938" s="19">
        <v>0</v>
      </c>
      <c r="AB1938" s="19">
        <v>0</v>
      </c>
      <c r="AC1938" s="19">
        <v>0</v>
      </c>
      <c r="AD1938" s="17">
        <v>0</v>
      </c>
      <c r="AE1938" s="19">
        <v>0</v>
      </c>
      <c r="AF1938" s="17">
        <v>15</v>
      </c>
      <c r="AG1938" s="19">
        <v>0</v>
      </c>
      <c r="AH1938" s="19">
        <v>0</v>
      </c>
      <c r="AI1938" s="13">
        <v>2</v>
      </c>
      <c r="AJ1938" s="13">
        <v>0</v>
      </c>
      <c r="AK1938" s="13">
        <v>0</v>
      </c>
      <c r="AL1938" s="13">
        <v>0</v>
      </c>
      <c r="AM1938" s="19">
        <v>0</v>
      </c>
      <c r="AN1938" s="19">
        <v>0</v>
      </c>
      <c r="AO1938" s="19">
        <v>0</v>
      </c>
      <c r="AP1938" s="19">
        <v>0</v>
      </c>
      <c r="AQ1938" s="19">
        <v>1000</v>
      </c>
      <c r="AR1938" s="19">
        <v>0</v>
      </c>
      <c r="AS1938" s="19">
        <v>0</v>
      </c>
      <c r="AT1938" s="13" t="s">
        <v>754</v>
      </c>
      <c r="AU1938" s="19" t="s">
        <v>198</v>
      </c>
      <c r="AV1938" s="19"/>
      <c r="AW1938" s="20" t="s">
        <v>199</v>
      </c>
      <c r="AX1938" s="19" t="s">
        <v>348</v>
      </c>
      <c r="AY1938" s="19">
        <v>0</v>
      </c>
      <c r="AZ1938" s="19">
        <v>0</v>
      </c>
      <c r="BA1938" s="20" t="s">
        <v>200</v>
      </c>
      <c r="BB1938" s="20" t="s">
        <v>198</v>
      </c>
      <c r="BC1938" s="28">
        <v>0</v>
      </c>
      <c r="BD1938" s="28">
        <v>0</v>
      </c>
      <c r="BE1938" s="89" t="s">
        <v>1118</v>
      </c>
      <c r="BF1938" s="89" t="s">
        <v>1119</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25" customHeight="1">
      <c r="C1939" s="19">
        <v>73001306</v>
      </c>
      <c r="D1939" s="20" t="s">
        <v>2649</v>
      </c>
      <c r="E1939" s="20" t="s">
        <v>2650</v>
      </c>
      <c r="F1939" s="19">
        <v>1</v>
      </c>
      <c r="G1939" s="19">
        <v>62000101</v>
      </c>
      <c r="H1939" s="19">
        <v>0</v>
      </c>
      <c r="I1939" s="28">
        <v>0</v>
      </c>
      <c r="J1939" s="19">
        <v>1</v>
      </c>
      <c r="K1939" s="19">
        <v>0</v>
      </c>
      <c r="L1939" s="17">
        <v>0</v>
      </c>
      <c r="M1939" s="19">
        <v>0</v>
      </c>
      <c r="N1939" s="19">
        <v>0</v>
      </c>
      <c r="O1939" s="17">
        <v>2</v>
      </c>
      <c r="P1939" s="19">
        <v>1</v>
      </c>
      <c r="Q1939" s="19">
        <v>0.3</v>
      </c>
      <c r="R1939" s="19">
        <v>0</v>
      </c>
      <c r="S1939" s="13">
        <v>0</v>
      </c>
      <c r="T1939" s="28">
        <v>0</v>
      </c>
      <c r="U1939" s="17">
        <v>1</v>
      </c>
      <c r="V1939" s="19">
        <v>1</v>
      </c>
      <c r="W1939" s="19">
        <v>0</v>
      </c>
      <c r="X1939" s="19">
        <v>3</v>
      </c>
      <c r="Y1939" s="13">
        <v>0</v>
      </c>
      <c r="Z1939" s="19">
        <v>0</v>
      </c>
      <c r="AA1939" s="19">
        <v>0</v>
      </c>
      <c r="AB1939" s="19">
        <v>0</v>
      </c>
      <c r="AC1939" s="19">
        <v>0</v>
      </c>
      <c r="AD1939" s="19">
        <v>1</v>
      </c>
      <c r="AE1939" s="19">
        <v>12</v>
      </c>
      <c r="AF1939" s="19">
        <v>12</v>
      </c>
      <c r="AG1939" s="19">
        <v>0</v>
      </c>
      <c r="AH1939" s="19">
        <v>3</v>
      </c>
      <c r="AI1939" s="13">
        <v>7</v>
      </c>
      <c r="AJ1939" s="13">
        <v>0</v>
      </c>
      <c r="AK1939" s="13">
        <v>0</v>
      </c>
      <c r="AL1939" s="13">
        <v>10</v>
      </c>
      <c r="AM1939" s="19">
        <v>0</v>
      </c>
      <c r="AN1939" s="19">
        <v>0</v>
      </c>
      <c r="AO1939" s="19">
        <v>0</v>
      </c>
      <c r="AP1939" s="19">
        <v>0</v>
      </c>
      <c r="AQ1939" s="19">
        <v>3000</v>
      </c>
      <c r="AR1939" s="19">
        <v>0.5</v>
      </c>
      <c r="AS1939" s="19">
        <v>20</v>
      </c>
      <c r="AT1939" s="13">
        <v>0</v>
      </c>
      <c r="AU1939" s="19" t="s">
        <v>198</v>
      </c>
      <c r="AV1939" s="19"/>
      <c r="AW1939" s="18" t="s">
        <v>242</v>
      </c>
      <c r="AX1939" s="19" t="s">
        <v>1672</v>
      </c>
      <c r="AY1939" s="19">
        <v>10000011</v>
      </c>
      <c r="AZ1939" s="19">
        <v>20001010</v>
      </c>
      <c r="BA1939" s="20" t="s">
        <v>250</v>
      </c>
      <c r="BB1939" s="20" t="s">
        <v>198</v>
      </c>
      <c r="BC1939" s="28">
        <v>0</v>
      </c>
      <c r="BD1939" s="28">
        <v>0</v>
      </c>
      <c r="BE1939" s="46" t="s">
        <v>2960</v>
      </c>
      <c r="BF1939" s="46" t="s">
        <v>2961</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100000000000001" customHeight="1">
      <c r="C1940" s="19">
        <v>73002101</v>
      </c>
      <c r="D1940" s="18" t="s">
        <v>4198</v>
      </c>
      <c r="E1940" s="18" t="s">
        <v>4199</v>
      </c>
      <c r="F1940" s="19">
        <v>1</v>
      </c>
      <c r="G1940" s="17">
        <v>60010300</v>
      </c>
      <c r="H1940" s="19">
        <v>0</v>
      </c>
      <c r="I1940" s="28">
        <v>0</v>
      </c>
      <c r="J1940" s="19">
        <v>1</v>
      </c>
      <c r="K1940" s="19">
        <v>0</v>
      </c>
      <c r="L1940" s="19">
        <v>0</v>
      </c>
      <c r="M1940" s="17">
        <v>0</v>
      </c>
      <c r="N1940" s="17">
        <v>0</v>
      </c>
      <c r="O1940" s="17">
        <v>2</v>
      </c>
      <c r="P1940" s="17">
        <v>2</v>
      </c>
      <c r="Q1940" s="17">
        <v>0.8</v>
      </c>
      <c r="R1940" s="17">
        <v>0</v>
      </c>
      <c r="S1940" s="13">
        <v>0</v>
      </c>
      <c r="T1940" s="17">
        <v>0</v>
      </c>
      <c r="U1940" s="17">
        <v>1</v>
      </c>
      <c r="V1940" s="17">
        <v>2</v>
      </c>
      <c r="W1940" s="17">
        <v>0</v>
      </c>
      <c r="X1940" s="17">
        <v>0</v>
      </c>
      <c r="Y1940" s="13">
        <v>0</v>
      </c>
      <c r="Z1940" s="17">
        <v>0</v>
      </c>
      <c r="AA1940" s="17">
        <v>0</v>
      </c>
      <c r="AB1940" s="17">
        <v>0</v>
      </c>
      <c r="AC1940" s="17">
        <v>0</v>
      </c>
      <c r="AD1940" s="17">
        <v>0</v>
      </c>
      <c r="AE1940" s="17">
        <v>0</v>
      </c>
      <c r="AF1940" s="17">
        <v>20</v>
      </c>
      <c r="AG1940" s="17">
        <v>0</v>
      </c>
      <c r="AH1940" s="17">
        <v>0</v>
      </c>
      <c r="AI1940" s="13">
        <v>2</v>
      </c>
      <c r="AJ1940" s="13">
        <v>2</v>
      </c>
      <c r="AK1940" s="13">
        <v>0</v>
      </c>
      <c r="AL1940" s="13">
        <v>1.5</v>
      </c>
      <c r="AM1940" s="17">
        <v>0</v>
      </c>
      <c r="AN1940" s="17">
        <v>0</v>
      </c>
      <c r="AO1940" s="17">
        <v>0</v>
      </c>
      <c r="AP1940" s="17">
        <v>1</v>
      </c>
      <c r="AQ1940" s="17">
        <v>3000</v>
      </c>
      <c r="AR1940" s="17">
        <v>0.5</v>
      </c>
      <c r="AS1940" s="17">
        <v>0</v>
      </c>
      <c r="AT1940" s="13">
        <v>0</v>
      </c>
      <c r="AU1940" s="17" t="s">
        <v>198</v>
      </c>
      <c r="AV1940" s="17"/>
      <c r="AW1940" s="20" t="s">
        <v>199</v>
      </c>
      <c r="AX1940" s="17" t="s">
        <v>545</v>
      </c>
      <c r="AY1940" s="19">
        <v>0</v>
      </c>
      <c r="AZ1940" s="19">
        <v>0</v>
      </c>
      <c r="BA1940" s="18" t="s">
        <v>528</v>
      </c>
      <c r="BB1940" s="17" t="s">
        <v>4350</v>
      </c>
      <c r="BC1940" s="28">
        <v>0</v>
      </c>
      <c r="BD1940" s="28">
        <v>0</v>
      </c>
      <c r="BE1940" s="46" t="s">
        <v>4201</v>
      </c>
      <c r="BF1940" s="46" t="s">
        <v>4202</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spans="3:75" ht="20.100000000000001" customHeight="1">
      <c r="C1941" s="19">
        <v>73002102</v>
      </c>
      <c r="D1941" s="20" t="s">
        <v>4351</v>
      </c>
      <c r="E1941" s="20" t="s">
        <v>4352</v>
      </c>
      <c r="F1941" s="19">
        <v>1</v>
      </c>
      <c r="G1941" s="19">
        <v>60010500</v>
      </c>
      <c r="H1941" s="19">
        <v>0</v>
      </c>
      <c r="I1941" s="28">
        <v>0</v>
      </c>
      <c r="J1941" s="19">
        <v>1</v>
      </c>
      <c r="K1941" s="19">
        <v>0</v>
      </c>
      <c r="L1941" s="19">
        <v>0</v>
      </c>
      <c r="M1941" s="19">
        <v>0</v>
      </c>
      <c r="N1941" s="19">
        <v>0</v>
      </c>
      <c r="O1941" s="17">
        <v>2</v>
      </c>
      <c r="P1941" s="19">
        <v>2</v>
      </c>
      <c r="Q1941" s="19">
        <v>0.6</v>
      </c>
      <c r="R1941" s="19">
        <v>0</v>
      </c>
      <c r="S1941" s="13">
        <v>0</v>
      </c>
      <c r="T1941" s="28">
        <v>0</v>
      </c>
      <c r="U1941" s="17">
        <v>1</v>
      </c>
      <c r="V1941" s="19">
        <v>2</v>
      </c>
      <c r="W1941" s="19">
        <v>0</v>
      </c>
      <c r="X1941" s="19">
        <v>0</v>
      </c>
      <c r="Y1941" s="13">
        <v>0</v>
      </c>
      <c r="Z1941" s="19">
        <v>0</v>
      </c>
      <c r="AA1941" s="19">
        <v>0</v>
      </c>
      <c r="AB1941" s="19">
        <v>0</v>
      </c>
      <c r="AC1941" s="19">
        <v>0</v>
      </c>
      <c r="AD1941" s="17">
        <v>0</v>
      </c>
      <c r="AE1941" s="19">
        <v>0</v>
      </c>
      <c r="AF1941" s="19">
        <v>20</v>
      </c>
      <c r="AG1941" s="19">
        <v>0</v>
      </c>
      <c r="AH1941" s="19">
        <v>0</v>
      </c>
      <c r="AI1941" s="13">
        <v>2</v>
      </c>
      <c r="AJ1941" s="13">
        <v>0</v>
      </c>
      <c r="AK1941" s="13">
        <v>0</v>
      </c>
      <c r="AL1941" s="13">
        <v>0</v>
      </c>
      <c r="AM1941" s="19">
        <v>0</v>
      </c>
      <c r="AN1941" s="19">
        <v>0</v>
      </c>
      <c r="AO1941" s="19">
        <v>0</v>
      </c>
      <c r="AP1941" s="19">
        <v>0</v>
      </c>
      <c r="AQ1941" s="19">
        <v>1000</v>
      </c>
      <c r="AR1941" s="19">
        <v>0</v>
      </c>
      <c r="AS1941" s="19">
        <v>0</v>
      </c>
      <c r="AT1941" s="13">
        <v>90401006</v>
      </c>
      <c r="AU1941" s="19" t="s">
        <v>198</v>
      </c>
      <c r="AV1941" s="19"/>
      <c r="AW1941" s="20" t="s">
        <v>199</v>
      </c>
      <c r="AX1941" s="19" t="s">
        <v>348</v>
      </c>
      <c r="AY1941" s="19">
        <v>0</v>
      </c>
      <c r="AZ1941" s="19">
        <v>40000003</v>
      </c>
      <c r="BA1941" s="20" t="s">
        <v>200</v>
      </c>
      <c r="BB1941" s="20" t="s">
        <v>198</v>
      </c>
      <c r="BC1941" s="28">
        <v>0</v>
      </c>
      <c r="BD1941" s="28">
        <v>0</v>
      </c>
      <c r="BE1941" s="89" t="s">
        <v>4353</v>
      </c>
      <c r="BF1941" s="89" t="s">
        <v>4354</v>
      </c>
      <c r="BG1941" s="19">
        <v>0</v>
      </c>
      <c r="BH1941" s="17">
        <v>0</v>
      </c>
      <c r="BI1941" s="19">
        <v>0</v>
      </c>
      <c r="BJ1941" s="19">
        <v>0</v>
      </c>
      <c r="BK1941" s="19">
        <v>0</v>
      </c>
      <c r="BL1941" s="19">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73002103</v>
      </c>
      <c r="D1942" s="20" t="s">
        <v>4355</v>
      </c>
      <c r="E1942" s="20" t="s">
        <v>4356</v>
      </c>
      <c r="F1942" s="19">
        <v>1</v>
      </c>
      <c r="G1942" s="19">
        <v>60010300</v>
      </c>
      <c r="H1942" s="19">
        <v>0</v>
      </c>
      <c r="I1942" s="28">
        <v>0</v>
      </c>
      <c r="J1942" s="19">
        <v>1</v>
      </c>
      <c r="K1942" s="19">
        <v>0</v>
      </c>
      <c r="L1942" s="19">
        <v>0</v>
      </c>
      <c r="M1942" s="19">
        <v>0</v>
      </c>
      <c r="N1942" s="19">
        <v>0</v>
      </c>
      <c r="O1942" s="17">
        <v>2</v>
      </c>
      <c r="P1942" s="19">
        <v>6</v>
      </c>
      <c r="Q1942" s="19">
        <v>0</v>
      </c>
      <c r="R1942" s="19">
        <v>0</v>
      </c>
      <c r="S1942" s="13">
        <v>0</v>
      </c>
      <c r="T1942" s="28">
        <v>0</v>
      </c>
      <c r="U1942" s="17">
        <v>1</v>
      </c>
      <c r="V1942" s="19">
        <v>2</v>
      </c>
      <c r="W1942" s="19">
        <v>0</v>
      </c>
      <c r="X1942" s="19">
        <v>10</v>
      </c>
      <c r="Y1942" s="13">
        <v>0</v>
      </c>
      <c r="Z1942" s="19">
        <v>0</v>
      </c>
      <c r="AA1942" s="19">
        <v>0</v>
      </c>
      <c r="AB1942" s="19">
        <v>0</v>
      </c>
      <c r="AC1942" s="19">
        <v>0</v>
      </c>
      <c r="AD1942" s="19">
        <v>0</v>
      </c>
      <c r="AE1942" s="19">
        <v>0</v>
      </c>
      <c r="AF1942" s="19">
        <v>15</v>
      </c>
      <c r="AG1942" s="19">
        <v>1</v>
      </c>
      <c r="AH1942" s="19">
        <v>3</v>
      </c>
      <c r="AI1942" s="13">
        <v>1</v>
      </c>
      <c r="AJ1942" s="13">
        <v>0</v>
      </c>
      <c r="AK1942" s="13">
        <v>0</v>
      </c>
      <c r="AL1942" s="13">
        <v>1.5</v>
      </c>
      <c r="AM1942" s="19">
        <v>0</v>
      </c>
      <c r="AN1942" s="19">
        <v>0</v>
      </c>
      <c r="AO1942" s="19">
        <v>0</v>
      </c>
      <c r="AP1942" s="19">
        <v>1</v>
      </c>
      <c r="AQ1942" s="19">
        <v>1000</v>
      </c>
      <c r="AR1942" s="19">
        <v>0.5</v>
      </c>
      <c r="AS1942" s="19">
        <v>0</v>
      </c>
      <c r="AT1942" s="13">
        <v>0</v>
      </c>
      <c r="AU1942" s="19" t="s">
        <v>575</v>
      </c>
      <c r="AV1942" s="19"/>
      <c r="AW1942" s="20" t="s">
        <v>199</v>
      </c>
      <c r="AX1942" s="19" t="s">
        <v>545</v>
      </c>
      <c r="AY1942" s="19">
        <v>10002001</v>
      </c>
      <c r="AZ1942" s="19">
        <v>70106001</v>
      </c>
      <c r="BA1942" s="20" t="s">
        <v>315</v>
      </c>
      <c r="BB1942" s="20" t="s">
        <v>576</v>
      </c>
      <c r="BC1942" s="28">
        <v>0</v>
      </c>
      <c r="BD1942" s="28">
        <v>0</v>
      </c>
      <c r="BE1942" s="89" t="s">
        <v>577</v>
      </c>
      <c r="BF1942" s="89" t="s">
        <v>578</v>
      </c>
      <c r="BG1942" s="19">
        <v>0</v>
      </c>
      <c r="BH1942" s="17">
        <v>0</v>
      </c>
      <c r="BI1942" s="19">
        <v>0</v>
      </c>
      <c r="BJ1942" s="19">
        <v>0</v>
      </c>
      <c r="BK1942" s="19">
        <v>0</v>
      </c>
      <c r="BL1942" s="19">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73002104</v>
      </c>
      <c r="D1943" s="20" t="s">
        <v>4355</v>
      </c>
      <c r="E1943" s="20" t="s">
        <v>4356</v>
      </c>
      <c r="F1943" s="19">
        <v>1</v>
      </c>
      <c r="G1943" s="19">
        <v>60010500</v>
      </c>
      <c r="H1943" s="19">
        <v>0</v>
      </c>
      <c r="I1943" s="28">
        <v>0</v>
      </c>
      <c r="J1943" s="19">
        <v>1</v>
      </c>
      <c r="K1943" s="19">
        <v>0</v>
      </c>
      <c r="L1943" s="19">
        <v>0</v>
      </c>
      <c r="M1943" s="19">
        <v>0</v>
      </c>
      <c r="N1943" s="19">
        <v>0</v>
      </c>
      <c r="O1943" s="17">
        <v>2</v>
      </c>
      <c r="P1943" s="19">
        <v>2</v>
      </c>
      <c r="Q1943" s="19">
        <v>0.6</v>
      </c>
      <c r="R1943" s="19">
        <v>0</v>
      </c>
      <c r="S1943" s="13">
        <v>0</v>
      </c>
      <c r="T1943" s="28">
        <v>0</v>
      </c>
      <c r="U1943" s="17">
        <v>1</v>
      </c>
      <c r="V1943" s="19">
        <v>2</v>
      </c>
      <c r="W1943" s="19">
        <v>0</v>
      </c>
      <c r="X1943" s="19">
        <v>0</v>
      </c>
      <c r="Y1943" s="13">
        <v>0</v>
      </c>
      <c r="Z1943" s="19">
        <v>0</v>
      </c>
      <c r="AA1943" s="19">
        <v>0</v>
      </c>
      <c r="AB1943" s="19">
        <v>0</v>
      </c>
      <c r="AC1943" s="19">
        <v>0</v>
      </c>
      <c r="AD1943" s="17">
        <v>0</v>
      </c>
      <c r="AE1943" s="19">
        <v>0</v>
      </c>
      <c r="AF1943" s="19">
        <v>20</v>
      </c>
      <c r="AG1943" s="19">
        <v>0</v>
      </c>
      <c r="AH1943" s="19">
        <v>0</v>
      </c>
      <c r="AI1943" s="13">
        <v>2</v>
      </c>
      <c r="AJ1943" s="13">
        <v>0</v>
      </c>
      <c r="AK1943" s="13">
        <v>0</v>
      </c>
      <c r="AL1943" s="13">
        <v>0</v>
      </c>
      <c r="AM1943" s="19">
        <v>0</v>
      </c>
      <c r="AN1943" s="19">
        <v>0</v>
      </c>
      <c r="AO1943" s="19">
        <v>0</v>
      </c>
      <c r="AP1943" s="19">
        <v>0</v>
      </c>
      <c r="AQ1943" s="19">
        <v>1000</v>
      </c>
      <c r="AR1943" s="19">
        <v>0</v>
      </c>
      <c r="AS1943" s="19">
        <v>0</v>
      </c>
      <c r="AT1943" s="13">
        <v>90401004</v>
      </c>
      <c r="AU1943" s="19" t="s">
        <v>198</v>
      </c>
      <c r="AV1943" s="19"/>
      <c r="AW1943" s="20" t="s">
        <v>199</v>
      </c>
      <c r="AX1943" s="19" t="s">
        <v>348</v>
      </c>
      <c r="AY1943" s="19">
        <v>0</v>
      </c>
      <c r="AZ1943" s="19">
        <v>40000003</v>
      </c>
      <c r="BA1943" s="20" t="s">
        <v>200</v>
      </c>
      <c r="BB1943" s="20" t="s">
        <v>198</v>
      </c>
      <c r="BC1943" s="28">
        <v>0</v>
      </c>
      <c r="BD1943" s="28">
        <v>0</v>
      </c>
      <c r="BE1943" s="89" t="s">
        <v>864</v>
      </c>
      <c r="BF1943" s="89" t="s">
        <v>865</v>
      </c>
      <c r="BG1943" s="19">
        <v>0</v>
      </c>
      <c r="BH1943" s="17">
        <v>0</v>
      </c>
      <c r="BI1943" s="19">
        <v>0</v>
      </c>
      <c r="BJ1943" s="19">
        <v>0</v>
      </c>
      <c r="BK1943" s="19">
        <v>0</v>
      </c>
      <c r="BL1943" s="19">
        <v>0</v>
      </c>
      <c r="BM1943" s="16">
        <v>0</v>
      </c>
      <c r="BN1943" s="13">
        <v>0</v>
      </c>
      <c r="BO1943" s="13">
        <v>0</v>
      </c>
      <c r="BP1943" s="13">
        <v>0</v>
      </c>
      <c r="BQ1943" s="13">
        <v>0</v>
      </c>
      <c r="BR1943" s="13">
        <v>0</v>
      </c>
      <c r="BS1943" s="13">
        <v>0</v>
      </c>
      <c r="BT1943" s="13">
        <v>0</v>
      </c>
      <c r="BU1943" s="49">
        <v>0</v>
      </c>
      <c r="BV1943" s="49"/>
      <c r="BW1943" s="49"/>
    </row>
    <row r="1944" spans="3:75" ht="19.5" customHeight="1">
      <c r="C1944" s="19">
        <v>73002105</v>
      </c>
      <c r="D1944" s="18" t="s">
        <v>1124</v>
      </c>
      <c r="E1944" s="18" t="s">
        <v>1125</v>
      </c>
      <c r="F1944" s="19">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1</v>
      </c>
      <c r="Y1944" s="13">
        <v>0</v>
      </c>
      <c r="Z1944" s="17">
        <v>0</v>
      </c>
      <c r="AA1944" s="17">
        <v>1</v>
      </c>
      <c r="AB1944" s="17">
        <v>0</v>
      </c>
      <c r="AC1944" s="17">
        <v>0</v>
      </c>
      <c r="AD1944" s="17">
        <v>0</v>
      </c>
      <c r="AE1944" s="17">
        <v>0</v>
      </c>
      <c r="AF1944" s="17">
        <v>30</v>
      </c>
      <c r="AG1944" s="17">
        <v>1</v>
      </c>
      <c r="AH1944" s="17" t="s">
        <v>861</v>
      </c>
      <c r="AI1944" s="13">
        <v>0</v>
      </c>
      <c r="AJ1944" s="13">
        <v>0</v>
      </c>
      <c r="AK1944" s="13">
        <v>0</v>
      </c>
      <c r="AL1944" s="13">
        <v>0</v>
      </c>
      <c r="AM1944" s="17">
        <v>0</v>
      </c>
      <c r="AN1944" s="17">
        <v>0</v>
      </c>
      <c r="AO1944" s="17">
        <v>0</v>
      </c>
      <c r="AP1944" s="17">
        <v>0.5</v>
      </c>
      <c r="AQ1944" s="17">
        <v>999999</v>
      </c>
      <c r="AR1944" s="17">
        <v>0.5</v>
      </c>
      <c r="AS1944" s="17">
        <v>0</v>
      </c>
      <c r="AT1944" s="13">
        <v>0</v>
      </c>
      <c r="AU1944" s="355" t="s">
        <v>1019</v>
      </c>
      <c r="AV1944" s="13"/>
      <c r="AW1944" s="20" t="s">
        <v>287</v>
      </c>
      <c r="AX1944" s="17" t="s">
        <v>534</v>
      </c>
      <c r="AY1944" s="19">
        <v>10000007</v>
      </c>
      <c r="AZ1944" s="19">
        <v>70202004</v>
      </c>
      <c r="BA1944" s="20" t="s">
        <v>315</v>
      </c>
      <c r="BB1944" s="20" t="s">
        <v>371</v>
      </c>
      <c r="BC1944" s="28">
        <v>0</v>
      </c>
      <c r="BD1944" s="28">
        <v>0</v>
      </c>
      <c r="BE1944" s="46" t="s">
        <v>4357</v>
      </c>
      <c r="BF1944" s="46" t="s">
        <v>4358</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spans="3:75" ht="19.5" customHeight="1">
      <c r="C1945" s="19">
        <v>73002201</v>
      </c>
      <c r="D1945" s="18" t="s">
        <v>605</v>
      </c>
      <c r="E1945" s="18" t="s">
        <v>606</v>
      </c>
      <c r="F1945" s="19">
        <v>1</v>
      </c>
      <c r="G1945" s="17">
        <v>60010100</v>
      </c>
      <c r="H1945" s="19">
        <v>0</v>
      </c>
      <c r="I1945" s="28">
        <v>0</v>
      </c>
      <c r="J1945" s="19">
        <v>1</v>
      </c>
      <c r="K1945" s="19">
        <v>0</v>
      </c>
      <c r="L1945" s="19">
        <v>0</v>
      </c>
      <c r="M1945" s="17">
        <v>0</v>
      </c>
      <c r="N1945" s="17">
        <v>0</v>
      </c>
      <c r="O1945" s="17">
        <v>2</v>
      </c>
      <c r="P1945" s="17">
        <v>1</v>
      </c>
      <c r="Q1945" s="17">
        <v>0.3</v>
      </c>
      <c r="R1945" s="17">
        <v>0</v>
      </c>
      <c r="S1945" s="13">
        <v>0</v>
      </c>
      <c r="T1945" s="17">
        <v>0</v>
      </c>
      <c r="U1945" s="17">
        <v>1</v>
      </c>
      <c r="V1945" s="17">
        <v>2</v>
      </c>
      <c r="W1945" s="17">
        <v>0</v>
      </c>
      <c r="X1945" s="17">
        <v>3</v>
      </c>
      <c r="Y1945" s="13">
        <v>0</v>
      </c>
      <c r="Z1945" s="17">
        <v>0</v>
      </c>
      <c r="AA1945" s="17">
        <v>1</v>
      </c>
      <c r="AB1945" s="17">
        <v>0</v>
      </c>
      <c r="AC1945" s="17">
        <v>0</v>
      </c>
      <c r="AD1945" s="17">
        <v>0</v>
      </c>
      <c r="AE1945" s="17">
        <v>0</v>
      </c>
      <c r="AF1945" s="17">
        <v>12</v>
      </c>
      <c r="AG1945" s="17">
        <v>1</v>
      </c>
      <c r="AH1945" s="17" t="s">
        <v>607</v>
      </c>
      <c r="AI1945" s="13">
        <v>1</v>
      </c>
      <c r="AJ1945" s="13">
        <v>1</v>
      </c>
      <c r="AK1945" s="13">
        <v>0</v>
      </c>
      <c r="AL1945" s="13">
        <v>3</v>
      </c>
      <c r="AM1945" s="17">
        <v>0</v>
      </c>
      <c r="AN1945" s="17">
        <v>0</v>
      </c>
      <c r="AO1945" s="17">
        <v>0</v>
      </c>
      <c r="AP1945" s="17">
        <v>3</v>
      </c>
      <c r="AQ1945" s="17">
        <v>5000</v>
      </c>
      <c r="AR1945" s="17">
        <v>2.5</v>
      </c>
      <c r="AS1945" s="17">
        <v>0</v>
      </c>
      <c r="AT1945" s="13">
        <v>0</v>
      </c>
      <c r="AU1945" s="17" t="s">
        <v>198</v>
      </c>
      <c r="AV1945" s="17"/>
      <c r="AW1945" s="20" t="s">
        <v>287</v>
      </c>
      <c r="AX1945" s="17" t="s">
        <v>534</v>
      </c>
      <c r="AY1945" s="19">
        <v>10000007</v>
      </c>
      <c r="AZ1945" s="19">
        <v>70107001</v>
      </c>
      <c r="BA1945" s="18" t="s">
        <v>200</v>
      </c>
      <c r="BB1945" s="17">
        <v>0</v>
      </c>
      <c r="BC1945" s="28">
        <v>0</v>
      </c>
      <c r="BD1945" s="28">
        <v>0</v>
      </c>
      <c r="BE1945" s="46" t="s">
        <v>608</v>
      </c>
      <c r="BF1945" s="46" t="s">
        <v>609</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73002202</v>
      </c>
      <c r="D1946" s="18" t="s">
        <v>660</v>
      </c>
      <c r="E1946" s="18" t="s">
        <v>661</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12</v>
      </c>
      <c r="AG1946" s="17">
        <v>1</v>
      </c>
      <c r="AH1946" s="17">
        <v>3</v>
      </c>
      <c r="AI1946" s="13">
        <v>4</v>
      </c>
      <c r="AJ1946" s="13">
        <v>1</v>
      </c>
      <c r="AK1946" s="13">
        <v>0</v>
      </c>
      <c r="AL1946" s="13">
        <v>1.5</v>
      </c>
      <c r="AM1946" s="17">
        <v>0</v>
      </c>
      <c r="AN1946" s="17">
        <v>0</v>
      </c>
      <c r="AO1946" s="17">
        <v>0</v>
      </c>
      <c r="AP1946" s="17">
        <v>3</v>
      </c>
      <c r="AQ1946" s="17">
        <v>5000</v>
      </c>
      <c r="AR1946" s="17">
        <v>3</v>
      </c>
      <c r="AS1946" s="17">
        <v>0</v>
      </c>
      <c r="AT1946" s="13">
        <v>0</v>
      </c>
      <c r="AU1946" s="17" t="s">
        <v>198</v>
      </c>
      <c r="AV1946" s="17"/>
      <c r="AW1946" s="20" t="s">
        <v>199</v>
      </c>
      <c r="AX1946" s="17" t="s">
        <v>534</v>
      </c>
      <c r="AY1946" s="19">
        <v>10000007</v>
      </c>
      <c r="AZ1946" s="19">
        <v>70103003</v>
      </c>
      <c r="BA1946" s="18" t="s">
        <v>200</v>
      </c>
      <c r="BB1946" s="17" t="s">
        <v>4359</v>
      </c>
      <c r="BC1946" s="28">
        <v>0</v>
      </c>
      <c r="BD1946" s="28">
        <v>0</v>
      </c>
      <c r="BE1946" s="46" t="s">
        <v>663</v>
      </c>
      <c r="BF1946" s="46" t="s">
        <v>664</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73002203</v>
      </c>
      <c r="D1947" s="18" t="s">
        <v>665</v>
      </c>
      <c r="E1947" s="18" t="s">
        <v>606</v>
      </c>
      <c r="F1947" s="17">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0</v>
      </c>
      <c r="AB1947" s="17">
        <v>0</v>
      </c>
      <c r="AC1947" s="17">
        <v>0</v>
      </c>
      <c r="AD1947" s="17">
        <v>0</v>
      </c>
      <c r="AE1947" s="17">
        <v>0</v>
      </c>
      <c r="AF1947" s="17">
        <v>12</v>
      </c>
      <c r="AG1947" s="17">
        <v>1</v>
      </c>
      <c r="AH1947" s="17">
        <v>3</v>
      </c>
      <c r="AI1947" s="13">
        <v>6</v>
      </c>
      <c r="AJ1947" s="13">
        <v>1</v>
      </c>
      <c r="AK1947" s="13">
        <v>0</v>
      </c>
      <c r="AL1947" s="13">
        <v>1.5</v>
      </c>
      <c r="AM1947" s="17">
        <v>0</v>
      </c>
      <c r="AN1947" s="17">
        <v>0</v>
      </c>
      <c r="AO1947" s="17">
        <v>0</v>
      </c>
      <c r="AP1947" s="17">
        <v>3</v>
      </c>
      <c r="AQ1947" s="17">
        <v>5000</v>
      </c>
      <c r="AR1947" s="17">
        <v>3</v>
      </c>
      <c r="AS1947" s="17">
        <v>0</v>
      </c>
      <c r="AT1947" s="13">
        <v>0</v>
      </c>
      <c r="AU1947" s="17" t="s">
        <v>198</v>
      </c>
      <c r="AV1947" s="17"/>
      <c r="AW1947" s="20" t="s">
        <v>256</v>
      </c>
      <c r="AX1947" s="17" t="s">
        <v>534</v>
      </c>
      <c r="AY1947" s="19">
        <v>10000007</v>
      </c>
      <c r="AZ1947" s="19">
        <v>70103003</v>
      </c>
      <c r="BA1947" s="18" t="s">
        <v>200</v>
      </c>
      <c r="BB1947" s="17" t="s">
        <v>4360</v>
      </c>
      <c r="BC1947" s="28">
        <v>0</v>
      </c>
      <c r="BD1947" s="28">
        <v>0</v>
      </c>
      <c r="BE1947" s="46" t="s">
        <v>667</v>
      </c>
      <c r="BF1947" s="46" t="s">
        <v>668</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73002204</v>
      </c>
      <c r="D1948" s="20" t="s">
        <v>669</v>
      </c>
      <c r="E1948" s="20" t="s">
        <v>670</v>
      </c>
      <c r="F1948" s="19">
        <v>1</v>
      </c>
      <c r="G1948" s="19">
        <v>60010500</v>
      </c>
      <c r="H1948" s="19">
        <v>0</v>
      </c>
      <c r="I1948" s="28">
        <v>0</v>
      </c>
      <c r="J1948" s="19">
        <v>1</v>
      </c>
      <c r="K1948" s="19">
        <v>0</v>
      </c>
      <c r="L1948" s="19">
        <v>0</v>
      </c>
      <c r="M1948" s="19">
        <v>0</v>
      </c>
      <c r="N1948" s="19">
        <v>0</v>
      </c>
      <c r="O1948" s="17">
        <v>2</v>
      </c>
      <c r="P1948" s="19">
        <v>2</v>
      </c>
      <c r="Q1948" s="19">
        <v>0.6</v>
      </c>
      <c r="R1948" s="19">
        <v>0</v>
      </c>
      <c r="S1948" s="13">
        <v>0</v>
      </c>
      <c r="T1948" s="28">
        <v>0</v>
      </c>
      <c r="U1948" s="17">
        <v>1</v>
      </c>
      <c r="V1948" s="19">
        <v>2</v>
      </c>
      <c r="W1948" s="19">
        <v>0</v>
      </c>
      <c r="X1948" s="19">
        <v>0</v>
      </c>
      <c r="Y1948" s="13">
        <v>0</v>
      </c>
      <c r="Z1948" s="19">
        <v>0</v>
      </c>
      <c r="AA1948" s="19">
        <v>0</v>
      </c>
      <c r="AB1948" s="19">
        <v>0</v>
      </c>
      <c r="AC1948" s="19">
        <v>0</v>
      </c>
      <c r="AD1948" s="19">
        <v>0</v>
      </c>
      <c r="AE1948" s="19">
        <v>0</v>
      </c>
      <c r="AF1948" s="19">
        <v>20</v>
      </c>
      <c r="AG1948" s="19">
        <v>0</v>
      </c>
      <c r="AH1948" s="19">
        <v>0</v>
      </c>
      <c r="AI1948" s="13">
        <v>2</v>
      </c>
      <c r="AJ1948" s="13">
        <v>0</v>
      </c>
      <c r="AK1948" s="13">
        <v>0</v>
      </c>
      <c r="AL1948" s="13">
        <v>0</v>
      </c>
      <c r="AM1948" s="19">
        <v>0</v>
      </c>
      <c r="AN1948" s="19">
        <v>0</v>
      </c>
      <c r="AO1948" s="19">
        <v>0</v>
      </c>
      <c r="AP1948" s="19">
        <v>0</v>
      </c>
      <c r="AQ1948" s="19">
        <v>1000</v>
      </c>
      <c r="AR1948" s="19">
        <v>0</v>
      </c>
      <c r="AS1948" s="19">
        <v>0</v>
      </c>
      <c r="AT1948" s="13">
        <v>90102001</v>
      </c>
      <c r="AU1948" s="19" t="s">
        <v>198</v>
      </c>
      <c r="AV1948" s="19"/>
      <c r="AW1948" s="20" t="s">
        <v>199</v>
      </c>
      <c r="AX1948" s="19" t="s">
        <v>348</v>
      </c>
      <c r="AY1948" s="19">
        <v>0</v>
      </c>
      <c r="AZ1948" s="19">
        <v>40000003</v>
      </c>
      <c r="BA1948" s="20" t="s">
        <v>200</v>
      </c>
      <c r="BB1948" s="20" t="s">
        <v>198</v>
      </c>
      <c r="BC1948" s="28">
        <v>0</v>
      </c>
      <c r="BD1948" s="28">
        <v>0</v>
      </c>
      <c r="BE1948" s="89" t="s">
        <v>671</v>
      </c>
      <c r="BF1948" s="89" t="s">
        <v>672</v>
      </c>
      <c r="BG1948" s="19">
        <v>0</v>
      </c>
      <c r="BH1948" s="17">
        <v>0</v>
      </c>
      <c r="BI1948" s="19">
        <v>0</v>
      </c>
      <c r="BJ1948" s="19">
        <v>0</v>
      </c>
      <c r="BK1948" s="19">
        <v>0</v>
      </c>
      <c r="BL1948" s="19">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73002205</v>
      </c>
      <c r="D1949" s="20" t="s">
        <v>673</v>
      </c>
      <c r="E1949" s="20" t="s">
        <v>674</v>
      </c>
      <c r="F1949" s="19">
        <v>1</v>
      </c>
      <c r="G1949" s="19">
        <v>60010500</v>
      </c>
      <c r="H1949" s="19">
        <v>0</v>
      </c>
      <c r="I1949" s="28">
        <v>0</v>
      </c>
      <c r="J1949" s="19">
        <v>1</v>
      </c>
      <c r="K1949" s="19">
        <v>0</v>
      </c>
      <c r="L1949" s="19">
        <v>0</v>
      </c>
      <c r="M1949" s="19">
        <v>0</v>
      </c>
      <c r="N1949" s="19">
        <v>0</v>
      </c>
      <c r="O1949" s="17">
        <v>2</v>
      </c>
      <c r="P1949" s="19">
        <v>2</v>
      </c>
      <c r="Q1949" s="19">
        <v>0.6</v>
      </c>
      <c r="R1949" s="19">
        <v>0</v>
      </c>
      <c r="S1949" s="13">
        <v>0</v>
      </c>
      <c r="T1949" s="28">
        <v>0</v>
      </c>
      <c r="U1949" s="17">
        <v>1</v>
      </c>
      <c r="V1949" s="19">
        <v>2</v>
      </c>
      <c r="W1949" s="19">
        <v>0</v>
      </c>
      <c r="X1949" s="19">
        <v>0</v>
      </c>
      <c r="Y1949" s="13">
        <v>0</v>
      </c>
      <c r="Z1949" s="19">
        <v>0</v>
      </c>
      <c r="AA1949" s="19">
        <v>0</v>
      </c>
      <c r="AB1949" s="19">
        <v>0</v>
      </c>
      <c r="AC1949" s="19">
        <v>0</v>
      </c>
      <c r="AD1949" s="19">
        <v>0</v>
      </c>
      <c r="AE1949" s="19">
        <v>0</v>
      </c>
      <c r="AF1949" s="17">
        <v>99999</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90104002</v>
      </c>
      <c r="AU1949" s="19" t="s">
        <v>198</v>
      </c>
      <c r="AV1949" s="19"/>
      <c r="AW1949" s="20" t="s">
        <v>199</v>
      </c>
      <c r="AX1949" s="19" t="s">
        <v>348</v>
      </c>
      <c r="AY1949" s="19">
        <v>0</v>
      </c>
      <c r="AZ1949" s="19">
        <v>0</v>
      </c>
      <c r="BA1949" s="20" t="s">
        <v>200</v>
      </c>
      <c r="BB1949" s="20" t="s">
        <v>198</v>
      </c>
      <c r="BC1949" s="28">
        <v>0</v>
      </c>
      <c r="BD1949" s="28">
        <v>0</v>
      </c>
      <c r="BE1949" s="89" t="s">
        <v>675</v>
      </c>
      <c r="BF1949" s="89" t="s">
        <v>676</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73002301</v>
      </c>
      <c r="D1950" s="18" t="s">
        <v>993</v>
      </c>
      <c r="E1950" s="18" t="s">
        <v>994</v>
      </c>
      <c r="F1950" s="19">
        <v>1</v>
      </c>
      <c r="G1950" s="17">
        <v>60010100</v>
      </c>
      <c r="H1950" s="19">
        <v>0</v>
      </c>
      <c r="I1950" s="28">
        <v>0</v>
      </c>
      <c r="J1950" s="19">
        <v>1</v>
      </c>
      <c r="K1950" s="19">
        <v>0</v>
      </c>
      <c r="L1950" s="19">
        <v>0</v>
      </c>
      <c r="M1950" s="17">
        <v>0</v>
      </c>
      <c r="N1950" s="17">
        <v>0</v>
      </c>
      <c r="O1950" s="17">
        <v>2</v>
      </c>
      <c r="P1950" s="17">
        <v>1</v>
      </c>
      <c r="Q1950" s="17">
        <v>0.3</v>
      </c>
      <c r="R1950" s="17">
        <v>0</v>
      </c>
      <c r="S1950" s="13">
        <v>0</v>
      </c>
      <c r="T1950" s="17">
        <v>0</v>
      </c>
      <c r="U1950" s="17">
        <v>1</v>
      </c>
      <c r="V1950" s="17">
        <v>2</v>
      </c>
      <c r="W1950" s="17">
        <v>0</v>
      </c>
      <c r="X1950" s="17">
        <v>3</v>
      </c>
      <c r="Y1950" s="13">
        <v>0</v>
      </c>
      <c r="Z1950" s="17">
        <v>0</v>
      </c>
      <c r="AA1950" s="17">
        <v>1</v>
      </c>
      <c r="AB1950" s="17">
        <v>0</v>
      </c>
      <c r="AC1950" s="17">
        <v>0</v>
      </c>
      <c r="AD1950" s="17">
        <v>0</v>
      </c>
      <c r="AE1950" s="17">
        <v>0</v>
      </c>
      <c r="AF1950" s="17">
        <v>15</v>
      </c>
      <c r="AG1950" s="17">
        <v>1</v>
      </c>
      <c r="AH1950" s="17">
        <v>3</v>
      </c>
      <c r="AI1950" s="13">
        <v>4</v>
      </c>
      <c r="AJ1950" s="13">
        <v>1</v>
      </c>
      <c r="AK1950" s="13">
        <v>0</v>
      </c>
      <c r="AL1950" s="13">
        <v>1.5</v>
      </c>
      <c r="AM1950" s="17">
        <v>0</v>
      </c>
      <c r="AN1950" s="17">
        <v>0</v>
      </c>
      <c r="AO1950" s="17">
        <v>0</v>
      </c>
      <c r="AP1950" s="17">
        <v>3</v>
      </c>
      <c r="AQ1950" s="17">
        <v>999999</v>
      </c>
      <c r="AR1950" s="17">
        <v>3</v>
      </c>
      <c r="AS1950" s="17">
        <v>0</v>
      </c>
      <c r="AT1950" s="13">
        <v>0</v>
      </c>
      <c r="AU1950" s="17" t="s">
        <v>198</v>
      </c>
      <c r="AV1950" s="17"/>
      <c r="AW1950" s="20" t="s">
        <v>287</v>
      </c>
      <c r="AX1950" s="17" t="s">
        <v>534</v>
      </c>
      <c r="AY1950" s="19">
        <v>10000007</v>
      </c>
      <c r="AZ1950" s="19">
        <v>70205001</v>
      </c>
      <c r="BA1950" s="18" t="s">
        <v>200</v>
      </c>
      <c r="BB1950" s="17" t="s">
        <v>4361</v>
      </c>
      <c r="BC1950" s="28">
        <v>0</v>
      </c>
      <c r="BD1950" s="28">
        <v>0</v>
      </c>
      <c r="BE1950" s="46" t="s">
        <v>996</v>
      </c>
      <c r="BF1950" s="46" t="s">
        <v>997</v>
      </c>
      <c r="BG1950" s="17">
        <v>0</v>
      </c>
      <c r="BH1950" s="17">
        <v>0</v>
      </c>
      <c r="BI1950" s="17">
        <v>0</v>
      </c>
      <c r="BJ1950" s="17">
        <v>0</v>
      </c>
      <c r="BK1950" s="17">
        <v>0</v>
      </c>
      <c r="BL1950" s="17">
        <v>0</v>
      </c>
      <c r="BM1950" s="16">
        <v>0</v>
      </c>
      <c r="BN1950" s="13">
        <v>0</v>
      </c>
      <c r="BO1950" s="13">
        <v>0</v>
      </c>
      <c r="BP1950" s="13">
        <v>0</v>
      </c>
      <c r="BQ1950" s="13">
        <v>0</v>
      </c>
      <c r="BR1950" s="13">
        <v>0</v>
      </c>
      <c r="BS1950" s="13">
        <v>0</v>
      </c>
      <c r="BT1950" s="13">
        <v>0</v>
      </c>
      <c r="BU1950" s="49">
        <v>0</v>
      </c>
      <c r="BV1950" s="49"/>
      <c r="BW1950" s="49"/>
    </row>
    <row r="1951" spans="3:75" ht="19.5" customHeight="1">
      <c r="C1951" s="19">
        <v>73002302</v>
      </c>
      <c r="D1951" s="18" t="s">
        <v>1091</v>
      </c>
      <c r="E1951" s="18" t="s">
        <v>1092</v>
      </c>
      <c r="F1951" s="19">
        <v>1</v>
      </c>
      <c r="G1951" s="17">
        <v>60010100</v>
      </c>
      <c r="H1951" s="19">
        <v>0</v>
      </c>
      <c r="I1951" s="28">
        <v>0</v>
      </c>
      <c r="J1951" s="19">
        <v>1</v>
      </c>
      <c r="K1951" s="19">
        <v>0</v>
      </c>
      <c r="L1951" s="19">
        <v>0</v>
      </c>
      <c r="M1951" s="17">
        <v>0</v>
      </c>
      <c r="N1951" s="17">
        <v>0</v>
      </c>
      <c r="O1951" s="17">
        <v>2</v>
      </c>
      <c r="P1951" s="17">
        <v>1</v>
      </c>
      <c r="Q1951" s="17">
        <v>0.3</v>
      </c>
      <c r="R1951" s="17">
        <v>0</v>
      </c>
      <c r="S1951" s="13">
        <v>1</v>
      </c>
      <c r="T1951" s="17">
        <v>0</v>
      </c>
      <c r="U1951" s="17">
        <v>1</v>
      </c>
      <c r="V1951" s="17">
        <v>2</v>
      </c>
      <c r="W1951" s="17">
        <v>0</v>
      </c>
      <c r="X1951" s="17">
        <v>3</v>
      </c>
      <c r="Y1951" s="13">
        <v>0</v>
      </c>
      <c r="Z1951" s="17">
        <v>0</v>
      </c>
      <c r="AA1951" s="17">
        <v>1</v>
      </c>
      <c r="AB1951" s="17">
        <v>0</v>
      </c>
      <c r="AC1951" s="17">
        <v>0</v>
      </c>
      <c r="AD1951" s="17">
        <v>0</v>
      </c>
      <c r="AE1951" s="17">
        <v>0</v>
      </c>
      <c r="AF1951" s="17">
        <v>15</v>
      </c>
      <c r="AG1951" s="17">
        <v>1</v>
      </c>
      <c r="AH1951" s="17" t="s">
        <v>607</v>
      </c>
      <c r="AI1951" s="13">
        <v>0</v>
      </c>
      <c r="AJ1951" s="13">
        <v>1</v>
      </c>
      <c r="AK1951" s="13">
        <v>0</v>
      </c>
      <c r="AL1951" s="13">
        <v>3</v>
      </c>
      <c r="AM1951" s="17">
        <v>0</v>
      </c>
      <c r="AN1951" s="17">
        <v>0</v>
      </c>
      <c r="AO1951" s="17">
        <v>0</v>
      </c>
      <c r="AP1951" s="17">
        <v>3</v>
      </c>
      <c r="AQ1951" s="17">
        <v>5000</v>
      </c>
      <c r="AR1951" s="17">
        <v>2.5</v>
      </c>
      <c r="AS1951" s="17">
        <v>0</v>
      </c>
      <c r="AT1951" s="13">
        <v>0</v>
      </c>
      <c r="AU1951" s="17" t="s">
        <v>659</v>
      </c>
      <c r="AV1951" s="17"/>
      <c r="AW1951" s="20" t="s">
        <v>256</v>
      </c>
      <c r="AX1951" s="17" t="s">
        <v>534</v>
      </c>
      <c r="AY1951" s="19">
        <v>10000007</v>
      </c>
      <c r="AZ1951" s="19">
        <v>70403003</v>
      </c>
      <c r="BA1951" s="18" t="s">
        <v>200</v>
      </c>
      <c r="BB1951" s="17">
        <v>0</v>
      </c>
      <c r="BC1951" s="28">
        <v>0</v>
      </c>
      <c r="BD1951" s="28">
        <v>0</v>
      </c>
      <c r="BE1951" s="46" t="s">
        <v>4277</v>
      </c>
      <c r="BF1951" s="46" t="s">
        <v>4278</v>
      </c>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20.100000000000001" customHeight="1">
      <c r="C1952" s="19">
        <v>73002303</v>
      </c>
      <c r="D1952" s="18" t="s">
        <v>1324</v>
      </c>
      <c r="E1952" s="18" t="s">
        <v>1325</v>
      </c>
      <c r="F1952" s="19">
        <v>1</v>
      </c>
      <c r="G1952" s="17">
        <v>60010100</v>
      </c>
      <c r="H1952" s="19">
        <v>0</v>
      </c>
      <c r="I1952" s="28">
        <v>0</v>
      </c>
      <c r="J1952" s="19">
        <v>1</v>
      </c>
      <c r="K1952" s="19">
        <v>0</v>
      </c>
      <c r="L1952" s="19">
        <v>0</v>
      </c>
      <c r="M1952" s="17">
        <v>0</v>
      </c>
      <c r="N1952" s="17">
        <v>0</v>
      </c>
      <c r="O1952" s="17">
        <v>2</v>
      </c>
      <c r="P1952" s="17">
        <v>1</v>
      </c>
      <c r="Q1952" s="17">
        <v>1</v>
      </c>
      <c r="R1952" s="17">
        <v>0</v>
      </c>
      <c r="S1952" s="13">
        <v>0</v>
      </c>
      <c r="T1952" s="17">
        <v>0</v>
      </c>
      <c r="U1952" s="17">
        <v>1</v>
      </c>
      <c r="V1952" s="17">
        <v>2</v>
      </c>
      <c r="W1952" s="17">
        <v>0</v>
      </c>
      <c r="X1952" s="17">
        <v>2</v>
      </c>
      <c r="Y1952" s="13">
        <v>0</v>
      </c>
      <c r="Z1952" s="17">
        <v>0</v>
      </c>
      <c r="AA1952" s="17">
        <v>1</v>
      </c>
      <c r="AB1952" s="17">
        <v>0</v>
      </c>
      <c r="AC1952" s="17">
        <v>0</v>
      </c>
      <c r="AD1952" s="17">
        <v>0</v>
      </c>
      <c r="AE1952" s="17">
        <v>0</v>
      </c>
      <c r="AF1952" s="17">
        <v>10</v>
      </c>
      <c r="AG1952" s="17">
        <v>2</v>
      </c>
      <c r="AH1952" s="17" t="s">
        <v>213</v>
      </c>
      <c r="AI1952" s="13">
        <v>0</v>
      </c>
      <c r="AJ1952" s="13">
        <v>2</v>
      </c>
      <c r="AK1952" s="13">
        <v>0</v>
      </c>
      <c r="AL1952" s="13">
        <v>1.5</v>
      </c>
      <c r="AM1952" s="17">
        <v>0</v>
      </c>
      <c r="AN1952" s="17">
        <v>0</v>
      </c>
      <c r="AO1952" s="17">
        <v>0</v>
      </c>
      <c r="AP1952" s="17">
        <v>1.5</v>
      </c>
      <c r="AQ1952" s="17">
        <v>10000</v>
      </c>
      <c r="AR1952" s="17">
        <v>1</v>
      </c>
      <c r="AS1952" s="17">
        <v>5</v>
      </c>
      <c r="AT1952" s="13">
        <v>0</v>
      </c>
      <c r="AU1952" s="17" t="s">
        <v>198</v>
      </c>
      <c r="AV1952" s="17"/>
      <c r="AW1952" s="20" t="s">
        <v>617</v>
      </c>
      <c r="AX1952" s="17" t="s">
        <v>534</v>
      </c>
      <c r="AY1952" s="19">
        <v>10000007</v>
      </c>
      <c r="AZ1952" s="19">
        <v>70302003</v>
      </c>
      <c r="BA1952" s="20" t="s">
        <v>586</v>
      </c>
      <c r="BB1952" s="28" t="s">
        <v>4362</v>
      </c>
      <c r="BC1952" s="28">
        <v>0</v>
      </c>
      <c r="BD1952" s="28">
        <v>0</v>
      </c>
      <c r="BE1952" s="46" t="s">
        <v>1108</v>
      </c>
      <c r="BF1952" s="46" t="s">
        <v>1109</v>
      </c>
      <c r="BG1952" s="17">
        <v>1</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19">
        <v>73002304</v>
      </c>
      <c r="D1953" s="20" t="s">
        <v>538</v>
      </c>
      <c r="E1953" s="20" t="s">
        <v>539</v>
      </c>
      <c r="F1953" s="19">
        <v>1</v>
      </c>
      <c r="G1953" s="19">
        <v>60010500</v>
      </c>
      <c r="H1953" s="19">
        <v>0</v>
      </c>
      <c r="I1953" s="28">
        <v>0</v>
      </c>
      <c r="J1953" s="19">
        <v>1</v>
      </c>
      <c r="K1953" s="19">
        <v>0</v>
      </c>
      <c r="L1953" s="19">
        <v>0</v>
      </c>
      <c r="M1953" s="19">
        <v>0</v>
      </c>
      <c r="N1953" s="19">
        <v>0</v>
      </c>
      <c r="O1953" s="17">
        <v>2</v>
      </c>
      <c r="P1953" s="19">
        <v>2</v>
      </c>
      <c r="Q1953" s="19">
        <v>0.8</v>
      </c>
      <c r="R1953" s="19">
        <v>0</v>
      </c>
      <c r="S1953" s="13">
        <v>0</v>
      </c>
      <c r="T1953" s="28">
        <v>0</v>
      </c>
      <c r="U1953" s="17">
        <v>1</v>
      </c>
      <c r="V1953" s="19">
        <v>2</v>
      </c>
      <c r="W1953" s="19">
        <v>0</v>
      </c>
      <c r="X1953" s="19">
        <v>0</v>
      </c>
      <c r="Y1953" s="13">
        <v>0</v>
      </c>
      <c r="Z1953" s="19">
        <v>0</v>
      </c>
      <c r="AA1953" s="19">
        <v>0</v>
      </c>
      <c r="AB1953" s="19">
        <v>0</v>
      </c>
      <c r="AC1953" s="19">
        <v>0</v>
      </c>
      <c r="AD1953" s="17">
        <v>0</v>
      </c>
      <c r="AE1953" s="19">
        <v>0</v>
      </c>
      <c r="AF1953" s="19">
        <v>20</v>
      </c>
      <c r="AG1953" s="19">
        <v>0</v>
      </c>
      <c r="AH1953" s="19">
        <v>0</v>
      </c>
      <c r="AI1953" s="13">
        <v>2</v>
      </c>
      <c r="AJ1953" s="13">
        <v>0</v>
      </c>
      <c r="AK1953" s="13">
        <v>0</v>
      </c>
      <c r="AL1953" s="13">
        <v>0</v>
      </c>
      <c r="AM1953" s="19">
        <v>0</v>
      </c>
      <c r="AN1953" s="19">
        <v>0</v>
      </c>
      <c r="AO1953" s="19">
        <v>0</v>
      </c>
      <c r="AP1953" s="19">
        <v>0</v>
      </c>
      <c r="AQ1953" s="19">
        <v>1000</v>
      </c>
      <c r="AR1953" s="19">
        <v>0</v>
      </c>
      <c r="AS1953" s="19">
        <v>0</v>
      </c>
      <c r="AT1953" s="13">
        <v>90401004</v>
      </c>
      <c r="AU1953" s="19" t="s">
        <v>198</v>
      </c>
      <c r="AV1953" s="19"/>
      <c r="AW1953" s="20" t="s">
        <v>199</v>
      </c>
      <c r="AX1953" s="19" t="s">
        <v>348</v>
      </c>
      <c r="AY1953" s="19">
        <v>0</v>
      </c>
      <c r="AZ1953" s="19">
        <v>40000003</v>
      </c>
      <c r="BA1953" s="20" t="s">
        <v>200</v>
      </c>
      <c r="BB1953" s="20" t="s">
        <v>198</v>
      </c>
      <c r="BC1953" s="28">
        <v>0</v>
      </c>
      <c r="BD1953" s="28">
        <v>0</v>
      </c>
      <c r="BE1953" s="89" t="s">
        <v>864</v>
      </c>
      <c r="BF1953" s="89" t="s">
        <v>865</v>
      </c>
      <c r="BG1953" s="19">
        <v>0</v>
      </c>
      <c r="BH1953" s="17">
        <v>0</v>
      </c>
      <c r="BI1953" s="19">
        <v>0</v>
      </c>
      <c r="BJ1953" s="19">
        <v>0</v>
      </c>
      <c r="BK1953" s="19">
        <v>0</v>
      </c>
      <c r="BL1953" s="19">
        <v>0</v>
      </c>
      <c r="BM1953" s="16">
        <v>0</v>
      </c>
      <c r="BN1953" s="13">
        <v>0</v>
      </c>
      <c r="BO1953" s="13">
        <v>0</v>
      </c>
      <c r="BP1953" s="13">
        <v>0</v>
      </c>
      <c r="BQ1953" s="13">
        <v>0</v>
      </c>
      <c r="BR1953" s="13">
        <v>0</v>
      </c>
      <c r="BS1953" s="13">
        <v>0</v>
      </c>
      <c r="BT1953" s="13">
        <v>0</v>
      </c>
      <c r="BU1953" s="49">
        <v>0</v>
      </c>
      <c r="BV1953" s="49"/>
      <c r="BW1953" s="49"/>
    </row>
    <row r="1954" spans="3:75" ht="19.5" customHeight="1">
      <c r="C1954" s="19">
        <v>73002305</v>
      </c>
      <c r="D1954" s="20" t="s">
        <v>757</v>
      </c>
      <c r="E1954" s="20" t="s">
        <v>399</v>
      </c>
      <c r="F1954" s="19">
        <v>1</v>
      </c>
      <c r="G1954" s="19">
        <v>60010500</v>
      </c>
      <c r="H1954" s="19">
        <v>0</v>
      </c>
      <c r="I1954" s="28">
        <v>0</v>
      </c>
      <c r="J1954" s="19">
        <v>1</v>
      </c>
      <c r="K1954" s="19">
        <v>0</v>
      </c>
      <c r="L1954" s="19">
        <v>0</v>
      </c>
      <c r="M1954" s="19">
        <v>0</v>
      </c>
      <c r="N1954" s="19">
        <v>0</v>
      </c>
      <c r="O1954" s="17">
        <v>2</v>
      </c>
      <c r="P1954" s="19">
        <v>2</v>
      </c>
      <c r="Q1954" s="19">
        <v>0.5</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7">
        <v>15</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t="s">
        <v>754</v>
      </c>
      <c r="AU1954" s="19" t="s">
        <v>198</v>
      </c>
      <c r="AV1954" s="19"/>
      <c r="AW1954" s="20" t="s">
        <v>199</v>
      </c>
      <c r="AX1954" s="19" t="s">
        <v>348</v>
      </c>
      <c r="AY1954" s="19">
        <v>0</v>
      </c>
      <c r="AZ1954" s="19">
        <v>0</v>
      </c>
      <c r="BA1954" s="20" t="s">
        <v>200</v>
      </c>
      <c r="BB1954" s="20" t="s">
        <v>198</v>
      </c>
      <c r="BC1954" s="28">
        <v>0</v>
      </c>
      <c r="BD1954" s="28">
        <v>0</v>
      </c>
      <c r="BE1954" s="89" t="s">
        <v>1118</v>
      </c>
      <c r="BF1954" s="89" t="s">
        <v>1119</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spans="3:75" ht="19.5" customHeight="1">
      <c r="C1955" s="19">
        <v>73002307</v>
      </c>
      <c r="D1955" s="18" t="s">
        <v>4363</v>
      </c>
      <c r="E1955" s="18" t="s">
        <v>4364</v>
      </c>
      <c r="F1955" s="19">
        <v>1</v>
      </c>
      <c r="G1955" s="17">
        <v>60010100</v>
      </c>
      <c r="H1955" s="19">
        <v>0</v>
      </c>
      <c r="I1955" s="28">
        <v>0</v>
      </c>
      <c r="J1955" s="19">
        <v>1</v>
      </c>
      <c r="K1955" s="19">
        <v>0</v>
      </c>
      <c r="L1955" s="19">
        <v>0</v>
      </c>
      <c r="M1955" s="17">
        <v>0</v>
      </c>
      <c r="N1955" s="17">
        <v>0</v>
      </c>
      <c r="O1955" s="17">
        <v>2</v>
      </c>
      <c r="P1955" s="17">
        <v>1</v>
      </c>
      <c r="Q1955" s="17">
        <v>0.3</v>
      </c>
      <c r="R1955" s="17">
        <v>0</v>
      </c>
      <c r="S1955" s="13">
        <v>0</v>
      </c>
      <c r="T1955" s="17">
        <v>0</v>
      </c>
      <c r="U1955" s="17">
        <v>1</v>
      </c>
      <c r="V1955" s="17">
        <v>2</v>
      </c>
      <c r="W1955" s="17">
        <v>0</v>
      </c>
      <c r="X1955" s="17">
        <v>2</v>
      </c>
      <c r="Y1955" s="13">
        <v>0</v>
      </c>
      <c r="Z1955" s="17">
        <v>0</v>
      </c>
      <c r="AA1955" s="17">
        <v>1</v>
      </c>
      <c r="AB1955" s="17">
        <v>0</v>
      </c>
      <c r="AC1955" s="17">
        <v>0</v>
      </c>
      <c r="AD1955" s="17">
        <v>0</v>
      </c>
      <c r="AE1955" s="17">
        <v>0</v>
      </c>
      <c r="AF1955" s="17">
        <v>15</v>
      </c>
      <c r="AG1955" s="17">
        <v>1</v>
      </c>
      <c r="AH1955" s="17" t="s">
        <v>861</v>
      </c>
      <c r="AI1955" s="13">
        <v>0</v>
      </c>
      <c r="AJ1955" s="13">
        <v>0</v>
      </c>
      <c r="AK1955" s="13">
        <v>0</v>
      </c>
      <c r="AL1955" s="13">
        <v>0</v>
      </c>
      <c r="AM1955" s="17">
        <v>0</v>
      </c>
      <c r="AN1955" s="17">
        <v>0</v>
      </c>
      <c r="AO1955" s="17">
        <v>0</v>
      </c>
      <c r="AP1955" s="17">
        <v>0.5</v>
      </c>
      <c r="AQ1955" s="17">
        <v>999999</v>
      </c>
      <c r="AR1955" s="17">
        <v>0.5</v>
      </c>
      <c r="AS1955" s="17">
        <v>0</v>
      </c>
      <c r="AT1955" s="13">
        <v>0</v>
      </c>
      <c r="AU1955" s="13">
        <v>90205007</v>
      </c>
      <c r="AV1955" s="13"/>
      <c r="AW1955" s="20" t="s">
        <v>617</v>
      </c>
      <c r="AX1955" s="17" t="s">
        <v>534</v>
      </c>
      <c r="AY1955" s="19">
        <v>10000007</v>
      </c>
      <c r="AZ1955" s="19">
        <v>70205001</v>
      </c>
      <c r="BA1955" s="20" t="s">
        <v>315</v>
      </c>
      <c r="BB1955" s="20" t="s">
        <v>371</v>
      </c>
      <c r="BC1955" s="28">
        <v>0</v>
      </c>
      <c r="BD1955" s="28">
        <v>0</v>
      </c>
      <c r="BE1955" s="46"/>
      <c r="BF1955" s="46"/>
      <c r="BG1955" s="17">
        <v>0</v>
      </c>
      <c r="BH1955" s="17">
        <v>0</v>
      </c>
      <c r="BI1955" s="17">
        <v>0</v>
      </c>
      <c r="BJ1955" s="17">
        <v>0</v>
      </c>
      <c r="BK1955" s="17">
        <v>0</v>
      </c>
      <c r="BL1955" s="17">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66">
        <v>73003101</v>
      </c>
      <c r="D1956" s="61" t="s">
        <v>760</v>
      </c>
      <c r="E1956" s="61" t="s">
        <v>761</v>
      </c>
      <c r="F1956" s="62">
        <v>2</v>
      </c>
      <c r="G1956" s="62">
        <v>61012301</v>
      </c>
      <c r="H1956" s="62">
        <v>0</v>
      </c>
      <c r="I1956" s="68">
        <v>0</v>
      </c>
      <c r="J1956" s="66">
        <v>1</v>
      </c>
      <c r="K1956" s="66">
        <v>0</v>
      </c>
      <c r="L1956" s="66">
        <v>0</v>
      </c>
      <c r="M1956" s="62">
        <v>0</v>
      </c>
      <c r="N1956" s="62">
        <v>0</v>
      </c>
      <c r="O1956" s="17">
        <v>2</v>
      </c>
      <c r="P1956" s="62">
        <v>1</v>
      </c>
      <c r="Q1956" s="62">
        <v>0.5</v>
      </c>
      <c r="R1956" s="62">
        <v>0</v>
      </c>
      <c r="S1956" s="70">
        <v>1</v>
      </c>
      <c r="T1956" s="62">
        <v>0</v>
      </c>
      <c r="U1956" s="62">
        <v>1</v>
      </c>
      <c r="V1956" s="62">
        <v>2</v>
      </c>
      <c r="W1956" s="62">
        <v>0</v>
      </c>
      <c r="X1956" s="62">
        <v>1.4</v>
      </c>
      <c r="Y1956" s="13">
        <v>0</v>
      </c>
      <c r="Z1956" s="62">
        <v>150</v>
      </c>
      <c r="AA1956" s="62">
        <v>1</v>
      </c>
      <c r="AB1956" s="62">
        <v>0</v>
      </c>
      <c r="AC1956" s="62">
        <v>0</v>
      </c>
      <c r="AD1956" s="62">
        <v>0</v>
      </c>
      <c r="AE1956" s="62">
        <v>0</v>
      </c>
      <c r="AF1956" s="62">
        <v>12</v>
      </c>
      <c r="AG1956" s="62">
        <v>2</v>
      </c>
      <c r="AH1956" s="62" t="s">
        <v>213</v>
      </c>
      <c r="AI1956" s="70">
        <v>7</v>
      </c>
      <c r="AJ1956" s="70">
        <v>2</v>
      </c>
      <c r="AK1956" s="13">
        <v>0</v>
      </c>
      <c r="AL1956" s="70">
        <v>1.5</v>
      </c>
      <c r="AM1956" s="62">
        <v>0</v>
      </c>
      <c r="AN1956" s="62">
        <v>0</v>
      </c>
      <c r="AO1956" s="62">
        <v>0</v>
      </c>
      <c r="AP1956" s="62">
        <v>1.5</v>
      </c>
      <c r="AQ1956" s="62">
        <v>1200</v>
      </c>
      <c r="AR1956" s="62">
        <v>1</v>
      </c>
      <c r="AS1956" s="62">
        <v>15</v>
      </c>
      <c r="AT1956" s="70">
        <v>0</v>
      </c>
      <c r="AU1956" s="62" t="s">
        <v>198</v>
      </c>
      <c r="AV1956" s="62"/>
      <c r="AW1956" s="61" t="s">
        <v>256</v>
      </c>
      <c r="AX1956" s="62" t="s">
        <v>215</v>
      </c>
      <c r="AY1956" s="66">
        <v>10000011</v>
      </c>
      <c r="AZ1956" s="66">
        <v>70404001</v>
      </c>
      <c r="BA1956" s="61" t="s">
        <v>216</v>
      </c>
      <c r="BB1956" s="62">
        <v>0</v>
      </c>
      <c r="BC1956" s="68">
        <v>0</v>
      </c>
      <c r="BD1956" s="68">
        <v>0</v>
      </c>
      <c r="BE1956" s="92" t="s">
        <v>798</v>
      </c>
      <c r="BF1956" s="92" t="s">
        <v>799</v>
      </c>
      <c r="BG1956" s="62">
        <v>0</v>
      </c>
      <c r="BH1956" s="62">
        <v>0</v>
      </c>
      <c r="BI1956" s="62">
        <v>0</v>
      </c>
      <c r="BJ1956" s="62">
        <v>0</v>
      </c>
      <c r="BK1956" s="62">
        <v>0</v>
      </c>
      <c r="BL1956" s="62">
        <v>0</v>
      </c>
      <c r="BM1956" s="95">
        <v>0</v>
      </c>
      <c r="BN1956" s="13">
        <v>0</v>
      </c>
      <c r="BO1956" s="13">
        <v>0</v>
      </c>
      <c r="BP1956" s="13">
        <v>0</v>
      </c>
      <c r="BQ1956" s="13">
        <v>0</v>
      </c>
      <c r="BR1956" s="13">
        <v>0</v>
      </c>
      <c r="BS1956" s="13">
        <v>0</v>
      </c>
      <c r="BT1956" s="13">
        <v>0</v>
      </c>
      <c r="BU1956" s="49">
        <v>0</v>
      </c>
      <c r="BV1956" s="49"/>
      <c r="BW1956" s="49"/>
    </row>
    <row r="1957" spans="3:75" ht="19.5" customHeight="1">
      <c r="C1957" s="19">
        <v>73003102</v>
      </c>
      <c r="D1957" s="18" t="s">
        <v>1091</v>
      </c>
      <c r="E1957" s="18" t="s">
        <v>1092</v>
      </c>
      <c r="F1957" s="19">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3</v>
      </c>
      <c r="Y1957" s="13">
        <v>0</v>
      </c>
      <c r="Z1957" s="17">
        <v>0</v>
      </c>
      <c r="AA1957" s="17">
        <v>1</v>
      </c>
      <c r="AB1957" s="17">
        <v>0</v>
      </c>
      <c r="AC1957" s="17">
        <v>0</v>
      </c>
      <c r="AD1957" s="17">
        <v>0</v>
      </c>
      <c r="AE1957" s="17">
        <v>0</v>
      </c>
      <c r="AF1957" s="17">
        <v>12</v>
      </c>
      <c r="AG1957" s="17">
        <v>1</v>
      </c>
      <c r="AH1957" s="17" t="s">
        <v>607</v>
      </c>
      <c r="AI1957" s="13">
        <v>0</v>
      </c>
      <c r="AJ1957" s="13">
        <v>1</v>
      </c>
      <c r="AK1957" s="13">
        <v>0</v>
      </c>
      <c r="AL1957" s="13">
        <v>3</v>
      </c>
      <c r="AM1957" s="17">
        <v>0</v>
      </c>
      <c r="AN1957" s="17">
        <v>0</v>
      </c>
      <c r="AO1957" s="17">
        <v>0</v>
      </c>
      <c r="AP1957" s="17">
        <v>3</v>
      </c>
      <c r="AQ1957" s="17">
        <v>5000</v>
      </c>
      <c r="AR1957" s="17">
        <v>2.5</v>
      </c>
      <c r="AS1957" s="17">
        <v>0</v>
      </c>
      <c r="AT1957" s="13">
        <v>0</v>
      </c>
      <c r="AU1957" s="17">
        <v>80001030</v>
      </c>
      <c r="AV1957" s="17"/>
      <c r="AW1957" s="20" t="s">
        <v>287</v>
      </c>
      <c r="AX1957" s="17" t="s">
        <v>534</v>
      </c>
      <c r="AY1957" s="19">
        <v>10000007</v>
      </c>
      <c r="AZ1957" s="19">
        <v>70204001</v>
      </c>
      <c r="BA1957" s="18" t="s">
        <v>200</v>
      </c>
      <c r="BB1957" s="17">
        <v>0</v>
      </c>
      <c r="BC1957" s="28">
        <v>0</v>
      </c>
      <c r="BD1957" s="28">
        <v>0</v>
      </c>
      <c r="BE1957" s="46" t="s">
        <v>1093</v>
      </c>
      <c r="BF1957" s="46" t="s">
        <v>1094</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spans="3:75" ht="20.100000000000001" customHeight="1">
      <c r="C1958" s="19">
        <v>73003103</v>
      </c>
      <c r="D1958" s="18" t="s">
        <v>532</v>
      </c>
      <c r="E1958" s="18" t="s">
        <v>255</v>
      </c>
      <c r="F1958" s="19">
        <v>1</v>
      </c>
      <c r="G1958" s="17">
        <v>0</v>
      </c>
      <c r="H1958" s="19">
        <v>0</v>
      </c>
      <c r="I1958" s="28">
        <v>0</v>
      </c>
      <c r="J1958" s="19">
        <v>1</v>
      </c>
      <c r="K1958" s="19">
        <v>0</v>
      </c>
      <c r="L1958" s="19">
        <v>0</v>
      </c>
      <c r="M1958" s="17">
        <v>0</v>
      </c>
      <c r="N1958" s="17">
        <v>0</v>
      </c>
      <c r="O1958" s="17">
        <v>2</v>
      </c>
      <c r="P1958" s="17">
        <v>1</v>
      </c>
      <c r="Q1958" s="17">
        <v>1</v>
      </c>
      <c r="R1958" s="17">
        <v>0</v>
      </c>
      <c r="S1958" s="13">
        <v>0</v>
      </c>
      <c r="T1958" s="17">
        <v>0</v>
      </c>
      <c r="U1958" s="17">
        <v>1</v>
      </c>
      <c r="V1958" s="17">
        <v>2</v>
      </c>
      <c r="W1958" s="17">
        <v>0</v>
      </c>
      <c r="X1958" s="17">
        <v>2</v>
      </c>
      <c r="Y1958" s="13">
        <v>0</v>
      </c>
      <c r="Z1958" s="17">
        <v>0</v>
      </c>
      <c r="AA1958" s="17">
        <v>1</v>
      </c>
      <c r="AB1958" s="17">
        <v>0</v>
      </c>
      <c r="AC1958" s="17">
        <v>0</v>
      </c>
      <c r="AD1958" s="17">
        <v>0</v>
      </c>
      <c r="AE1958" s="17">
        <v>0</v>
      </c>
      <c r="AF1958" s="17">
        <v>6</v>
      </c>
      <c r="AG1958" s="17">
        <v>1</v>
      </c>
      <c r="AH1958" s="17">
        <v>3</v>
      </c>
      <c r="AI1958" s="13">
        <v>0</v>
      </c>
      <c r="AJ1958" s="13">
        <v>0</v>
      </c>
      <c r="AK1958" s="13">
        <v>0</v>
      </c>
      <c r="AL1958" s="13">
        <v>1.5</v>
      </c>
      <c r="AM1958" s="17">
        <v>0</v>
      </c>
      <c r="AN1958" s="17">
        <v>0</v>
      </c>
      <c r="AO1958" s="17">
        <v>0</v>
      </c>
      <c r="AP1958" s="17">
        <v>1</v>
      </c>
      <c r="AQ1958" s="17">
        <v>5000</v>
      </c>
      <c r="AR1958" s="17">
        <v>0.5</v>
      </c>
      <c r="AS1958" s="17">
        <v>0</v>
      </c>
      <c r="AT1958" s="13">
        <v>0</v>
      </c>
      <c r="AU1958" s="17" t="s">
        <v>198</v>
      </c>
      <c r="AV1958" s="17"/>
      <c r="AW1958" s="20" t="s">
        <v>199</v>
      </c>
      <c r="AX1958" s="17" t="s">
        <v>534</v>
      </c>
      <c r="AY1958" s="19">
        <v>10000007</v>
      </c>
      <c r="AZ1958" s="19">
        <v>70105001</v>
      </c>
      <c r="BA1958" s="18" t="s">
        <v>200</v>
      </c>
      <c r="BB1958" s="17" t="s">
        <v>4195</v>
      </c>
      <c r="BC1958" s="28">
        <v>0</v>
      </c>
      <c r="BD1958" s="28">
        <v>0</v>
      </c>
      <c r="BE1958" s="46" t="s">
        <v>4196</v>
      </c>
      <c r="BF1958" s="46" t="s">
        <v>4197</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73003104</v>
      </c>
      <c r="D1959" s="18" t="s">
        <v>744</v>
      </c>
      <c r="E1959" s="18" t="s">
        <v>745</v>
      </c>
      <c r="F1959" s="19">
        <v>1</v>
      </c>
      <c r="G1959" s="19">
        <v>60010500</v>
      </c>
      <c r="H1959" s="19">
        <v>0</v>
      </c>
      <c r="I1959" s="28">
        <v>0</v>
      </c>
      <c r="J1959" s="19">
        <v>1</v>
      </c>
      <c r="K1959" s="19">
        <v>0</v>
      </c>
      <c r="L1959" s="19">
        <v>0</v>
      </c>
      <c r="M1959" s="19">
        <v>0</v>
      </c>
      <c r="N1959" s="19">
        <v>0</v>
      </c>
      <c r="O1959" s="17">
        <v>2</v>
      </c>
      <c r="P1959" s="19">
        <v>1</v>
      </c>
      <c r="Q1959" s="19">
        <v>0.05</v>
      </c>
      <c r="R1959" s="19">
        <v>0</v>
      </c>
      <c r="S1959" s="13">
        <v>0</v>
      </c>
      <c r="T1959" s="28">
        <v>0</v>
      </c>
      <c r="U1959" s="17">
        <v>1</v>
      </c>
      <c r="V1959" s="19">
        <v>1</v>
      </c>
      <c r="W1959" s="19">
        <v>0</v>
      </c>
      <c r="X1959" s="19">
        <v>2</v>
      </c>
      <c r="Y1959" s="13">
        <v>0</v>
      </c>
      <c r="Z1959" s="19">
        <v>0</v>
      </c>
      <c r="AA1959" s="19">
        <v>0</v>
      </c>
      <c r="AB1959" s="19">
        <v>0</v>
      </c>
      <c r="AC1959" s="19">
        <v>0</v>
      </c>
      <c r="AD1959" s="17">
        <v>0</v>
      </c>
      <c r="AE1959" s="19">
        <v>0</v>
      </c>
      <c r="AF1959" s="19">
        <v>10</v>
      </c>
      <c r="AG1959" s="19">
        <v>0</v>
      </c>
      <c r="AH1959" s="19">
        <v>0</v>
      </c>
      <c r="AI1959" s="13">
        <v>7</v>
      </c>
      <c r="AJ1959" s="13">
        <v>0</v>
      </c>
      <c r="AK1959" s="13">
        <v>0</v>
      </c>
      <c r="AL1959" s="13">
        <v>0</v>
      </c>
      <c r="AM1959" s="19">
        <v>0</v>
      </c>
      <c r="AN1959" s="19">
        <v>0</v>
      </c>
      <c r="AO1959" s="19">
        <v>0</v>
      </c>
      <c r="AP1959" s="19">
        <v>0</v>
      </c>
      <c r="AQ1959" s="19">
        <v>1000</v>
      </c>
      <c r="AR1959" s="19">
        <v>0.5</v>
      </c>
      <c r="AS1959" s="19">
        <v>0</v>
      </c>
      <c r="AT1959" s="13">
        <v>0</v>
      </c>
      <c r="AU1959" s="19" t="s">
        <v>659</v>
      </c>
      <c r="AV1959" s="19"/>
      <c r="AW1959" s="20" t="s">
        <v>741</v>
      </c>
      <c r="AX1959" s="19">
        <v>0</v>
      </c>
      <c r="AY1959" s="19">
        <v>10007001</v>
      </c>
      <c r="AZ1959" s="19">
        <v>0</v>
      </c>
      <c r="BA1959" s="20" t="s">
        <v>200</v>
      </c>
      <c r="BB1959" s="20" t="s">
        <v>198</v>
      </c>
      <c r="BC1959" s="28">
        <v>0</v>
      </c>
      <c r="BD1959" s="28">
        <v>0</v>
      </c>
      <c r="BE1959" s="89" t="s">
        <v>4365</v>
      </c>
      <c r="BF1959" s="89" t="s">
        <v>4366</v>
      </c>
      <c r="BG1959" s="19">
        <v>0</v>
      </c>
      <c r="BH1959" s="17">
        <v>0</v>
      </c>
      <c r="BI1959" s="19">
        <v>0</v>
      </c>
      <c r="BJ1959" s="19">
        <v>0</v>
      </c>
      <c r="BK1959" s="19">
        <v>0</v>
      </c>
      <c r="BL1959" s="19">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73003201</v>
      </c>
      <c r="D1960" s="18" t="s">
        <v>665</v>
      </c>
      <c r="E1960" s="18" t="s">
        <v>606</v>
      </c>
      <c r="F1960" s="17">
        <v>1</v>
      </c>
      <c r="G1960" s="17">
        <v>60010100</v>
      </c>
      <c r="H1960" s="19">
        <v>0</v>
      </c>
      <c r="I1960" s="28">
        <v>0</v>
      </c>
      <c r="J1960" s="19">
        <v>1</v>
      </c>
      <c r="K1960" s="19">
        <v>0</v>
      </c>
      <c r="L1960" s="19">
        <v>0</v>
      </c>
      <c r="M1960" s="17">
        <v>0</v>
      </c>
      <c r="N1960" s="17">
        <v>0</v>
      </c>
      <c r="O1960" s="17">
        <v>2</v>
      </c>
      <c r="P1960" s="17">
        <v>1</v>
      </c>
      <c r="Q1960" s="17">
        <v>0.3</v>
      </c>
      <c r="R1960" s="17">
        <v>0</v>
      </c>
      <c r="S1960" s="13">
        <v>0</v>
      </c>
      <c r="T1960" s="17">
        <v>0</v>
      </c>
      <c r="U1960" s="17">
        <v>1</v>
      </c>
      <c r="V1960" s="17">
        <v>2</v>
      </c>
      <c r="W1960" s="17">
        <v>0</v>
      </c>
      <c r="X1960" s="17">
        <v>3</v>
      </c>
      <c r="Y1960" s="13">
        <v>0</v>
      </c>
      <c r="Z1960" s="17">
        <v>0</v>
      </c>
      <c r="AA1960" s="17">
        <v>0</v>
      </c>
      <c r="AB1960" s="17">
        <v>0</v>
      </c>
      <c r="AC1960" s="17">
        <v>0</v>
      </c>
      <c r="AD1960" s="17">
        <v>0</v>
      </c>
      <c r="AE1960" s="17">
        <v>0</v>
      </c>
      <c r="AF1960" s="17">
        <v>12</v>
      </c>
      <c r="AG1960" s="17">
        <v>1</v>
      </c>
      <c r="AH1960" s="17">
        <v>3</v>
      </c>
      <c r="AI1960" s="13">
        <v>6</v>
      </c>
      <c r="AJ1960" s="13">
        <v>1</v>
      </c>
      <c r="AK1960" s="13">
        <v>0</v>
      </c>
      <c r="AL1960" s="13">
        <v>1.5</v>
      </c>
      <c r="AM1960" s="17">
        <v>0</v>
      </c>
      <c r="AN1960" s="17">
        <v>0</v>
      </c>
      <c r="AO1960" s="17">
        <v>0</v>
      </c>
      <c r="AP1960" s="17">
        <v>3</v>
      </c>
      <c r="AQ1960" s="17">
        <v>5000</v>
      </c>
      <c r="AR1960" s="17">
        <v>3</v>
      </c>
      <c r="AS1960" s="17">
        <v>0</v>
      </c>
      <c r="AT1960" s="13">
        <v>0</v>
      </c>
      <c r="AU1960" s="17" t="s">
        <v>198</v>
      </c>
      <c r="AV1960" s="17"/>
      <c r="AW1960" s="20" t="s">
        <v>256</v>
      </c>
      <c r="AX1960" s="17" t="s">
        <v>534</v>
      </c>
      <c r="AY1960" s="19">
        <v>10000007</v>
      </c>
      <c r="AZ1960" s="19">
        <v>70103003</v>
      </c>
      <c r="BA1960" s="18" t="s">
        <v>200</v>
      </c>
      <c r="BB1960" s="17" t="s">
        <v>4334</v>
      </c>
      <c r="BC1960" s="28">
        <v>0</v>
      </c>
      <c r="BD1960" s="28">
        <v>0</v>
      </c>
      <c r="BE1960" s="46" t="s">
        <v>667</v>
      </c>
      <c r="BF1960" s="46" t="s">
        <v>668</v>
      </c>
      <c r="BG1960" s="17">
        <v>0</v>
      </c>
      <c r="BH1960" s="17">
        <v>0</v>
      </c>
      <c r="BI1960" s="17">
        <v>0</v>
      </c>
      <c r="BJ1960" s="17">
        <v>0</v>
      </c>
      <c r="BK1960" s="17">
        <v>0</v>
      </c>
      <c r="BL1960" s="17">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73003202</v>
      </c>
      <c r="D1961" s="20" t="s">
        <v>4367</v>
      </c>
      <c r="E1961" s="20" t="s">
        <v>4368</v>
      </c>
      <c r="F1961" s="19">
        <v>1</v>
      </c>
      <c r="G1961" s="19">
        <v>60010500</v>
      </c>
      <c r="H1961" s="19">
        <v>0</v>
      </c>
      <c r="I1961" s="28">
        <v>0</v>
      </c>
      <c r="J1961" s="19">
        <v>1</v>
      </c>
      <c r="K1961" s="19">
        <v>0</v>
      </c>
      <c r="L1961" s="19">
        <v>0</v>
      </c>
      <c r="M1961" s="19">
        <v>0</v>
      </c>
      <c r="N1961" s="19">
        <v>0</v>
      </c>
      <c r="O1961" s="17">
        <v>2</v>
      </c>
      <c r="P1961" s="19">
        <v>2</v>
      </c>
      <c r="Q1961" s="19">
        <v>0.95</v>
      </c>
      <c r="R1961" s="19">
        <v>0</v>
      </c>
      <c r="S1961" s="13">
        <v>0</v>
      </c>
      <c r="T1961" s="28">
        <v>0</v>
      </c>
      <c r="U1961" s="17">
        <v>1</v>
      </c>
      <c r="V1961" s="19">
        <v>2</v>
      </c>
      <c r="W1961" s="19">
        <v>0</v>
      </c>
      <c r="X1961" s="19">
        <v>0</v>
      </c>
      <c r="Y1961" s="13">
        <v>0</v>
      </c>
      <c r="Z1961" s="19">
        <v>0</v>
      </c>
      <c r="AA1961" s="19">
        <v>0</v>
      </c>
      <c r="AB1961" s="19">
        <v>0</v>
      </c>
      <c r="AC1961" s="19">
        <v>0</v>
      </c>
      <c r="AD1961" s="17">
        <v>0</v>
      </c>
      <c r="AE1961" s="19">
        <v>0</v>
      </c>
      <c r="AF1961" s="19">
        <v>20</v>
      </c>
      <c r="AG1961" s="19">
        <v>0</v>
      </c>
      <c r="AH1961" s="19">
        <v>0</v>
      </c>
      <c r="AI1961" s="13">
        <v>7</v>
      </c>
      <c r="AJ1961" s="13">
        <v>0</v>
      </c>
      <c r="AK1961" s="13">
        <v>0</v>
      </c>
      <c r="AL1961" s="13">
        <v>0</v>
      </c>
      <c r="AM1961" s="19">
        <v>0</v>
      </c>
      <c r="AN1961" s="19">
        <v>0</v>
      </c>
      <c r="AO1961" s="19">
        <v>0</v>
      </c>
      <c r="AP1961" s="19">
        <v>0</v>
      </c>
      <c r="AQ1961" s="19">
        <v>1000</v>
      </c>
      <c r="AR1961" s="19">
        <v>0.5</v>
      </c>
      <c r="AS1961" s="19">
        <v>0</v>
      </c>
      <c r="AT1961" s="13">
        <v>0</v>
      </c>
      <c r="AU1961" s="19">
        <v>83000001</v>
      </c>
      <c r="AV1961" s="19"/>
      <c r="AW1961" s="20" t="s">
        <v>741</v>
      </c>
      <c r="AX1961" s="19">
        <v>0</v>
      </c>
      <c r="AY1961" s="19">
        <v>10007001</v>
      </c>
      <c r="AZ1961" s="19">
        <v>0</v>
      </c>
      <c r="BA1961" s="20" t="s">
        <v>200</v>
      </c>
      <c r="BB1961" s="20" t="s">
        <v>198</v>
      </c>
      <c r="BC1961" s="28">
        <v>0</v>
      </c>
      <c r="BD1961" s="28">
        <v>0</v>
      </c>
      <c r="BE1961" s="89" t="s">
        <v>4369</v>
      </c>
      <c r="BF1961" s="89" t="s">
        <v>4370</v>
      </c>
      <c r="BG1961" s="19">
        <v>0</v>
      </c>
      <c r="BH1961" s="17">
        <v>0</v>
      </c>
      <c r="BI1961" s="19">
        <v>0</v>
      </c>
      <c r="BJ1961" s="19">
        <v>0</v>
      </c>
      <c r="BK1961" s="19">
        <v>0</v>
      </c>
      <c r="BL1961" s="19">
        <v>0</v>
      </c>
      <c r="BM1961" s="16">
        <v>0</v>
      </c>
      <c r="BN1961" s="13">
        <v>0</v>
      </c>
      <c r="BO1961" s="13">
        <v>0</v>
      </c>
      <c r="BP1961" s="13">
        <v>0</v>
      </c>
      <c r="BQ1961" s="13">
        <v>0</v>
      </c>
      <c r="BR1961" s="13">
        <v>0</v>
      </c>
      <c r="BS1961" s="13">
        <v>0</v>
      </c>
      <c r="BT1961" s="13">
        <v>0</v>
      </c>
      <c r="BU1961" s="49">
        <v>0</v>
      </c>
      <c r="BV1961" s="49"/>
      <c r="BW1961" s="49"/>
    </row>
    <row r="1962" spans="3:75" ht="19.5" customHeight="1">
      <c r="C1962" s="19">
        <v>73003203</v>
      </c>
      <c r="D1962" s="18" t="s">
        <v>1091</v>
      </c>
      <c r="E1962" s="18" t="s">
        <v>1092</v>
      </c>
      <c r="F1962" s="19">
        <v>1</v>
      </c>
      <c r="G1962" s="17">
        <v>60010100</v>
      </c>
      <c r="H1962" s="19">
        <v>0</v>
      </c>
      <c r="I1962" s="28">
        <v>0</v>
      </c>
      <c r="J1962" s="19">
        <v>1</v>
      </c>
      <c r="K1962" s="19">
        <v>0</v>
      </c>
      <c r="L1962" s="19">
        <v>0</v>
      </c>
      <c r="M1962" s="17">
        <v>0</v>
      </c>
      <c r="N1962" s="17">
        <v>0</v>
      </c>
      <c r="O1962" s="17">
        <v>2</v>
      </c>
      <c r="P1962" s="17">
        <v>1</v>
      </c>
      <c r="Q1962" s="17">
        <v>0.3</v>
      </c>
      <c r="R1962" s="17">
        <v>0</v>
      </c>
      <c r="S1962" s="13">
        <v>0</v>
      </c>
      <c r="T1962" s="17">
        <v>0</v>
      </c>
      <c r="U1962" s="17">
        <v>1</v>
      </c>
      <c r="V1962" s="17">
        <v>2</v>
      </c>
      <c r="W1962" s="17">
        <v>0</v>
      </c>
      <c r="X1962" s="17">
        <v>3</v>
      </c>
      <c r="Y1962" s="13">
        <v>0</v>
      </c>
      <c r="Z1962" s="17">
        <v>0</v>
      </c>
      <c r="AA1962" s="17">
        <v>1</v>
      </c>
      <c r="AB1962" s="17">
        <v>0</v>
      </c>
      <c r="AC1962" s="17">
        <v>0</v>
      </c>
      <c r="AD1962" s="17">
        <v>0</v>
      </c>
      <c r="AE1962" s="17">
        <v>0</v>
      </c>
      <c r="AF1962" s="17">
        <v>15</v>
      </c>
      <c r="AG1962" s="17">
        <v>1</v>
      </c>
      <c r="AH1962" s="17" t="s">
        <v>607</v>
      </c>
      <c r="AI1962" s="13">
        <v>0</v>
      </c>
      <c r="AJ1962" s="13">
        <v>1</v>
      </c>
      <c r="AK1962" s="13">
        <v>0</v>
      </c>
      <c r="AL1962" s="13">
        <v>3</v>
      </c>
      <c r="AM1962" s="17">
        <v>0</v>
      </c>
      <c r="AN1962" s="17">
        <v>0</v>
      </c>
      <c r="AO1962" s="17">
        <v>0</v>
      </c>
      <c r="AP1962" s="17">
        <v>3</v>
      </c>
      <c r="AQ1962" s="17">
        <v>5000</v>
      </c>
      <c r="AR1962" s="17">
        <v>2.5</v>
      </c>
      <c r="AS1962" s="17">
        <v>0</v>
      </c>
      <c r="AT1962" s="13">
        <v>0</v>
      </c>
      <c r="AU1962" s="17" t="s">
        <v>659</v>
      </c>
      <c r="AV1962" s="17"/>
      <c r="AW1962" s="20" t="s">
        <v>256</v>
      </c>
      <c r="AX1962" s="17" t="s">
        <v>534</v>
      </c>
      <c r="AY1962" s="19">
        <v>10000007</v>
      </c>
      <c r="AZ1962" s="19">
        <v>70403003</v>
      </c>
      <c r="BA1962" s="18" t="s">
        <v>200</v>
      </c>
      <c r="BB1962" s="17">
        <v>0</v>
      </c>
      <c r="BC1962" s="28">
        <v>0</v>
      </c>
      <c r="BD1962" s="28">
        <v>0</v>
      </c>
      <c r="BE1962" s="46" t="s">
        <v>4277</v>
      </c>
      <c r="BF1962" s="46" t="s">
        <v>4278</v>
      </c>
      <c r="BG1962" s="17">
        <v>0</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73003204</v>
      </c>
      <c r="D1963" s="16" t="s">
        <v>800</v>
      </c>
      <c r="E1963" s="16" t="s">
        <v>455</v>
      </c>
      <c r="F1963" s="16">
        <v>1</v>
      </c>
      <c r="G1963" s="17">
        <v>60010002</v>
      </c>
      <c r="H1963" s="16">
        <v>0</v>
      </c>
      <c r="I1963" s="27">
        <v>0</v>
      </c>
      <c r="J1963" s="16">
        <v>0</v>
      </c>
      <c r="K1963" s="16">
        <v>0</v>
      </c>
      <c r="L1963" s="27">
        <v>0</v>
      </c>
      <c r="M1963" s="27">
        <v>0</v>
      </c>
      <c r="N1963" s="16">
        <v>0</v>
      </c>
      <c r="O1963" s="16">
        <v>2</v>
      </c>
      <c r="P1963" s="16">
        <v>2</v>
      </c>
      <c r="Q1963" s="16">
        <v>0.95</v>
      </c>
      <c r="R1963" s="16">
        <v>0</v>
      </c>
      <c r="S1963" s="13">
        <v>0</v>
      </c>
      <c r="T1963" s="16">
        <v>0</v>
      </c>
      <c r="U1963" s="17">
        <v>1</v>
      </c>
      <c r="V1963" s="16">
        <v>2</v>
      </c>
      <c r="W1963" s="27">
        <v>0</v>
      </c>
      <c r="X1963" s="16">
        <v>3</v>
      </c>
      <c r="Y1963" s="13">
        <v>0</v>
      </c>
      <c r="Z1963" s="16">
        <v>0</v>
      </c>
      <c r="AA1963" s="16">
        <v>0</v>
      </c>
      <c r="AB1963" s="16">
        <v>0</v>
      </c>
      <c r="AC1963" s="27">
        <v>0</v>
      </c>
      <c r="AD1963" s="16">
        <v>0</v>
      </c>
      <c r="AE1963" s="16">
        <v>0</v>
      </c>
      <c r="AF1963" s="16">
        <v>15</v>
      </c>
      <c r="AG1963" s="16">
        <v>2</v>
      </c>
      <c r="AH1963" s="16" t="s">
        <v>801</v>
      </c>
      <c r="AI1963" s="71">
        <v>0</v>
      </c>
      <c r="AJ1963" s="71">
        <v>2</v>
      </c>
      <c r="AK1963" s="13">
        <v>0</v>
      </c>
      <c r="AL1963" s="16">
        <v>4</v>
      </c>
      <c r="AM1963" s="34">
        <v>0</v>
      </c>
      <c r="AN1963" s="16">
        <v>0</v>
      </c>
      <c r="AO1963" s="16">
        <v>0</v>
      </c>
      <c r="AP1963" s="16">
        <v>2</v>
      </c>
      <c r="AQ1963" s="17">
        <v>4000</v>
      </c>
      <c r="AR1963" s="16">
        <v>2</v>
      </c>
      <c r="AS1963" s="16">
        <v>0</v>
      </c>
      <c r="AT1963" s="13">
        <v>0</v>
      </c>
      <c r="AU1963" s="17" t="s">
        <v>659</v>
      </c>
      <c r="AV1963" s="17"/>
      <c r="AW1963" s="20" t="s">
        <v>287</v>
      </c>
      <c r="AX1963" s="27">
        <v>0</v>
      </c>
      <c r="AY1963" s="27">
        <v>0</v>
      </c>
      <c r="AZ1963" s="27">
        <v>70205004</v>
      </c>
      <c r="BA1963" s="20" t="s">
        <v>200</v>
      </c>
      <c r="BB1963" s="20">
        <v>0</v>
      </c>
      <c r="BC1963" s="20">
        <v>0</v>
      </c>
      <c r="BD1963" s="20">
        <v>0</v>
      </c>
      <c r="BE1963" s="46" t="s">
        <v>802</v>
      </c>
      <c r="BF1963" s="88" t="s">
        <v>803</v>
      </c>
      <c r="BG1963" s="16">
        <v>2</v>
      </c>
      <c r="BH1963" s="16">
        <v>0</v>
      </c>
      <c r="BI1963" s="19">
        <v>0</v>
      </c>
      <c r="BJ1963" s="16">
        <v>1</v>
      </c>
      <c r="BK1963" s="16">
        <v>2</v>
      </c>
      <c r="BL1963" s="34">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73003301</v>
      </c>
      <c r="D1964" s="61" t="s">
        <v>625</v>
      </c>
      <c r="E1964" s="61" t="s">
        <v>626</v>
      </c>
      <c r="F1964" s="17">
        <v>1</v>
      </c>
      <c r="G1964" s="17">
        <v>90002001</v>
      </c>
      <c r="H1964" s="62">
        <v>0</v>
      </c>
      <c r="I1964" s="28">
        <v>0</v>
      </c>
      <c r="J1964" s="19">
        <v>1</v>
      </c>
      <c r="K1964" s="19">
        <v>0</v>
      </c>
      <c r="L1964" s="19">
        <v>0</v>
      </c>
      <c r="M1964" s="62">
        <v>0</v>
      </c>
      <c r="N1964" s="62">
        <v>0</v>
      </c>
      <c r="O1964" s="62">
        <v>2</v>
      </c>
      <c r="P1964" s="62">
        <v>2</v>
      </c>
      <c r="Q1964" s="62">
        <v>0.9</v>
      </c>
      <c r="R1964" s="62">
        <v>0</v>
      </c>
      <c r="S1964" s="13">
        <v>0</v>
      </c>
      <c r="T1964" s="62">
        <v>0</v>
      </c>
      <c r="U1964" s="17">
        <v>1</v>
      </c>
      <c r="V1964" s="62">
        <v>2</v>
      </c>
      <c r="W1964" s="62">
        <v>0</v>
      </c>
      <c r="X1964" s="62">
        <v>3</v>
      </c>
      <c r="Y1964" s="13">
        <v>0</v>
      </c>
      <c r="Z1964" s="62">
        <v>0</v>
      </c>
      <c r="AA1964" s="62">
        <v>0</v>
      </c>
      <c r="AB1964" s="62">
        <v>0</v>
      </c>
      <c r="AC1964" s="62">
        <v>0</v>
      </c>
      <c r="AD1964" s="62">
        <v>0</v>
      </c>
      <c r="AE1964" s="62">
        <v>0</v>
      </c>
      <c r="AF1964" s="62">
        <v>20</v>
      </c>
      <c r="AG1964" s="62">
        <v>2</v>
      </c>
      <c r="AH1964" s="62" t="s">
        <v>627</v>
      </c>
      <c r="AI1964" s="13">
        <v>0</v>
      </c>
      <c r="AJ1964" s="13">
        <v>2</v>
      </c>
      <c r="AK1964" s="13">
        <v>0</v>
      </c>
      <c r="AL1964" s="70">
        <v>0</v>
      </c>
      <c r="AM1964" s="62">
        <v>0</v>
      </c>
      <c r="AN1964" s="62">
        <v>0</v>
      </c>
      <c r="AO1964" s="62">
        <v>0</v>
      </c>
      <c r="AP1964" s="62">
        <v>5</v>
      </c>
      <c r="AQ1964" s="62">
        <v>5000</v>
      </c>
      <c r="AR1964" s="62">
        <v>0</v>
      </c>
      <c r="AS1964" s="62">
        <v>0</v>
      </c>
      <c r="AT1964" s="13">
        <v>0</v>
      </c>
      <c r="AU1964" s="62">
        <v>0</v>
      </c>
      <c r="AV1964" s="62"/>
      <c r="AW1964" s="61" t="s">
        <v>287</v>
      </c>
      <c r="AX1964" s="17">
        <v>0</v>
      </c>
      <c r="AY1964" s="66">
        <v>0</v>
      </c>
      <c r="AZ1964" s="19">
        <v>22000030</v>
      </c>
      <c r="BA1964" s="61" t="s">
        <v>628</v>
      </c>
      <c r="BB1964" s="62" t="s">
        <v>4371</v>
      </c>
      <c r="BC1964" s="68">
        <v>0</v>
      </c>
      <c r="BD1964" s="68">
        <v>0</v>
      </c>
      <c r="BE1964" s="92" t="s">
        <v>4372</v>
      </c>
      <c r="BF1964" s="92" t="s">
        <v>4373</v>
      </c>
      <c r="BG1964" s="62">
        <v>0</v>
      </c>
      <c r="BH1964" s="17">
        <v>0</v>
      </c>
      <c r="BI1964" s="62">
        <v>0</v>
      </c>
      <c r="BJ1964" s="62">
        <v>0</v>
      </c>
      <c r="BK1964" s="62">
        <v>0</v>
      </c>
      <c r="BL1964" s="62">
        <v>0</v>
      </c>
      <c r="BM1964" s="17">
        <v>0</v>
      </c>
      <c r="BN1964" s="13">
        <v>0</v>
      </c>
      <c r="BO1964" s="13">
        <v>0</v>
      </c>
      <c r="BP1964" s="13">
        <v>0</v>
      </c>
      <c r="BQ1964" s="13">
        <v>0</v>
      </c>
      <c r="BR1964" s="13">
        <v>0</v>
      </c>
      <c r="BS1964" s="13">
        <v>0</v>
      </c>
      <c r="BT1964" s="13">
        <v>0</v>
      </c>
      <c r="BU1964" s="49">
        <v>0</v>
      </c>
      <c r="BV1964" s="49"/>
      <c r="BW1964" s="49"/>
    </row>
    <row r="1965" spans="3:75" ht="20.100000000000001" customHeight="1">
      <c r="C1965" s="19">
        <v>73003302</v>
      </c>
      <c r="D1965" s="18" t="s">
        <v>600</v>
      </c>
      <c r="E1965" s="18" t="s">
        <v>601</v>
      </c>
      <c r="F1965" s="19">
        <v>1</v>
      </c>
      <c r="G1965" s="17">
        <v>60010300</v>
      </c>
      <c r="H1965" s="19">
        <v>0</v>
      </c>
      <c r="I1965" s="28">
        <v>0</v>
      </c>
      <c r="J1965" s="19">
        <v>1</v>
      </c>
      <c r="K1965" s="19">
        <v>0</v>
      </c>
      <c r="L1965" s="19">
        <v>0</v>
      </c>
      <c r="M1965" s="17">
        <v>0</v>
      </c>
      <c r="N1965" s="17">
        <v>0</v>
      </c>
      <c r="O1965" s="62">
        <v>2</v>
      </c>
      <c r="P1965" s="17">
        <v>2</v>
      </c>
      <c r="Q1965" s="17">
        <v>0.8</v>
      </c>
      <c r="R1965" s="17">
        <v>0</v>
      </c>
      <c r="S1965" s="13">
        <v>0</v>
      </c>
      <c r="T1965" s="17">
        <v>0</v>
      </c>
      <c r="U1965" s="17">
        <v>1</v>
      </c>
      <c r="V1965" s="17">
        <v>2</v>
      </c>
      <c r="W1965" s="17">
        <v>0</v>
      </c>
      <c r="X1965" s="17">
        <v>0</v>
      </c>
      <c r="Y1965" s="13">
        <v>0</v>
      </c>
      <c r="Z1965" s="17">
        <v>0</v>
      </c>
      <c r="AA1965" s="17">
        <v>0</v>
      </c>
      <c r="AB1965" s="17">
        <v>0</v>
      </c>
      <c r="AC1965" s="17">
        <v>0</v>
      </c>
      <c r="AD1965" s="17">
        <v>0</v>
      </c>
      <c r="AE1965" s="17">
        <v>0</v>
      </c>
      <c r="AF1965" s="17">
        <v>30</v>
      </c>
      <c r="AG1965" s="17">
        <v>0</v>
      </c>
      <c r="AH1965" s="17">
        <v>0</v>
      </c>
      <c r="AI1965" s="13">
        <v>2</v>
      </c>
      <c r="AJ1965" s="13">
        <v>2</v>
      </c>
      <c r="AK1965" s="13">
        <v>0</v>
      </c>
      <c r="AL1965" s="13">
        <v>1.5</v>
      </c>
      <c r="AM1965" s="17">
        <v>0</v>
      </c>
      <c r="AN1965" s="17">
        <v>0</v>
      </c>
      <c r="AO1965" s="17">
        <v>0</v>
      </c>
      <c r="AP1965" s="17">
        <v>1</v>
      </c>
      <c r="AQ1965" s="17">
        <v>3000</v>
      </c>
      <c r="AR1965" s="17">
        <v>0.5</v>
      </c>
      <c r="AS1965" s="17">
        <v>0</v>
      </c>
      <c r="AT1965" s="13">
        <v>0</v>
      </c>
      <c r="AU1965" s="17" t="s">
        <v>198</v>
      </c>
      <c r="AV1965" s="17"/>
      <c r="AW1965" s="20" t="s">
        <v>199</v>
      </c>
      <c r="AX1965" s="17" t="s">
        <v>545</v>
      </c>
      <c r="AY1965" s="19">
        <v>0</v>
      </c>
      <c r="AZ1965" s="19">
        <v>0</v>
      </c>
      <c r="BA1965" s="18" t="s">
        <v>528</v>
      </c>
      <c r="BB1965" s="17" t="s">
        <v>4374</v>
      </c>
      <c r="BC1965" s="28">
        <v>0</v>
      </c>
      <c r="BD1965" s="28">
        <v>0</v>
      </c>
      <c r="BE1965" s="46" t="s">
        <v>4201</v>
      </c>
      <c r="BF1965" s="46" t="s">
        <v>4202</v>
      </c>
      <c r="BG1965" s="17">
        <v>0</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73003303</v>
      </c>
      <c r="D1966" s="18" t="s">
        <v>1324</v>
      </c>
      <c r="E1966" s="18" t="s">
        <v>1325</v>
      </c>
      <c r="F1966" s="19">
        <v>1</v>
      </c>
      <c r="G1966" s="17">
        <v>60010100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2</v>
      </c>
      <c r="Y1966" s="13">
        <v>0</v>
      </c>
      <c r="Z1966" s="17">
        <v>0</v>
      </c>
      <c r="AA1966" s="17">
        <v>1</v>
      </c>
      <c r="AB1966" s="17">
        <v>0</v>
      </c>
      <c r="AC1966" s="17">
        <v>0</v>
      </c>
      <c r="AD1966" s="17">
        <v>0</v>
      </c>
      <c r="AE1966" s="17">
        <v>0</v>
      </c>
      <c r="AF1966" s="17">
        <v>10</v>
      </c>
      <c r="AG1966" s="17">
        <v>2</v>
      </c>
      <c r="AH1966" s="17" t="s">
        <v>213</v>
      </c>
      <c r="AI1966" s="13">
        <v>0</v>
      </c>
      <c r="AJ1966" s="13">
        <v>2</v>
      </c>
      <c r="AK1966" s="13">
        <v>0</v>
      </c>
      <c r="AL1966" s="13">
        <v>1.5</v>
      </c>
      <c r="AM1966" s="17">
        <v>0</v>
      </c>
      <c r="AN1966" s="17">
        <v>0</v>
      </c>
      <c r="AO1966" s="17">
        <v>0</v>
      </c>
      <c r="AP1966" s="17">
        <v>1.5</v>
      </c>
      <c r="AQ1966" s="17">
        <v>10000</v>
      </c>
      <c r="AR1966" s="17">
        <v>1</v>
      </c>
      <c r="AS1966" s="17">
        <v>5</v>
      </c>
      <c r="AT1966" s="13">
        <v>0</v>
      </c>
      <c r="AU1966" s="17" t="s">
        <v>198</v>
      </c>
      <c r="AV1966" s="17"/>
      <c r="AW1966" s="20" t="s">
        <v>617</v>
      </c>
      <c r="AX1966" s="17" t="s">
        <v>534</v>
      </c>
      <c r="AY1966" s="19">
        <v>10000007</v>
      </c>
      <c r="AZ1966" s="19">
        <v>70302003</v>
      </c>
      <c r="BA1966" s="20" t="s">
        <v>586</v>
      </c>
      <c r="BB1966" s="28">
        <v>0</v>
      </c>
      <c r="BC1966" s="28">
        <v>0</v>
      </c>
      <c r="BD1966" s="28">
        <v>0</v>
      </c>
      <c r="BE1966" s="46" t="s">
        <v>1108</v>
      </c>
      <c r="BF1966" s="46" t="s">
        <v>1109</v>
      </c>
      <c r="BG1966" s="17">
        <v>1</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73003304</v>
      </c>
      <c r="D1967" s="61" t="s">
        <v>4375</v>
      </c>
      <c r="E1967" s="61" t="s">
        <v>4376</v>
      </c>
      <c r="F1967" s="66">
        <v>1</v>
      </c>
      <c r="G1967" s="66">
        <v>60010500</v>
      </c>
      <c r="H1967" s="66">
        <v>0</v>
      </c>
      <c r="I1967" s="68">
        <v>0</v>
      </c>
      <c r="J1967" s="66">
        <v>1</v>
      </c>
      <c r="K1967" s="66">
        <v>0</v>
      </c>
      <c r="L1967" s="66">
        <v>0</v>
      </c>
      <c r="M1967" s="66">
        <v>0</v>
      </c>
      <c r="N1967" s="66">
        <v>0</v>
      </c>
      <c r="O1967" s="62">
        <v>2</v>
      </c>
      <c r="P1967" s="66">
        <v>2</v>
      </c>
      <c r="Q1967" s="66">
        <v>0.95</v>
      </c>
      <c r="R1967" s="66">
        <v>0</v>
      </c>
      <c r="S1967" s="70">
        <v>1</v>
      </c>
      <c r="T1967" s="68">
        <v>0</v>
      </c>
      <c r="U1967" s="62">
        <v>1</v>
      </c>
      <c r="V1967" s="66">
        <v>1</v>
      </c>
      <c r="W1967" s="66">
        <v>0</v>
      </c>
      <c r="X1967" s="66">
        <v>2</v>
      </c>
      <c r="Y1967" s="13">
        <v>0</v>
      </c>
      <c r="Z1967" s="66">
        <v>0</v>
      </c>
      <c r="AA1967" s="66">
        <v>0</v>
      </c>
      <c r="AB1967" s="66">
        <v>0</v>
      </c>
      <c r="AC1967" s="66">
        <v>0</v>
      </c>
      <c r="AD1967" s="62">
        <v>0</v>
      </c>
      <c r="AE1967" s="66">
        <v>0</v>
      </c>
      <c r="AF1967" s="66">
        <v>10</v>
      </c>
      <c r="AG1967" s="66">
        <v>0</v>
      </c>
      <c r="AH1967" s="66">
        <v>0</v>
      </c>
      <c r="AI1967" s="70">
        <v>7</v>
      </c>
      <c r="AJ1967" s="70">
        <v>0</v>
      </c>
      <c r="AK1967" s="13">
        <v>0</v>
      </c>
      <c r="AL1967" s="70">
        <v>0</v>
      </c>
      <c r="AM1967" s="66">
        <v>0</v>
      </c>
      <c r="AN1967" s="66">
        <v>0</v>
      </c>
      <c r="AO1967" s="66">
        <v>0</v>
      </c>
      <c r="AP1967" s="66">
        <v>0</v>
      </c>
      <c r="AQ1967" s="66">
        <v>1000</v>
      </c>
      <c r="AR1967" s="66">
        <v>0.5</v>
      </c>
      <c r="AS1967" s="66">
        <v>0</v>
      </c>
      <c r="AT1967" s="70">
        <v>0</v>
      </c>
      <c r="AU1967" s="66">
        <v>83000003</v>
      </c>
      <c r="AV1967" s="66"/>
      <c r="AW1967" s="65" t="s">
        <v>741</v>
      </c>
      <c r="AX1967" s="66">
        <v>0</v>
      </c>
      <c r="AY1967" s="66">
        <v>10007001</v>
      </c>
      <c r="AZ1967" s="66">
        <v>0</v>
      </c>
      <c r="BA1967" s="65" t="s">
        <v>200</v>
      </c>
      <c r="BB1967" s="65" t="s">
        <v>198</v>
      </c>
      <c r="BC1967" s="68">
        <v>0</v>
      </c>
      <c r="BD1967" s="68">
        <v>0</v>
      </c>
      <c r="BE1967" s="94" t="s">
        <v>4365</v>
      </c>
      <c r="BF1967" s="94" t="s">
        <v>4366</v>
      </c>
      <c r="BG1967" s="66">
        <v>0</v>
      </c>
      <c r="BH1967" s="62">
        <v>0</v>
      </c>
      <c r="BI1967" s="66">
        <v>0</v>
      </c>
      <c r="BJ1967" s="66">
        <v>0</v>
      </c>
      <c r="BK1967" s="66">
        <v>0</v>
      </c>
      <c r="BL1967" s="66">
        <v>0</v>
      </c>
      <c r="BM1967" s="95">
        <v>0</v>
      </c>
      <c r="BN1967" s="13">
        <v>0</v>
      </c>
      <c r="BO1967" s="13">
        <v>0</v>
      </c>
      <c r="BP1967" s="13">
        <v>0</v>
      </c>
      <c r="BQ1967" s="13">
        <v>0</v>
      </c>
      <c r="BR1967" s="13">
        <v>0</v>
      </c>
      <c r="BS1967" s="13">
        <v>0</v>
      </c>
      <c r="BT1967" s="13">
        <v>0</v>
      </c>
      <c r="BU1967" s="49">
        <v>0</v>
      </c>
      <c r="BV1967" s="49"/>
      <c r="BW1967" s="49"/>
    </row>
    <row r="1968" spans="3:75" ht="19.5" customHeight="1">
      <c r="C1968" s="19">
        <v>73003305</v>
      </c>
      <c r="D1968" s="18" t="s">
        <v>1091</v>
      </c>
      <c r="E1968" s="18" t="s">
        <v>1092</v>
      </c>
      <c r="F1968" s="19">
        <v>1</v>
      </c>
      <c r="G1968" s="17">
        <v>60010100</v>
      </c>
      <c r="H1968" s="19">
        <v>0</v>
      </c>
      <c r="I1968" s="28">
        <v>0</v>
      </c>
      <c r="J1968" s="19">
        <v>1</v>
      </c>
      <c r="K1968" s="19">
        <v>0</v>
      </c>
      <c r="L1968" s="19">
        <v>0</v>
      </c>
      <c r="M1968" s="17">
        <v>0</v>
      </c>
      <c r="N1968" s="17">
        <v>0</v>
      </c>
      <c r="O1968" s="62">
        <v>2</v>
      </c>
      <c r="P1968" s="17">
        <v>2</v>
      </c>
      <c r="Q1968" s="17">
        <v>0.9</v>
      </c>
      <c r="R1968" s="17">
        <v>0</v>
      </c>
      <c r="S1968" s="13">
        <v>1</v>
      </c>
      <c r="T1968" s="17">
        <v>0</v>
      </c>
      <c r="U1968" s="17">
        <v>1</v>
      </c>
      <c r="V1968" s="17">
        <v>2</v>
      </c>
      <c r="W1968" s="17">
        <v>0</v>
      </c>
      <c r="X1968" s="17">
        <v>3</v>
      </c>
      <c r="Y1968" s="13">
        <v>0</v>
      </c>
      <c r="Z1968" s="17">
        <v>0</v>
      </c>
      <c r="AA1968" s="17">
        <v>1</v>
      </c>
      <c r="AB1968" s="17">
        <v>0</v>
      </c>
      <c r="AC1968" s="17">
        <v>0</v>
      </c>
      <c r="AD1968" s="17">
        <v>0</v>
      </c>
      <c r="AE1968" s="17">
        <v>0</v>
      </c>
      <c r="AF1968" s="17">
        <v>15</v>
      </c>
      <c r="AG1968" s="17">
        <v>1</v>
      </c>
      <c r="AH1968" s="17" t="s">
        <v>607</v>
      </c>
      <c r="AI1968" s="13">
        <v>0</v>
      </c>
      <c r="AJ1968" s="13">
        <v>1</v>
      </c>
      <c r="AK1968" s="13">
        <v>0</v>
      </c>
      <c r="AL1968" s="13">
        <v>3</v>
      </c>
      <c r="AM1968" s="17">
        <v>0</v>
      </c>
      <c r="AN1968" s="17">
        <v>0</v>
      </c>
      <c r="AO1968" s="17">
        <v>0</v>
      </c>
      <c r="AP1968" s="17">
        <v>3</v>
      </c>
      <c r="AQ1968" s="17">
        <v>5000</v>
      </c>
      <c r="AR1968" s="17">
        <v>2.5</v>
      </c>
      <c r="AS1968" s="17">
        <v>0</v>
      </c>
      <c r="AT1968" s="13">
        <v>0</v>
      </c>
      <c r="AU1968" s="17">
        <v>90001023</v>
      </c>
      <c r="AV1968" s="17"/>
      <c r="AW1968" s="20" t="s">
        <v>256</v>
      </c>
      <c r="AX1968" s="17" t="s">
        <v>534</v>
      </c>
      <c r="AY1968" s="19">
        <v>10000007</v>
      </c>
      <c r="AZ1968" s="19">
        <v>70403003</v>
      </c>
      <c r="BA1968" s="18" t="s">
        <v>200</v>
      </c>
      <c r="BB1968" s="17">
        <v>0</v>
      </c>
      <c r="BC1968" s="28">
        <v>0</v>
      </c>
      <c r="BD1968" s="28">
        <v>0</v>
      </c>
      <c r="BE1968" s="46" t="s">
        <v>4277</v>
      </c>
      <c r="BF1968" s="46" t="s">
        <v>4278</v>
      </c>
      <c r="BG1968" s="17">
        <v>0</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73003306</v>
      </c>
      <c r="D1969" s="20" t="s">
        <v>673</v>
      </c>
      <c r="E1969" s="20" t="s">
        <v>674</v>
      </c>
      <c r="F1969" s="19">
        <v>1</v>
      </c>
      <c r="G1969" s="19">
        <v>60010500</v>
      </c>
      <c r="H1969" s="19">
        <v>0</v>
      </c>
      <c r="I1969" s="28">
        <v>0</v>
      </c>
      <c r="J1969" s="19">
        <v>1</v>
      </c>
      <c r="K1969" s="19">
        <v>0</v>
      </c>
      <c r="L1969" s="19">
        <v>0</v>
      </c>
      <c r="M1969" s="19">
        <v>0</v>
      </c>
      <c r="N1969" s="19">
        <v>0</v>
      </c>
      <c r="O1969" s="62">
        <v>2</v>
      </c>
      <c r="P1969" s="19">
        <v>2</v>
      </c>
      <c r="Q1969" s="19">
        <v>0.6</v>
      </c>
      <c r="R1969" s="19">
        <v>0</v>
      </c>
      <c r="S1969" s="13">
        <v>0</v>
      </c>
      <c r="T1969" s="28">
        <v>0</v>
      </c>
      <c r="U1969" s="17">
        <v>1</v>
      </c>
      <c r="V1969" s="19">
        <v>2</v>
      </c>
      <c r="W1969" s="19">
        <v>0</v>
      </c>
      <c r="X1969" s="19">
        <v>0</v>
      </c>
      <c r="Y1969" s="13">
        <v>0</v>
      </c>
      <c r="Z1969" s="19">
        <v>0</v>
      </c>
      <c r="AA1969" s="19">
        <v>0</v>
      </c>
      <c r="AB1969" s="19">
        <v>0</v>
      </c>
      <c r="AC1969" s="19">
        <v>0</v>
      </c>
      <c r="AD1969" s="19">
        <v>0</v>
      </c>
      <c r="AE1969" s="19">
        <v>0</v>
      </c>
      <c r="AF1969" s="17">
        <v>99999</v>
      </c>
      <c r="AG1969" s="19">
        <v>0</v>
      </c>
      <c r="AH1969" s="19">
        <v>0</v>
      </c>
      <c r="AI1969" s="13">
        <v>2</v>
      </c>
      <c r="AJ1969" s="13">
        <v>0</v>
      </c>
      <c r="AK1969" s="13">
        <v>0</v>
      </c>
      <c r="AL1969" s="13">
        <v>0</v>
      </c>
      <c r="AM1969" s="19">
        <v>0</v>
      </c>
      <c r="AN1969" s="19">
        <v>0</v>
      </c>
      <c r="AO1969" s="19">
        <v>0</v>
      </c>
      <c r="AP1969" s="19">
        <v>0</v>
      </c>
      <c r="AQ1969" s="19">
        <v>1000</v>
      </c>
      <c r="AR1969" s="19">
        <v>0</v>
      </c>
      <c r="AS1969" s="19">
        <v>0</v>
      </c>
      <c r="AT1969" s="13">
        <v>90104002</v>
      </c>
      <c r="AU1969" s="19" t="s">
        <v>198</v>
      </c>
      <c r="AV1969" s="19"/>
      <c r="AW1969" s="20" t="s">
        <v>199</v>
      </c>
      <c r="AX1969" s="19" t="s">
        <v>348</v>
      </c>
      <c r="AY1969" s="19">
        <v>0</v>
      </c>
      <c r="AZ1969" s="19">
        <v>0</v>
      </c>
      <c r="BA1969" s="20" t="s">
        <v>200</v>
      </c>
      <c r="BB1969" s="20" t="s">
        <v>198</v>
      </c>
      <c r="BC1969" s="28">
        <v>0</v>
      </c>
      <c r="BD1969" s="28">
        <v>0</v>
      </c>
      <c r="BE1969" s="89" t="s">
        <v>675</v>
      </c>
      <c r="BF1969" s="89" t="s">
        <v>676</v>
      </c>
      <c r="BG1969" s="19">
        <v>0</v>
      </c>
      <c r="BH1969" s="17">
        <v>0</v>
      </c>
      <c r="BI1969" s="19">
        <v>0</v>
      </c>
      <c r="BJ1969" s="19">
        <v>0</v>
      </c>
      <c r="BK1969" s="19">
        <v>0</v>
      </c>
      <c r="BL1969" s="19">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73003307</v>
      </c>
      <c r="D1970" s="18" t="s">
        <v>4377</v>
      </c>
      <c r="E1970" s="18" t="s">
        <v>4378</v>
      </c>
      <c r="F1970" s="19">
        <v>1</v>
      </c>
      <c r="G1970" s="17">
        <v>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1</v>
      </c>
      <c r="Y1970" s="13">
        <v>0</v>
      </c>
      <c r="Z1970" s="17">
        <v>0</v>
      </c>
      <c r="AA1970" s="17">
        <v>1</v>
      </c>
      <c r="AB1970" s="17">
        <v>0</v>
      </c>
      <c r="AC1970" s="17">
        <v>0</v>
      </c>
      <c r="AD1970" s="17">
        <v>0</v>
      </c>
      <c r="AE1970" s="17">
        <v>0</v>
      </c>
      <c r="AF1970" s="17">
        <v>3</v>
      </c>
      <c r="AG1970" s="17">
        <v>1</v>
      </c>
      <c r="AH1970" s="17">
        <v>3</v>
      </c>
      <c r="AI1970" s="13">
        <v>0</v>
      </c>
      <c r="AJ1970" s="13">
        <v>0</v>
      </c>
      <c r="AK1970" s="13">
        <v>0</v>
      </c>
      <c r="AL1970" s="13">
        <v>1.5</v>
      </c>
      <c r="AM1970" s="17">
        <v>0</v>
      </c>
      <c r="AN1970" s="17">
        <v>0</v>
      </c>
      <c r="AO1970" s="17">
        <v>0</v>
      </c>
      <c r="AP1970" s="17">
        <v>1</v>
      </c>
      <c r="AQ1970" s="17">
        <v>1500</v>
      </c>
      <c r="AR1970" s="17">
        <v>0.5</v>
      </c>
      <c r="AS1970" s="17">
        <v>0</v>
      </c>
      <c r="AT1970" s="13">
        <v>0</v>
      </c>
      <c r="AU1970" s="17">
        <v>83000002</v>
      </c>
      <c r="AV1970" s="17"/>
      <c r="AW1970" s="20" t="s">
        <v>199</v>
      </c>
      <c r="AX1970" s="17" t="s">
        <v>534</v>
      </c>
      <c r="AY1970" s="19">
        <v>10000007</v>
      </c>
      <c r="AZ1970" s="19">
        <v>70105001</v>
      </c>
      <c r="BA1970" s="18" t="s">
        <v>200</v>
      </c>
      <c r="BB1970" s="17" t="s">
        <v>4195</v>
      </c>
      <c r="BC1970" s="28">
        <v>0</v>
      </c>
      <c r="BD1970" s="28">
        <v>0</v>
      </c>
      <c r="BE1970" s="46" t="s">
        <v>4196</v>
      </c>
      <c r="BF1970" s="46" t="s">
        <v>4197</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73003308</v>
      </c>
      <c r="D1971" s="18" t="s">
        <v>1324</v>
      </c>
      <c r="E1971" s="18" t="s">
        <v>1325</v>
      </c>
      <c r="F1971" s="19">
        <v>1</v>
      </c>
      <c r="G1971" s="17">
        <v>60010100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10</v>
      </c>
      <c r="AG1971" s="17">
        <v>2</v>
      </c>
      <c r="AH1971" s="17" t="s">
        <v>213</v>
      </c>
      <c r="AI1971" s="13">
        <v>0</v>
      </c>
      <c r="AJ1971" s="13">
        <v>2</v>
      </c>
      <c r="AK1971" s="13">
        <v>0</v>
      </c>
      <c r="AL1971" s="13">
        <v>1.5</v>
      </c>
      <c r="AM1971" s="17">
        <v>0</v>
      </c>
      <c r="AN1971" s="17">
        <v>0</v>
      </c>
      <c r="AO1971" s="17">
        <v>0</v>
      </c>
      <c r="AP1971" s="17">
        <v>1.5</v>
      </c>
      <c r="AQ1971" s="17">
        <v>10000</v>
      </c>
      <c r="AR1971" s="17">
        <v>1</v>
      </c>
      <c r="AS1971" s="17">
        <v>5</v>
      </c>
      <c r="AT1971" s="13">
        <v>0</v>
      </c>
      <c r="AU1971" s="17" t="s">
        <v>198</v>
      </c>
      <c r="AV1971" s="17"/>
      <c r="AW1971" s="20" t="s">
        <v>617</v>
      </c>
      <c r="AX1971" s="17" t="s">
        <v>534</v>
      </c>
      <c r="AY1971" s="19">
        <v>10000007</v>
      </c>
      <c r="AZ1971" s="19">
        <v>70302003</v>
      </c>
      <c r="BA1971" s="20" t="s">
        <v>586</v>
      </c>
      <c r="BB1971" s="28" t="s">
        <v>4379</v>
      </c>
      <c r="BC1971" s="28">
        <v>0</v>
      </c>
      <c r="BD1971" s="28">
        <v>0</v>
      </c>
      <c r="BE1971" s="46" t="s">
        <v>1108</v>
      </c>
      <c r="BF1971" s="46" t="s">
        <v>1109</v>
      </c>
      <c r="BG1971" s="17">
        <v>1</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73004101</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4380</v>
      </c>
      <c r="BF1972" s="89" t="s">
        <v>4381</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73004102</v>
      </c>
      <c r="D1973" s="18" t="s">
        <v>600</v>
      </c>
      <c r="E1973" s="18" t="s">
        <v>601</v>
      </c>
      <c r="F1973" s="19">
        <v>1</v>
      </c>
      <c r="G1973" s="17">
        <v>60010300</v>
      </c>
      <c r="H1973" s="19">
        <v>0</v>
      </c>
      <c r="I1973" s="28">
        <v>0</v>
      </c>
      <c r="J1973" s="19">
        <v>1</v>
      </c>
      <c r="K1973" s="19">
        <v>0</v>
      </c>
      <c r="L1973" s="19">
        <v>0</v>
      </c>
      <c r="M1973" s="17">
        <v>0</v>
      </c>
      <c r="N1973" s="17">
        <v>0</v>
      </c>
      <c r="O1973" s="62">
        <v>2</v>
      </c>
      <c r="P1973" s="17">
        <v>2</v>
      </c>
      <c r="Q1973" s="17">
        <v>0.9</v>
      </c>
      <c r="R1973" s="17">
        <v>0</v>
      </c>
      <c r="S1973" s="13">
        <v>0</v>
      </c>
      <c r="T1973" s="17">
        <v>0</v>
      </c>
      <c r="U1973" s="17">
        <v>1</v>
      </c>
      <c r="V1973" s="17">
        <v>2</v>
      </c>
      <c r="W1973" s="17">
        <v>0</v>
      </c>
      <c r="X1973" s="17">
        <v>0</v>
      </c>
      <c r="Y1973" s="13">
        <v>0</v>
      </c>
      <c r="Z1973" s="17">
        <v>0</v>
      </c>
      <c r="AA1973" s="17">
        <v>0</v>
      </c>
      <c r="AB1973" s="17">
        <v>0</v>
      </c>
      <c r="AC1973" s="17">
        <v>0</v>
      </c>
      <c r="AD1973" s="17">
        <v>0</v>
      </c>
      <c r="AE1973" s="17">
        <v>0</v>
      </c>
      <c r="AF1973" s="17">
        <v>30</v>
      </c>
      <c r="AG1973" s="17">
        <v>0</v>
      </c>
      <c r="AH1973" s="17">
        <v>0</v>
      </c>
      <c r="AI1973" s="13">
        <v>2</v>
      </c>
      <c r="AJ1973" s="13">
        <v>2</v>
      </c>
      <c r="AK1973" s="13">
        <v>0</v>
      </c>
      <c r="AL1973" s="13">
        <v>1.5</v>
      </c>
      <c r="AM1973" s="17">
        <v>0</v>
      </c>
      <c r="AN1973" s="17">
        <v>0</v>
      </c>
      <c r="AO1973" s="17">
        <v>0</v>
      </c>
      <c r="AP1973" s="17">
        <v>1</v>
      </c>
      <c r="AQ1973" s="17">
        <v>3000</v>
      </c>
      <c r="AR1973" s="17">
        <v>0.5</v>
      </c>
      <c r="AS1973" s="17">
        <v>0</v>
      </c>
      <c r="AT1973" s="13">
        <v>0</v>
      </c>
      <c r="AU1973" s="17" t="s">
        <v>198</v>
      </c>
      <c r="AV1973" s="17"/>
      <c r="AW1973" s="20" t="s">
        <v>199</v>
      </c>
      <c r="AX1973" s="17" t="s">
        <v>545</v>
      </c>
      <c r="AY1973" s="19">
        <v>0</v>
      </c>
      <c r="AZ1973" s="19">
        <v>0</v>
      </c>
      <c r="BA1973" s="18" t="s">
        <v>528</v>
      </c>
      <c r="BB1973" s="17" t="s">
        <v>4382</v>
      </c>
      <c r="BC1973" s="28">
        <v>0</v>
      </c>
      <c r="BD1973" s="28">
        <v>0</v>
      </c>
      <c r="BE1973" s="46" t="s">
        <v>4383</v>
      </c>
      <c r="BF1973" s="46" t="s">
        <v>4384</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spans="3:75" ht="20.100000000000001" customHeight="1">
      <c r="C1974" s="19">
        <v>73004103</v>
      </c>
      <c r="D1974" s="18" t="s">
        <v>1324</v>
      </c>
      <c r="E1974" s="18" t="s">
        <v>1325</v>
      </c>
      <c r="F1974" s="19">
        <v>1</v>
      </c>
      <c r="G1974" s="17">
        <v>60010100</v>
      </c>
      <c r="H1974" s="19">
        <v>0</v>
      </c>
      <c r="I1974" s="28">
        <v>0</v>
      </c>
      <c r="J1974" s="19">
        <v>1</v>
      </c>
      <c r="K1974" s="19">
        <v>0</v>
      </c>
      <c r="L1974" s="19">
        <v>0</v>
      </c>
      <c r="M1974" s="17">
        <v>0</v>
      </c>
      <c r="N1974" s="17">
        <v>0</v>
      </c>
      <c r="O1974" s="62">
        <v>2</v>
      </c>
      <c r="P1974" s="17">
        <v>1</v>
      </c>
      <c r="Q1974" s="17">
        <v>1</v>
      </c>
      <c r="R1974" s="17">
        <v>0</v>
      </c>
      <c r="S1974" s="13">
        <v>0</v>
      </c>
      <c r="T1974" s="17">
        <v>0</v>
      </c>
      <c r="U1974" s="17">
        <v>1</v>
      </c>
      <c r="V1974" s="17">
        <v>2</v>
      </c>
      <c r="W1974" s="17">
        <v>0</v>
      </c>
      <c r="X1974" s="17">
        <v>2</v>
      </c>
      <c r="Y1974" s="13">
        <v>0</v>
      </c>
      <c r="Z1974" s="17">
        <v>0</v>
      </c>
      <c r="AA1974" s="17">
        <v>1</v>
      </c>
      <c r="AB1974" s="17">
        <v>0</v>
      </c>
      <c r="AC1974" s="17">
        <v>0</v>
      </c>
      <c r="AD1974" s="17">
        <v>0</v>
      </c>
      <c r="AE1974" s="17">
        <v>0</v>
      </c>
      <c r="AF1974" s="17">
        <v>10</v>
      </c>
      <c r="AG1974" s="17">
        <v>2</v>
      </c>
      <c r="AH1974" s="17" t="s">
        <v>213</v>
      </c>
      <c r="AI1974" s="13">
        <v>0</v>
      </c>
      <c r="AJ1974" s="13">
        <v>2</v>
      </c>
      <c r="AK1974" s="13">
        <v>0</v>
      </c>
      <c r="AL1974" s="13">
        <v>1.5</v>
      </c>
      <c r="AM1974" s="17">
        <v>0</v>
      </c>
      <c r="AN1974" s="17">
        <v>0</v>
      </c>
      <c r="AO1974" s="17">
        <v>0</v>
      </c>
      <c r="AP1974" s="17">
        <v>1.5</v>
      </c>
      <c r="AQ1974" s="17">
        <v>10000</v>
      </c>
      <c r="AR1974" s="17">
        <v>1</v>
      </c>
      <c r="AS1974" s="17">
        <v>5</v>
      </c>
      <c r="AT1974" s="13">
        <v>0</v>
      </c>
      <c r="AU1974" s="17" t="s">
        <v>198</v>
      </c>
      <c r="AV1974" s="17"/>
      <c r="AW1974" s="20" t="s">
        <v>617</v>
      </c>
      <c r="AX1974" s="17" t="s">
        <v>534</v>
      </c>
      <c r="AY1974" s="19">
        <v>10000007</v>
      </c>
      <c r="AZ1974" s="19">
        <v>70302003</v>
      </c>
      <c r="BA1974" s="20" t="s">
        <v>586</v>
      </c>
      <c r="BB1974" s="28">
        <v>0</v>
      </c>
      <c r="BC1974" s="28">
        <v>0</v>
      </c>
      <c r="BD1974" s="28">
        <v>0</v>
      </c>
      <c r="BE1974" s="46" t="s">
        <v>1108</v>
      </c>
      <c r="BF1974" s="46" t="s">
        <v>1109</v>
      </c>
      <c r="BG1974" s="17">
        <v>1</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73004201</v>
      </c>
      <c r="D1975" s="18" t="s">
        <v>665</v>
      </c>
      <c r="E1975" s="18" t="s">
        <v>606</v>
      </c>
      <c r="F1975" s="17">
        <v>1</v>
      </c>
      <c r="G1975" s="17">
        <v>60010100</v>
      </c>
      <c r="H1975" s="19">
        <v>0</v>
      </c>
      <c r="I1975" s="28">
        <v>0</v>
      </c>
      <c r="J1975" s="19">
        <v>1</v>
      </c>
      <c r="K1975" s="19">
        <v>0</v>
      </c>
      <c r="L1975" s="19">
        <v>0</v>
      </c>
      <c r="M1975" s="17">
        <v>0</v>
      </c>
      <c r="N1975" s="17">
        <v>0</v>
      </c>
      <c r="O1975" s="62">
        <v>2</v>
      </c>
      <c r="P1975" s="17">
        <v>1</v>
      </c>
      <c r="Q1975" s="17">
        <v>0.3</v>
      </c>
      <c r="R1975" s="17">
        <v>0</v>
      </c>
      <c r="S1975" s="13">
        <v>101</v>
      </c>
      <c r="T1975" s="17">
        <v>0</v>
      </c>
      <c r="U1975" s="17">
        <v>1</v>
      </c>
      <c r="V1975" s="17">
        <v>2</v>
      </c>
      <c r="W1975" s="17">
        <v>0</v>
      </c>
      <c r="X1975" s="17">
        <v>3</v>
      </c>
      <c r="Y1975" s="13">
        <v>0</v>
      </c>
      <c r="Z1975" s="17">
        <v>0</v>
      </c>
      <c r="AA1975" s="17">
        <v>0</v>
      </c>
      <c r="AB1975" s="17">
        <v>0</v>
      </c>
      <c r="AC1975" s="17">
        <v>0</v>
      </c>
      <c r="AD1975" s="17">
        <v>0</v>
      </c>
      <c r="AE1975" s="17">
        <v>0</v>
      </c>
      <c r="AF1975" s="17">
        <v>12</v>
      </c>
      <c r="AG1975" s="17">
        <v>1</v>
      </c>
      <c r="AH1975" s="17">
        <v>3</v>
      </c>
      <c r="AI1975" s="13">
        <v>6</v>
      </c>
      <c r="AJ1975" s="13">
        <v>1</v>
      </c>
      <c r="AK1975" s="13">
        <v>0</v>
      </c>
      <c r="AL1975" s="13">
        <v>1.5</v>
      </c>
      <c r="AM1975" s="17">
        <v>0</v>
      </c>
      <c r="AN1975" s="17">
        <v>0</v>
      </c>
      <c r="AO1975" s="17">
        <v>0</v>
      </c>
      <c r="AP1975" s="17">
        <v>3</v>
      </c>
      <c r="AQ1975" s="17">
        <v>5000</v>
      </c>
      <c r="AR1975" s="17">
        <v>3</v>
      </c>
      <c r="AS1975" s="17">
        <v>0</v>
      </c>
      <c r="AT1975" s="13">
        <v>0</v>
      </c>
      <c r="AU1975" s="17" t="s">
        <v>198</v>
      </c>
      <c r="AV1975" s="17"/>
      <c r="AW1975" s="20" t="s">
        <v>256</v>
      </c>
      <c r="AX1975" s="17" t="s">
        <v>534</v>
      </c>
      <c r="AY1975" s="19">
        <v>10000007</v>
      </c>
      <c r="AZ1975" s="19">
        <v>70103003</v>
      </c>
      <c r="BA1975" s="18" t="s">
        <v>200</v>
      </c>
      <c r="BB1975" s="17" t="s">
        <v>4385</v>
      </c>
      <c r="BC1975" s="28">
        <v>0</v>
      </c>
      <c r="BD1975" s="28">
        <v>0</v>
      </c>
      <c r="BE1975" s="46" t="s">
        <v>667</v>
      </c>
      <c r="BF1975" s="46" t="s">
        <v>668</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73004202</v>
      </c>
      <c r="D1976" s="18" t="s">
        <v>744</v>
      </c>
      <c r="E1976" s="18" t="s">
        <v>745</v>
      </c>
      <c r="F1976" s="19">
        <v>1</v>
      </c>
      <c r="G1976" s="19">
        <v>60010500</v>
      </c>
      <c r="H1976" s="19">
        <v>0</v>
      </c>
      <c r="I1976" s="28">
        <v>0</v>
      </c>
      <c r="J1976" s="19">
        <v>1</v>
      </c>
      <c r="K1976" s="19">
        <v>0</v>
      </c>
      <c r="L1976" s="19">
        <v>0</v>
      </c>
      <c r="M1976" s="19">
        <v>0</v>
      </c>
      <c r="N1976" s="19">
        <v>0</v>
      </c>
      <c r="O1976" s="62">
        <v>2</v>
      </c>
      <c r="P1976" s="19">
        <v>2</v>
      </c>
      <c r="Q1976" s="19">
        <v>0.95</v>
      </c>
      <c r="R1976" s="19">
        <v>0</v>
      </c>
      <c r="S1976" s="13">
        <v>0</v>
      </c>
      <c r="T1976" s="28">
        <v>0</v>
      </c>
      <c r="U1976" s="17">
        <v>1</v>
      </c>
      <c r="V1976" s="19">
        <v>1</v>
      </c>
      <c r="W1976" s="19">
        <v>0</v>
      </c>
      <c r="X1976" s="19">
        <v>3</v>
      </c>
      <c r="Y1976" s="13">
        <v>0</v>
      </c>
      <c r="Z1976" s="19">
        <v>0</v>
      </c>
      <c r="AA1976" s="19">
        <v>0</v>
      </c>
      <c r="AB1976" s="19">
        <v>0</v>
      </c>
      <c r="AC1976" s="19">
        <v>0</v>
      </c>
      <c r="AD1976" s="17">
        <v>0</v>
      </c>
      <c r="AE1976" s="19">
        <v>0</v>
      </c>
      <c r="AF1976" s="19">
        <v>10</v>
      </c>
      <c r="AG1976" s="19">
        <v>0</v>
      </c>
      <c r="AH1976" s="19">
        <v>0</v>
      </c>
      <c r="AI1976" s="13">
        <v>7</v>
      </c>
      <c r="AJ1976" s="13">
        <v>0</v>
      </c>
      <c r="AK1976" s="13">
        <v>0</v>
      </c>
      <c r="AL1976" s="13">
        <v>0</v>
      </c>
      <c r="AM1976" s="19">
        <v>0</v>
      </c>
      <c r="AN1976" s="19">
        <v>0</v>
      </c>
      <c r="AO1976" s="19">
        <v>0</v>
      </c>
      <c r="AP1976" s="19">
        <v>0</v>
      </c>
      <c r="AQ1976" s="19">
        <v>1000</v>
      </c>
      <c r="AR1976" s="19">
        <v>0.5</v>
      </c>
      <c r="AS1976" s="19">
        <v>0</v>
      </c>
      <c r="AT1976" s="13">
        <v>0</v>
      </c>
      <c r="AU1976" s="19">
        <v>0</v>
      </c>
      <c r="AV1976" s="19"/>
      <c r="AW1976" s="20" t="s">
        <v>741</v>
      </c>
      <c r="AX1976" s="19">
        <v>0</v>
      </c>
      <c r="AY1976" s="19">
        <v>10007001</v>
      </c>
      <c r="AZ1976" s="19">
        <v>0</v>
      </c>
      <c r="BA1976" s="20" t="s">
        <v>200</v>
      </c>
      <c r="BB1976" s="20" t="s">
        <v>198</v>
      </c>
      <c r="BC1976" s="28">
        <v>0</v>
      </c>
      <c r="BD1976" s="28">
        <v>0</v>
      </c>
      <c r="BE1976" s="89" t="s">
        <v>4380</v>
      </c>
      <c r="BF1976" s="89" t="s">
        <v>4381</v>
      </c>
      <c r="BG1976" s="19">
        <v>0</v>
      </c>
      <c r="BH1976" s="17">
        <v>0</v>
      </c>
      <c r="BI1976" s="19">
        <v>0</v>
      </c>
      <c r="BJ1976" s="19">
        <v>0</v>
      </c>
      <c r="BK1976" s="19">
        <v>0</v>
      </c>
      <c r="BL1976" s="19">
        <v>0</v>
      </c>
      <c r="BM1976" s="16">
        <v>0</v>
      </c>
      <c r="BN1976" s="13">
        <v>0</v>
      </c>
      <c r="BO1976" s="13">
        <v>0</v>
      </c>
      <c r="BP1976" s="13">
        <v>0</v>
      </c>
      <c r="BQ1976" s="13">
        <v>0</v>
      </c>
      <c r="BR1976" s="13">
        <v>0</v>
      </c>
      <c r="BS1976" s="13">
        <v>0</v>
      </c>
      <c r="BT1976" s="13">
        <v>0</v>
      </c>
      <c r="BU1976" s="49">
        <v>0</v>
      </c>
      <c r="BV1976" s="49"/>
      <c r="BW1976" s="49"/>
    </row>
    <row r="1977" spans="3:75" ht="19.5" customHeight="1">
      <c r="C1977" s="19">
        <v>73004203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4277</v>
      </c>
      <c r="BF1977" s="46" t="s">
        <v>4278</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19.5" customHeight="1">
      <c r="C1978" s="19">
        <v>73004204</v>
      </c>
      <c r="D1978" s="18" t="s">
        <v>1124</v>
      </c>
      <c r="E1978" s="18" t="s">
        <v>1125</v>
      </c>
      <c r="F1978" s="19">
        <v>1</v>
      </c>
      <c r="G1978" s="17">
        <v>60010100</v>
      </c>
      <c r="H1978" s="19">
        <v>0</v>
      </c>
      <c r="I1978" s="28">
        <v>0</v>
      </c>
      <c r="J1978" s="19">
        <v>1</v>
      </c>
      <c r="K1978" s="19">
        <v>0</v>
      </c>
      <c r="L1978" s="19">
        <v>0</v>
      </c>
      <c r="M1978" s="17">
        <v>0</v>
      </c>
      <c r="N1978" s="17">
        <v>0</v>
      </c>
      <c r="O1978" s="62">
        <v>2</v>
      </c>
      <c r="P1978" s="17">
        <v>1</v>
      </c>
      <c r="Q1978" s="17">
        <v>0.3</v>
      </c>
      <c r="R1978" s="17">
        <v>0</v>
      </c>
      <c r="S1978" s="13">
        <v>101</v>
      </c>
      <c r="T1978" s="17">
        <v>0</v>
      </c>
      <c r="U1978" s="17">
        <v>1</v>
      </c>
      <c r="V1978" s="17">
        <v>2</v>
      </c>
      <c r="W1978" s="17">
        <v>0</v>
      </c>
      <c r="X1978" s="17">
        <v>1</v>
      </c>
      <c r="Y1978" s="13">
        <v>0</v>
      </c>
      <c r="Z1978" s="17">
        <v>0</v>
      </c>
      <c r="AA1978" s="17">
        <v>1</v>
      </c>
      <c r="AB1978" s="17">
        <v>0</v>
      </c>
      <c r="AC1978" s="17">
        <v>0</v>
      </c>
      <c r="AD1978" s="17">
        <v>0</v>
      </c>
      <c r="AE1978" s="17">
        <v>0</v>
      </c>
      <c r="AF1978" s="17">
        <v>30</v>
      </c>
      <c r="AG1978" s="17">
        <v>1</v>
      </c>
      <c r="AH1978" s="17" t="s">
        <v>861</v>
      </c>
      <c r="AI1978" s="13">
        <v>0</v>
      </c>
      <c r="AJ1978" s="13">
        <v>0</v>
      </c>
      <c r="AK1978" s="13">
        <v>0</v>
      </c>
      <c r="AL1978" s="13">
        <v>0</v>
      </c>
      <c r="AM1978" s="17">
        <v>0</v>
      </c>
      <c r="AN1978" s="17">
        <v>0</v>
      </c>
      <c r="AO1978" s="17">
        <v>0</v>
      </c>
      <c r="AP1978" s="17">
        <v>0.5</v>
      </c>
      <c r="AQ1978" s="17">
        <v>999999</v>
      </c>
      <c r="AR1978" s="17">
        <v>0.5</v>
      </c>
      <c r="AS1978" s="17">
        <v>0</v>
      </c>
      <c r="AT1978" s="13">
        <v>0</v>
      </c>
      <c r="AU1978" s="355" t="s">
        <v>1019</v>
      </c>
      <c r="AV1978" s="13"/>
      <c r="AW1978" s="20" t="s">
        <v>287</v>
      </c>
      <c r="AX1978" s="17" t="s">
        <v>534</v>
      </c>
      <c r="AY1978" s="19">
        <v>10000007</v>
      </c>
      <c r="AZ1978" s="19">
        <v>70202004</v>
      </c>
      <c r="BA1978" s="20" t="s">
        <v>315</v>
      </c>
      <c r="BB1978" s="20" t="s">
        <v>371</v>
      </c>
      <c r="BC1978" s="28">
        <v>0</v>
      </c>
      <c r="BD1978" s="28">
        <v>0</v>
      </c>
      <c r="BE1978" s="46" t="s">
        <v>4357</v>
      </c>
      <c r="BF1978" s="46" t="s">
        <v>4358</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73004301</v>
      </c>
      <c r="D1979" s="18" t="s">
        <v>4386</v>
      </c>
      <c r="E1979" s="18" t="s">
        <v>4387</v>
      </c>
      <c r="F1979" s="19">
        <v>1</v>
      </c>
      <c r="G1979" s="17">
        <v>60010100</v>
      </c>
      <c r="H1979" s="19">
        <v>0</v>
      </c>
      <c r="I1979" s="28">
        <v>0</v>
      </c>
      <c r="J1979" s="19">
        <v>1</v>
      </c>
      <c r="K1979" s="19">
        <v>0</v>
      </c>
      <c r="L1979" s="19">
        <v>0</v>
      </c>
      <c r="M1979" s="17">
        <v>0</v>
      </c>
      <c r="N1979" s="17">
        <v>0</v>
      </c>
      <c r="O1979" s="62">
        <v>2</v>
      </c>
      <c r="P1979" s="17">
        <v>1</v>
      </c>
      <c r="Q1979" s="17">
        <v>1</v>
      </c>
      <c r="R1979" s="17">
        <v>0</v>
      </c>
      <c r="S1979" s="13">
        <v>0</v>
      </c>
      <c r="T1979" s="17">
        <v>0</v>
      </c>
      <c r="U1979" s="17">
        <v>1</v>
      </c>
      <c r="V1979" s="17">
        <v>2</v>
      </c>
      <c r="W1979" s="17">
        <v>0</v>
      </c>
      <c r="X1979" s="17">
        <v>2</v>
      </c>
      <c r="Y1979" s="13">
        <v>0</v>
      </c>
      <c r="Z1979" s="17">
        <v>0</v>
      </c>
      <c r="AA1979" s="17">
        <v>1</v>
      </c>
      <c r="AB1979" s="17">
        <v>0</v>
      </c>
      <c r="AC1979" s="17">
        <v>0</v>
      </c>
      <c r="AD1979" s="17">
        <v>0</v>
      </c>
      <c r="AE1979" s="17">
        <v>0</v>
      </c>
      <c r="AF1979" s="17">
        <v>10</v>
      </c>
      <c r="AG1979" s="17">
        <v>2</v>
      </c>
      <c r="AH1979" s="17" t="s">
        <v>213</v>
      </c>
      <c r="AI1979" s="13">
        <v>0</v>
      </c>
      <c r="AJ1979" s="13">
        <v>2</v>
      </c>
      <c r="AK1979" s="13">
        <v>0</v>
      </c>
      <c r="AL1979" s="13">
        <v>1.5</v>
      </c>
      <c r="AM1979" s="17">
        <v>0</v>
      </c>
      <c r="AN1979" s="17">
        <v>0</v>
      </c>
      <c r="AO1979" s="17">
        <v>0</v>
      </c>
      <c r="AP1979" s="17">
        <v>1.5</v>
      </c>
      <c r="AQ1979" s="17">
        <v>10000</v>
      </c>
      <c r="AR1979" s="17">
        <v>1</v>
      </c>
      <c r="AS1979" s="17">
        <v>5</v>
      </c>
      <c r="AT1979" s="13">
        <v>0</v>
      </c>
      <c r="AU1979" s="17" t="s">
        <v>198</v>
      </c>
      <c r="AV1979" s="17"/>
      <c r="AW1979" s="20" t="s">
        <v>617</v>
      </c>
      <c r="AX1979" s="17" t="s">
        <v>534</v>
      </c>
      <c r="AY1979" s="19">
        <v>10000007</v>
      </c>
      <c r="AZ1979" s="19">
        <v>70302003</v>
      </c>
      <c r="BA1979" s="20" t="s">
        <v>586</v>
      </c>
      <c r="BB1979" s="28">
        <v>0</v>
      </c>
      <c r="BC1979" s="28">
        <v>0</v>
      </c>
      <c r="BD1979" s="28">
        <v>0</v>
      </c>
      <c r="BE1979" s="46" t="s">
        <v>1108</v>
      </c>
      <c r="BF1979" s="46" t="s">
        <v>1109</v>
      </c>
      <c r="BG1979" s="17">
        <v>0</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73004302</v>
      </c>
      <c r="D1980" s="18" t="s">
        <v>4386</v>
      </c>
      <c r="E1980" s="18" t="s">
        <v>4387</v>
      </c>
      <c r="F1980" s="19">
        <v>1</v>
      </c>
      <c r="G1980" s="17">
        <v>60010100</v>
      </c>
      <c r="H1980" s="19">
        <v>0</v>
      </c>
      <c r="I1980" s="28">
        <v>0</v>
      </c>
      <c r="J1980" s="19">
        <v>1</v>
      </c>
      <c r="K1980" s="19">
        <v>0</v>
      </c>
      <c r="L1980" s="19">
        <v>0</v>
      </c>
      <c r="M1980" s="17">
        <v>0</v>
      </c>
      <c r="N1980" s="17">
        <v>0</v>
      </c>
      <c r="O1980" s="62">
        <v>2</v>
      </c>
      <c r="P1980" s="17">
        <v>1</v>
      </c>
      <c r="Q1980" s="17">
        <v>1</v>
      </c>
      <c r="R1980" s="17">
        <v>0</v>
      </c>
      <c r="S1980" s="13">
        <v>0</v>
      </c>
      <c r="T1980" s="17">
        <v>0</v>
      </c>
      <c r="U1980" s="17">
        <v>1</v>
      </c>
      <c r="V1980" s="17">
        <v>2</v>
      </c>
      <c r="W1980" s="17">
        <v>0</v>
      </c>
      <c r="X1980" s="17">
        <v>2</v>
      </c>
      <c r="Y1980" s="13">
        <v>0</v>
      </c>
      <c r="Z1980" s="17">
        <v>0</v>
      </c>
      <c r="AA1980" s="17">
        <v>1</v>
      </c>
      <c r="AB1980" s="17">
        <v>0</v>
      </c>
      <c r="AC1980" s="17">
        <v>0</v>
      </c>
      <c r="AD1980" s="17">
        <v>0</v>
      </c>
      <c r="AE1980" s="17">
        <v>0</v>
      </c>
      <c r="AF1980" s="17">
        <v>10</v>
      </c>
      <c r="AG1980" s="17">
        <v>2</v>
      </c>
      <c r="AH1980" s="17" t="s">
        <v>213</v>
      </c>
      <c r="AI1980" s="13">
        <v>0</v>
      </c>
      <c r="AJ1980" s="13">
        <v>2</v>
      </c>
      <c r="AK1980" s="13">
        <v>0</v>
      </c>
      <c r="AL1980" s="13">
        <v>1.5</v>
      </c>
      <c r="AM1980" s="17">
        <v>0</v>
      </c>
      <c r="AN1980" s="17">
        <v>0</v>
      </c>
      <c r="AO1980" s="17">
        <v>0</v>
      </c>
      <c r="AP1980" s="17">
        <v>1.5</v>
      </c>
      <c r="AQ1980" s="17">
        <v>10000</v>
      </c>
      <c r="AR1980" s="17">
        <v>1</v>
      </c>
      <c r="AS1980" s="17">
        <v>5</v>
      </c>
      <c r="AT1980" s="13">
        <v>0</v>
      </c>
      <c r="AU1980" s="17" t="s">
        <v>198</v>
      </c>
      <c r="AV1980" s="17"/>
      <c r="AW1980" s="20" t="s">
        <v>617</v>
      </c>
      <c r="AX1980" s="17" t="s">
        <v>534</v>
      </c>
      <c r="AY1980" s="19">
        <v>10000007</v>
      </c>
      <c r="AZ1980" s="19">
        <v>70302003</v>
      </c>
      <c r="BA1980" s="20" t="s">
        <v>586</v>
      </c>
      <c r="BB1980" s="28" t="s">
        <v>4388</v>
      </c>
      <c r="BC1980" s="28">
        <v>0</v>
      </c>
      <c r="BD1980" s="28">
        <v>0</v>
      </c>
      <c r="BE1980" s="46" t="s">
        <v>1108</v>
      </c>
      <c r="BF1980" s="46" t="s">
        <v>1109</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spans="3:75" ht="19.5" customHeight="1">
      <c r="C1981" s="19">
        <v>73004303</v>
      </c>
      <c r="D1981" s="18" t="s">
        <v>1091</v>
      </c>
      <c r="E1981" s="18" t="s">
        <v>1092</v>
      </c>
      <c r="F1981" s="19">
        <v>1</v>
      </c>
      <c r="G1981" s="17">
        <v>60010100</v>
      </c>
      <c r="H1981" s="19">
        <v>0</v>
      </c>
      <c r="I1981" s="28">
        <v>0</v>
      </c>
      <c r="J1981" s="19">
        <v>1</v>
      </c>
      <c r="K1981" s="19">
        <v>0</v>
      </c>
      <c r="L1981" s="19">
        <v>0</v>
      </c>
      <c r="M1981" s="17">
        <v>0</v>
      </c>
      <c r="N1981" s="17">
        <v>0</v>
      </c>
      <c r="O1981" s="62">
        <v>2</v>
      </c>
      <c r="P1981" s="17">
        <v>2</v>
      </c>
      <c r="Q1981" s="17">
        <v>0.9</v>
      </c>
      <c r="R1981" s="17">
        <v>0</v>
      </c>
      <c r="S1981" s="13">
        <v>101</v>
      </c>
      <c r="T1981" s="17">
        <v>0</v>
      </c>
      <c r="U1981" s="17">
        <v>1</v>
      </c>
      <c r="V1981" s="17">
        <v>2</v>
      </c>
      <c r="W1981" s="17">
        <v>0</v>
      </c>
      <c r="X1981" s="17">
        <v>3</v>
      </c>
      <c r="Y1981" s="13">
        <v>0</v>
      </c>
      <c r="Z1981" s="17">
        <v>0</v>
      </c>
      <c r="AA1981" s="17">
        <v>1</v>
      </c>
      <c r="AB1981" s="17">
        <v>0</v>
      </c>
      <c r="AC1981" s="17">
        <v>0</v>
      </c>
      <c r="AD1981" s="17">
        <v>0</v>
      </c>
      <c r="AE1981" s="17">
        <v>0</v>
      </c>
      <c r="AF1981" s="17">
        <v>15</v>
      </c>
      <c r="AG1981" s="17">
        <v>1</v>
      </c>
      <c r="AH1981" s="17" t="s">
        <v>607</v>
      </c>
      <c r="AI1981" s="13">
        <v>1</v>
      </c>
      <c r="AJ1981" s="13">
        <v>1</v>
      </c>
      <c r="AK1981" s="13">
        <v>0</v>
      </c>
      <c r="AL1981" s="13">
        <v>3</v>
      </c>
      <c r="AM1981" s="17">
        <v>0</v>
      </c>
      <c r="AN1981" s="17">
        <v>0</v>
      </c>
      <c r="AO1981" s="17">
        <v>0</v>
      </c>
      <c r="AP1981" s="17">
        <v>3</v>
      </c>
      <c r="AQ1981" s="17">
        <v>5000</v>
      </c>
      <c r="AR1981" s="17">
        <v>2.5</v>
      </c>
      <c r="AS1981" s="17">
        <v>0</v>
      </c>
      <c r="AT1981" s="13">
        <v>0</v>
      </c>
      <c r="AU1981" s="17" t="s">
        <v>659</v>
      </c>
      <c r="AV1981" s="17"/>
      <c r="AW1981" s="20" t="s">
        <v>256</v>
      </c>
      <c r="AX1981" s="17" t="s">
        <v>534</v>
      </c>
      <c r="AY1981" s="19">
        <v>10000007</v>
      </c>
      <c r="AZ1981" s="19">
        <v>70403003</v>
      </c>
      <c r="BA1981" s="18" t="s">
        <v>200</v>
      </c>
      <c r="BB1981" s="17">
        <v>0</v>
      </c>
      <c r="BC1981" s="28">
        <v>0</v>
      </c>
      <c r="BD1981" s="28">
        <v>0</v>
      </c>
      <c r="BE1981" s="46" t="s">
        <v>4277</v>
      </c>
      <c r="BF1981" s="46" t="s">
        <v>4278</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20.100000000000001" customHeight="1">
      <c r="C1982" s="19">
        <v>73004304</v>
      </c>
      <c r="D1982" s="20" t="s">
        <v>673</v>
      </c>
      <c r="E1982" s="20" t="s">
        <v>674</v>
      </c>
      <c r="F1982" s="19">
        <v>1</v>
      </c>
      <c r="G1982" s="19">
        <v>60010500</v>
      </c>
      <c r="H1982" s="19">
        <v>0</v>
      </c>
      <c r="I1982" s="28">
        <v>0</v>
      </c>
      <c r="J1982" s="19">
        <v>1</v>
      </c>
      <c r="K1982" s="19">
        <v>0</v>
      </c>
      <c r="L1982" s="19">
        <v>0</v>
      </c>
      <c r="M1982" s="19">
        <v>0</v>
      </c>
      <c r="N1982" s="19">
        <v>0</v>
      </c>
      <c r="O1982" s="62">
        <v>2</v>
      </c>
      <c r="P1982" s="19">
        <v>2</v>
      </c>
      <c r="Q1982" s="19">
        <v>0.6</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7">
        <v>99999</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90104002</v>
      </c>
      <c r="AU1982" s="19" t="s">
        <v>198</v>
      </c>
      <c r="AV1982" s="19"/>
      <c r="AW1982" s="20" t="s">
        <v>199</v>
      </c>
      <c r="AX1982" s="19" t="s">
        <v>348</v>
      </c>
      <c r="AY1982" s="19">
        <v>0</v>
      </c>
      <c r="AZ1982" s="19">
        <v>0</v>
      </c>
      <c r="BA1982" s="20" t="s">
        <v>200</v>
      </c>
      <c r="BB1982" s="20" t="s">
        <v>198</v>
      </c>
      <c r="BC1982" s="28">
        <v>0</v>
      </c>
      <c r="BD1982" s="28">
        <v>0</v>
      </c>
      <c r="BE1982" s="89" t="s">
        <v>675</v>
      </c>
      <c r="BF1982" s="89" t="s">
        <v>676</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spans="3:75" ht="20.100000000000001" customHeight="1">
      <c r="C1983" s="19">
        <v>73004305</v>
      </c>
      <c r="D1983" s="20" t="s">
        <v>4367</v>
      </c>
      <c r="E1983" s="20" t="s">
        <v>4368</v>
      </c>
      <c r="F1983" s="19">
        <v>1</v>
      </c>
      <c r="G1983" s="19">
        <v>60010500</v>
      </c>
      <c r="H1983" s="19">
        <v>0</v>
      </c>
      <c r="I1983" s="28">
        <v>0</v>
      </c>
      <c r="J1983" s="19">
        <v>1</v>
      </c>
      <c r="K1983" s="19">
        <v>0</v>
      </c>
      <c r="L1983" s="19">
        <v>0</v>
      </c>
      <c r="M1983" s="19">
        <v>0</v>
      </c>
      <c r="N1983" s="19">
        <v>0</v>
      </c>
      <c r="O1983" s="62">
        <v>2</v>
      </c>
      <c r="P1983" s="19">
        <v>2</v>
      </c>
      <c r="Q1983" s="19">
        <v>0.95</v>
      </c>
      <c r="R1983" s="19">
        <v>0</v>
      </c>
      <c r="S1983" s="13">
        <v>101</v>
      </c>
      <c r="T1983" s="28">
        <v>0</v>
      </c>
      <c r="U1983" s="17">
        <v>1</v>
      </c>
      <c r="V1983" s="19">
        <v>2</v>
      </c>
      <c r="W1983" s="19">
        <v>0</v>
      </c>
      <c r="X1983" s="19">
        <v>0</v>
      </c>
      <c r="Y1983" s="13">
        <v>0</v>
      </c>
      <c r="Z1983" s="19">
        <v>0</v>
      </c>
      <c r="AA1983" s="19">
        <v>0</v>
      </c>
      <c r="AB1983" s="19">
        <v>0</v>
      </c>
      <c r="AC1983" s="19">
        <v>0</v>
      </c>
      <c r="AD1983" s="17">
        <v>0</v>
      </c>
      <c r="AE1983" s="19">
        <v>0</v>
      </c>
      <c r="AF1983" s="19">
        <v>10</v>
      </c>
      <c r="AG1983" s="19">
        <v>0</v>
      </c>
      <c r="AH1983" s="19">
        <v>0</v>
      </c>
      <c r="AI1983" s="13">
        <v>7</v>
      </c>
      <c r="AJ1983" s="13">
        <v>0</v>
      </c>
      <c r="AK1983" s="13">
        <v>0</v>
      </c>
      <c r="AL1983" s="13">
        <v>0</v>
      </c>
      <c r="AM1983" s="19">
        <v>0</v>
      </c>
      <c r="AN1983" s="19">
        <v>0</v>
      </c>
      <c r="AO1983" s="19">
        <v>0</v>
      </c>
      <c r="AP1983" s="19">
        <v>0</v>
      </c>
      <c r="AQ1983" s="19">
        <v>1000</v>
      </c>
      <c r="AR1983" s="19">
        <v>0.5</v>
      </c>
      <c r="AS1983" s="19">
        <v>0</v>
      </c>
      <c r="AT1983" s="13">
        <v>0</v>
      </c>
      <c r="AU1983" s="363" t="s">
        <v>4389</v>
      </c>
      <c r="AV1983" s="19"/>
      <c r="AW1983" s="20" t="s">
        <v>741</v>
      </c>
      <c r="AX1983" s="19">
        <v>0</v>
      </c>
      <c r="AY1983" s="19">
        <v>10007001</v>
      </c>
      <c r="AZ1983" s="19">
        <v>0</v>
      </c>
      <c r="BA1983" s="20" t="s">
        <v>200</v>
      </c>
      <c r="BB1983" s="20" t="s">
        <v>198</v>
      </c>
      <c r="BC1983" s="28">
        <v>0</v>
      </c>
      <c r="BD1983" s="28">
        <v>0</v>
      </c>
      <c r="BE1983" s="89" t="s">
        <v>4369</v>
      </c>
      <c r="BF1983" s="89" t="s">
        <v>4370</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73004306</v>
      </c>
      <c r="D1984" s="18" t="s">
        <v>600</v>
      </c>
      <c r="E1984" s="18" t="s">
        <v>601</v>
      </c>
      <c r="F1984" s="19">
        <v>1</v>
      </c>
      <c r="G1984" s="17">
        <v>60010300</v>
      </c>
      <c r="H1984" s="19">
        <v>0</v>
      </c>
      <c r="I1984" s="28">
        <v>0</v>
      </c>
      <c r="J1984" s="19">
        <v>1</v>
      </c>
      <c r="K1984" s="19">
        <v>0</v>
      </c>
      <c r="L1984" s="19">
        <v>0</v>
      </c>
      <c r="M1984" s="17">
        <v>0</v>
      </c>
      <c r="N1984" s="17">
        <v>0</v>
      </c>
      <c r="O1984" s="62">
        <v>2</v>
      </c>
      <c r="P1984" s="17">
        <v>2</v>
      </c>
      <c r="Q1984" s="17">
        <v>0.9</v>
      </c>
      <c r="R1984" s="17">
        <v>0</v>
      </c>
      <c r="S1984" s="13">
        <v>0</v>
      </c>
      <c r="T1984" s="17">
        <v>0</v>
      </c>
      <c r="U1984" s="17">
        <v>1</v>
      </c>
      <c r="V1984" s="17">
        <v>2</v>
      </c>
      <c r="W1984" s="17">
        <v>0</v>
      </c>
      <c r="X1984" s="17">
        <v>0</v>
      </c>
      <c r="Y1984" s="13">
        <v>0</v>
      </c>
      <c r="Z1984" s="17">
        <v>0</v>
      </c>
      <c r="AA1984" s="17">
        <v>0</v>
      </c>
      <c r="AB1984" s="17">
        <v>0</v>
      </c>
      <c r="AC1984" s="17">
        <v>0</v>
      </c>
      <c r="AD1984" s="17">
        <v>0</v>
      </c>
      <c r="AE1984" s="17">
        <v>0</v>
      </c>
      <c r="AF1984" s="17">
        <v>30</v>
      </c>
      <c r="AG1984" s="17">
        <v>0</v>
      </c>
      <c r="AH1984" s="17">
        <v>0</v>
      </c>
      <c r="AI1984" s="13">
        <v>2</v>
      </c>
      <c r="AJ1984" s="13">
        <v>2</v>
      </c>
      <c r="AK1984" s="13">
        <v>0</v>
      </c>
      <c r="AL1984" s="13">
        <v>1.5</v>
      </c>
      <c r="AM1984" s="17">
        <v>0</v>
      </c>
      <c r="AN1984" s="17">
        <v>0</v>
      </c>
      <c r="AO1984" s="17">
        <v>0</v>
      </c>
      <c r="AP1984" s="17">
        <v>1</v>
      </c>
      <c r="AQ1984" s="17">
        <v>3000</v>
      </c>
      <c r="AR1984" s="17">
        <v>0.5</v>
      </c>
      <c r="AS1984" s="17">
        <v>0</v>
      </c>
      <c r="AT1984" s="13">
        <v>0</v>
      </c>
      <c r="AU1984" s="17" t="s">
        <v>198</v>
      </c>
      <c r="AV1984" s="17"/>
      <c r="AW1984" s="20" t="s">
        <v>199</v>
      </c>
      <c r="AX1984" s="17" t="s">
        <v>545</v>
      </c>
      <c r="AY1984" s="19">
        <v>0</v>
      </c>
      <c r="AZ1984" s="19">
        <v>0</v>
      </c>
      <c r="BA1984" s="18" t="s">
        <v>528</v>
      </c>
      <c r="BB1984" s="17" t="s">
        <v>4382</v>
      </c>
      <c r="BC1984" s="28">
        <v>0</v>
      </c>
      <c r="BD1984" s="28">
        <v>0</v>
      </c>
      <c r="BE1984" s="46" t="s">
        <v>4383</v>
      </c>
      <c r="BF1984" s="46" t="s">
        <v>4384</v>
      </c>
      <c r="BG1984" s="17">
        <v>0</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66">
        <v>74001001</v>
      </c>
      <c r="D1985" s="61" t="s">
        <v>760</v>
      </c>
      <c r="E1985" s="61" t="s">
        <v>761</v>
      </c>
      <c r="F1985" s="62">
        <v>2</v>
      </c>
      <c r="G1985" s="62">
        <v>61012301</v>
      </c>
      <c r="H1985" s="62">
        <v>0</v>
      </c>
      <c r="I1985" s="68">
        <v>0</v>
      </c>
      <c r="J1985" s="66">
        <v>1</v>
      </c>
      <c r="K1985" s="66">
        <v>0</v>
      </c>
      <c r="L1985" s="66">
        <v>0</v>
      </c>
      <c r="M1985" s="62">
        <v>0</v>
      </c>
      <c r="N1985" s="62">
        <v>0</v>
      </c>
      <c r="O1985" s="62">
        <v>1</v>
      </c>
      <c r="P1985" s="62">
        <v>1</v>
      </c>
      <c r="Q1985" s="62">
        <v>0.5</v>
      </c>
      <c r="R1985" s="62">
        <v>0</v>
      </c>
      <c r="S1985" s="70">
        <v>1</v>
      </c>
      <c r="T1985" s="62">
        <v>0</v>
      </c>
      <c r="U1985" s="62">
        <v>1</v>
      </c>
      <c r="V1985" s="62">
        <v>2</v>
      </c>
      <c r="W1985" s="62">
        <v>0</v>
      </c>
      <c r="X1985" s="62">
        <v>1.4</v>
      </c>
      <c r="Y1985" s="13">
        <v>0</v>
      </c>
      <c r="Z1985" s="62">
        <v>150</v>
      </c>
      <c r="AA1985" s="62">
        <v>1</v>
      </c>
      <c r="AB1985" s="62">
        <v>0</v>
      </c>
      <c r="AC1985" s="62">
        <v>0</v>
      </c>
      <c r="AD1985" s="62">
        <v>0</v>
      </c>
      <c r="AE1985" s="62">
        <v>0</v>
      </c>
      <c r="AF1985" s="62">
        <v>12</v>
      </c>
      <c r="AG1985" s="62">
        <v>2</v>
      </c>
      <c r="AH1985" s="62" t="s">
        <v>213</v>
      </c>
      <c r="AI1985" s="70">
        <v>7</v>
      </c>
      <c r="AJ1985" s="70">
        <v>2</v>
      </c>
      <c r="AK1985" s="13">
        <v>0</v>
      </c>
      <c r="AL1985" s="70">
        <v>1.5</v>
      </c>
      <c r="AM1985" s="62">
        <v>0</v>
      </c>
      <c r="AN1985" s="62">
        <v>0</v>
      </c>
      <c r="AO1985" s="62">
        <v>0</v>
      </c>
      <c r="AP1985" s="62">
        <v>1.5</v>
      </c>
      <c r="AQ1985" s="62">
        <v>1200</v>
      </c>
      <c r="AR1985" s="62">
        <v>1</v>
      </c>
      <c r="AS1985" s="62">
        <v>15</v>
      </c>
      <c r="AT1985" s="70">
        <v>0</v>
      </c>
      <c r="AU1985" s="62" t="s">
        <v>198</v>
      </c>
      <c r="AV1985" s="62"/>
      <c r="AW1985" s="61" t="s">
        <v>256</v>
      </c>
      <c r="AX1985" s="62" t="s">
        <v>215</v>
      </c>
      <c r="AY1985" s="66">
        <v>10000011</v>
      </c>
      <c r="AZ1985" s="66">
        <v>70404001</v>
      </c>
      <c r="BA1985" s="61" t="s">
        <v>216</v>
      </c>
      <c r="BB1985" s="62">
        <v>0</v>
      </c>
      <c r="BC1985" s="68">
        <v>0</v>
      </c>
      <c r="BD1985" s="68">
        <v>0</v>
      </c>
      <c r="BE1985" s="92" t="s">
        <v>798</v>
      </c>
      <c r="BF1985" s="92" t="s">
        <v>799</v>
      </c>
      <c r="BG1985" s="62">
        <v>0</v>
      </c>
      <c r="BH1985" s="62">
        <v>0</v>
      </c>
      <c r="BI1985" s="62">
        <v>0</v>
      </c>
      <c r="BJ1985" s="62">
        <v>0</v>
      </c>
      <c r="BK1985" s="62">
        <v>0</v>
      </c>
      <c r="BL1985" s="62">
        <v>0</v>
      </c>
      <c r="BM1985" s="95">
        <v>0</v>
      </c>
      <c r="BN1985" s="13">
        <v>0</v>
      </c>
      <c r="BO1985" s="13">
        <v>0</v>
      </c>
      <c r="BP1985" s="13">
        <v>0</v>
      </c>
      <c r="BQ1985" s="13">
        <v>0</v>
      </c>
      <c r="BR1985" s="13">
        <v>0</v>
      </c>
      <c r="BS1985" s="13">
        <v>0</v>
      </c>
      <c r="BT1985" s="13">
        <v>0</v>
      </c>
      <c r="BU1985" s="49">
        <v>0</v>
      </c>
      <c r="BV1985" s="49"/>
      <c r="BW1985" s="49"/>
    </row>
    <row r="1986" spans="3:75" ht="20.100000000000001" customHeight="1">
      <c r="C1986" s="66">
        <v>75001001</v>
      </c>
      <c r="D1986" s="20" t="s">
        <v>4390</v>
      </c>
      <c r="E1986" s="20" t="s">
        <v>4391</v>
      </c>
      <c r="F1986" s="19">
        <v>1</v>
      </c>
      <c r="G1986" s="19">
        <v>60010500</v>
      </c>
      <c r="H1986" s="19">
        <v>0</v>
      </c>
      <c r="I1986" s="28">
        <v>0</v>
      </c>
      <c r="J1986" s="19">
        <v>1</v>
      </c>
      <c r="K1986" s="19">
        <v>0</v>
      </c>
      <c r="L1986" s="19">
        <v>0</v>
      </c>
      <c r="M1986" s="19">
        <v>0</v>
      </c>
      <c r="N1986" s="19">
        <v>0</v>
      </c>
      <c r="O1986" s="19">
        <v>1</v>
      </c>
      <c r="P1986" s="19">
        <v>2</v>
      </c>
      <c r="Q1986" s="19">
        <v>1</v>
      </c>
      <c r="R1986" s="19">
        <v>0</v>
      </c>
      <c r="S1986" s="13">
        <v>0</v>
      </c>
      <c r="T1986" s="28">
        <v>0</v>
      </c>
      <c r="U1986" s="17">
        <v>1</v>
      </c>
      <c r="V1986" s="19">
        <v>2</v>
      </c>
      <c r="W1986" s="19">
        <v>0</v>
      </c>
      <c r="X1986" s="19">
        <v>0</v>
      </c>
      <c r="Y1986" s="13">
        <v>0</v>
      </c>
      <c r="Z1986" s="19">
        <v>0</v>
      </c>
      <c r="AA1986" s="19">
        <v>0</v>
      </c>
      <c r="AB1986" s="19">
        <v>0</v>
      </c>
      <c r="AC1986" s="19">
        <v>0</v>
      </c>
      <c r="AD1986" s="19">
        <v>0</v>
      </c>
      <c r="AE1986" s="19">
        <v>0</v>
      </c>
      <c r="AF1986" s="19">
        <v>30</v>
      </c>
      <c r="AG1986" s="19">
        <v>0</v>
      </c>
      <c r="AH1986" s="19">
        <v>0</v>
      </c>
      <c r="AI1986" s="13">
        <v>2</v>
      </c>
      <c r="AJ1986" s="13">
        <v>0</v>
      </c>
      <c r="AK1986" s="13">
        <v>0</v>
      </c>
      <c r="AL1986" s="13">
        <v>0</v>
      </c>
      <c r="AM1986" s="19">
        <v>0</v>
      </c>
      <c r="AN1986" s="19">
        <v>0</v>
      </c>
      <c r="AO1986" s="19">
        <v>0</v>
      </c>
      <c r="AP1986" s="19">
        <v>0</v>
      </c>
      <c r="AQ1986" s="19">
        <v>1000</v>
      </c>
      <c r="AR1986" s="19">
        <v>0</v>
      </c>
      <c r="AS1986" s="19">
        <v>0</v>
      </c>
      <c r="AT1986" s="13">
        <v>69000131</v>
      </c>
      <c r="AU1986" s="19" t="s">
        <v>198</v>
      </c>
      <c r="AV1986" s="19"/>
      <c r="AW1986" s="20" t="s">
        <v>199</v>
      </c>
      <c r="AX1986" s="19" t="s">
        <v>348</v>
      </c>
      <c r="AY1986" s="19">
        <v>0</v>
      </c>
      <c r="AZ1986" s="19">
        <v>40000003</v>
      </c>
      <c r="BA1986" s="20" t="s">
        <v>200</v>
      </c>
      <c r="BB1986" s="20" t="s">
        <v>198</v>
      </c>
      <c r="BC1986" s="28">
        <v>0</v>
      </c>
      <c r="BD1986" s="28">
        <v>0</v>
      </c>
      <c r="BE1986" s="89" t="s">
        <v>540</v>
      </c>
      <c r="BF1986" s="89" t="s">
        <v>541</v>
      </c>
      <c r="BG1986" s="19">
        <v>0</v>
      </c>
      <c r="BH1986" s="17">
        <v>0</v>
      </c>
      <c r="BI1986" s="19">
        <v>0</v>
      </c>
      <c r="BJ1986" s="19">
        <v>0</v>
      </c>
      <c r="BK1986" s="19">
        <v>0</v>
      </c>
      <c r="BL1986" s="19">
        <v>0</v>
      </c>
      <c r="BM1986" s="16">
        <v>0</v>
      </c>
      <c r="BN1986" s="13">
        <v>0</v>
      </c>
      <c r="BO1986" s="13">
        <v>0</v>
      </c>
      <c r="BP1986" s="13">
        <v>0</v>
      </c>
      <c r="BQ1986" s="13">
        <v>0</v>
      </c>
      <c r="BR1986" s="13">
        <v>0</v>
      </c>
      <c r="BS1986" s="13">
        <v>0</v>
      </c>
      <c r="BT1986" s="13">
        <v>0</v>
      </c>
      <c r="BU1986" s="49">
        <v>0</v>
      </c>
      <c r="BV1986" s="49"/>
      <c r="BW1986" s="49"/>
    </row>
    <row r="1987" spans="3:75" ht="19.5" customHeight="1">
      <c r="C1987" s="66">
        <v>76001001</v>
      </c>
      <c r="D1987" s="18" t="s">
        <v>4392</v>
      </c>
      <c r="E1987" s="18" t="s">
        <v>4393</v>
      </c>
      <c r="F1987" s="19">
        <v>1</v>
      </c>
      <c r="G1987" s="17">
        <v>60010100</v>
      </c>
      <c r="H1987" s="19">
        <v>0</v>
      </c>
      <c r="I1987" s="28">
        <v>0</v>
      </c>
      <c r="J1987" s="19">
        <v>1</v>
      </c>
      <c r="K1987" s="19">
        <v>0</v>
      </c>
      <c r="L1987" s="19">
        <v>0</v>
      </c>
      <c r="M1987" s="17">
        <v>0</v>
      </c>
      <c r="N1987" s="17">
        <v>0</v>
      </c>
      <c r="O1987" s="17">
        <v>1</v>
      </c>
      <c r="P1987" s="17">
        <v>0</v>
      </c>
      <c r="Q1987" s="17">
        <v>0</v>
      </c>
      <c r="R1987" s="17">
        <v>0</v>
      </c>
      <c r="S1987" s="13">
        <v>0</v>
      </c>
      <c r="T1987" s="17">
        <v>0</v>
      </c>
      <c r="U1987" s="17">
        <v>1</v>
      </c>
      <c r="V1987" s="17">
        <v>2</v>
      </c>
      <c r="W1987" s="17">
        <v>0</v>
      </c>
      <c r="X1987" s="17">
        <v>0</v>
      </c>
      <c r="Y1987" s="13">
        <v>0</v>
      </c>
      <c r="Z1987" s="17">
        <v>2000</v>
      </c>
      <c r="AA1987" s="17">
        <v>1</v>
      </c>
      <c r="AB1987" s="17">
        <v>0</v>
      </c>
      <c r="AC1987" s="17">
        <v>0</v>
      </c>
      <c r="AD1987" s="17">
        <v>0</v>
      </c>
      <c r="AE1987" s="17">
        <v>0</v>
      </c>
      <c r="AF1987" s="17">
        <v>5</v>
      </c>
      <c r="AG1987" s="17">
        <v>1</v>
      </c>
      <c r="AH1987" s="17">
        <v>3</v>
      </c>
      <c r="AI1987" s="13">
        <v>2</v>
      </c>
      <c r="AJ1987" s="13">
        <v>1</v>
      </c>
      <c r="AK1987" s="13">
        <v>0</v>
      </c>
      <c r="AL1987" s="13">
        <v>6</v>
      </c>
      <c r="AM1987" s="17">
        <v>0</v>
      </c>
      <c r="AN1987" s="17">
        <v>0</v>
      </c>
      <c r="AO1987" s="17">
        <v>0</v>
      </c>
      <c r="AP1987" s="17">
        <v>0</v>
      </c>
      <c r="AQ1987" s="17">
        <v>1000</v>
      </c>
      <c r="AR1987" s="17">
        <v>0</v>
      </c>
      <c r="AS1987" s="17">
        <v>0</v>
      </c>
      <c r="AT1987" s="13">
        <v>0</v>
      </c>
      <c r="AU1987" s="17">
        <v>0</v>
      </c>
      <c r="AV1987" s="17"/>
      <c r="AW1987" s="20" t="s">
        <v>199</v>
      </c>
      <c r="AX1987" s="62" t="s">
        <v>215</v>
      </c>
      <c r="AY1987" s="19">
        <v>10000007</v>
      </c>
      <c r="AZ1987" s="19">
        <v>70203005</v>
      </c>
      <c r="BA1987" s="18" t="s">
        <v>200</v>
      </c>
      <c r="BB1987" s="17">
        <v>0</v>
      </c>
      <c r="BC1987" s="28">
        <v>0</v>
      </c>
      <c r="BD1987" s="28">
        <v>0</v>
      </c>
      <c r="BE1987" s="46" t="s">
        <v>4394</v>
      </c>
      <c r="BF1987" s="46" t="s">
        <v>4395</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20.100000000000001" customHeight="1">
      <c r="C1988" s="19">
        <v>79000001</v>
      </c>
      <c r="D1988" s="20" t="s">
        <v>744</v>
      </c>
      <c r="E1988" s="20" t="s">
        <v>745</v>
      </c>
      <c r="F1988" s="19">
        <v>1</v>
      </c>
      <c r="G1988" s="19">
        <v>60010500</v>
      </c>
      <c r="H1988" s="19">
        <v>0</v>
      </c>
      <c r="I1988" s="28">
        <v>0</v>
      </c>
      <c r="J1988" s="19">
        <v>1</v>
      </c>
      <c r="K1988" s="19">
        <v>0</v>
      </c>
      <c r="L1988" s="19">
        <v>0</v>
      </c>
      <c r="M1988" s="19">
        <v>0</v>
      </c>
      <c r="N1988" s="19">
        <v>0</v>
      </c>
      <c r="O1988" s="17">
        <v>2</v>
      </c>
      <c r="P1988" s="19">
        <v>1</v>
      </c>
      <c r="Q1988" s="19">
        <v>0.1</v>
      </c>
      <c r="R1988" s="19">
        <v>0</v>
      </c>
      <c r="S1988" s="13">
        <v>0</v>
      </c>
      <c r="T1988" s="28">
        <v>0</v>
      </c>
      <c r="U1988" s="17">
        <v>1</v>
      </c>
      <c r="V1988" s="19">
        <v>1</v>
      </c>
      <c r="W1988" s="19">
        <v>0</v>
      </c>
      <c r="X1988" s="19">
        <v>2</v>
      </c>
      <c r="Y1988" s="13">
        <v>0</v>
      </c>
      <c r="Z1988" s="19">
        <v>0</v>
      </c>
      <c r="AA1988" s="19">
        <v>0</v>
      </c>
      <c r="AB1988" s="19">
        <v>0</v>
      </c>
      <c r="AC1988" s="19">
        <v>0</v>
      </c>
      <c r="AD1988" s="17">
        <v>0</v>
      </c>
      <c r="AE1988" s="19">
        <v>0</v>
      </c>
      <c r="AF1988" s="19">
        <v>10</v>
      </c>
      <c r="AG1988" s="19">
        <v>0</v>
      </c>
      <c r="AH1988" s="19">
        <v>0</v>
      </c>
      <c r="AI1988" s="13">
        <v>7</v>
      </c>
      <c r="AJ1988" s="13">
        <v>0</v>
      </c>
      <c r="AK1988" s="13">
        <v>0</v>
      </c>
      <c r="AL1988" s="13">
        <v>0</v>
      </c>
      <c r="AM1988" s="19">
        <v>0</v>
      </c>
      <c r="AN1988" s="19">
        <v>0</v>
      </c>
      <c r="AO1988" s="19">
        <v>0</v>
      </c>
      <c r="AP1988" s="19">
        <v>0</v>
      </c>
      <c r="AQ1988" s="19">
        <v>1000</v>
      </c>
      <c r="AR1988" s="19">
        <v>0.5</v>
      </c>
      <c r="AS1988" s="19">
        <v>0</v>
      </c>
      <c r="AT1988" s="13">
        <v>0</v>
      </c>
      <c r="AU1988" s="19" t="s">
        <v>659</v>
      </c>
      <c r="AV1988" s="19"/>
      <c r="AW1988" s="20" t="s">
        <v>741</v>
      </c>
      <c r="AX1988" s="19">
        <v>0</v>
      </c>
      <c r="AY1988" s="19">
        <v>10007001</v>
      </c>
      <c r="AZ1988" s="19">
        <v>0</v>
      </c>
      <c r="BA1988" s="20" t="s">
        <v>200</v>
      </c>
      <c r="BB1988" s="20" t="s">
        <v>198</v>
      </c>
      <c r="BC1988" s="28">
        <v>0</v>
      </c>
      <c r="BD1988" s="28">
        <v>0</v>
      </c>
      <c r="BE1988" s="89" t="s">
        <v>746</v>
      </c>
      <c r="BF1988" s="89" t="s">
        <v>747</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79000002</v>
      </c>
      <c r="D1989" s="18" t="s">
        <v>1324</v>
      </c>
      <c r="E1989" s="18" t="s">
        <v>1325</v>
      </c>
      <c r="F1989" s="19">
        <v>1</v>
      </c>
      <c r="G1989" s="17">
        <v>60010100</v>
      </c>
      <c r="H1989" s="19">
        <v>0</v>
      </c>
      <c r="I1989" s="28">
        <v>0</v>
      </c>
      <c r="J1989" s="19">
        <v>1</v>
      </c>
      <c r="K1989" s="19">
        <v>0</v>
      </c>
      <c r="L1989" s="19">
        <v>0</v>
      </c>
      <c r="M1989" s="17">
        <v>0</v>
      </c>
      <c r="N1989" s="17">
        <v>0</v>
      </c>
      <c r="O1989" s="62">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10</v>
      </c>
      <c r="AG1989" s="17">
        <v>2</v>
      </c>
      <c r="AH1989" s="17" t="s">
        <v>1036</v>
      </c>
      <c r="AI1989" s="13">
        <v>0</v>
      </c>
      <c r="AJ1989" s="13">
        <v>2</v>
      </c>
      <c r="AK1989" s="13">
        <v>0</v>
      </c>
      <c r="AL1989" s="13">
        <v>1.5</v>
      </c>
      <c r="AM1989" s="17">
        <v>0</v>
      </c>
      <c r="AN1989" s="17">
        <v>0</v>
      </c>
      <c r="AO1989" s="17">
        <v>0</v>
      </c>
      <c r="AP1989" s="17">
        <v>1.5</v>
      </c>
      <c r="AQ1989" s="17">
        <v>10000</v>
      </c>
      <c r="AR1989" s="17">
        <v>1</v>
      </c>
      <c r="AS1989" s="17">
        <v>5</v>
      </c>
      <c r="AT1989" s="13">
        <v>0</v>
      </c>
      <c r="AU1989" s="17" t="s">
        <v>198</v>
      </c>
      <c r="AV1989" s="17"/>
      <c r="AW1989" s="20" t="s">
        <v>617</v>
      </c>
      <c r="AX1989" s="17" t="s">
        <v>534</v>
      </c>
      <c r="AY1989" s="19">
        <v>10000007</v>
      </c>
      <c r="AZ1989" s="19">
        <v>70302003</v>
      </c>
      <c r="BA1989" s="20" t="s">
        <v>586</v>
      </c>
      <c r="BB1989" s="28" t="s">
        <v>4379</v>
      </c>
      <c r="BC1989" s="28">
        <v>0</v>
      </c>
      <c r="BD1989" s="28">
        <v>0</v>
      </c>
      <c r="BE1989" s="46" t="s">
        <v>1108</v>
      </c>
      <c r="BF1989" s="46" t="s">
        <v>1109</v>
      </c>
      <c r="BG1989" s="17">
        <v>1</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spans="3:75" ht="19.5" customHeight="1">
      <c r="C1990" s="19">
        <v>79000003</v>
      </c>
      <c r="D1990" s="18" t="s">
        <v>1091</v>
      </c>
      <c r="E1990" s="18" t="s">
        <v>1092</v>
      </c>
      <c r="F1990" s="19">
        <v>1</v>
      </c>
      <c r="G1990" s="17">
        <v>60010100</v>
      </c>
      <c r="H1990" s="19">
        <v>0</v>
      </c>
      <c r="I1990" s="28">
        <v>0</v>
      </c>
      <c r="J1990" s="19">
        <v>1</v>
      </c>
      <c r="K1990" s="19">
        <v>0</v>
      </c>
      <c r="L1990" s="19">
        <v>0</v>
      </c>
      <c r="M1990" s="17">
        <v>0</v>
      </c>
      <c r="N1990" s="17">
        <v>0</v>
      </c>
      <c r="O1990" s="62">
        <v>2</v>
      </c>
      <c r="P1990" s="17">
        <v>2</v>
      </c>
      <c r="Q1990" s="17">
        <v>0.9</v>
      </c>
      <c r="R1990" s="17">
        <v>0</v>
      </c>
      <c r="S1990" s="13">
        <v>1</v>
      </c>
      <c r="T1990" s="17">
        <v>0</v>
      </c>
      <c r="U1990" s="17">
        <v>1</v>
      </c>
      <c r="V1990" s="17">
        <v>2</v>
      </c>
      <c r="W1990" s="17">
        <v>0</v>
      </c>
      <c r="X1990" s="17">
        <v>2</v>
      </c>
      <c r="Y1990" s="13">
        <v>0</v>
      </c>
      <c r="Z1990" s="17">
        <v>0</v>
      </c>
      <c r="AA1990" s="17">
        <v>1</v>
      </c>
      <c r="AB1990" s="17">
        <v>0</v>
      </c>
      <c r="AC1990" s="17">
        <v>0</v>
      </c>
      <c r="AD1990" s="17">
        <v>0</v>
      </c>
      <c r="AE1990" s="17">
        <v>0</v>
      </c>
      <c r="AF1990" s="17">
        <v>15</v>
      </c>
      <c r="AG1990" s="17">
        <v>1</v>
      </c>
      <c r="AH1990" s="17" t="s">
        <v>607</v>
      </c>
      <c r="AI1990" s="13">
        <v>0</v>
      </c>
      <c r="AJ1990" s="13">
        <v>1</v>
      </c>
      <c r="AK1990" s="13">
        <v>0</v>
      </c>
      <c r="AL1990" s="13">
        <v>3</v>
      </c>
      <c r="AM1990" s="17">
        <v>0</v>
      </c>
      <c r="AN1990" s="17">
        <v>0</v>
      </c>
      <c r="AO1990" s="17">
        <v>0</v>
      </c>
      <c r="AP1990" s="17">
        <v>3</v>
      </c>
      <c r="AQ1990" s="17">
        <v>5000</v>
      </c>
      <c r="AR1990" s="17">
        <v>2.5</v>
      </c>
      <c r="AS1990" s="17">
        <v>0</v>
      </c>
      <c r="AT1990" s="13">
        <v>0</v>
      </c>
      <c r="AU1990" s="17">
        <v>90001023</v>
      </c>
      <c r="AV1990" s="17"/>
      <c r="AW1990" s="20" t="s">
        <v>256</v>
      </c>
      <c r="AX1990" s="17" t="s">
        <v>534</v>
      </c>
      <c r="AY1990" s="19">
        <v>10000007</v>
      </c>
      <c r="AZ1990" s="19">
        <v>70403003</v>
      </c>
      <c r="BA1990" s="18" t="s">
        <v>200</v>
      </c>
      <c r="BB1990" s="17">
        <v>0</v>
      </c>
      <c r="BC1990" s="28">
        <v>0</v>
      </c>
      <c r="BD1990" s="28">
        <v>0</v>
      </c>
      <c r="BE1990" s="46" t="s">
        <v>4277</v>
      </c>
      <c r="BF1990" s="46" t="s">
        <v>4278</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19.5" customHeight="1">
      <c r="C1991" s="19">
        <v>79000004</v>
      </c>
      <c r="D1991" s="18" t="s">
        <v>1091</v>
      </c>
      <c r="E1991" s="18" t="s">
        <v>1092</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2</v>
      </c>
      <c r="Y1991" s="13">
        <v>0</v>
      </c>
      <c r="Z1991" s="17">
        <v>0</v>
      </c>
      <c r="AA1991" s="17">
        <v>1</v>
      </c>
      <c r="AB1991" s="17">
        <v>0</v>
      </c>
      <c r="AC1991" s="17">
        <v>0</v>
      </c>
      <c r="AD1991" s="17">
        <v>0</v>
      </c>
      <c r="AE1991" s="17">
        <v>0</v>
      </c>
      <c r="AF1991" s="17">
        <v>12</v>
      </c>
      <c r="AG1991" s="17">
        <v>1</v>
      </c>
      <c r="AH1991" s="17" t="s">
        <v>607</v>
      </c>
      <c r="AI1991" s="13">
        <v>0</v>
      </c>
      <c r="AJ1991" s="13">
        <v>1</v>
      </c>
      <c r="AK1991" s="13">
        <v>0</v>
      </c>
      <c r="AL1991" s="13">
        <v>3</v>
      </c>
      <c r="AM1991" s="17">
        <v>0</v>
      </c>
      <c r="AN1991" s="17">
        <v>0</v>
      </c>
      <c r="AO1991" s="17">
        <v>0</v>
      </c>
      <c r="AP1991" s="17">
        <v>3</v>
      </c>
      <c r="AQ1991" s="17">
        <v>5000</v>
      </c>
      <c r="AR1991" s="17">
        <v>2.5</v>
      </c>
      <c r="AS1991" s="17">
        <v>0</v>
      </c>
      <c r="AT1991" s="13">
        <v>0</v>
      </c>
      <c r="AU1991" s="17">
        <v>80001030</v>
      </c>
      <c r="AV1991" s="17"/>
      <c r="AW1991" s="20" t="s">
        <v>287</v>
      </c>
      <c r="AX1991" s="17" t="s">
        <v>534</v>
      </c>
      <c r="AY1991" s="19">
        <v>10000007</v>
      </c>
      <c r="AZ1991" s="19">
        <v>70204001</v>
      </c>
      <c r="BA1991" s="18" t="s">
        <v>200</v>
      </c>
      <c r="BB1991" s="17">
        <v>0</v>
      </c>
      <c r="BC1991" s="28">
        <v>0</v>
      </c>
      <c r="BD1991" s="28">
        <v>0</v>
      </c>
      <c r="BE1991" s="46" t="s">
        <v>1093</v>
      </c>
      <c r="BF1991" s="46" t="s">
        <v>1094</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20.100000000000001" customHeight="1">
      <c r="C1992" s="19">
        <v>79000005</v>
      </c>
      <c r="D1992" s="20" t="s">
        <v>673</v>
      </c>
      <c r="E1992" s="20" t="s">
        <v>674</v>
      </c>
      <c r="F1992" s="19">
        <v>1</v>
      </c>
      <c r="G1992" s="19">
        <v>60010500</v>
      </c>
      <c r="H1992" s="19">
        <v>0</v>
      </c>
      <c r="I1992" s="28">
        <v>0</v>
      </c>
      <c r="J1992" s="19">
        <v>1</v>
      </c>
      <c r="K1992" s="19">
        <v>0</v>
      </c>
      <c r="L1992" s="19">
        <v>0</v>
      </c>
      <c r="M1992" s="19">
        <v>0</v>
      </c>
      <c r="N1992" s="19">
        <v>0</v>
      </c>
      <c r="O1992" s="62">
        <v>2</v>
      </c>
      <c r="P1992" s="19">
        <v>2</v>
      </c>
      <c r="Q1992" s="19">
        <v>0.6</v>
      </c>
      <c r="R1992" s="19">
        <v>0</v>
      </c>
      <c r="S1992" s="13">
        <v>0</v>
      </c>
      <c r="T1992" s="28">
        <v>0</v>
      </c>
      <c r="U1992" s="17">
        <v>1</v>
      </c>
      <c r="V1992" s="19">
        <v>2</v>
      </c>
      <c r="W1992" s="19">
        <v>0</v>
      </c>
      <c r="X1992" s="19">
        <v>0</v>
      </c>
      <c r="Y1992" s="13">
        <v>0</v>
      </c>
      <c r="Z1992" s="19">
        <v>0</v>
      </c>
      <c r="AA1992" s="19">
        <v>0</v>
      </c>
      <c r="AB1992" s="19">
        <v>0</v>
      </c>
      <c r="AC1992" s="19">
        <v>0</v>
      </c>
      <c r="AD1992" s="19">
        <v>0</v>
      </c>
      <c r="AE1992" s="19">
        <v>0</v>
      </c>
      <c r="AF1992" s="17">
        <v>99999</v>
      </c>
      <c r="AG1992" s="19">
        <v>0</v>
      </c>
      <c r="AH1992" s="19">
        <v>0</v>
      </c>
      <c r="AI1992" s="13">
        <v>2</v>
      </c>
      <c r="AJ1992" s="13">
        <v>0</v>
      </c>
      <c r="AK1992" s="13">
        <v>0</v>
      </c>
      <c r="AL1992" s="13">
        <v>0</v>
      </c>
      <c r="AM1992" s="19">
        <v>0</v>
      </c>
      <c r="AN1992" s="19">
        <v>0</v>
      </c>
      <c r="AO1992" s="19">
        <v>0</v>
      </c>
      <c r="AP1992" s="19">
        <v>0</v>
      </c>
      <c r="AQ1992" s="19">
        <v>1000</v>
      </c>
      <c r="AR1992" s="19">
        <v>0</v>
      </c>
      <c r="AS1992" s="19">
        <v>0</v>
      </c>
      <c r="AT1992" s="13">
        <v>90104002</v>
      </c>
      <c r="AU1992" s="19" t="s">
        <v>198</v>
      </c>
      <c r="AV1992" s="19"/>
      <c r="AW1992" s="20" t="s">
        <v>199</v>
      </c>
      <c r="AX1992" s="19" t="s">
        <v>348</v>
      </c>
      <c r="AY1992" s="19">
        <v>0</v>
      </c>
      <c r="AZ1992" s="19">
        <v>0</v>
      </c>
      <c r="BA1992" s="20" t="s">
        <v>200</v>
      </c>
      <c r="BB1992" s="20" t="s">
        <v>198</v>
      </c>
      <c r="BC1992" s="28">
        <v>0</v>
      </c>
      <c r="BD1992" s="28">
        <v>0</v>
      </c>
      <c r="BE1992" s="89" t="s">
        <v>675</v>
      </c>
      <c r="BF1992" s="89" t="s">
        <v>676</v>
      </c>
      <c r="BG1992" s="19">
        <v>0</v>
      </c>
      <c r="BH1992" s="17">
        <v>0</v>
      </c>
      <c r="BI1992" s="19">
        <v>0</v>
      </c>
      <c r="BJ1992" s="19">
        <v>0</v>
      </c>
      <c r="BK1992" s="19">
        <v>0</v>
      </c>
      <c r="BL1992" s="19">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79000006</v>
      </c>
      <c r="D1993" s="18" t="s">
        <v>532</v>
      </c>
      <c r="E1993" s="18" t="s">
        <v>255</v>
      </c>
      <c r="F1993" s="19">
        <v>1</v>
      </c>
      <c r="G1993" s="17">
        <v>0</v>
      </c>
      <c r="H1993" s="19">
        <v>0</v>
      </c>
      <c r="I1993" s="28">
        <v>0</v>
      </c>
      <c r="J1993" s="19">
        <v>1</v>
      </c>
      <c r="K1993" s="19">
        <v>0</v>
      </c>
      <c r="L1993" s="19">
        <v>0</v>
      </c>
      <c r="M1993" s="17">
        <v>0</v>
      </c>
      <c r="N1993" s="17">
        <v>0</v>
      </c>
      <c r="O1993" s="17">
        <v>2</v>
      </c>
      <c r="P1993" s="17">
        <v>1</v>
      </c>
      <c r="Q1993" s="17">
        <v>1</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6</v>
      </c>
      <c r="AG1993" s="17">
        <v>1</v>
      </c>
      <c r="AH1993" s="17">
        <v>3</v>
      </c>
      <c r="AI1993" s="13">
        <v>0</v>
      </c>
      <c r="AJ1993" s="13">
        <v>0</v>
      </c>
      <c r="AK1993" s="13">
        <v>0</v>
      </c>
      <c r="AL1993" s="13">
        <v>1.5</v>
      </c>
      <c r="AM1993" s="17">
        <v>0</v>
      </c>
      <c r="AN1993" s="17">
        <v>0</v>
      </c>
      <c r="AO1993" s="17">
        <v>0</v>
      </c>
      <c r="AP1993" s="17">
        <v>1</v>
      </c>
      <c r="AQ1993" s="17">
        <v>5000</v>
      </c>
      <c r="AR1993" s="17">
        <v>0.5</v>
      </c>
      <c r="AS1993" s="17">
        <v>0</v>
      </c>
      <c r="AT1993" s="13">
        <v>0</v>
      </c>
      <c r="AU1993" s="17" t="s">
        <v>198</v>
      </c>
      <c r="AV1993" s="17"/>
      <c r="AW1993" s="20" t="s">
        <v>199</v>
      </c>
      <c r="AX1993" s="17" t="s">
        <v>534</v>
      </c>
      <c r="AY1993" s="19">
        <v>10000007</v>
      </c>
      <c r="AZ1993" s="19">
        <v>70105001</v>
      </c>
      <c r="BA1993" s="18" t="s">
        <v>200</v>
      </c>
      <c r="BB1993" s="17" t="s">
        <v>4195</v>
      </c>
      <c r="BC1993" s="28">
        <v>0</v>
      </c>
      <c r="BD1993" s="28">
        <v>0</v>
      </c>
      <c r="BE1993" s="46" t="s">
        <v>4196</v>
      </c>
      <c r="BF1993" s="46" t="s">
        <v>4197</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79000007</v>
      </c>
      <c r="D1994" s="20" t="s">
        <v>538</v>
      </c>
      <c r="E1994" s="20" t="s">
        <v>539</v>
      </c>
      <c r="F1994" s="19">
        <v>1</v>
      </c>
      <c r="G1994" s="19">
        <v>60010500</v>
      </c>
      <c r="H1994" s="19">
        <v>0</v>
      </c>
      <c r="I1994" s="28">
        <v>0</v>
      </c>
      <c r="J1994" s="19">
        <v>1</v>
      </c>
      <c r="K1994" s="19">
        <v>0</v>
      </c>
      <c r="L1994" s="19">
        <v>0</v>
      </c>
      <c r="M1994" s="19">
        <v>0</v>
      </c>
      <c r="N1994" s="19">
        <v>0</v>
      </c>
      <c r="O1994" s="17">
        <v>2</v>
      </c>
      <c r="P1994" s="19">
        <v>2</v>
      </c>
      <c r="Q1994" s="19">
        <v>0.8</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2</v>
      </c>
      <c r="AJ1994" s="13">
        <v>0</v>
      </c>
      <c r="AK1994" s="13">
        <v>0</v>
      </c>
      <c r="AL1994" s="13">
        <v>0</v>
      </c>
      <c r="AM1994" s="19">
        <v>0</v>
      </c>
      <c r="AN1994" s="19">
        <v>0</v>
      </c>
      <c r="AO1994" s="19">
        <v>0</v>
      </c>
      <c r="AP1994" s="19">
        <v>0</v>
      </c>
      <c r="AQ1994" s="19">
        <v>1000</v>
      </c>
      <c r="AR1994" s="19">
        <v>0</v>
      </c>
      <c r="AS1994" s="19">
        <v>0</v>
      </c>
      <c r="AT1994" s="13">
        <v>90401004</v>
      </c>
      <c r="AU1994" s="19" t="s">
        <v>198</v>
      </c>
      <c r="AV1994" s="19"/>
      <c r="AW1994" s="20" t="s">
        <v>199</v>
      </c>
      <c r="AX1994" s="19" t="s">
        <v>348</v>
      </c>
      <c r="AY1994" s="19">
        <v>0</v>
      </c>
      <c r="AZ1994" s="19">
        <v>40000003</v>
      </c>
      <c r="BA1994" s="20" t="s">
        <v>200</v>
      </c>
      <c r="BB1994" s="20" t="s">
        <v>198</v>
      </c>
      <c r="BC1994" s="28">
        <v>0</v>
      </c>
      <c r="BD1994" s="28">
        <v>0</v>
      </c>
      <c r="BE1994" s="89" t="s">
        <v>864</v>
      </c>
      <c r="BF1994" s="89" t="s">
        <v>865</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spans="3:75" ht="19.5" customHeight="1">
      <c r="C1995" s="19">
        <v>79000008</v>
      </c>
      <c r="D1995" s="18" t="s">
        <v>1124</v>
      </c>
      <c r="E1995" s="18" t="s">
        <v>1125</v>
      </c>
      <c r="F1995" s="19">
        <v>1</v>
      </c>
      <c r="G1995" s="17">
        <v>60010100</v>
      </c>
      <c r="H1995" s="19">
        <v>0</v>
      </c>
      <c r="I1995" s="28">
        <v>0</v>
      </c>
      <c r="J1995" s="19">
        <v>1</v>
      </c>
      <c r="K1995" s="19">
        <v>0</v>
      </c>
      <c r="L1995" s="19">
        <v>0</v>
      </c>
      <c r="M1995" s="17">
        <v>0</v>
      </c>
      <c r="N1995" s="17">
        <v>0</v>
      </c>
      <c r="O1995" s="17">
        <v>2</v>
      </c>
      <c r="P1995" s="17">
        <v>1</v>
      </c>
      <c r="Q1995" s="17">
        <v>0.3</v>
      </c>
      <c r="R1995" s="17">
        <v>0</v>
      </c>
      <c r="S1995" s="13">
        <v>0</v>
      </c>
      <c r="T1995" s="17">
        <v>0</v>
      </c>
      <c r="U1995" s="17">
        <v>1</v>
      </c>
      <c r="V1995" s="17">
        <v>2</v>
      </c>
      <c r="W1995" s="17">
        <v>0</v>
      </c>
      <c r="X1995" s="17">
        <v>1</v>
      </c>
      <c r="Y1995" s="13">
        <v>0</v>
      </c>
      <c r="Z1995" s="17">
        <v>0</v>
      </c>
      <c r="AA1995" s="17">
        <v>1</v>
      </c>
      <c r="AB1995" s="17">
        <v>0</v>
      </c>
      <c r="AC1995" s="17">
        <v>0</v>
      </c>
      <c r="AD1995" s="17">
        <v>0</v>
      </c>
      <c r="AE1995" s="17">
        <v>0</v>
      </c>
      <c r="AF1995" s="17">
        <v>30</v>
      </c>
      <c r="AG1995" s="17">
        <v>1</v>
      </c>
      <c r="AH1995" s="17" t="s">
        <v>861</v>
      </c>
      <c r="AI1995" s="13">
        <v>0</v>
      </c>
      <c r="AJ1995" s="13">
        <v>0</v>
      </c>
      <c r="AK1995" s="13">
        <v>0</v>
      </c>
      <c r="AL1995" s="13">
        <v>0</v>
      </c>
      <c r="AM1995" s="17">
        <v>0</v>
      </c>
      <c r="AN1995" s="17">
        <v>0</v>
      </c>
      <c r="AO1995" s="17">
        <v>0</v>
      </c>
      <c r="AP1995" s="17">
        <v>0.5</v>
      </c>
      <c r="AQ1995" s="17">
        <v>999999</v>
      </c>
      <c r="AR1995" s="17">
        <v>0.5</v>
      </c>
      <c r="AS1995" s="17">
        <v>0</v>
      </c>
      <c r="AT1995" s="13">
        <v>0</v>
      </c>
      <c r="AU1995" s="355" t="s">
        <v>1019</v>
      </c>
      <c r="AV1995" s="13"/>
      <c r="AW1995" s="20" t="s">
        <v>287</v>
      </c>
      <c r="AX1995" s="17" t="s">
        <v>534</v>
      </c>
      <c r="AY1995" s="19">
        <v>10000007</v>
      </c>
      <c r="AZ1995" s="19">
        <v>70202004</v>
      </c>
      <c r="BA1995" s="20" t="s">
        <v>315</v>
      </c>
      <c r="BB1995" s="20" t="s">
        <v>371</v>
      </c>
      <c r="BC1995" s="28">
        <v>0</v>
      </c>
      <c r="BD1995" s="28">
        <v>0</v>
      </c>
      <c r="BE1995" s="46" t="s">
        <v>4357</v>
      </c>
      <c r="BF1995" s="46" t="s">
        <v>4358</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9">
        <v>79000009</v>
      </c>
      <c r="D1996" s="18" t="s">
        <v>543</v>
      </c>
      <c r="E1996" s="18" t="s">
        <v>544</v>
      </c>
      <c r="F1996" s="19">
        <v>1</v>
      </c>
      <c r="G1996" s="17">
        <v>60010300</v>
      </c>
      <c r="H1996" s="19">
        <v>0</v>
      </c>
      <c r="I1996" s="28">
        <v>0</v>
      </c>
      <c r="J1996" s="19">
        <v>1</v>
      </c>
      <c r="K1996" s="19">
        <v>0</v>
      </c>
      <c r="L1996" s="19">
        <v>0</v>
      </c>
      <c r="M1996" s="17">
        <v>0</v>
      </c>
      <c r="N1996" s="17">
        <v>0</v>
      </c>
      <c r="O1996" s="17">
        <v>2</v>
      </c>
      <c r="P1996" s="17">
        <v>1</v>
      </c>
      <c r="Q1996" s="17">
        <v>0.5</v>
      </c>
      <c r="R1996" s="17">
        <v>0</v>
      </c>
      <c r="S1996" s="13">
        <v>0</v>
      </c>
      <c r="T1996" s="17">
        <v>0</v>
      </c>
      <c r="U1996" s="17">
        <v>1</v>
      </c>
      <c r="V1996" s="17">
        <v>2</v>
      </c>
      <c r="W1996" s="17">
        <v>0</v>
      </c>
      <c r="X1996" s="17">
        <v>2</v>
      </c>
      <c r="Y1996" s="13">
        <v>0</v>
      </c>
      <c r="Z1996" s="17">
        <v>0</v>
      </c>
      <c r="AA1996" s="17">
        <v>0</v>
      </c>
      <c r="AB1996" s="17">
        <v>0</v>
      </c>
      <c r="AC1996" s="17">
        <v>0</v>
      </c>
      <c r="AD1996" s="17">
        <v>0</v>
      </c>
      <c r="AE1996" s="17">
        <v>0</v>
      </c>
      <c r="AF1996" s="17">
        <v>12</v>
      </c>
      <c r="AG1996" s="17">
        <v>2</v>
      </c>
      <c r="AH1996" s="17" t="s">
        <v>213</v>
      </c>
      <c r="AI1996" s="13">
        <v>0</v>
      </c>
      <c r="AJ1996" s="13">
        <v>2</v>
      </c>
      <c r="AK1996" s="13">
        <v>0</v>
      </c>
      <c r="AL1996" s="13">
        <v>1.5</v>
      </c>
      <c r="AM1996" s="17">
        <v>0</v>
      </c>
      <c r="AN1996" s="17">
        <v>0</v>
      </c>
      <c r="AO1996" s="17">
        <v>0</v>
      </c>
      <c r="AP1996" s="17">
        <v>2.5</v>
      </c>
      <c r="AQ1996" s="17">
        <v>4000</v>
      </c>
      <c r="AR1996" s="17">
        <v>2</v>
      </c>
      <c r="AS1996" s="17">
        <v>0</v>
      </c>
      <c r="AT1996" s="13">
        <v>0</v>
      </c>
      <c r="AU1996" s="17" t="s">
        <v>198</v>
      </c>
      <c r="AV1996" s="17"/>
      <c r="AW1996" s="20" t="s">
        <v>287</v>
      </c>
      <c r="AX1996" s="17" t="s">
        <v>545</v>
      </c>
      <c r="AY1996" s="19">
        <v>10001007</v>
      </c>
      <c r="AZ1996" s="19">
        <v>70103001</v>
      </c>
      <c r="BA1996" s="18" t="s">
        <v>200</v>
      </c>
      <c r="BB1996" s="17">
        <v>0</v>
      </c>
      <c r="BC1996" s="28">
        <v>0</v>
      </c>
      <c r="BD1996" s="28">
        <v>0</v>
      </c>
      <c r="BE1996" s="46" t="s">
        <v>546</v>
      </c>
      <c r="BF1996" s="46" t="s">
        <v>547</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19.5" customHeight="1">
      <c r="C1997" s="19">
        <v>79000010</v>
      </c>
      <c r="D1997" s="18" t="s">
        <v>4326</v>
      </c>
      <c r="E1997" s="18" t="s">
        <v>4327</v>
      </c>
      <c r="F1997" s="19">
        <v>1</v>
      </c>
      <c r="G1997" s="17">
        <v>60010100</v>
      </c>
      <c r="H1997" s="19">
        <v>0</v>
      </c>
      <c r="I1997" s="28">
        <v>0</v>
      </c>
      <c r="J1997" s="19">
        <v>1</v>
      </c>
      <c r="K1997" s="19">
        <v>0</v>
      </c>
      <c r="L1997" s="19">
        <v>0</v>
      </c>
      <c r="M1997" s="17">
        <v>0</v>
      </c>
      <c r="N1997" s="17">
        <v>0</v>
      </c>
      <c r="O1997" s="17">
        <v>2</v>
      </c>
      <c r="P1997" s="17">
        <v>1</v>
      </c>
      <c r="Q1997" s="17">
        <v>0.3</v>
      </c>
      <c r="R1997" s="17">
        <v>0</v>
      </c>
      <c r="S1997" s="13">
        <v>0</v>
      </c>
      <c r="T1997" s="17">
        <v>0</v>
      </c>
      <c r="U1997" s="17">
        <v>1</v>
      </c>
      <c r="V1997" s="17">
        <v>2</v>
      </c>
      <c r="W1997" s="17">
        <v>0</v>
      </c>
      <c r="X1997" s="17">
        <v>2</v>
      </c>
      <c r="Y1997" s="13">
        <v>0</v>
      </c>
      <c r="Z1997" s="17">
        <v>0</v>
      </c>
      <c r="AA1997" s="17">
        <v>1</v>
      </c>
      <c r="AB1997" s="17">
        <v>0</v>
      </c>
      <c r="AC1997" s="17">
        <v>0</v>
      </c>
      <c r="AD1997" s="17">
        <v>0</v>
      </c>
      <c r="AE1997" s="17">
        <v>0</v>
      </c>
      <c r="AF1997" s="17">
        <v>20</v>
      </c>
      <c r="AG1997" s="17">
        <v>1</v>
      </c>
      <c r="AH1997" s="17" t="s">
        <v>861</v>
      </c>
      <c r="AI1997" s="13">
        <v>1</v>
      </c>
      <c r="AJ1997" s="13">
        <v>0</v>
      </c>
      <c r="AK1997" s="13">
        <v>0</v>
      </c>
      <c r="AL1997" s="13">
        <v>0</v>
      </c>
      <c r="AM1997" s="17">
        <v>0</v>
      </c>
      <c r="AN1997" s="17">
        <v>0</v>
      </c>
      <c r="AO1997" s="17">
        <v>0</v>
      </c>
      <c r="AP1997" s="17">
        <v>0.5</v>
      </c>
      <c r="AQ1997" s="17">
        <v>999999</v>
      </c>
      <c r="AR1997" s="17">
        <v>2</v>
      </c>
      <c r="AS1997" s="17">
        <v>0</v>
      </c>
      <c r="AT1997" s="13">
        <v>0</v>
      </c>
      <c r="AU1997" s="17" t="s">
        <v>854</v>
      </c>
      <c r="AV1997" s="17"/>
      <c r="AW1997" s="20" t="s">
        <v>287</v>
      </c>
      <c r="AX1997" s="17" t="s">
        <v>534</v>
      </c>
      <c r="AY1997" s="19">
        <v>10000007</v>
      </c>
      <c r="AZ1997" s="19">
        <v>70405007</v>
      </c>
      <c r="BA1997" s="20" t="s">
        <v>315</v>
      </c>
      <c r="BB1997" s="20" t="s">
        <v>371</v>
      </c>
      <c r="BC1997" s="28">
        <v>0</v>
      </c>
      <c r="BD1997" s="28">
        <v>0</v>
      </c>
      <c r="BE1997" s="46" t="s">
        <v>4328</v>
      </c>
      <c r="BF1997" s="46" t="s">
        <v>4329</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spans="3:75" ht="20.100000000000001" customHeight="1">
      <c r="C1998" s="19">
        <v>79000011</v>
      </c>
      <c r="D1998" s="20" t="s">
        <v>4367</v>
      </c>
      <c r="E1998" s="20" t="s">
        <v>4368</v>
      </c>
      <c r="F1998" s="19">
        <v>1</v>
      </c>
      <c r="G1998" s="19">
        <v>60010500</v>
      </c>
      <c r="H1998" s="19">
        <v>0</v>
      </c>
      <c r="I1998" s="28">
        <v>0</v>
      </c>
      <c r="J1998" s="19">
        <v>1</v>
      </c>
      <c r="K1998" s="19">
        <v>0</v>
      </c>
      <c r="L1998" s="19">
        <v>0</v>
      </c>
      <c r="M1998" s="19">
        <v>0</v>
      </c>
      <c r="N1998" s="19">
        <v>0</v>
      </c>
      <c r="O1998" s="17">
        <v>2</v>
      </c>
      <c r="P1998" s="19">
        <v>2</v>
      </c>
      <c r="Q1998" s="19">
        <v>0.95</v>
      </c>
      <c r="R1998" s="19">
        <v>0</v>
      </c>
      <c r="S1998" s="13">
        <v>0</v>
      </c>
      <c r="T1998" s="28">
        <v>0</v>
      </c>
      <c r="U1998" s="17">
        <v>1</v>
      </c>
      <c r="V1998" s="19">
        <v>2</v>
      </c>
      <c r="W1998" s="19">
        <v>0</v>
      </c>
      <c r="X1998" s="19">
        <v>0</v>
      </c>
      <c r="Y1998" s="13">
        <v>0</v>
      </c>
      <c r="Z1998" s="19">
        <v>0</v>
      </c>
      <c r="AA1998" s="19">
        <v>0</v>
      </c>
      <c r="AB1998" s="19">
        <v>0</v>
      </c>
      <c r="AC1998" s="19">
        <v>0</v>
      </c>
      <c r="AD1998" s="17">
        <v>0</v>
      </c>
      <c r="AE1998" s="19">
        <v>0</v>
      </c>
      <c r="AF1998" s="19">
        <v>20</v>
      </c>
      <c r="AG1998" s="19">
        <v>0</v>
      </c>
      <c r="AH1998" s="19">
        <v>0</v>
      </c>
      <c r="AI1998" s="13">
        <v>7</v>
      </c>
      <c r="AJ1998" s="13">
        <v>0</v>
      </c>
      <c r="AK1998" s="13">
        <v>0</v>
      </c>
      <c r="AL1998" s="13">
        <v>0</v>
      </c>
      <c r="AM1998" s="19">
        <v>0</v>
      </c>
      <c r="AN1998" s="19">
        <v>0</v>
      </c>
      <c r="AO1998" s="19">
        <v>0</v>
      </c>
      <c r="AP1998" s="19">
        <v>0</v>
      </c>
      <c r="AQ1998" s="19">
        <v>1000</v>
      </c>
      <c r="AR1998" s="19">
        <v>0.5</v>
      </c>
      <c r="AS1998" s="19">
        <v>0</v>
      </c>
      <c r="AT1998" s="13">
        <v>0</v>
      </c>
      <c r="AU1998" s="19">
        <v>83000001</v>
      </c>
      <c r="AV1998" s="19"/>
      <c r="AW1998" s="20" t="s">
        <v>741</v>
      </c>
      <c r="AX1998" s="19">
        <v>0</v>
      </c>
      <c r="AY1998" s="19">
        <v>10007001</v>
      </c>
      <c r="AZ1998" s="19">
        <v>0</v>
      </c>
      <c r="BA1998" s="20" t="s">
        <v>200</v>
      </c>
      <c r="BB1998" s="20" t="s">
        <v>198</v>
      </c>
      <c r="BC1998" s="28">
        <v>0</v>
      </c>
      <c r="BD1998" s="28">
        <v>0</v>
      </c>
      <c r="BE1998" s="89" t="s">
        <v>4369</v>
      </c>
      <c r="BF1998" s="89" t="s">
        <v>4370</v>
      </c>
      <c r="BG1998" s="19">
        <v>0</v>
      </c>
      <c r="BH1998" s="17">
        <v>0</v>
      </c>
      <c r="BI1998" s="19">
        <v>0</v>
      </c>
      <c r="BJ1998" s="19">
        <v>0</v>
      </c>
      <c r="BK1998" s="19">
        <v>0</v>
      </c>
      <c r="BL1998" s="19">
        <v>0</v>
      </c>
      <c r="BM1998" s="16">
        <v>0</v>
      </c>
      <c r="BN1998" s="13">
        <v>0</v>
      </c>
      <c r="BO1998" s="13">
        <v>0</v>
      </c>
      <c r="BP1998" s="13">
        <v>0</v>
      </c>
      <c r="BQ1998" s="13">
        <v>0</v>
      </c>
      <c r="BR1998" s="13">
        <v>0</v>
      </c>
      <c r="BS1998" s="13">
        <v>0</v>
      </c>
      <c r="BT1998" s="13">
        <v>0</v>
      </c>
      <c r="BU1998" s="49">
        <v>0</v>
      </c>
      <c r="BV1998" s="49"/>
      <c r="BW1998" s="49"/>
    </row>
    <row r="1999" spans="3:75" ht="20.100000000000001" customHeight="1">
      <c r="C1999" s="19">
        <v>79000012</v>
      </c>
      <c r="D1999" s="18" t="s">
        <v>760</v>
      </c>
      <c r="E1999" s="18" t="s">
        <v>761</v>
      </c>
      <c r="F1999" s="17">
        <v>2</v>
      </c>
      <c r="G1999" s="17">
        <v>61012301</v>
      </c>
      <c r="H1999" s="17">
        <v>0</v>
      </c>
      <c r="I1999" s="28">
        <v>0</v>
      </c>
      <c r="J1999" s="19">
        <v>1</v>
      </c>
      <c r="K1999" s="19">
        <v>0</v>
      </c>
      <c r="L1999" s="19">
        <v>0</v>
      </c>
      <c r="M1999" s="17">
        <v>0</v>
      </c>
      <c r="N1999" s="17">
        <v>0</v>
      </c>
      <c r="O1999" s="17">
        <v>2</v>
      </c>
      <c r="P1999" s="17">
        <v>1</v>
      </c>
      <c r="Q1999" s="17">
        <v>0.5</v>
      </c>
      <c r="R1999" s="17">
        <v>0</v>
      </c>
      <c r="S1999" s="13">
        <v>0</v>
      </c>
      <c r="T1999" s="17">
        <v>0</v>
      </c>
      <c r="U1999" s="17">
        <v>1</v>
      </c>
      <c r="V1999" s="17">
        <v>2</v>
      </c>
      <c r="W1999" s="17">
        <v>0</v>
      </c>
      <c r="X1999" s="17">
        <v>1.4</v>
      </c>
      <c r="Y1999" s="13">
        <v>0</v>
      </c>
      <c r="Z1999" s="17">
        <v>150</v>
      </c>
      <c r="AA1999" s="17">
        <v>1</v>
      </c>
      <c r="AB1999" s="17">
        <v>0</v>
      </c>
      <c r="AC1999" s="17">
        <v>0</v>
      </c>
      <c r="AD1999" s="17">
        <v>0</v>
      </c>
      <c r="AE1999" s="17">
        <v>0</v>
      </c>
      <c r="AF1999" s="17">
        <v>12</v>
      </c>
      <c r="AG1999" s="17">
        <v>2</v>
      </c>
      <c r="AH1999" s="17" t="s">
        <v>213</v>
      </c>
      <c r="AI1999" s="13">
        <v>0</v>
      </c>
      <c r="AJ1999" s="13">
        <v>2</v>
      </c>
      <c r="AK1999" s="13">
        <v>0</v>
      </c>
      <c r="AL1999" s="13">
        <v>1.5</v>
      </c>
      <c r="AM1999" s="17">
        <v>0</v>
      </c>
      <c r="AN1999" s="17">
        <v>0</v>
      </c>
      <c r="AO1999" s="17">
        <v>0</v>
      </c>
      <c r="AP1999" s="17">
        <v>1.5</v>
      </c>
      <c r="AQ1999" s="17">
        <v>1200</v>
      </c>
      <c r="AR1999" s="17">
        <v>1</v>
      </c>
      <c r="AS1999" s="17">
        <v>15</v>
      </c>
      <c r="AT1999" s="13">
        <v>0</v>
      </c>
      <c r="AU1999" s="17" t="s">
        <v>198</v>
      </c>
      <c r="AV1999" s="17"/>
      <c r="AW1999" s="18" t="s">
        <v>256</v>
      </c>
      <c r="AX1999" s="17" t="s">
        <v>215</v>
      </c>
      <c r="AY1999" s="19">
        <v>10000011</v>
      </c>
      <c r="AZ1999" s="19">
        <v>70404001</v>
      </c>
      <c r="BA1999" s="18" t="s">
        <v>216</v>
      </c>
      <c r="BB1999" s="17">
        <v>0</v>
      </c>
      <c r="BC1999" s="28">
        <v>0</v>
      </c>
      <c r="BD1999" s="28">
        <v>0</v>
      </c>
      <c r="BE1999" s="46" t="s">
        <v>798</v>
      </c>
      <c r="BF1999" s="46" t="s">
        <v>799</v>
      </c>
      <c r="BG1999" s="17">
        <v>0</v>
      </c>
      <c r="BH1999" s="17">
        <v>0</v>
      </c>
      <c r="BI1999" s="17">
        <v>0</v>
      </c>
      <c r="BJ1999" s="17">
        <v>0</v>
      </c>
      <c r="BK1999" s="17">
        <v>0</v>
      </c>
      <c r="BL1999" s="17">
        <v>0</v>
      </c>
      <c r="BM1999" s="16">
        <v>0</v>
      </c>
      <c r="BN1999" s="13">
        <v>0</v>
      </c>
      <c r="BO1999" s="13">
        <v>0</v>
      </c>
      <c r="BP1999" s="13">
        <v>0</v>
      </c>
      <c r="BQ1999" s="13">
        <v>0</v>
      </c>
      <c r="BR1999" s="13">
        <v>0</v>
      </c>
      <c r="BS1999" s="13">
        <v>0</v>
      </c>
      <c r="BT1999" s="13">
        <v>0</v>
      </c>
      <c r="BU1999" s="49">
        <v>0</v>
      </c>
      <c r="BV1999" s="49"/>
      <c r="BW1999" s="49"/>
    </row>
    <row r="2000" spans="3:75" ht="20.100000000000001" customHeight="1">
      <c r="C2000" s="102">
        <v>79000013</v>
      </c>
      <c r="D2000" s="101" t="s">
        <v>769</v>
      </c>
      <c r="E2000" s="101" t="s">
        <v>770</v>
      </c>
      <c r="F2000" s="103">
        <v>1</v>
      </c>
      <c r="G2000" s="103">
        <v>61012201</v>
      </c>
      <c r="H2000" s="103">
        <v>0</v>
      </c>
      <c r="I2000" s="107">
        <v>0</v>
      </c>
      <c r="J2000" s="102">
        <v>1</v>
      </c>
      <c r="K2000" s="103">
        <v>0</v>
      </c>
      <c r="L2000" s="103">
        <v>0</v>
      </c>
      <c r="M2000" s="103">
        <v>0</v>
      </c>
      <c r="N2000" s="103">
        <v>0</v>
      </c>
      <c r="O2000" s="103">
        <v>2</v>
      </c>
      <c r="P2000" s="103">
        <v>2</v>
      </c>
      <c r="Q2000" s="103">
        <v>0.8</v>
      </c>
      <c r="R2000" s="103">
        <v>0</v>
      </c>
      <c r="S2000" s="108">
        <v>0</v>
      </c>
      <c r="T2000" s="103">
        <v>0</v>
      </c>
      <c r="U2000" s="103">
        <v>1</v>
      </c>
      <c r="V2000" s="103">
        <v>2</v>
      </c>
      <c r="W2000" s="103">
        <v>0</v>
      </c>
      <c r="X2000" s="103">
        <v>3</v>
      </c>
      <c r="Y2000" s="13">
        <v>0</v>
      </c>
      <c r="Z2000" s="103">
        <v>0</v>
      </c>
      <c r="AA2000" s="103">
        <v>1</v>
      </c>
      <c r="AB2000" s="103">
        <v>0</v>
      </c>
      <c r="AC2000" s="103">
        <v>0</v>
      </c>
      <c r="AD2000" s="103">
        <v>0</v>
      </c>
      <c r="AE2000" s="103">
        <v>0</v>
      </c>
      <c r="AF2000" s="103">
        <v>12</v>
      </c>
      <c r="AG2000" s="103">
        <v>1</v>
      </c>
      <c r="AH2000" s="103">
        <v>3</v>
      </c>
      <c r="AI2000" s="108">
        <v>0</v>
      </c>
      <c r="AJ2000" s="108">
        <v>1</v>
      </c>
      <c r="AK2000" s="108">
        <v>0</v>
      </c>
      <c r="AL2000" s="108">
        <v>1.5</v>
      </c>
      <c r="AM2000" s="103">
        <v>0</v>
      </c>
      <c r="AN2000" s="103">
        <v>0</v>
      </c>
      <c r="AO2000" s="103">
        <v>0</v>
      </c>
      <c r="AP2000" s="103">
        <v>1</v>
      </c>
      <c r="AQ2000" s="103">
        <v>4000</v>
      </c>
      <c r="AR2000" s="103">
        <v>1</v>
      </c>
      <c r="AS2000" s="103">
        <v>0</v>
      </c>
      <c r="AT2000" s="108">
        <v>90104021</v>
      </c>
      <c r="AU2000" s="103">
        <v>90104022</v>
      </c>
      <c r="AV2000" s="103"/>
      <c r="AW2000" s="101" t="s">
        <v>762</v>
      </c>
      <c r="AX2000" s="103" t="s">
        <v>534</v>
      </c>
      <c r="AY2000" s="102">
        <v>10000001</v>
      </c>
      <c r="AZ2000" s="102">
        <v>62001403</v>
      </c>
      <c r="BA2000" s="101" t="s">
        <v>771</v>
      </c>
      <c r="BB2000" s="103">
        <v>0</v>
      </c>
      <c r="BC2000" s="107">
        <v>0</v>
      </c>
      <c r="BD2000" s="107">
        <v>0</v>
      </c>
      <c r="BE2000" s="139" t="s">
        <v>4396</v>
      </c>
      <c r="BF2000" s="139" t="s">
        <v>4397</v>
      </c>
      <c r="BG2000" s="103">
        <v>0</v>
      </c>
      <c r="BH2000" s="103">
        <v>0</v>
      </c>
      <c r="BI2000" s="103">
        <v>0</v>
      </c>
      <c r="BJ2000" s="103">
        <v>0</v>
      </c>
      <c r="BK2000" s="103">
        <v>0</v>
      </c>
      <c r="BL2000" s="103">
        <v>0</v>
      </c>
      <c r="BM2000" s="99">
        <v>0</v>
      </c>
      <c r="BN2000" s="108">
        <v>0</v>
      </c>
      <c r="BO2000" s="108">
        <v>0</v>
      </c>
      <c r="BP2000" s="108">
        <v>0</v>
      </c>
      <c r="BQ2000" s="108">
        <v>0</v>
      </c>
      <c r="BR2000" s="108">
        <v>0</v>
      </c>
      <c r="BS2000" s="108">
        <v>0</v>
      </c>
      <c r="BT2000" s="13">
        <v>0</v>
      </c>
      <c r="BU2000" s="49">
        <v>0</v>
      </c>
      <c r="BV2000" s="49"/>
      <c r="BW2000" s="49"/>
    </row>
    <row r="2001" spans="3:75" ht="20.100000000000001" customHeight="1">
      <c r="C2001" s="102">
        <v>79000014</v>
      </c>
      <c r="D2001" s="100" t="s">
        <v>731</v>
      </c>
      <c r="E2001" s="100" t="s">
        <v>674</v>
      </c>
      <c r="F2001" s="99">
        <v>1</v>
      </c>
      <c r="G2001" s="99">
        <v>60010002</v>
      </c>
      <c r="H2001" s="99">
        <v>0</v>
      </c>
      <c r="I2001" s="106">
        <v>0</v>
      </c>
      <c r="J2001" s="99">
        <v>1</v>
      </c>
      <c r="K2001" s="99">
        <v>0</v>
      </c>
      <c r="L2001" s="106">
        <v>0</v>
      </c>
      <c r="M2001" s="106">
        <v>0</v>
      </c>
      <c r="N2001" s="99">
        <v>0</v>
      </c>
      <c r="O2001" s="99">
        <v>2</v>
      </c>
      <c r="P2001" s="99">
        <v>2</v>
      </c>
      <c r="Q2001" s="103">
        <v>0.8</v>
      </c>
      <c r="R2001" s="99">
        <v>1</v>
      </c>
      <c r="S2001" s="108">
        <v>0</v>
      </c>
      <c r="T2001" s="99">
        <v>0</v>
      </c>
      <c r="U2001" s="103">
        <v>1</v>
      </c>
      <c r="V2001" s="99">
        <v>1</v>
      </c>
      <c r="W2001" s="106">
        <v>0</v>
      </c>
      <c r="X2001" s="99">
        <v>2</v>
      </c>
      <c r="Y2001" s="13">
        <v>0</v>
      </c>
      <c r="Z2001" s="99">
        <v>0</v>
      </c>
      <c r="AA2001" s="99">
        <v>0</v>
      </c>
      <c r="AB2001" s="99">
        <v>0</v>
      </c>
      <c r="AC2001" s="106">
        <v>0</v>
      </c>
      <c r="AD2001" s="99">
        <v>0</v>
      </c>
      <c r="AE2001" s="99">
        <v>0</v>
      </c>
      <c r="AF2001" s="99">
        <v>10</v>
      </c>
      <c r="AG2001" s="99">
        <v>1</v>
      </c>
      <c r="AH2001" s="99">
        <v>5</v>
      </c>
      <c r="AI2001" s="109">
        <v>0</v>
      </c>
      <c r="AJ2001" s="109">
        <v>1</v>
      </c>
      <c r="AK2001" s="108">
        <v>0</v>
      </c>
      <c r="AL2001" s="99">
        <v>2.5</v>
      </c>
      <c r="AM2001" s="110">
        <v>0</v>
      </c>
      <c r="AN2001" s="99">
        <v>1</v>
      </c>
      <c r="AO2001" s="99">
        <v>0</v>
      </c>
      <c r="AP2001" s="99">
        <v>1</v>
      </c>
      <c r="AQ2001" s="99">
        <v>3000</v>
      </c>
      <c r="AR2001" s="99">
        <v>1</v>
      </c>
      <c r="AS2001" s="99">
        <v>0</v>
      </c>
      <c r="AT2001" s="349" t="s">
        <v>732</v>
      </c>
      <c r="AU2001" s="350" t="s">
        <v>733</v>
      </c>
      <c r="AV2001" s="112"/>
      <c r="AW2001" s="99" t="s">
        <v>287</v>
      </c>
      <c r="AX2001" s="106">
        <v>0</v>
      </c>
      <c r="AY2001" s="106">
        <v>0</v>
      </c>
      <c r="AZ2001" s="106">
        <v>62001401</v>
      </c>
      <c r="BA2001" s="104" t="s">
        <v>200</v>
      </c>
      <c r="BB2001" s="103">
        <v>0</v>
      </c>
      <c r="BC2001" s="107">
        <v>0</v>
      </c>
      <c r="BD2001" s="107">
        <v>0</v>
      </c>
      <c r="BE2001" s="120" t="s">
        <v>4398</v>
      </c>
      <c r="BF2001" s="120" t="s">
        <v>4399</v>
      </c>
      <c r="BG2001" s="99">
        <v>0</v>
      </c>
      <c r="BH2001" s="99">
        <v>0</v>
      </c>
      <c r="BI2001" s="102">
        <v>0</v>
      </c>
      <c r="BJ2001" s="99">
        <v>0</v>
      </c>
      <c r="BK2001" s="99">
        <v>0</v>
      </c>
      <c r="BL2001" s="110">
        <v>0</v>
      </c>
      <c r="BM2001" s="99">
        <v>0</v>
      </c>
      <c r="BN2001" s="108">
        <v>0</v>
      </c>
      <c r="BO2001" s="108">
        <v>0</v>
      </c>
      <c r="BP2001" s="108">
        <v>0</v>
      </c>
      <c r="BQ2001" s="108">
        <v>0</v>
      </c>
      <c r="BR2001" s="108">
        <v>0</v>
      </c>
      <c r="BS2001" s="108">
        <v>0</v>
      </c>
      <c r="BT2001" s="13">
        <v>0</v>
      </c>
      <c r="BU2001" s="49">
        <v>0</v>
      </c>
      <c r="BV2001" s="49"/>
      <c r="BW2001" s="49"/>
    </row>
    <row r="2002" spans="3:75" ht="20.100000000000001" customHeight="1">
      <c r="C2002" s="102">
        <v>79000015</v>
      </c>
      <c r="D2002" s="101" t="s">
        <v>810</v>
      </c>
      <c r="E2002" s="101" t="s">
        <v>811</v>
      </c>
      <c r="F2002" s="103">
        <v>2</v>
      </c>
      <c r="G2002" s="103">
        <v>61012301</v>
      </c>
      <c r="H2002" s="103">
        <v>0</v>
      </c>
      <c r="I2002" s="107">
        <v>0</v>
      </c>
      <c r="J2002" s="102">
        <v>1</v>
      </c>
      <c r="K2002" s="102">
        <v>0</v>
      </c>
      <c r="L2002" s="102">
        <v>0</v>
      </c>
      <c r="M2002" s="103">
        <v>0</v>
      </c>
      <c r="N2002" s="103">
        <v>0</v>
      </c>
      <c r="O2002" s="103">
        <v>2</v>
      </c>
      <c r="P2002" s="103">
        <v>2</v>
      </c>
      <c r="Q2002" s="103">
        <v>0.8</v>
      </c>
      <c r="R2002" s="103">
        <v>0</v>
      </c>
      <c r="S2002" s="108">
        <v>0</v>
      </c>
      <c r="T2002" s="103">
        <v>0</v>
      </c>
      <c r="U2002" s="103">
        <v>1</v>
      </c>
      <c r="V2002" s="103">
        <v>2</v>
      </c>
      <c r="W2002" s="103">
        <v>0</v>
      </c>
      <c r="X2002" s="103">
        <v>3</v>
      </c>
      <c r="Y2002" s="13">
        <v>0</v>
      </c>
      <c r="Z2002" s="103">
        <v>0</v>
      </c>
      <c r="AA2002" s="103">
        <v>1</v>
      </c>
      <c r="AB2002" s="103">
        <v>0</v>
      </c>
      <c r="AC2002" s="103">
        <v>0</v>
      </c>
      <c r="AD2002" s="103">
        <v>0</v>
      </c>
      <c r="AE2002" s="103">
        <v>1</v>
      </c>
      <c r="AF2002" s="103">
        <v>12</v>
      </c>
      <c r="AG2002" s="103">
        <v>1</v>
      </c>
      <c r="AH2002" s="103">
        <v>6</v>
      </c>
      <c r="AI2002" s="108">
        <v>0</v>
      </c>
      <c r="AJ2002" s="108">
        <v>1</v>
      </c>
      <c r="AK2002" s="108">
        <v>0</v>
      </c>
      <c r="AL2002" s="108">
        <v>3</v>
      </c>
      <c r="AM2002" s="103">
        <v>0</v>
      </c>
      <c r="AN2002" s="103">
        <v>1</v>
      </c>
      <c r="AO2002" s="103">
        <v>0</v>
      </c>
      <c r="AP2002" s="103">
        <v>1</v>
      </c>
      <c r="AQ2002" s="103">
        <v>3000</v>
      </c>
      <c r="AR2002" s="103">
        <v>1</v>
      </c>
      <c r="AS2002" s="103">
        <v>0</v>
      </c>
      <c r="AT2002" s="108">
        <v>0</v>
      </c>
      <c r="AU2002" s="353" t="s">
        <v>807</v>
      </c>
      <c r="AV2002" s="116"/>
      <c r="AW2002" s="101" t="s">
        <v>617</v>
      </c>
      <c r="AX2002" s="103" t="s">
        <v>215</v>
      </c>
      <c r="AY2002" s="102">
        <v>10000011</v>
      </c>
      <c r="AZ2002" s="102">
        <v>62001502</v>
      </c>
      <c r="BA2002" s="104" t="s">
        <v>200</v>
      </c>
      <c r="BB2002" s="103">
        <v>0</v>
      </c>
      <c r="BC2002" s="107">
        <v>0</v>
      </c>
      <c r="BD2002" s="107">
        <v>0</v>
      </c>
      <c r="BE2002" s="121" t="s">
        <v>812</v>
      </c>
      <c r="BF2002" s="121" t="s">
        <v>813</v>
      </c>
      <c r="BG2002" s="103">
        <v>0</v>
      </c>
      <c r="BH2002" s="103">
        <v>0</v>
      </c>
      <c r="BI2002" s="103">
        <v>0</v>
      </c>
      <c r="BJ2002" s="103">
        <v>0</v>
      </c>
      <c r="BK2002" s="103">
        <v>0</v>
      </c>
      <c r="BL2002" s="103">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79000016</v>
      </c>
      <c r="D2003" s="105" t="s">
        <v>814</v>
      </c>
      <c r="E2003" s="105" t="s">
        <v>815</v>
      </c>
      <c r="F2003" s="99">
        <v>1</v>
      </c>
      <c r="G2003" s="99">
        <v>60010002</v>
      </c>
      <c r="H2003" s="99">
        <v>0</v>
      </c>
      <c r="I2003" s="106">
        <v>0</v>
      </c>
      <c r="J2003" s="99">
        <v>0</v>
      </c>
      <c r="K2003" s="99">
        <v>0</v>
      </c>
      <c r="L2003" s="106">
        <v>0</v>
      </c>
      <c r="M2003" s="106">
        <v>0</v>
      </c>
      <c r="N2003" s="99">
        <v>0</v>
      </c>
      <c r="O2003" s="103">
        <v>2</v>
      </c>
      <c r="P2003" s="103">
        <v>2</v>
      </c>
      <c r="Q2003" s="99">
        <v>0.8</v>
      </c>
      <c r="R2003" s="99">
        <v>0</v>
      </c>
      <c r="S2003" s="108">
        <v>0</v>
      </c>
      <c r="T2003" s="99">
        <v>0</v>
      </c>
      <c r="U2003" s="103">
        <v>1</v>
      </c>
      <c r="V2003" s="99">
        <v>2</v>
      </c>
      <c r="W2003" s="106">
        <v>0</v>
      </c>
      <c r="X2003" s="99">
        <v>3</v>
      </c>
      <c r="Y2003" s="13">
        <v>0</v>
      </c>
      <c r="Z2003" s="99">
        <v>0</v>
      </c>
      <c r="AA2003" s="99">
        <v>0</v>
      </c>
      <c r="AB2003" s="99">
        <v>0</v>
      </c>
      <c r="AC2003" s="106">
        <v>0</v>
      </c>
      <c r="AD2003" s="99">
        <v>0</v>
      </c>
      <c r="AE2003" s="99">
        <v>0</v>
      </c>
      <c r="AF2003" s="99">
        <v>8</v>
      </c>
      <c r="AG2003" s="99">
        <v>2</v>
      </c>
      <c r="AH2003" s="99" t="s">
        <v>1036</v>
      </c>
      <c r="AI2003" s="109">
        <v>0</v>
      </c>
      <c r="AJ2003" s="109">
        <v>2</v>
      </c>
      <c r="AK2003" s="108">
        <v>0</v>
      </c>
      <c r="AL2003" s="99">
        <v>1.5</v>
      </c>
      <c r="AM2003" s="110">
        <v>0</v>
      </c>
      <c r="AN2003" s="99">
        <v>0</v>
      </c>
      <c r="AO2003" s="99">
        <v>0</v>
      </c>
      <c r="AP2003" s="99">
        <v>2.5</v>
      </c>
      <c r="AQ2003" s="103">
        <v>8000</v>
      </c>
      <c r="AR2003" s="99">
        <v>1.5</v>
      </c>
      <c r="AS2003" s="99">
        <v>10</v>
      </c>
      <c r="AT2003" s="108">
        <v>0</v>
      </c>
      <c r="AU2003" s="354" t="s">
        <v>807</v>
      </c>
      <c r="AV2003" s="103"/>
      <c r="AW2003" s="104" t="s">
        <v>287</v>
      </c>
      <c r="AX2003" s="106">
        <v>0</v>
      </c>
      <c r="AY2003" s="106">
        <v>0</v>
      </c>
      <c r="AZ2003" s="106">
        <v>62001503</v>
      </c>
      <c r="BA2003" s="104" t="s">
        <v>586</v>
      </c>
      <c r="BB2003" s="103" t="s">
        <v>816</v>
      </c>
      <c r="BC2003" s="107">
        <v>0</v>
      </c>
      <c r="BD2003" s="107">
        <v>0</v>
      </c>
      <c r="BE2003" s="121" t="s">
        <v>817</v>
      </c>
      <c r="BF2003" s="124" t="s">
        <v>818</v>
      </c>
      <c r="BG2003" s="99">
        <v>2</v>
      </c>
      <c r="BH2003" s="99">
        <v>0</v>
      </c>
      <c r="BI2003" s="102">
        <v>0</v>
      </c>
      <c r="BJ2003" s="99">
        <v>1</v>
      </c>
      <c r="BK2003" s="99">
        <v>2</v>
      </c>
      <c r="BL2003" s="110">
        <v>0</v>
      </c>
      <c r="BM2003" s="99">
        <v>0</v>
      </c>
      <c r="BN2003" s="108">
        <v>0</v>
      </c>
      <c r="BO2003" s="108">
        <v>0</v>
      </c>
      <c r="BP2003" s="108">
        <v>0</v>
      </c>
      <c r="BQ2003" s="108">
        <v>0</v>
      </c>
      <c r="BR2003" s="108">
        <v>0</v>
      </c>
      <c r="BS2003" s="108">
        <v>0</v>
      </c>
      <c r="BT2003" s="13">
        <v>0</v>
      </c>
      <c r="BU2003" s="49">
        <v>0</v>
      </c>
      <c r="BV2003" s="49"/>
      <c r="BW2003" s="49"/>
    </row>
    <row r="2004" spans="3:75" ht="19.5" customHeight="1">
      <c r="C2004" s="102">
        <v>79000017</v>
      </c>
      <c r="D2004" s="101" t="s">
        <v>1302</v>
      </c>
      <c r="E2004" s="101" t="s">
        <v>1303</v>
      </c>
      <c r="F2004" s="102">
        <v>1</v>
      </c>
      <c r="G2004" s="102">
        <v>80004009</v>
      </c>
      <c r="H2004" s="102">
        <v>0</v>
      </c>
      <c r="I2004" s="107">
        <v>0</v>
      </c>
      <c r="J2004" s="102">
        <v>1</v>
      </c>
      <c r="K2004" s="102">
        <v>0</v>
      </c>
      <c r="L2004" s="102">
        <v>0</v>
      </c>
      <c r="M2004" s="103">
        <v>0</v>
      </c>
      <c r="N2004" s="103">
        <v>0</v>
      </c>
      <c r="O2004" s="103">
        <v>2</v>
      </c>
      <c r="P2004" s="103">
        <v>16</v>
      </c>
      <c r="Q2004" s="103">
        <v>5</v>
      </c>
      <c r="R2004" s="103">
        <v>0</v>
      </c>
      <c r="S2004" s="108">
        <v>0</v>
      </c>
      <c r="T2004" s="103">
        <v>0</v>
      </c>
      <c r="U2004" s="103">
        <v>1</v>
      </c>
      <c r="V2004" s="103">
        <v>2</v>
      </c>
      <c r="W2004" s="103">
        <v>0</v>
      </c>
      <c r="X2004" s="103">
        <v>1</v>
      </c>
      <c r="Y2004" s="13">
        <v>0</v>
      </c>
      <c r="Z2004" s="103">
        <v>0</v>
      </c>
      <c r="AA2004" s="103">
        <v>0</v>
      </c>
      <c r="AB2004" s="103">
        <v>0</v>
      </c>
      <c r="AC2004" s="103">
        <v>0</v>
      </c>
      <c r="AD2004" s="103">
        <v>0</v>
      </c>
      <c r="AE2004" s="103">
        <v>1</v>
      </c>
      <c r="AF2004" s="103">
        <v>0</v>
      </c>
      <c r="AG2004" s="103">
        <v>1</v>
      </c>
      <c r="AH2004" s="103">
        <v>2</v>
      </c>
      <c r="AI2004" s="108">
        <v>0</v>
      </c>
      <c r="AJ2004" s="108">
        <v>2</v>
      </c>
      <c r="AK2004" s="108">
        <v>0</v>
      </c>
      <c r="AL2004" s="108">
        <v>2</v>
      </c>
      <c r="AM2004" s="103">
        <v>0</v>
      </c>
      <c r="AN2004" s="103">
        <v>0</v>
      </c>
      <c r="AO2004" s="103">
        <v>0</v>
      </c>
      <c r="AP2004" s="103">
        <v>2</v>
      </c>
      <c r="AQ2004" s="103">
        <v>5000</v>
      </c>
      <c r="AR2004" s="103">
        <v>0</v>
      </c>
      <c r="AS2004" s="103">
        <v>10</v>
      </c>
      <c r="AT2004" s="115">
        <v>0</v>
      </c>
      <c r="AU2004" s="353" t="s">
        <v>198</v>
      </c>
      <c r="AV2004" s="116"/>
      <c r="AW2004" s="101" t="s">
        <v>199</v>
      </c>
      <c r="AX2004" s="103" t="s">
        <v>534</v>
      </c>
      <c r="AY2004" s="102">
        <v>10000007</v>
      </c>
      <c r="AZ2004" s="351" t="s">
        <v>1304</v>
      </c>
      <c r="BA2004" s="101" t="s">
        <v>586</v>
      </c>
      <c r="BB2004" s="103" t="s">
        <v>1305</v>
      </c>
      <c r="BC2004" s="107">
        <v>0</v>
      </c>
      <c r="BD2004" s="107">
        <v>1</v>
      </c>
      <c r="BE2004" s="121" t="s">
        <v>1306</v>
      </c>
      <c r="BF2004" s="121" t="s">
        <v>1307</v>
      </c>
      <c r="BG2004" s="103">
        <v>0</v>
      </c>
      <c r="BH2004" s="103">
        <v>0</v>
      </c>
      <c r="BI2004" s="103">
        <v>0</v>
      </c>
      <c r="BJ2004" s="103">
        <v>0</v>
      </c>
      <c r="BK2004" s="103">
        <v>0</v>
      </c>
      <c r="BL2004" s="103">
        <v>0</v>
      </c>
      <c r="BM2004" s="99">
        <v>0</v>
      </c>
      <c r="BN2004" s="108">
        <v>0</v>
      </c>
      <c r="BO2004" s="108">
        <v>0</v>
      </c>
      <c r="BP2004" s="108">
        <v>0</v>
      </c>
      <c r="BQ2004" s="108">
        <v>0</v>
      </c>
      <c r="BR2004" s="108">
        <v>0</v>
      </c>
      <c r="BS2004" s="108">
        <v>1</v>
      </c>
      <c r="BT2004" s="13">
        <v>0</v>
      </c>
      <c r="BU2004" s="49">
        <v>0</v>
      </c>
      <c r="BV2004" s="49"/>
      <c r="BW2004" s="49"/>
    </row>
    <row r="2005" spans="3:75" ht="20.100000000000001" customHeight="1">
      <c r="C2005" s="102">
        <v>79000018</v>
      </c>
      <c r="D2005" s="101" t="s">
        <v>804</v>
      </c>
      <c r="E2005" s="101" t="s">
        <v>805</v>
      </c>
      <c r="F2005" s="103">
        <v>2</v>
      </c>
      <c r="G2005" s="103">
        <v>61012301</v>
      </c>
      <c r="H2005" s="103">
        <v>0</v>
      </c>
      <c r="I2005" s="107">
        <v>0</v>
      </c>
      <c r="J2005" s="102">
        <v>1</v>
      </c>
      <c r="K2005" s="102">
        <v>0</v>
      </c>
      <c r="L2005" s="102">
        <v>0</v>
      </c>
      <c r="M2005" s="103">
        <v>0</v>
      </c>
      <c r="N2005" s="103">
        <v>0</v>
      </c>
      <c r="O2005" s="103">
        <v>2</v>
      </c>
      <c r="P2005" s="103">
        <v>2</v>
      </c>
      <c r="Q2005" s="103">
        <v>0.99</v>
      </c>
      <c r="R2005" s="103">
        <v>0</v>
      </c>
      <c r="S2005" s="108">
        <v>0</v>
      </c>
      <c r="T2005" s="103">
        <v>0</v>
      </c>
      <c r="U2005" s="103">
        <v>1</v>
      </c>
      <c r="V2005" s="103">
        <v>2</v>
      </c>
      <c r="W2005" s="103">
        <v>0</v>
      </c>
      <c r="X2005" s="103">
        <v>2</v>
      </c>
      <c r="Y2005" s="13">
        <v>0</v>
      </c>
      <c r="Z2005" s="103">
        <v>150</v>
      </c>
      <c r="AA2005" s="103">
        <v>1</v>
      </c>
      <c r="AB2005" s="103">
        <v>0</v>
      </c>
      <c r="AC2005" s="103">
        <v>0</v>
      </c>
      <c r="AD2005" s="103">
        <v>0</v>
      </c>
      <c r="AE2005" s="103">
        <v>1</v>
      </c>
      <c r="AF2005" s="103">
        <v>10</v>
      </c>
      <c r="AG2005" s="103">
        <v>2</v>
      </c>
      <c r="AH2005" s="103" t="s">
        <v>213</v>
      </c>
      <c r="AI2005" s="108">
        <v>0</v>
      </c>
      <c r="AJ2005" s="108">
        <v>2</v>
      </c>
      <c r="AK2005" s="108">
        <v>0</v>
      </c>
      <c r="AL2005" s="108">
        <v>1.5</v>
      </c>
      <c r="AM2005" s="103">
        <v>0</v>
      </c>
      <c r="AN2005" s="103">
        <v>0</v>
      </c>
      <c r="AO2005" s="103">
        <v>0</v>
      </c>
      <c r="AP2005" s="103">
        <v>1.5</v>
      </c>
      <c r="AQ2005" s="103">
        <v>1600</v>
      </c>
      <c r="AR2005" s="103">
        <v>1</v>
      </c>
      <c r="AS2005" s="103">
        <v>15</v>
      </c>
      <c r="AT2005" s="352" t="s">
        <v>806</v>
      </c>
      <c r="AU2005" s="353" t="s">
        <v>807</v>
      </c>
      <c r="AV2005" s="116"/>
      <c r="AW2005" s="101" t="s">
        <v>256</v>
      </c>
      <c r="AX2005" s="103" t="s">
        <v>215</v>
      </c>
      <c r="AY2005" s="102">
        <v>10000011</v>
      </c>
      <c r="AZ2005" s="102">
        <v>62001501</v>
      </c>
      <c r="BA2005" s="101" t="s">
        <v>216</v>
      </c>
      <c r="BB2005" s="103">
        <v>0</v>
      </c>
      <c r="BC2005" s="107">
        <v>0</v>
      </c>
      <c r="BD2005" s="107">
        <v>0</v>
      </c>
      <c r="BE2005" s="121" t="s">
        <v>808</v>
      </c>
      <c r="BF2005" s="121" t="s">
        <v>809</v>
      </c>
      <c r="BG2005" s="103">
        <v>0</v>
      </c>
      <c r="BH2005" s="103">
        <v>0</v>
      </c>
      <c r="BI2005" s="103">
        <v>0</v>
      </c>
      <c r="BJ2005" s="103">
        <v>0</v>
      </c>
      <c r="BK2005" s="103">
        <v>0</v>
      </c>
      <c r="BL2005" s="103">
        <v>0</v>
      </c>
      <c r="BM2005" s="99">
        <v>0</v>
      </c>
      <c r="BN2005" s="108">
        <v>0</v>
      </c>
      <c r="BO2005" s="108">
        <v>0</v>
      </c>
      <c r="BP2005" s="108">
        <v>0</v>
      </c>
      <c r="BQ2005" s="108">
        <v>0</v>
      </c>
      <c r="BR2005" s="108">
        <v>0</v>
      </c>
      <c r="BS2005" s="108">
        <v>0</v>
      </c>
      <c r="BT2005" s="13">
        <v>0</v>
      </c>
      <c r="BU2005" s="49">
        <v>0</v>
      </c>
      <c r="BV2005" s="49"/>
      <c r="BW2005" s="49"/>
    </row>
    <row r="2006" spans="3:75" ht="20.100000000000001" customHeight="1">
      <c r="C2006" s="102">
        <v>79000019</v>
      </c>
      <c r="D2006" s="101" t="s">
        <v>1281</v>
      </c>
      <c r="E2006" s="101" t="s">
        <v>1282</v>
      </c>
      <c r="F2006" s="103">
        <v>1</v>
      </c>
      <c r="G2006" s="103">
        <v>61012201</v>
      </c>
      <c r="H2006" s="103">
        <v>0</v>
      </c>
      <c r="I2006" s="107">
        <v>0</v>
      </c>
      <c r="J2006" s="102">
        <v>1</v>
      </c>
      <c r="K2006" s="103">
        <v>0</v>
      </c>
      <c r="L2006" s="103">
        <v>0</v>
      </c>
      <c r="M2006" s="103">
        <v>0</v>
      </c>
      <c r="N2006" s="103">
        <v>0</v>
      </c>
      <c r="O2006" s="103">
        <v>2</v>
      </c>
      <c r="P2006" s="103">
        <v>2</v>
      </c>
      <c r="Q2006" s="103">
        <v>0.99</v>
      </c>
      <c r="R2006" s="103">
        <v>0</v>
      </c>
      <c r="S2006" s="108">
        <v>0</v>
      </c>
      <c r="T2006" s="103">
        <v>0</v>
      </c>
      <c r="U2006" s="103">
        <v>1</v>
      </c>
      <c r="V2006" s="103">
        <v>2</v>
      </c>
      <c r="W2006" s="103">
        <v>0</v>
      </c>
      <c r="X2006" s="103">
        <v>0</v>
      </c>
      <c r="Y2006" s="13">
        <v>0</v>
      </c>
      <c r="Z2006" s="103">
        <v>0</v>
      </c>
      <c r="AA2006" s="103">
        <v>1</v>
      </c>
      <c r="AB2006" s="103">
        <v>0</v>
      </c>
      <c r="AC2006" s="103">
        <v>0</v>
      </c>
      <c r="AD2006" s="103">
        <v>0</v>
      </c>
      <c r="AE2006" s="103">
        <v>1</v>
      </c>
      <c r="AF2006" s="103">
        <v>8</v>
      </c>
      <c r="AG2006" s="103">
        <v>1</v>
      </c>
      <c r="AH2006" s="103">
        <v>1</v>
      </c>
      <c r="AI2006" s="108">
        <v>0</v>
      </c>
      <c r="AJ2006" s="108">
        <v>1</v>
      </c>
      <c r="AK2006" s="108">
        <v>0</v>
      </c>
      <c r="AL2006" s="108">
        <v>1.5</v>
      </c>
      <c r="AM2006" s="103">
        <v>0</v>
      </c>
      <c r="AN2006" s="103">
        <v>0</v>
      </c>
      <c r="AO2006" s="103">
        <v>0</v>
      </c>
      <c r="AP2006" s="103">
        <v>0</v>
      </c>
      <c r="AQ2006" s="103">
        <v>300</v>
      </c>
      <c r="AR2006" s="103">
        <v>0</v>
      </c>
      <c r="AS2006" s="103">
        <v>0</v>
      </c>
      <c r="AT2006" s="349" t="s">
        <v>1283</v>
      </c>
      <c r="AU2006" s="103">
        <v>0</v>
      </c>
      <c r="AV2006" s="103"/>
      <c r="AW2006" s="101" t="s">
        <v>199</v>
      </c>
      <c r="AX2006" s="103" t="s">
        <v>534</v>
      </c>
      <c r="AY2006" s="102">
        <v>0</v>
      </c>
      <c r="AZ2006" s="102">
        <v>0</v>
      </c>
      <c r="BA2006" s="101" t="s">
        <v>771</v>
      </c>
      <c r="BB2006" s="103">
        <v>0</v>
      </c>
      <c r="BC2006" s="107">
        <v>0</v>
      </c>
      <c r="BD2006" s="107">
        <v>0</v>
      </c>
      <c r="BE2006" s="139" t="s">
        <v>1289</v>
      </c>
      <c r="BF2006" s="139" t="s">
        <v>1290</v>
      </c>
      <c r="BG2006" s="103">
        <v>0</v>
      </c>
      <c r="BH2006" s="103">
        <v>0</v>
      </c>
      <c r="BI2006" s="103">
        <v>0</v>
      </c>
      <c r="BJ2006" s="103">
        <v>0</v>
      </c>
      <c r="BK2006" s="103">
        <v>0</v>
      </c>
      <c r="BL2006" s="103">
        <v>0</v>
      </c>
      <c r="BM2006" s="99">
        <v>0</v>
      </c>
      <c r="BN2006" s="108">
        <v>0</v>
      </c>
      <c r="BO2006" s="108">
        <v>0</v>
      </c>
      <c r="BP2006" s="108">
        <v>0</v>
      </c>
      <c r="BQ2006" s="108">
        <v>0</v>
      </c>
      <c r="BR2006" s="108">
        <v>0</v>
      </c>
      <c r="BS2006" s="108">
        <v>1</v>
      </c>
      <c r="BT2006" s="13">
        <v>0</v>
      </c>
      <c r="BU2006" s="49">
        <v>0</v>
      </c>
      <c r="BV2006" s="49"/>
      <c r="BW2006" s="49"/>
    </row>
    <row r="2007" spans="3:75" ht="20.100000000000001" customHeight="1">
      <c r="C2007" s="102">
        <v>79000020</v>
      </c>
      <c r="D2007" s="104" t="s">
        <v>573</v>
      </c>
      <c r="E2007" s="104" t="s">
        <v>574</v>
      </c>
      <c r="F2007" s="102">
        <v>1</v>
      </c>
      <c r="G2007" s="102">
        <v>60010300</v>
      </c>
      <c r="H2007" s="102">
        <v>0</v>
      </c>
      <c r="I2007" s="107">
        <v>0</v>
      </c>
      <c r="J2007" s="102">
        <v>1</v>
      </c>
      <c r="K2007" s="102">
        <v>0</v>
      </c>
      <c r="L2007" s="102">
        <v>0</v>
      </c>
      <c r="M2007" s="102">
        <v>0</v>
      </c>
      <c r="N2007" s="102">
        <v>0</v>
      </c>
      <c r="O2007" s="103">
        <v>2</v>
      </c>
      <c r="P2007" s="102">
        <v>2</v>
      </c>
      <c r="Q2007" s="102">
        <v>0.6</v>
      </c>
      <c r="R2007" s="102">
        <v>0</v>
      </c>
      <c r="S2007" s="108">
        <v>0</v>
      </c>
      <c r="T2007" s="107">
        <v>0</v>
      </c>
      <c r="U2007" s="103">
        <v>1</v>
      </c>
      <c r="V2007" s="102">
        <v>2</v>
      </c>
      <c r="W2007" s="102">
        <v>0</v>
      </c>
      <c r="X2007" s="102">
        <v>0.5</v>
      </c>
      <c r="Y2007" s="13">
        <v>0</v>
      </c>
      <c r="Z2007" s="102">
        <v>0</v>
      </c>
      <c r="AA2007" s="102">
        <v>0</v>
      </c>
      <c r="AB2007" s="102">
        <v>0</v>
      </c>
      <c r="AC2007" s="102">
        <v>0</v>
      </c>
      <c r="AD2007" s="102">
        <v>0</v>
      </c>
      <c r="AE2007" s="102">
        <v>0</v>
      </c>
      <c r="AF2007" s="102">
        <v>12</v>
      </c>
      <c r="AG2007" s="102">
        <v>1</v>
      </c>
      <c r="AH2007" s="102">
        <v>3</v>
      </c>
      <c r="AI2007" s="108">
        <v>1</v>
      </c>
      <c r="AJ2007" s="108">
        <v>0</v>
      </c>
      <c r="AK2007" s="108">
        <v>0</v>
      </c>
      <c r="AL2007" s="108">
        <v>1.5</v>
      </c>
      <c r="AM2007" s="102">
        <v>0</v>
      </c>
      <c r="AN2007" s="102">
        <v>0</v>
      </c>
      <c r="AO2007" s="102">
        <v>0</v>
      </c>
      <c r="AP2007" s="102">
        <v>1</v>
      </c>
      <c r="AQ2007" s="102">
        <v>360000</v>
      </c>
      <c r="AR2007" s="102">
        <v>0.5</v>
      </c>
      <c r="AS2007" s="102">
        <v>0</v>
      </c>
      <c r="AT2007" s="108">
        <v>0</v>
      </c>
      <c r="AU2007" s="102" t="s">
        <v>575</v>
      </c>
      <c r="AV2007" s="102"/>
      <c r="AW2007" s="104" t="s">
        <v>199</v>
      </c>
      <c r="AX2007" s="102" t="s">
        <v>545</v>
      </c>
      <c r="AY2007" s="102">
        <v>10002001</v>
      </c>
      <c r="AZ2007" s="102">
        <v>70106001</v>
      </c>
      <c r="BA2007" s="104" t="s">
        <v>315</v>
      </c>
      <c r="BB2007" s="104" t="s">
        <v>576</v>
      </c>
      <c r="BC2007" s="107">
        <v>0</v>
      </c>
      <c r="BD2007" s="107">
        <v>0</v>
      </c>
      <c r="BE2007" s="122" t="s">
        <v>577</v>
      </c>
      <c r="BF2007" s="122" t="s">
        <v>578</v>
      </c>
      <c r="BG2007" s="102">
        <v>0</v>
      </c>
      <c r="BH2007" s="103">
        <v>0</v>
      </c>
      <c r="BI2007" s="102">
        <v>0</v>
      </c>
      <c r="BJ2007" s="102">
        <v>0</v>
      </c>
      <c r="BK2007" s="102">
        <v>0</v>
      </c>
      <c r="BL2007" s="102">
        <v>0</v>
      </c>
      <c r="BM2007" s="99">
        <v>0</v>
      </c>
      <c r="BN2007" s="108">
        <v>0</v>
      </c>
      <c r="BO2007" s="108">
        <v>0</v>
      </c>
      <c r="BP2007" s="108">
        <v>0</v>
      </c>
      <c r="BQ2007" s="108">
        <v>0</v>
      </c>
      <c r="BR2007" s="108">
        <v>0</v>
      </c>
      <c r="BS2007" s="108">
        <v>0</v>
      </c>
      <c r="BT2007" s="13">
        <v>0</v>
      </c>
      <c r="BU2007" s="49">
        <v>0</v>
      </c>
      <c r="BV2007" s="49"/>
      <c r="BW2007" s="49"/>
    </row>
    <row r="2008" spans="3:75" ht="20.100000000000001" customHeight="1">
      <c r="C2008" s="19">
        <v>79001001</v>
      </c>
      <c r="D2008" s="18" t="s">
        <v>1324</v>
      </c>
      <c r="E2008" s="18" t="s">
        <v>1325</v>
      </c>
      <c r="F2008" s="19">
        <v>1</v>
      </c>
      <c r="G2008" s="17">
        <v>60010100</v>
      </c>
      <c r="H2008" s="19">
        <v>0</v>
      </c>
      <c r="I2008" s="28">
        <v>0</v>
      </c>
      <c r="J2008" s="19">
        <v>1</v>
      </c>
      <c r="K2008" s="19">
        <v>0</v>
      </c>
      <c r="L2008" s="19">
        <v>0</v>
      </c>
      <c r="M2008" s="17">
        <v>0</v>
      </c>
      <c r="N2008" s="17">
        <v>0</v>
      </c>
      <c r="O2008" s="62">
        <v>2</v>
      </c>
      <c r="P2008" s="17">
        <v>1</v>
      </c>
      <c r="Q2008" s="17">
        <v>1</v>
      </c>
      <c r="R2008" s="17">
        <v>0</v>
      </c>
      <c r="S2008" s="13">
        <v>0</v>
      </c>
      <c r="T2008" s="17">
        <v>0</v>
      </c>
      <c r="U2008" s="17">
        <v>1</v>
      </c>
      <c r="V2008" s="17">
        <v>2</v>
      </c>
      <c r="W2008" s="17">
        <v>0</v>
      </c>
      <c r="X2008" s="17">
        <v>2</v>
      </c>
      <c r="Y2008" s="13">
        <v>0</v>
      </c>
      <c r="Z2008" s="17">
        <v>0</v>
      </c>
      <c r="AA2008" s="17">
        <v>1</v>
      </c>
      <c r="AB2008" s="17">
        <v>0</v>
      </c>
      <c r="AC2008" s="17">
        <v>0</v>
      </c>
      <c r="AD2008" s="17">
        <v>0</v>
      </c>
      <c r="AE2008" s="17">
        <v>0</v>
      </c>
      <c r="AF2008" s="17">
        <v>3</v>
      </c>
      <c r="AG2008" s="17">
        <v>2</v>
      </c>
      <c r="AH2008" s="17" t="s">
        <v>213</v>
      </c>
      <c r="AI2008" s="13">
        <v>0</v>
      </c>
      <c r="AJ2008" s="13">
        <v>2</v>
      </c>
      <c r="AK2008" s="13">
        <v>0</v>
      </c>
      <c r="AL2008" s="13">
        <v>1.5</v>
      </c>
      <c r="AM2008" s="17">
        <v>0</v>
      </c>
      <c r="AN2008" s="17">
        <v>0</v>
      </c>
      <c r="AO2008" s="17">
        <v>0</v>
      </c>
      <c r="AP2008" s="17">
        <v>1.5</v>
      </c>
      <c r="AQ2008" s="17">
        <v>10000</v>
      </c>
      <c r="AR2008" s="17">
        <v>1</v>
      </c>
      <c r="AS2008" s="17">
        <v>5</v>
      </c>
      <c r="AT2008" s="13">
        <v>0</v>
      </c>
      <c r="AU2008" s="17" t="s">
        <v>198</v>
      </c>
      <c r="AV2008" s="17"/>
      <c r="AW2008" s="20" t="s">
        <v>617</v>
      </c>
      <c r="AX2008" s="17" t="s">
        <v>534</v>
      </c>
      <c r="AY2008" s="19">
        <v>10000007</v>
      </c>
      <c r="AZ2008" s="19">
        <v>70302003</v>
      </c>
      <c r="BA2008" s="20" t="s">
        <v>586</v>
      </c>
      <c r="BB2008" s="28">
        <v>0</v>
      </c>
      <c r="BC2008" s="28">
        <v>0</v>
      </c>
      <c r="BD2008" s="28">
        <v>0</v>
      </c>
      <c r="BE2008" s="46" t="s">
        <v>1108</v>
      </c>
      <c r="BF2008" s="46" t="s">
        <v>1109</v>
      </c>
      <c r="BG2008" s="17">
        <v>1</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19.5" customHeight="1">
      <c r="C2009" s="19">
        <v>79002001</v>
      </c>
      <c r="D2009" s="18" t="s">
        <v>1091</v>
      </c>
      <c r="E2009" s="18" t="s">
        <v>1092</v>
      </c>
      <c r="F2009" s="19">
        <v>1</v>
      </c>
      <c r="G2009" s="17">
        <v>60010100</v>
      </c>
      <c r="H2009" s="19">
        <v>0</v>
      </c>
      <c r="I2009" s="28">
        <v>0</v>
      </c>
      <c r="J2009" s="19">
        <v>1</v>
      </c>
      <c r="K2009" s="19">
        <v>0</v>
      </c>
      <c r="L2009" s="19">
        <v>0</v>
      </c>
      <c r="M2009" s="17">
        <v>0</v>
      </c>
      <c r="N2009" s="17">
        <v>0</v>
      </c>
      <c r="O2009" s="62">
        <v>2</v>
      </c>
      <c r="P2009" s="17">
        <v>2</v>
      </c>
      <c r="Q2009" s="17">
        <v>0.9</v>
      </c>
      <c r="R2009" s="17">
        <v>0</v>
      </c>
      <c r="S2009" s="13">
        <v>101</v>
      </c>
      <c r="T2009" s="17">
        <v>0</v>
      </c>
      <c r="U2009" s="17">
        <v>1</v>
      </c>
      <c r="V2009" s="17">
        <v>2</v>
      </c>
      <c r="W2009" s="17">
        <v>0</v>
      </c>
      <c r="X2009" s="17">
        <v>3</v>
      </c>
      <c r="Y2009" s="13">
        <v>0</v>
      </c>
      <c r="Z2009" s="17">
        <v>0</v>
      </c>
      <c r="AA2009" s="17">
        <v>1</v>
      </c>
      <c r="AB2009" s="17">
        <v>0</v>
      </c>
      <c r="AC2009" s="17">
        <v>0</v>
      </c>
      <c r="AD2009" s="17">
        <v>0</v>
      </c>
      <c r="AE2009" s="17">
        <v>0</v>
      </c>
      <c r="AF2009" s="17">
        <v>10</v>
      </c>
      <c r="AG2009" s="17">
        <v>1</v>
      </c>
      <c r="AH2009" s="17" t="s">
        <v>607</v>
      </c>
      <c r="AI2009" s="13">
        <v>1</v>
      </c>
      <c r="AJ2009" s="13">
        <v>1</v>
      </c>
      <c r="AK2009" s="13">
        <v>0</v>
      </c>
      <c r="AL2009" s="13">
        <v>3</v>
      </c>
      <c r="AM2009" s="17">
        <v>0</v>
      </c>
      <c r="AN2009" s="17">
        <v>0</v>
      </c>
      <c r="AO2009" s="17">
        <v>0</v>
      </c>
      <c r="AP2009" s="17">
        <v>3</v>
      </c>
      <c r="AQ2009" s="17">
        <v>5000</v>
      </c>
      <c r="AR2009" s="17">
        <v>2.5</v>
      </c>
      <c r="AS2009" s="17">
        <v>0</v>
      </c>
      <c r="AT2009" s="13">
        <v>0</v>
      </c>
      <c r="AU2009" s="17" t="s">
        <v>659</v>
      </c>
      <c r="AV2009" s="17"/>
      <c r="AW2009" s="20" t="s">
        <v>256</v>
      </c>
      <c r="AX2009" s="17" t="s">
        <v>534</v>
      </c>
      <c r="AY2009" s="19">
        <v>10000007</v>
      </c>
      <c r="AZ2009" s="19">
        <v>70403003</v>
      </c>
      <c r="BA2009" s="18" t="s">
        <v>200</v>
      </c>
      <c r="BB2009" s="17">
        <v>0</v>
      </c>
      <c r="BC2009" s="28">
        <v>0</v>
      </c>
      <c r="BD2009" s="28">
        <v>0</v>
      </c>
      <c r="BE2009" s="46" t="s">
        <v>4277</v>
      </c>
      <c r="BF2009" s="46" t="s">
        <v>4278</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79003001</v>
      </c>
      <c r="D2010" s="18" t="s">
        <v>665</v>
      </c>
      <c r="E2010" s="18" t="s">
        <v>606</v>
      </c>
      <c r="F2010" s="17">
        <v>1</v>
      </c>
      <c r="G2010" s="17">
        <v>60010100</v>
      </c>
      <c r="H2010" s="19">
        <v>0</v>
      </c>
      <c r="I2010" s="28">
        <v>0</v>
      </c>
      <c r="J2010" s="19">
        <v>1</v>
      </c>
      <c r="K2010" s="19">
        <v>0</v>
      </c>
      <c r="L2010" s="19">
        <v>0</v>
      </c>
      <c r="M2010" s="17">
        <v>0</v>
      </c>
      <c r="N2010" s="17">
        <v>0</v>
      </c>
      <c r="O2010" s="17">
        <v>2</v>
      </c>
      <c r="P2010" s="17">
        <v>1</v>
      </c>
      <c r="Q2010" s="17">
        <v>0.5</v>
      </c>
      <c r="R2010" s="17">
        <v>0</v>
      </c>
      <c r="S2010" s="13">
        <v>0</v>
      </c>
      <c r="T2010" s="17">
        <v>0</v>
      </c>
      <c r="U2010" s="17">
        <v>1</v>
      </c>
      <c r="V2010" s="17">
        <v>2</v>
      </c>
      <c r="W2010" s="17">
        <v>0</v>
      </c>
      <c r="X2010" s="17">
        <v>3</v>
      </c>
      <c r="Y2010" s="13">
        <v>0</v>
      </c>
      <c r="Z2010" s="17">
        <v>0</v>
      </c>
      <c r="AA2010" s="17">
        <v>0</v>
      </c>
      <c r="AB2010" s="17">
        <v>0</v>
      </c>
      <c r="AC2010" s="17">
        <v>0</v>
      </c>
      <c r="AD2010" s="17">
        <v>0</v>
      </c>
      <c r="AE2010" s="17">
        <v>0</v>
      </c>
      <c r="AF2010" s="17">
        <v>10</v>
      </c>
      <c r="AG2010" s="17">
        <v>1</v>
      </c>
      <c r="AH2010" s="17">
        <v>3</v>
      </c>
      <c r="AI2010" s="13">
        <v>6</v>
      </c>
      <c r="AJ2010" s="13">
        <v>1</v>
      </c>
      <c r="AK2010" s="13">
        <v>0</v>
      </c>
      <c r="AL2010" s="13">
        <v>1.5</v>
      </c>
      <c r="AM2010" s="17">
        <v>0</v>
      </c>
      <c r="AN2010" s="17">
        <v>0</v>
      </c>
      <c r="AO2010" s="17">
        <v>0</v>
      </c>
      <c r="AP2010" s="17">
        <v>3</v>
      </c>
      <c r="AQ2010" s="17">
        <v>5000</v>
      </c>
      <c r="AR2010" s="17">
        <v>3</v>
      </c>
      <c r="AS2010" s="17">
        <v>0</v>
      </c>
      <c r="AT2010" s="13">
        <v>0</v>
      </c>
      <c r="AU2010" s="17" t="s">
        <v>198</v>
      </c>
      <c r="AV2010" s="17"/>
      <c r="AW2010" s="20" t="s">
        <v>256</v>
      </c>
      <c r="AX2010" s="17" t="s">
        <v>534</v>
      </c>
      <c r="AY2010" s="19">
        <v>10000007</v>
      </c>
      <c r="AZ2010" s="19">
        <v>70103003</v>
      </c>
      <c r="BA2010" s="18" t="s">
        <v>200</v>
      </c>
      <c r="BB2010" s="17" t="s">
        <v>4360</v>
      </c>
      <c r="BC2010" s="28">
        <v>0</v>
      </c>
      <c r="BD2010" s="28">
        <v>0</v>
      </c>
      <c r="BE2010" s="46" t="s">
        <v>667</v>
      </c>
      <c r="BF2010" s="46" t="s">
        <v>668</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19.5" customHeight="1">
      <c r="C2011" s="19">
        <v>79003002</v>
      </c>
      <c r="D2011" s="18" t="s">
        <v>1124</v>
      </c>
      <c r="E2011" s="18" t="s">
        <v>1125</v>
      </c>
      <c r="F2011" s="19">
        <v>1</v>
      </c>
      <c r="G2011" s="17">
        <v>60010100</v>
      </c>
      <c r="H2011" s="19">
        <v>0</v>
      </c>
      <c r="I2011" s="28">
        <v>0</v>
      </c>
      <c r="J2011" s="19">
        <v>1</v>
      </c>
      <c r="K2011" s="19">
        <v>0</v>
      </c>
      <c r="L2011" s="19">
        <v>0</v>
      </c>
      <c r="M2011" s="17">
        <v>0</v>
      </c>
      <c r="N2011" s="17">
        <v>0</v>
      </c>
      <c r="O2011" s="62">
        <v>2</v>
      </c>
      <c r="P2011" s="17">
        <v>1</v>
      </c>
      <c r="Q2011" s="17">
        <v>0.25</v>
      </c>
      <c r="R2011" s="17">
        <v>0</v>
      </c>
      <c r="S2011" s="13">
        <v>101</v>
      </c>
      <c r="T2011" s="17">
        <v>0</v>
      </c>
      <c r="U2011" s="17">
        <v>1</v>
      </c>
      <c r="V2011" s="17">
        <v>2</v>
      </c>
      <c r="W2011" s="17">
        <v>0</v>
      </c>
      <c r="X2011" s="17">
        <v>1.5</v>
      </c>
      <c r="Y2011" s="13">
        <v>0</v>
      </c>
      <c r="Z2011" s="17">
        <v>0</v>
      </c>
      <c r="AA2011" s="17">
        <v>1</v>
      </c>
      <c r="AB2011" s="17">
        <v>0</v>
      </c>
      <c r="AC2011" s="17">
        <v>0</v>
      </c>
      <c r="AD2011" s="17">
        <v>0</v>
      </c>
      <c r="AE2011" s="17">
        <v>0</v>
      </c>
      <c r="AF2011" s="17">
        <v>15</v>
      </c>
      <c r="AG2011" s="17">
        <v>1</v>
      </c>
      <c r="AH2011" s="17" t="s">
        <v>861</v>
      </c>
      <c r="AI2011" s="13">
        <v>0</v>
      </c>
      <c r="AJ2011" s="13">
        <v>0</v>
      </c>
      <c r="AK2011" s="13">
        <v>0</v>
      </c>
      <c r="AL2011" s="13">
        <v>0</v>
      </c>
      <c r="AM2011" s="17">
        <v>0</v>
      </c>
      <c r="AN2011" s="17">
        <v>0</v>
      </c>
      <c r="AO2011" s="17">
        <v>0</v>
      </c>
      <c r="AP2011" s="17">
        <v>0.5</v>
      </c>
      <c r="AQ2011" s="17">
        <v>100000</v>
      </c>
      <c r="AR2011" s="17">
        <v>0.5</v>
      </c>
      <c r="AS2011" s="17">
        <v>0</v>
      </c>
      <c r="AT2011" s="13">
        <v>0</v>
      </c>
      <c r="AU2011" s="355" t="s">
        <v>1019</v>
      </c>
      <c r="AV2011" s="13"/>
      <c r="AW2011" s="20" t="s">
        <v>287</v>
      </c>
      <c r="AX2011" s="17" t="s">
        <v>534</v>
      </c>
      <c r="AY2011" s="19">
        <v>10000007</v>
      </c>
      <c r="AZ2011" s="19">
        <v>70202004</v>
      </c>
      <c r="BA2011" s="20" t="s">
        <v>315</v>
      </c>
      <c r="BB2011" s="20" t="s">
        <v>371</v>
      </c>
      <c r="BC2011" s="28">
        <v>0</v>
      </c>
      <c r="BD2011" s="28">
        <v>0</v>
      </c>
      <c r="BE2011" s="46" t="s">
        <v>4357</v>
      </c>
      <c r="BF2011" s="46" t="s">
        <v>4358</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80000001</v>
      </c>
      <c r="D2012" s="18" t="s">
        <v>4400</v>
      </c>
      <c r="E2012" s="18" t="s">
        <v>4401</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4402</v>
      </c>
      <c r="BC2012" s="28">
        <v>0</v>
      </c>
      <c r="BD2012" s="28">
        <v>0</v>
      </c>
      <c r="BE2012" s="46" t="s">
        <v>4403</v>
      </c>
      <c r="BF2012" s="46" t="s">
        <v>4404</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80000002</v>
      </c>
      <c r="D2013" s="18" t="s">
        <v>4405</v>
      </c>
      <c r="E2013" s="18" t="s">
        <v>4406</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4402</v>
      </c>
      <c r="BC2013" s="28">
        <v>0</v>
      </c>
      <c r="BD2013" s="28">
        <v>0</v>
      </c>
      <c r="BE2013" s="46" t="s">
        <v>538</v>
      </c>
      <c r="BF2013" s="46" t="s">
        <v>539</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80000003</v>
      </c>
      <c r="D2014" s="18" t="s">
        <v>4407</v>
      </c>
      <c r="E2014" s="18" t="s">
        <v>4408</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4402</v>
      </c>
      <c r="BC2014" s="28">
        <v>0</v>
      </c>
      <c r="BD2014" s="28">
        <v>0</v>
      </c>
      <c r="BE2014" s="46" t="s">
        <v>4409</v>
      </c>
      <c r="BF2014" s="46" t="s">
        <v>4410</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80000004</v>
      </c>
      <c r="D2015" s="18" t="s">
        <v>4411</v>
      </c>
      <c r="E2015" s="18" t="s">
        <v>4412</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4402</v>
      </c>
      <c r="BC2015" s="28">
        <v>0</v>
      </c>
      <c r="BD2015" s="28">
        <v>0</v>
      </c>
      <c r="BE2015" s="46" t="s">
        <v>4413</v>
      </c>
      <c r="BF2015" s="46" t="s">
        <v>4414</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80000005</v>
      </c>
      <c r="D2016" s="18" t="s">
        <v>4415</v>
      </c>
      <c r="E2016" s="18" t="s">
        <v>4416</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4402</v>
      </c>
      <c r="BC2016" s="28">
        <v>0</v>
      </c>
      <c r="BD2016" s="28">
        <v>0</v>
      </c>
      <c r="BE2016" s="46" t="s">
        <v>4417</v>
      </c>
      <c r="BF2016" s="46" t="s">
        <v>4418</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80000006</v>
      </c>
      <c r="D2017" s="18" t="s">
        <v>4419</v>
      </c>
      <c r="E2017" s="18" t="s">
        <v>4420</v>
      </c>
      <c r="F2017" s="17">
        <v>1</v>
      </c>
      <c r="G2017" s="17">
        <v>80000001</v>
      </c>
      <c r="H2017" s="19">
        <v>0</v>
      </c>
      <c r="I2017" s="28">
        <v>0</v>
      </c>
      <c r="J2017" s="19">
        <v>1</v>
      </c>
      <c r="K2017" s="19">
        <v>0</v>
      </c>
      <c r="L2017" s="19">
        <v>0</v>
      </c>
      <c r="M2017" s="17">
        <v>0</v>
      </c>
      <c r="N2017" s="17">
        <v>0</v>
      </c>
      <c r="O2017" s="17">
        <v>1</v>
      </c>
      <c r="P2017" s="17">
        <v>0</v>
      </c>
      <c r="Q2017" s="17">
        <v>0</v>
      </c>
      <c r="R2017" s="17">
        <v>0</v>
      </c>
      <c r="S2017" s="13">
        <v>0</v>
      </c>
      <c r="T2017" s="17">
        <v>0</v>
      </c>
      <c r="U2017" s="17">
        <v>1</v>
      </c>
      <c r="V2017" s="17">
        <v>2</v>
      </c>
      <c r="W2017" s="17">
        <v>0</v>
      </c>
      <c r="X2017" s="17">
        <v>1.2</v>
      </c>
      <c r="Y2017" s="13">
        <v>0</v>
      </c>
      <c r="Z2017" s="17">
        <v>100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4402</v>
      </c>
      <c r="BC2017" s="28">
        <v>0</v>
      </c>
      <c r="BD2017" s="28">
        <v>0</v>
      </c>
      <c r="BE2017" s="46" t="s">
        <v>4421</v>
      </c>
      <c r="BF2017" s="46" t="s">
        <v>4422</v>
      </c>
      <c r="BG2017" s="17">
        <v>0</v>
      </c>
      <c r="BH2017" s="17">
        <v>0</v>
      </c>
      <c r="BI2017" s="17">
        <v>0</v>
      </c>
      <c r="BJ2017" s="17">
        <v>0</v>
      </c>
      <c r="BK2017" s="17">
        <v>0</v>
      </c>
      <c r="BL2017" s="17">
        <v>0</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80000007</v>
      </c>
      <c r="D2018" s="18" t="s">
        <v>4423</v>
      </c>
      <c r="E2018" s="18" t="s">
        <v>4424</v>
      </c>
      <c r="F2018" s="17">
        <v>1</v>
      </c>
      <c r="G2018" s="17">
        <v>80000001</v>
      </c>
      <c r="H2018" s="19">
        <v>0</v>
      </c>
      <c r="I2018" s="28">
        <v>0</v>
      </c>
      <c r="J2018" s="19">
        <v>1</v>
      </c>
      <c r="K2018" s="19">
        <v>0</v>
      </c>
      <c r="L2018" s="19">
        <v>0</v>
      </c>
      <c r="M2018" s="17">
        <v>0</v>
      </c>
      <c r="N2018" s="17">
        <v>0</v>
      </c>
      <c r="O2018" s="17">
        <v>1</v>
      </c>
      <c r="P2018" s="17">
        <v>0</v>
      </c>
      <c r="Q2018" s="17">
        <v>0</v>
      </c>
      <c r="R2018" s="17">
        <v>0</v>
      </c>
      <c r="S2018" s="13">
        <v>0</v>
      </c>
      <c r="T2018" s="17">
        <v>0</v>
      </c>
      <c r="U2018" s="17">
        <v>1</v>
      </c>
      <c r="V2018" s="17">
        <v>2</v>
      </c>
      <c r="W2018" s="17">
        <v>0</v>
      </c>
      <c r="X2018" s="17">
        <v>1.2</v>
      </c>
      <c r="Y2018" s="13">
        <v>0</v>
      </c>
      <c r="Z2018" s="17">
        <v>100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4402</v>
      </c>
      <c r="BC2018" s="28">
        <v>0</v>
      </c>
      <c r="BD2018" s="28">
        <v>0</v>
      </c>
      <c r="BE2018" s="46" t="s">
        <v>4425</v>
      </c>
      <c r="BF2018" s="46" t="s">
        <v>4426</v>
      </c>
      <c r="BG2018" s="17">
        <v>0</v>
      </c>
      <c r="BH2018" s="17">
        <v>0</v>
      </c>
      <c r="BI2018" s="17">
        <v>0</v>
      </c>
      <c r="BJ2018" s="17">
        <v>0</v>
      </c>
      <c r="BK2018" s="17">
        <v>0</v>
      </c>
      <c r="BL2018" s="17">
        <v>0</v>
      </c>
      <c r="BM2018" s="16">
        <v>0</v>
      </c>
      <c r="BN2018" s="13">
        <v>0</v>
      </c>
      <c r="BO2018" s="13">
        <v>0</v>
      </c>
      <c r="BP2018" s="13">
        <v>0</v>
      </c>
      <c r="BQ2018" s="13">
        <v>0</v>
      </c>
      <c r="BR2018" s="13">
        <v>0</v>
      </c>
      <c r="BS2018" s="13">
        <v>0</v>
      </c>
      <c r="BT2018" s="13">
        <v>0</v>
      </c>
      <c r="BU2018" s="49">
        <v>0</v>
      </c>
      <c r="BV2018" s="49"/>
      <c r="BW2018" s="49"/>
    </row>
    <row r="2019" spans="3:75" ht="20.100000000000001" customHeight="1">
      <c r="C2019" s="19">
        <v>80000008</v>
      </c>
      <c r="D2019" s="18" t="s">
        <v>4427</v>
      </c>
      <c r="E2019" s="18" t="s">
        <v>4428</v>
      </c>
      <c r="F2019" s="17">
        <v>1</v>
      </c>
      <c r="G2019" s="17">
        <v>80000001</v>
      </c>
      <c r="H2019" s="19">
        <v>0</v>
      </c>
      <c r="I2019" s="28">
        <v>0</v>
      </c>
      <c r="J2019" s="19">
        <v>1</v>
      </c>
      <c r="K2019" s="19">
        <v>0</v>
      </c>
      <c r="L2019" s="19">
        <v>0</v>
      </c>
      <c r="M2019" s="17">
        <v>0</v>
      </c>
      <c r="N2019" s="17">
        <v>0</v>
      </c>
      <c r="O2019" s="17">
        <v>1</v>
      </c>
      <c r="P2019" s="17">
        <v>0</v>
      </c>
      <c r="Q2019" s="17">
        <v>0</v>
      </c>
      <c r="R2019" s="17">
        <v>0</v>
      </c>
      <c r="S2019" s="13">
        <v>0</v>
      </c>
      <c r="T2019" s="17">
        <v>0</v>
      </c>
      <c r="U2019" s="17">
        <v>1</v>
      </c>
      <c r="V2019" s="17">
        <v>2</v>
      </c>
      <c r="W2019" s="17">
        <v>0</v>
      </c>
      <c r="X2019" s="17">
        <v>1.2</v>
      </c>
      <c r="Y2019" s="13">
        <v>0</v>
      </c>
      <c r="Z2019" s="17">
        <v>100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4402</v>
      </c>
      <c r="BC2019" s="28">
        <v>0</v>
      </c>
      <c r="BD2019" s="28">
        <v>0</v>
      </c>
      <c r="BE2019" s="46" t="s">
        <v>1582</v>
      </c>
      <c r="BF2019" s="46" t="s">
        <v>1583</v>
      </c>
      <c r="BG2019" s="17">
        <v>0</v>
      </c>
      <c r="BH2019" s="17">
        <v>0</v>
      </c>
      <c r="BI2019" s="17">
        <v>0</v>
      </c>
      <c r="BJ2019" s="17">
        <v>0</v>
      </c>
      <c r="BK2019" s="17">
        <v>0</v>
      </c>
      <c r="BL2019" s="17">
        <v>0</v>
      </c>
      <c r="BM2019" s="16">
        <v>0</v>
      </c>
      <c r="BN2019" s="13">
        <v>0</v>
      </c>
      <c r="BO2019" s="13">
        <v>0</v>
      </c>
      <c r="BP2019" s="13">
        <v>0</v>
      </c>
      <c r="BQ2019" s="13">
        <v>0</v>
      </c>
      <c r="BR2019" s="13">
        <v>0</v>
      </c>
      <c r="BS2019" s="13">
        <v>0</v>
      </c>
      <c r="BT2019" s="13">
        <v>0</v>
      </c>
      <c r="BU2019" s="49">
        <v>0</v>
      </c>
      <c r="BV2019" s="49"/>
      <c r="BW2019" s="49"/>
    </row>
    <row r="2020" spans="3:75" ht="20.100000000000001" customHeight="1">
      <c r="C2020" s="19">
        <v>80001001</v>
      </c>
      <c r="D2020" s="18" t="s">
        <v>4429</v>
      </c>
      <c r="E2020" s="292" t="s">
        <v>3185</v>
      </c>
      <c r="F2020" s="17">
        <v>1</v>
      </c>
      <c r="G2020" s="17">
        <v>80001001</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4430</v>
      </c>
      <c r="BC2020" s="28">
        <v>0</v>
      </c>
      <c r="BD2020" s="28">
        <v>0</v>
      </c>
      <c r="BE2020" s="46" t="s">
        <v>4431</v>
      </c>
      <c r="BF2020" s="46" t="s">
        <v>4432</v>
      </c>
      <c r="BG2020" s="17">
        <v>0</v>
      </c>
      <c r="BH2020" s="17">
        <v>0</v>
      </c>
      <c r="BI2020" s="17"/>
      <c r="BJ2020" s="17"/>
      <c r="BK2020" s="17"/>
      <c r="BL2020" s="17">
        <v>80002001</v>
      </c>
      <c r="BM2020" s="16">
        <v>0</v>
      </c>
      <c r="BN2020" s="13">
        <v>0</v>
      </c>
      <c r="BO2020" s="13">
        <v>0</v>
      </c>
      <c r="BP2020" s="13">
        <v>0</v>
      </c>
      <c r="BQ2020" s="13">
        <v>0</v>
      </c>
      <c r="BR2020" s="13">
        <v>0</v>
      </c>
      <c r="BS2020" s="13">
        <v>0</v>
      </c>
      <c r="BT2020" s="13">
        <v>0</v>
      </c>
      <c r="BU2020" s="49">
        <v>0</v>
      </c>
      <c r="BV2020" s="49"/>
      <c r="BW2020" s="49"/>
    </row>
    <row r="2021" spans="3:75" ht="20.100000000000001" customHeight="1">
      <c r="C2021" s="19">
        <v>80001002</v>
      </c>
      <c r="D2021" s="18" t="s">
        <v>4433</v>
      </c>
      <c r="E2021" s="292" t="s">
        <v>4434</v>
      </c>
      <c r="F2021" s="17">
        <v>1</v>
      </c>
      <c r="G2021" s="17">
        <v>80001002</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4435</v>
      </c>
      <c r="BC2021" s="28">
        <v>0</v>
      </c>
      <c r="BD2021" s="28">
        <v>0</v>
      </c>
      <c r="BE2021" s="46" t="s">
        <v>4436</v>
      </c>
      <c r="BF2021" s="46" t="s">
        <v>4437</v>
      </c>
      <c r="BG2021" s="17"/>
      <c r="BH2021" s="17">
        <v>0</v>
      </c>
      <c r="BI2021" s="17"/>
      <c r="BJ2021" s="17"/>
      <c r="BK2021" s="17"/>
      <c r="BL2021" s="17">
        <v>80002002</v>
      </c>
      <c r="BM2021" s="17">
        <v>0</v>
      </c>
      <c r="BN2021" s="13">
        <v>0</v>
      </c>
      <c r="BO2021" s="13">
        <v>0</v>
      </c>
      <c r="BP2021" s="13">
        <v>0</v>
      </c>
      <c r="BQ2021" s="13">
        <v>0</v>
      </c>
      <c r="BR2021" s="13">
        <v>0</v>
      </c>
      <c r="BS2021" s="13">
        <v>0</v>
      </c>
      <c r="BT2021" s="13">
        <v>0</v>
      </c>
      <c r="BU2021" s="49">
        <v>0</v>
      </c>
      <c r="BV2021" s="49"/>
      <c r="BW2021" s="49"/>
    </row>
    <row r="2022" spans="3:75" ht="20.100000000000001" customHeight="1">
      <c r="C2022" s="19">
        <v>80001003</v>
      </c>
      <c r="D2022" s="18" t="s">
        <v>4438</v>
      </c>
      <c r="E2022" s="292" t="s">
        <v>4439</v>
      </c>
      <c r="F2022" s="17">
        <v>1</v>
      </c>
      <c r="G2022" s="17">
        <v>80001003</v>
      </c>
      <c r="H2022" s="19">
        <v>0</v>
      </c>
      <c r="I2022" s="28">
        <v>0</v>
      </c>
      <c r="J2022" s="19">
        <v>1</v>
      </c>
      <c r="K2022" s="19">
        <v>0</v>
      </c>
      <c r="L2022" s="19">
        <v>0</v>
      </c>
      <c r="M2022" s="17">
        <v>0</v>
      </c>
      <c r="N2022" s="17">
        <v>0</v>
      </c>
      <c r="O2022" s="17">
        <v>5</v>
      </c>
      <c r="P2022" s="17">
        <v>0</v>
      </c>
      <c r="Q2022" s="17">
        <v>0</v>
      </c>
      <c r="R2022" s="17">
        <v>0</v>
      </c>
      <c r="S2022" s="13">
        <v>0</v>
      </c>
      <c r="T2022" s="17">
        <v>0</v>
      </c>
      <c r="U2022" s="17">
        <v>1</v>
      </c>
      <c r="V2022" s="17">
        <v>2</v>
      </c>
      <c r="W2022" s="17">
        <v>0</v>
      </c>
      <c r="X2022" s="17">
        <v>0</v>
      </c>
      <c r="Y2022" s="13">
        <v>0</v>
      </c>
      <c r="Z2022" s="17">
        <v>0</v>
      </c>
      <c r="AA2022" s="17">
        <v>0</v>
      </c>
      <c r="AB2022" s="17">
        <v>0</v>
      </c>
      <c r="AC2022" s="17">
        <v>0</v>
      </c>
      <c r="AD2022" s="17">
        <v>0</v>
      </c>
      <c r="AE2022" s="17">
        <v>0</v>
      </c>
      <c r="AF2022" s="17">
        <v>9</v>
      </c>
      <c r="AG2022" s="17">
        <v>2</v>
      </c>
      <c r="AH2022" s="17" t="s">
        <v>213</v>
      </c>
      <c r="AI2022" s="13">
        <v>2</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t="s">
        <v>4440</v>
      </c>
      <c r="BC2022" s="28">
        <v>0</v>
      </c>
      <c r="BD2022" s="28">
        <v>0</v>
      </c>
      <c r="BE2022" s="46" t="s">
        <v>4441</v>
      </c>
      <c r="BF2022" s="46" t="s">
        <v>4442</v>
      </c>
      <c r="BG2022" s="17"/>
      <c r="BH2022" s="17">
        <v>0</v>
      </c>
      <c r="BI2022" s="17"/>
      <c r="BJ2022" s="17"/>
      <c r="BK2022" s="17"/>
      <c r="BL2022" s="17">
        <v>80002003</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80001004</v>
      </c>
      <c r="D2023" s="18" t="s">
        <v>4443</v>
      </c>
      <c r="E2023" s="292" t="s">
        <v>4444</v>
      </c>
      <c r="F2023" s="17">
        <v>1</v>
      </c>
      <c r="G2023" s="17">
        <v>80001004</v>
      </c>
      <c r="H2023" s="19">
        <v>0</v>
      </c>
      <c r="I2023" s="28">
        <v>0</v>
      </c>
      <c r="J2023" s="19">
        <v>1</v>
      </c>
      <c r="K2023" s="19">
        <v>0</v>
      </c>
      <c r="L2023" s="19">
        <v>0</v>
      </c>
      <c r="M2023" s="17">
        <v>0</v>
      </c>
      <c r="N2023" s="17">
        <v>0</v>
      </c>
      <c r="O2023" s="17">
        <v>5</v>
      </c>
      <c r="P2023" s="17">
        <v>0</v>
      </c>
      <c r="Q2023" s="17">
        <v>0</v>
      </c>
      <c r="R2023" s="17">
        <v>0</v>
      </c>
      <c r="S2023" s="13">
        <v>0</v>
      </c>
      <c r="T2023" s="17">
        <v>0</v>
      </c>
      <c r="U2023" s="17">
        <v>1</v>
      </c>
      <c r="V2023" s="17">
        <v>2</v>
      </c>
      <c r="W2023" s="17">
        <v>0</v>
      </c>
      <c r="X2023" s="17">
        <v>0</v>
      </c>
      <c r="Y2023" s="13">
        <v>0</v>
      </c>
      <c r="Z2023" s="17">
        <v>0</v>
      </c>
      <c r="AA2023" s="17">
        <v>0</v>
      </c>
      <c r="AB2023" s="17">
        <v>0</v>
      </c>
      <c r="AC2023" s="17">
        <v>0</v>
      </c>
      <c r="AD2023" s="17">
        <v>0</v>
      </c>
      <c r="AE2023" s="17">
        <v>0</v>
      </c>
      <c r="AF2023" s="17">
        <v>9</v>
      </c>
      <c r="AG2023" s="17">
        <v>2</v>
      </c>
      <c r="AH2023" s="17" t="s">
        <v>213</v>
      </c>
      <c r="AI2023" s="13">
        <v>2</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t="s">
        <v>4445</v>
      </c>
      <c r="BC2023" s="28">
        <v>0</v>
      </c>
      <c r="BD2023" s="28">
        <v>0</v>
      </c>
      <c r="BE2023" s="46" t="s">
        <v>4446</v>
      </c>
      <c r="BF2023" s="46" t="s">
        <v>4447</v>
      </c>
      <c r="BG2023" s="17"/>
      <c r="BH2023" s="17">
        <v>0</v>
      </c>
      <c r="BI2023" s="17"/>
      <c r="BJ2023" s="17"/>
      <c r="BK2023" s="17"/>
      <c r="BL2023" s="17">
        <v>80002004</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80001005</v>
      </c>
      <c r="D2024" s="18" t="s">
        <v>4448</v>
      </c>
      <c r="E2024" s="292" t="s">
        <v>4449</v>
      </c>
      <c r="F2024" s="17">
        <v>1</v>
      </c>
      <c r="G2024" s="17">
        <v>80001005</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4450</v>
      </c>
      <c r="BC2024" s="28">
        <v>0</v>
      </c>
      <c r="BD2024" s="28">
        <v>0</v>
      </c>
      <c r="BE2024" s="46" t="s">
        <v>4451</v>
      </c>
      <c r="BF2024" s="46" t="s">
        <v>4452</v>
      </c>
      <c r="BG2024" s="17"/>
      <c r="BH2024" s="17">
        <v>0</v>
      </c>
      <c r="BI2024" s="17"/>
      <c r="BJ2024" s="17"/>
      <c r="BK2024" s="17"/>
      <c r="BL2024" s="17">
        <v>80002005</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82">
        <v>80001006</v>
      </c>
      <c r="D2025" s="240" t="s">
        <v>1905</v>
      </c>
      <c r="E2025" s="292" t="s">
        <v>4453</v>
      </c>
      <c r="F2025" s="182">
        <v>1</v>
      </c>
      <c r="G2025" s="182">
        <v>80001006</v>
      </c>
      <c r="H2025" s="182">
        <v>0</v>
      </c>
      <c r="I2025" s="182">
        <v>0</v>
      </c>
      <c r="J2025" s="19">
        <v>1</v>
      </c>
      <c r="K2025" s="19">
        <v>0</v>
      </c>
      <c r="L2025" s="182">
        <v>0</v>
      </c>
      <c r="M2025" s="182">
        <v>0</v>
      </c>
      <c r="N2025" s="182">
        <v>0</v>
      </c>
      <c r="O2025" s="182">
        <v>5</v>
      </c>
      <c r="P2025" s="182">
        <v>0</v>
      </c>
      <c r="Q2025" s="182">
        <v>0</v>
      </c>
      <c r="R2025" s="182">
        <v>0</v>
      </c>
      <c r="S2025" s="13">
        <v>0</v>
      </c>
      <c r="T2025" s="182">
        <v>0</v>
      </c>
      <c r="U2025" s="182">
        <v>1</v>
      </c>
      <c r="V2025" s="182">
        <v>2</v>
      </c>
      <c r="W2025" s="182">
        <v>0</v>
      </c>
      <c r="X2025" s="17">
        <v>1</v>
      </c>
      <c r="Y2025" s="13">
        <v>0</v>
      </c>
      <c r="Z2025" s="17">
        <v>0</v>
      </c>
      <c r="AA2025" s="182">
        <v>0</v>
      </c>
      <c r="AB2025" s="182">
        <v>0</v>
      </c>
      <c r="AC2025" s="182">
        <v>0</v>
      </c>
      <c r="AD2025" s="182">
        <v>0</v>
      </c>
      <c r="AE2025" s="182">
        <v>0</v>
      </c>
      <c r="AF2025" s="182">
        <v>9</v>
      </c>
      <c r="AG2025" s="182">
        <v>2</v>
      </c>
      <c r="AH2025" s="182" t="s">
        <v>213</v>
      </c>
      <c r="AI2025" s="182">
        <v>2</v>
      </c>
      <c r="AJ2025" s="182">
        <v>2</v>
      </c>
      <c r="AK2025" s="13">
        <v>0</v>
      </c>
      <c r="AL2025" s="182">
        <v>1.5</v>
      </c>
      <c r="AM2025" s="182">
        <v>0</v>
      </c>
      <c r="AN2025" s="182">
        <v>0</v>
      </c>
      <c r="AO2025" s="182">
        <v>0</v>
      </c>
      <c r="AP2025" s="182">
        <v>1</v>
      </c>
      <c r="AQ2025" s="182">
        <v>3000</v>
      </c>
      <c r="AR2025" s="182">
        <v>0.5</v>
      </c>
      <c r="AS2025" s="182">
        <v>0</v>
      </c>
      <c r="AT2025" s="182">
        <v>0</v>
      </c>
      <c r="AU2025" s="182" t="s">
        <v>198</v>
      </c>
      <c r="AV2025" s="182"/>
      <c r="AW2025" s="240" t="s">
        <v>287</v>
      </c>
      <c r="AX2025" s="182">
        <v>0</v>
      </c>
      <c r="AY2025" s="182">
        <v>0</v>
      </c>
      <c r="AZ2025" s="182">
        <v>0</v>
      </c>
      <c r="BA2025" s="240" t="s">
        <v>200</v>
      </c>
      <c r="BB2025" s="182" t="s">
        <v>4454</v>
      </c>
      <c r="BC2025" s="182">
        <v>0</v>
      </c>
      <c r="BD2025" s="182">
        <v>0</v>
      </c>
      <c r="BE2025" s="243" t="s">
        <v>4455</v>
      </c>
      <c r="BF2025" s="243" t="s">
        <v>4456</v>
      </c>
      <c r="BG2025" s="182"/>
      <c r="BH2025" s="17">
        <v>0</v>
      </c>
      <c r="BI2025" s="182"/>
      <c r="BJ2025" s="182"/>
      <c r="BK2025" s="182"/>
      <c r="BL2025" s="182">
        <v>80002006</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9">
        <v>80001007</v>
      </c>
      <c r="D2026" s="18" t="s">
        <v>3638</v>
      </c>
      <c r="E2026" s="292" t="s">
        <v>3639</v>
      </c>
      <c r="F2026" s="17">
        <v>1</v>
      </c>
      <c r="G2026" s="17">
        <v>80001007</v>
      </c>
      <c r="H2026" s="19">
        <v>0</v>
      </c>
      <c r="I2026" s="28">
        <v>0</v>
      </c>
      <c r="J2026" s="19">
        <v>1</v>
      </c>
      <c r="K2026" s="19">
        <v>0</v>
      </c>
      <c r="L2026" s="19">
        <v>0</v>
      </c>
      <c r="M2026" s="17">
        <v>0</v>
      </c>
      <c r="N2026" s="17">
        <v>0</v>
      </c>
      <c r="O2026" s="17">
        <v>2</v>
      </c>
      <c r="P2026" s="17">
        <v>3</v>
      </c>
      <c r="Q2026" s="17">
        <v>0.1</v>
      </c>
      <c r="R2026" s="17">
        <v>0</v>
      </c>
      <c r="S2026" s="13">
        <v>0</v>
      </c>
      <c r="T2026" s="17">
        <v>0</v>
      </c>
      <c r="U2026" s="17">
        <v>1</v>
      </c>
      <c r="V2026" s="17">
        <v>2</v>
      </c>
      <c r="W2026" s="17">
        <v>0</v>
      </c>
      <c r="X2026" s="17">
        <v>1</v>
      </c>
      <c r="Y2026" s="13">
        <v>0</v>
      </c>
      <c r="Z2026" s="17">
        <v>0</v>
      </c>
      <c r="AA2026" s="17">
        <v>0</v>
      </c>
      <c r="AB2026" s="17">
        <v>0</v>
      </c>
      <c r="AC2026" s="17">
        <v>0</v>
      </c>
      <c r="AD2026" s="17">
        <v>0</v>
      </c>
      <c r="AE2026" s="17">
        <v>0</v>
      </c>
      <c r="AF2026" s="17">
        <v>9</v>
      </c>
      <c r="AG2026" s="17">
        <v>1</v>
      </c>
      <c r="AH2026" s="17">
        <v>0</v>
      </c>
      <c r="AI2026" s="13">
        <v>1</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c r="BC2026" s="28">
        <v>0</v>
      </c>
      <c r="BD2026" s="28">
        <v>0</v>
      </c>
      <c r="BE2026" s="46" t="s">
        <v>4457</v>
      </c>
      <c r="BF2026" s="46" t="s">
        <v>4458</v>
      </c>
      <c r="BG2026" s="17"/>
      <c r="BH2026" s="17">
        <v>0</v>
      </c>
      <c r="BI2026" s="17"/>
      <c r="BJ2026" s="17"/>
      <c r="BK2026" s="17"/>
      <c r="BL2026" s="17">
        <v>80002007</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80001008</v>
      </c>
      <c r="D2027" s="18" t="s">
        <v>4459</v>
      </c>
      <c r="E2027" s="292" t="s">
        <v>1325</v>
      </c>
      <c r="F2027" s="17">
        <v>1</v>
      </c>
      <c r="G2027" s="17">
        <v>80001008</v>
      </c>
      <c r="H2027" s="19">
        <v>0</v>
      </c>
      <c r="I2027" s="28">
        <v>0</v>
      </c>
      <c r="J2027" s="19">
        <v>1</v>
      </c>
      <c r="K2027" s="19">
        <v>0</v>
      </c>
      <c r="L2027" s="19">
        <v>0</v>
      </c>
      <c r="M2027" s="17">
        <v>0</v>
      </c>
      <c r="N2027" s="17">
        <v>0</v>
      </c>
      <c r="O2027" s="17">
        <v>2</v>
      </c>
      <c r="P2027" s="17">
        <v>3</v>
      </c>
      <c r="Q2027" s="17">
        <v>0.2</v>
      </c>
      <c r="R2027" s="17">
        <v>0</v>
      </c>
      <c r="S2027" s="13">
        <v>0</v>
      </c>
      <c r="T2027" s="17">
        <v>0</v>
      </c>
      <c r="U2027" s="17">
        <v>1</v>
      </c>
      <c r="V2027" s="17">
        <v>2</v>
      </c>
      <c r="W2027" s="17">
        <v>0</v>
      </c>
      <c r="X2027" s="17">
        <v>0.5</v>
      </c>
      <c r="Y2027" s="13">
        <v>0</v>
      </c>
      <c r="Z2027" s="17">
        <v>0</v>
      </c>
      <c r="AA2027" s="17">
        <v>0</v>
      </c>
      <c r="AB2027" s="17">
        <v>0</v>
      </c>
      <c r="AC2027" s="17">
        <v>0</v>
      </c>
      <c r="AD2027" s="17">
        <v>0</v>
      </c>
      <c r="AE2027" s="17">
        <v>0</v>
      </c>
      <c r="AF2027" s="17">
        <v>9</v>
      </c>
      <c r="AG2027" s="17">
        <v>1</v>
      </c>
      <c r="AH2027" s="17">
        <v>0</v>
      </c>
      <c r="AI2027" s="13">
        <v>1</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c r="BC2027" s="28">
        <v>0</v>
      </c>
      <c r="BD2027" s="28">
        <v>0</v>
      </c>
      <c r="BE2027" s="46" t="s">
        <v>4460</v>
      </c>
      <c r="BF2027" s="46" t="s">
        <v>4461</v>
      </c>
      <c r="BG2027" s="17"/>
      <c r="BH2027" s="17">
        <v>0</v>
      </c>
      <c r="BI2027" s="17"/>
      <c r="BJ2027" s="17"/>
      <c r="BK2027" s="17"/>
      <c r="BL2027" s="17">
        <v>80002008</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80001009</v>
      </c>
      <c r="D2028" s="18" t="s">
        <v>3643</v>
      </c>
      <c r="E2028" s="292" t="s">
        <v>3644</v>
      </c>
      <c r="F2028" s="17">
        <v>1</v>
      </c>
      <c r="G2028" s="17">
        <v>80001009</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4462</v>
      </c>
      <c r="BC2028" s="28">
        <v>0</v>
      </c>
      <c r="BD2028" s="28">
        <v>0</v>
      </c>
      <c r="BE2028" s="46" t="s">
        <v>4463</v>
      </c>
      <c r="BF2028" s="46" t="s">
        <v>4464</v>
      </c>
      <c r="BG2028" s="17"/>
      <c r="BH2028" s="17">
        <v>0</v>
      </c>
      <c r="BI2028" s="17"/>
      <c r="BJ2028" s="17"/>
      <c r="BK2028" s="17"/>
      <c r="BL2028" s="17">
        <v>80002009</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80001010</v>
      </c>
      <c r="D2029" s="18" t="s">
        <v>1909</v>
      </c>
      <c r="E2029" s="292" t="s">
        <v>4465</v>
      </c>
      <c r="F2029" s="17">
        <v>1</v>
      </c>
      <c r="G2029" s="17">
        <v>80001010</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4466</v>
      </c>
      <c r="BC2029" s="28">
        <v>0</v>
      </c>
      <c r="BD2029" s="28">
        <v>0</v>
      </c>
      <c r="BE2029" s="46" t="s">
        <v>4467</v>
      </c>
      <c r="BF2029" s="46" t="s">
        <v>4468</v>
      </c>
      <c r="BG2029" s="17"/>
      <c r="BH2029" s="17">
        <v>0</v>
      </c>
      <c r="BI2029" s="17"/>
      <c r="BJ2029" s="17"/>
      <c r="BK2029" s="17"/>
      <c r="BL2029" s="17">
        <v>80002010</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80001011</v>
      </c>
      <c r="D2030" s="18" t="s">
        <v>4469</v>
      </c>
      <c r="E2030" s="292" t="s">
        <v>4470</v>
      </c>
      <c r="F2030" s="17">
        <v>1</v>
      </c>
      <c r="G2030" s="17">
        <v>80001011</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4471</v>
      </c>
      <c r="BC2030" s="28">
        <v>0</v>
      </c>
      <c r="BD2030" s="28">
        <v>0</v>
      </c>
      <c r="BE2030" s="46" t="s">
        <v>4472</v>
      </c>
      <c r="BF2030" s="46" t="s">
        <v>4473</v>
      </c>
      <c r="BG2030" s="17"/>
      <c r="BH2030" s="17">
        <v>0</v>
      </c>
      <c r="BI2030" s="17"/>
      <c r="BJ2030" s="17"/>
      <c r="BK2030" s="17"/>
      <c r="BL2030" s="17">
        <v>80002011</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9">
        <v>80001012</v>
      </c>
      <c r="D2031" s="18" t="s">
        <v>4474</v>
      </c>
      <c r="E2031" s="292" t="s">
        <v>4475</v>
      </c>
      <c r="F2031" s="17">
        <v>1</v>
      </c>
      <c r="G2031" s="17">
        <v>80001012</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4476</v>
      </c>
      <c r="BC2031" s="28">
        <v>0</v>
      </c>
      <c r="BD2031" s="28">
        <v>0</v>
      </c>
      <c r="BE2031" s="46" t="s">
        <v>4477</v>
      </c>
      <c r="BF2031" s="46" t="s">
        <v>4478</v>
      </c>
      <c r="BG2031" s="17"/>
      <c r="BH2031" s="17">
        <v>0</v>
      </c>
      <c r="BI2031" s="17"/>
      <c r="BJ2031" s="17"/>
      <c r="BK2031" s="17"/>
      <c r="BL2031" s="17">
        <v>80002012</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80001013</v>
      </c>
      <c r="D2032" s="18" t="s">
        <v>4479</v>
      </c>
      <c r="E2032" s="292" t="s">
        <v>4480</v>
      </c>
      <c r="F2032" s="17">
        <v>1</v>
      </c>
      <c r="G2032" s="17">
        <v>80001013</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4152</v>
      </c>
      <c r="BC2032" s="28">
        <v>0</v>
      </c>
      <c r="BD2032" s="28">
        <v>0</v>
      </c>
      <c r="BE2032" s="46" t="s">
        <v>4481</v>
      </c>
      <c r="BF2032" s="46" t="s">
        <v>4482</v>
      </c>
      <c r="BG2032" s="17"/>
      <c r="BH2032" s="17">
        <v>0</v>
      </c>
      <c r="BI2032" s="17"/>
      <c r="BJ2032" s="17"/>
      <c r="BK2032" s="17"/>
      <c r="BL2032" s="17">
        <v>80002013</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80001014</v>
      </c>
      <c r="D2033" s="18" t="s">
        <v>2931</v>
      </c>
      <c r="E2033" s="292" t="s">
        <v>2932</v>
      </c>
      <c r="F2033" s="17">
        <v>1</v>
      </c>
      <c r="G2033" s="17">
        <v>80001014</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4483</v>
      </c>
      <c r="BC2033" s="28">
        <v>0</v>
      </c>
      <c r="BD2033" s="28">
        <v>0</v>
      </c>
      <c r="BE2033" s="46" t="s">
        <v>4484</v>
      </c>
      <c r="BF2033" s="46" t="s">
        <v>4485</v>
      </c>
      <c r="BG2033" s="17"/>
      <c r="BH2033" s="17">
        <v>0</v>
      </c>
      <c r="BI2033" s="17"/>
      <c r="BJ2033" s="17"/>
      <c r="BK2033" s="17"/>
      <c r="BL2033" s="17">
        <v>80002014</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82">
        <v>80001015</v>
      </c>
      <c r="D2034" s="240" t="s">
        <v>4486</v>
      </c>
      <c r="E2034" s="292" t="s">
        <v>4487</v>
      </c>
      <c r="F2034" s="182">
        <v>1</v>
      </c>
      <c r="G2034" s="182">
        <v>80001015</v>
      </c>
      <c r="H2034" s="182">
        <v>0</v>
      </c>
      <c r="I2034" s="182">
        <v>0</v>
      </c>
      <c r="J2034" s="19">
        <v>1</v>
      </c>
      <c r="K2034" s="19">
        <v>0</v>
      </c>
      <c r="L2034" s="182">
        <v>0</v>
      </c>
      <c r="M2034" s="182">
        <v>0</v>
      </c>
      <c r="N2034" s="182">
        <v>0</v>
      </c>
      <c r="O2034" s="182">
        <v>2</v>
      </c>
      <c r="P2034" s="182">
        <v>0</v>
      </c>
      <c r="Q2034" s="182">
        <v>0</v>
      </c>
      <c r="R2034" s="182">
        <v>0</v>
      </c>
      <c r="S2034" s="13">
        <v>0</v>
      </c>
      <c r="T2034" s="182">
        <v>0</v>
      </c>
      <c r="U2034" s="182">
        <v>1</v>
      </c>
      <c r="V2034" s="182">
        <v>2</v>
      </c>
      <c r="W2034" s="182">
        <v>0</v>
      </c>
      <c r="X2034" s="182">
        <v>0</v>
      </c>
      <c r="Y2034" s="13">
        <v>0</v>
      </c>
      <c r="Z2034" s="182">
        <v>0</v>
      </c>
      <c r="AA2034" s="182">
        <v>0</v>
      </c>
      <c r="AB2034" s="182">
        <v>0</v>
      </c>
      <c r="AC2034" s="182">
        <v>0</v>
      </c>
      <c r="AD2034" s="182">
        <v>0</v>
      </c>
      <c r="AE2034" s="182">
        <v>0</v>
      </c>
      <c r="AF2034" s="182">
        <v>9</v>
      </c>
      <c r="AG2034" s="182">
        <v>2</v>
      </c>
      <c r="AH2034" s="182" t="s">
        <v>213</v>
      </c>
      <c r="AI2034" s="182">
        <v>2</v>
      </c>
      <c r="AJ2034" s="182">
        <v>2</v>
      </c>
      <c r="AK2034" s="13">
        <v>0</v>
      </c>
      <c r="AL2034" s="182">
        <v>1.5</v>
      </c>
      <c r="AM2034" s="182">
        <v>0</v>
      </c>
      <c r="AN2034" s="182">
        <v>0</v>
      </c>
      <c r="AO2034" s="182">
        <v>0</v>
      </c>
      <c r="AP2034" s="182">
        <v>1</v>
      </c>
      <c r="AQ2034" s="182">
        <v>3000</v>
      </c>
      <c r="AR2034" s="182">
        <v>0.5</v>
      </c>
      <c r="AS2034" s="182">
        <v>0</v>
      </c>
      <c r="AT2034" s="182">
        <v>0</v>
      </c>
      <c r="AU2034" s="182" t="s">
        <v>198</v>
      </c>
      <c r="AV2034" s="182"/>
      <c r="AW2034" s="240" t="s">
        <v>287</v>
      </c>
      <c r="AX2034" s="182">
        <v>0</v>
      </c>
      <c r="AY2034" s="182">
        <v>0</v>
      </c>
      <c r="AZ2034" s="182">
        <v>0</v>
      </c>
      <c r="BA2034" s="240" t="s">
        <v>200</v>
      </c>
      <c r="BB2034" s="182" t="s">
        <v>4488</v>
      </c>
      <c r="BC2034" s="182">
        <v>0</v>
      </c>
      <c r="BD2034" s="182">
        <v>0</v>
      </c>
      <c r="BE2034" s="243" t="s">
        <v>4489</v>
      </c>
      <c r="BF2034" s="243" t="s">
        <v>4490</v>
      </c>
      <c r="BG2034" s="182"/>
      <c r="BH2034" s="17">
        <v>0</v>
      </c>
      <c r="BI2034" s="182"/>
      <c r="BJ2034" s="182"/>
      <c r="BK2034" s="182"/>
      <c r="BL2034" s="182">
        <v>80002015</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80001016</v>
      </c>
      <c r="D2035" s="18" t="s">
        <v>4491</v>
      </c>
      <c r="E2035" s="292" t="s">
        <v>4492</v>
      </c>
      <c r="F2035" s="17">
        <v>1</v>
      </c>
      <c r="G2035" s="17">
        <v>80001016</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4493</v>
      </c>
      <c r="BC2035" s="28">
        <v>0</v>
      </c>
      <c r="BD2035" s="28">
        <v>0</v>
      </c>
      <c r="BE2035" s="46" t="s">
        <v>4494</v>
      </c>
      <c r="BF2035" s="46" t="s">
        <v>4495</v>
      </c>
      <c r="BG2035" s="17"/>
      <c r="BH2035" s="17">
        <v>0</v>
      </c>
      <c r="BI2035" s="17"/>
      <c r="BJ2035" s="17"/>
      <c r="BK2035" s="17"/>
      <c r="BL2035" s="17">
        <v>80002016</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80001017</v>
      </c>
      <c r="D2036" s="18" t="s">
        <v>4496</v>
      </c>
      <c r="E2036" s="292" t="s">
        <v>4497</v>
      </c>
      <c r="F2036" s="17">
        <v>1</v>
      </c>
      <c r="G2036" s="17">
        <v>80001017</v>
      </c>
      <c r="H2036" s="19">
        <v>0</v>
      </c>
      <c r="I2036" s="28">
        <v>0</v>
      </c>
      <c r="J2036" s="19">
        <v>1</v>
      </c>
      <c r="K2036" s="19">
        <v>0</v>
      </c>
      <c r="L2036" s="19">
        <v>0</v>
      </c>
      <c r="M2036" s="17">
        <v>0</v>
      </c>
      <c r="N2036" s="17">
        <v>0</v>
      </c>
      <c r="O2036" s="17">
        <v>2</v>
      </c>
      <c r="P2036" s="17">
        <v>3</v>
      </c>
      <c r="Q2036" s="17">
        <v>0.1</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80010171</v>
      </c>
      <c r="AU2036" s="17" t="s">
        <v>198</v>
      </c>
      <c r="AV2036" s="17"/>
      <c r="AW2036" s="18" t="s">
        <v>287</v>
      </c>
      <c r="AX2036" s="17">
        <v>0</v>
      </c>
      <c r="AY2036" s="19">
        <v>0</v>
      </c>
      <c r="AZ2036" s="19">
        <v>0</v>
      </c>
      <c r="BA2036" s="18" t="s">
        <v>200</v>
      </c>
      <c r="BB2036" s="17"/>
      <c r="BC2036" s="28">
        <v>0</v>
      </c>
      <c r="BD2036" s="28">
        <v>0</v>
      </c>
      <c r="BE2036" s="243" t="s">
        <v>4498</v>
      </c>
      <c r="BF2036" s="243" t="s">
        <v>4499</v>
      </c>
      <c r="BG2036" s="17"/>
      <c r="BH2036" s="17">
        <v>0</v>
      </c>
      <c r="BI2036" s="17"/>
      <c r="BJ2036" s="17"/>
      <c r="BK2036" s="17"/>
      <c r="BL2036" s="17">
        <v>80002017</v>
      </c>
      <c r="BM2036" s="17">
        <v>0</v>
      </c>
      <c r="BN2036" s="13">
        <v>0</v>
      </c>
      <c r="BO2036" s="13">
        <v>0</v>
      </c>
      <c r="BP2036" s="13">
        <v>0</v>
      </c>
      <c r="BQ2036" s="13">
        <v>0</v>
      </c>
      <c r="BR2036" s="13">
        <v>0</v>
      </c>
      <c r="BS2036" s="13">
        <v>0</v>
      </c>
      <c r="BT2036" s="13">
        <v>0</v>
      </c>
      <c r="BU2036" s="49">
        <v>0</v>
      </c>
      <c r="BV2036" s="49"/>
      <c r="BW2036" s="49"/>
    </row>
    <row r="2037" spans="3:75" ht="20.100000000000001" customHeight="1">
      <c r="C2037" s="19">
        <v>80001018</v>
      </c>
      <c r="D2037" s="18" t="s">
        <v>4500</v>
      </c>
      <c r="E2037" s="292" t="s">
        <v>4501</v>
      </c>
      <c r="F2037" s="17">
        <v>1</v>
      </c>
      <c r="G2037" s="17">
        <v>80001018</v>
      </c>
      <c r="H2037" s="19">
        <v>0</v>
      </c>
      <c r="I2037" s="28">
        <v>0</v>
      </c>
      <c r="J2037" s="19">
        <v>1</v>
      </c>
      <c r="K2037" s="19">
        <v>0</v>
      </c>
      <c r="L2037" s="19">
        <v>0</v>
      </c>
      <c r="M2037" s="17">
        <v>0</v>
      </c>
      <c r="N2037" s="17">
        <v>0</v>
      </c>
      <c r="O2037" s="17">
        <v>5</v>
      </c>
      <c r="P2037" s="17">
        <v>0</v>
      </c>
      <c r="Q2037" s="17">
        <v>0</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0</v>
      </c>
      <c r="AU2037" s="17" t="s">
        <v>198</v>
      </c>
      <c r="AV2037" s="17"/>
      <c r="AW2037" s="18" t="s">
        <v>287</v>
      </c>
      <c r="AX2037" s="17">
        <v>0</v>
      </c>
      <c r="AY2037" s="19">
        <v>0</v>
      </c>
      <c r="AZ2037" s="19">
        <v>0</v>
      </c>
      <c r="BA2037" s="18" t="s">
        <v>200</v>
      </c>
      <c r="BB2037" s="17" t="s">
        <v>4502</v>
      </c>
      <c r="BC2037" s="28">
        <v>0</v>
      </c>
      <c r="BD2037" s="28">
        <v>0</v>
      </c>
      <c r="BE2037" s="46" t="s">
        <v>4503</v>
      </c>
      <c r="BF2037" s="46" t="s">
        <v>4504</v>
      </c>
      <c r="BG2037" s="17"/>
      <c r="BH2037" s="17">
        <v>0</v>
      </c>
      <c r="BI2037" s="17"/>
      <c r="BJ2037" s="17"/>
      <c r="BK2037" s="17"/>
      <c r="BL2037" s="17">
        <v>80002018</v>
      </c>
      <c r="BM2037" s="17">
        <v>0</v>
      </c>
      <c r="BN2037" s="13">
        <v>0</v>
      </c>
      <c r="BO2037" s="13">
        <v>0</v>
      </c>
      <c r="BP2037" s="13">
        <v>0</v>
      </c>
      <c r="BQ2037" s="13">
        <v>0</v>
      </c>
      <c r="BR2037" s="13">
        <v>0</v>
      </c>
      <c r="BS2037" s="13">
        <v>0</v>
      </c>
      <c r="BT2037" s="13">
        <v>0</v>
      </c>
      <c r="BU2037" s="49">
        <v>0</v>
      </c>
      <c r="BV2037" s="49"/>
      <c r="BW2037" s="49"/>
    </row>
    <row r="2038" spans="3:75" ht="20.100000000000001" customHeight="1">
      <c r="C2038" s="19">
        <v>80001019</v>
      </c>
      <c r="D2038" s="18" t="s">
        <v>408</v>
      </c>
      <c r="E2038" s="292" t="s">
        <v>409</v>
      </c>
      <c r="F2038" s="17">
        <v>1</v>
      </c>
      <c r="G2038" s="17">
        <v>80001019</v>
      </c>
      <c r="H2038" s="19">
        <v>0</v>
      </c>
      <c r="I2038" s="28">
        <v>0</v>
      </c>
      <c r="J2038" s="19">
        <v>1</v>
      </c>
      <c r="K2038" s="19">
        <v>0</v>
      </c>
      <c r="L2038" s="19">
        <v>0</v>
      </c>
      <c r="M2038" s="17">
        <v>0</v>
      </c>
      <c r="N2038" s="17">
        <v>0</v>
      </c>
      <c r="O2038" s="17">
        <v>5</v>
      </c>
      <c r="P2038" s="17">
        <v>0</v>
      </c>
      <c r="Q2038" s="17">
        <v>0</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9</v>
      </c>
      <c r="AG2038" s="17">
        <v>2</v>
      </c>
      <c r="AH2038" s="17" t="s">
        <v>213</v>
      </c>
      <c r="AI2038" s="13">
        <v>2</v>
      </c>
      <c r="AJ2038" s="13">
        <v>2</v>
      </c>
      <c r="AK2038" s="13">
        <v>0</v>
      </c>
      <c r="AL2038" s="13">
        <v>1.5</v>
      </c>
      <c r="AM2038" s="17">
        <v>0</v>
      </c>
      <c r="AN2038" s="17">
        <v>0</v>
      </c>
      <c r="AO2038" s="17">
        <v>0</v>
      </c>
      <c r="AP2038" s="17">
        <v>1</v>
      </c>
      <c r="AQ2038" s="17">
        <v>3000</v>
      </c>
      <c r="AR2038" s="17">
        <v>0.5</v>
      </c>
      <c r="AS2038" s="17">
        <v>0</v>
      </c>
      <c r="AT2038" s="13">
        <v>0</v>
      </c>
      <c r="AU2038" s="17" t="s">
        <v>198</v>
      </c>
      <c r="AV2038" s="17"/>
      <c r="AW2038" s="18" t="s">
        <v>287</v>
      </c>
      <c r="AX2038" s="17">
        <v>0</v>
      </c>
      <c r="AY2038" s="19">
        <v>0</v>
      </c>
      <c r="AZ2038" s="19">
        <v>0</v>
      </c>
      <c r="BA2038" s="18" t="s">
        <v>200</v>
      </c>
      <c r="BB2038" s="17" t="s">
        <v>4505</v>
      </c>
      <c r="BC2038" s="28">
        <v>0</v>
      </c>
      <c r="BD2038" s="28">
        <v>0</v>
      </c>
      <c r="BE2038" s="46" t="s">
        <v>4506</v>
      </c>
      <c r="BF2038" s="46" t="s">
        <v>4507</v>
      </c>
      <c r="BG2038" s="17"/>
      <c r="BH2038" s="17">
        <v>0</v>
      </c>
      <c r="BI2038" s="17"/>
      <c r="BJ2038" s="17"/>
      <c r="BK2038" s="17"/>
      <c r="BL2038" s="17">
        <v>80002019</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80001020</v>
      </c>
      <c r="D2039" s="18" t="s">
        <v>4508</v>
      </c>
      <c r="E2039" s="292" t="s">
        <v>4509</v>
      </c>
      <c r="F2039" s="17">
        <v>1</v>
      </c>
      <c r="G2039" s="17">
        <v>80001020</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t="s">
        <v>4510</v>
      </c>
      <c r="BC2039" s="28">
        <v>0</v>
      </c>
      <c r="BD2039" s="28">
        <v>0</v>
      </c>
      <c r="BE2039" s="46" t="s">
        <v>4511</v>
      </c>
      <c r="BF2039" s="46" t="s">
        <v>4512</v>
      </c>
      <c r="BG2039" s="17"/>
      <c r="BH2039" s="17">
        <v>0</v>
      </c>
      <c r="BI2039" s="17"/>
      <c r="BJ2039" s="17"/>
      <c r="BK2039" s="17"/>
      <c r="BL2039" s="17">
        <v>80002020</v>
      </c>
      <c r="BM2039" s="17">
        <v>0</v>
      </c>
      <c r="BN2039" s="13">
        <v>0</v>
      </c>
      <c r="BO2039" s="13">
        <v>0</v>
      </c>
      <c r="BP2039" s="13">
        <v>0</v>
      </c>
      <c r="BQ2039" s="13">
        <v>0</v>
      </c>
      <c r="BR2039" s="13">
        <v>0</v>
      </c>
      <c r="BS2039" s="13">
        <v>0</v>
      </c>
      <c r="BT2039" s="13">
        <v>0</v>
      </c>
      <c r="BU2039" s="49">
        <v>0</v>
      </c>
      <c r="BV2039" s="49"/>
      <c r="BW2039" s="49"/>
    </row>
    <row r="2040" spans="3:75" ht="20.25" customHeight="1">
      <c r="C2040" s="19">
        <v>80001021</v>
      </c>
      <c r="D2040" s="18" t="s">
        <v>2135</v>
      </c>
      <c r="E2040" s="292" t="s">
        <v>4513</v>
      </c>
      <c r="F2040" s="19">
        <v>1</v>
      </c>
      <c r="G2040" s="17">
        <v>80001021</v>
      </c>
      <c r="H2040" s="19">
        <v>0</v>
      </c>
      <c r="I2040" s="28">
        <v>0</v>
      </c>
      <c r="J2040" s="19">
        <v>1</v>
      </c>
      <c r="K2040" s="19">
        <v>0</v>
      </c>
      <c r="L2040" s="19">
        <v>0</v>
      </c>
      <c r="M2040" s="17">
        <v>0</v>
      </c>
      <c r="N2040" s="17">
        <v>0</v>
      </c>
      <c r="O2040" s="17">
        <v>2</v>
      </c>
      <c r="P2040" s="17">
        <v>10</v>
      </c>
      <c r="Q2040" s="17">
        <v>0.1</v>
      </c>
      <c r="R2040" s="17">
        <v>0</v>
      </c>
      <c r="S2040" s="13">
        <v>0</v>
      </c>
      <c r="T2040" s="17">
        <v>0</v>
      </c>
      <c r="U2040" s="17">
        <v>1</v>
      </c>
      <c r="V2040" s="17">
        <v>2</v>
      </c>
      <c r="W2040" s="17">
        <v>0</v>
      </c>
      <c r="X2040" s="17">
        <v>2</v>
      </c>
      <c r="Y2040" s="13">
        <v>0</v>
      </c>
      <c r="Z2040" s="17">
        <v>0</v>
      </c>
      <c r="AA2040" s="17">
        <v>0</v>
      </c>
      <c r="AB2040" s="17">
        <v>0</v>
      </c>
      <c r="AC2040" s="17">
        <v>0</v>
      </c>
      <c r="AD2040" s="17">
        <v>0</v>
      </c>
      <c r="AE2040" s="17">
        <v>0</v>
      </c>
      <c r="AF2040" s="17">
        <v>5</v>
      </c>
      <c r="AG2040" s="17">
        <v>1</v>
      </c>
      <c r="AH2040" s="17">
        <v>3</v>
      </c>
      <c r="AI2040" s="13">
        <v>1</v>
      </c>
      <c r="AJ2040" s="13">
        <v>1</v>
      </c>
      <c r="AK2040" s="13">
        <v>0</v>
      </c>
      <c r="AL2040" s="13">
        <v>3</v>
      </c>
      <c r="AM2040" s="17">
        <v>0</v>
      </c>
      <c r="AN2040" s="17">
        <v>0</v>
      </c>
      <c r="AO2040" s="17">
        <v>0</v>
      </c>
      <c r="AP2040" s="17">
        <v>3</v>
      </c>
      <c r="AQ2040" s="17">
        <v>5000</v>
      </c>
      <c r="AR2040" s="17">
        <v>0.5</v>
      </c>
      <c r="AS2040" s="17">
        <v>0</v>
      </c>
      <c r="AT2040" s="13">
        <v>0</v>
      </c>
      <c r="AU2040" s="17">
        <v>0</v>
      </c>
      <c r="AV2040" s="17"/>
      <c r="AW2040" s="18" t="s">
        <v>199</v>
      </c>
      <c r="AX2040" s="13" t="s">
        <v>1672</v>
      </c>
      <c r="AY2040" s="19">
        <v>10000007</v>
      </c>
      <c r="AZ2040" s="293">
        <v>23000080</v>
      </c>
      <c r="BA2040" s="18" t="s">
        <v>200</v>
      </c>
      <c r="BB2040" s="20" t="s">
        <v>198</v>
      </c>
      <c r="BC2040" s="28">
        <v>0</v>
      </c>
      <c r="BD2040" s="28">
        <v>0</v>
      </c>
      <c r="BE2040" s="46" t="s">
        <v>4514</v>
      </c>
      <c r="BF2040" s="46" t="s">
        <v>4515</v>
      </c>
      <c r="BG2040" s="19">
        <v>0</v>
      </c>
      <c r="BH2040" s="17">
        <v>0</v>
      </c>
      <c r="BI2040" s="19"/>
      <c r="BJ2040" s="19"/>
      <c r="BK2040" s="19"/>
      <c r="BL2040" s="19">
        <v>80002021</v>
      </c>
      <c r="BM2040" s="16">
        <v>0</v>
      </c>
      <c r="BN2040" s="13">
        <v>0</v>
      </c>
      <c r="BO2040" s="13">
        <v>0</v>
      </c>
      <c r="BP2040" s="13">
        <v>0</v>
      </c>
      <c r="BQ2040" s="13">
        <v>0</v>
      </c>
      <c r="BR2040" s="13">
        <v>0</v>
      </c>
      <c r="BS2040" s="13">
        <v>0</v>
      </c>
      <c r="BT2040" s="13">
        <v>0</v>
      </c>
      <c r="BU2040" s="49">
        <v>0</v>
      </c>
      <c r="BV2040" s="49"/>
      <c r="BW2040" s="49"/>
    </row>
    <row r="2041" spans="3:75" ht="20.100000000000001" customHeight="1">
      <c r="C2041" s="19">
        <v>80001022</v>
      </c>
      <c r="D2041" s="18" t="s">
        <v>2139</v>
      </c>
      <c r="E2041" s="292" t="s">
        <v>4516</v>
      </c>
      <c r="F2041" s="19">
        <v>1</v>
      </c>
      <c r="G2041" s="17">
        <v>80001022</v>
      </c>
      <c r="H2041" s="13">
        <v>0</v>
      </c>
      <c r="I2041" s="13">
        <v>0</v>
      </c>
      <c r="J2041" s="19">
        <v>1</v>
      </c>
      <c r="K2041" s="19">
        <v>0</v>
      </c>
      <c r="L2041" s="13">
        <v>0</v>
      </c>
      <c r="M2041" s="13">
        <v>0</v>
      </c>
      <c r="N2041" s="13">
        <v>0</v>
      </c>
      <c r="O2041" s="13">
        <v>2</v>
      </c>
      <c r="P2041" s="13">
        <v>1</v>
      </c>
      <c r="Q2041" s="13">
        <v>0.2</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15</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355" t="s">
        <v>4517</v>
      </c>
      <c r="AV2041" s="13"/>
      <c r="AW2041" s="18" t="s">
        <v>199</v>
      </c>
      <c r="AX2041" s="13">
        <v>0</v>
      </c>
      <c r="AY2041" s="13" t="s">
        <v>198</v>
      </c>
      <c r="AZ2041" s="13">
        <v>0</v>
      </c>
      <c r="BA2041" s="14" t="s">
        <v>200</v>
      </c>
      <c r="BB2041" s="13">
        <v>0</v>
      </c>
      <c r="BC2041" s="28">
        <v>0</v>
      </c>
      <c r="BD2041" s="28">
        <v>0</v>
      </c>
      <c r="BE2041" s="46" t="s">
        <v>4518</v>
      </c>
      <c r="BF2041" s="46" t="s">
        <v>4519</v>
      </c>
      <c r="BG2041" s="13">
        <v>0</v>
      </c>
      <c r="BH2041" s="17">
        <v>0</v>
      </c>
      <c r="BI2041" s="13"/>
      <c r="BJ2041" s="13"/>
      <c r="BK2041" s="13"/>
      <c r="BL2041" s="13">
        <v>80002022</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80001023</v>
      </c>
      <c r="D2042" s="18" t="s">
        <v>294</v>
      </c>
      <c r="E2042" s="292" t="s">
        <v>295</v>
      </c>
      <c r="F2042" s="17">
        <v>1</v>
      </c>
      <c r="G2042" s="17">
        <v>80001023</v>
      </c>
      <c r="H2042" s="19">
        <v>0</v>
      </c>
      <c r="I2042" s="28">
        <v>0</v>
      </c>
      <c r="J2042" s="19">
        <v>1</v>
      </c>
      <c r="K2042" s="19">
        <v>0</v>
      </c>
      <c r="L2042" s="19">
        <v>0</v>
      </c>
      <c r="M2042" s="17">
        <v>0</v>
      </c>
      <c r="N2042" s="17">
        <v>0</v>
      </c>
      <c r="O2042" s="17">
        <v>2</v>
      </c>
      <c r="P2042" s="17">
        <v>9</v>
      </c>
      <c r="Q2042" s="17">
        <v>0.15</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10</v>
      </c>
      <c r="AG2042" s="17">
        <v>0</v>
      </c>
      <c r="AH2042" s="17">
        <v>3</v>
      </c>
      <c r="AI2042" s="13">
        <v>7</v>
      </c>
      <c r="AJ2042" s="13">
        <v>0</v>
      </c>
      <c r="AK2042" s="13">
        <v>0</v>
      </c>
      <c r="AL2042" s="13">
        <v>10</v>
      </c>
      <c r="AM2042" s="17">
        <v>0</v>
      </c>
      <c r="AN2042" s="17">
        <v>0</v>
      </c>
      <c r="AO2042" s="17">
        <v>0</v>
      </c>
      <c r="AP2042" s="17">
        <v>0</v>
      </c>
      <c r="AQ2042" s="17">
        <v>3000</v>
      </c>
      <c r="AR2042" s="17">
        <v>0.5</v>
      </c>
      <c r="AS2042" s="17">
        <v>0</v>
      </c>
      <c r="AT2042" s="13">
        <v>0</v>
      </c>
      <c r="AU2042" s="17">
        <v>80001003</v>
      </c>
      <c r="AV2042" s="17"/>
      <c r="AW2042" s="18" t="s">
        <v>199</v>
      </c>
      <c r="AX2042" s="17">
        <v>0</v>
      </c>
      <c r="AY2042" s="19">
        <v>0</v>
      </c>
      <c r="AZ2042" s="19">
        <v>0</v>
      </c>
      <c r="BA2042" s="18" t="s">
        <v>200</v>
      </c>
      <c r="BB2042" s="17">
        <v>0</v>
      </c>
      <c r="BC2042" s="28">
        <v>0</v>
      </c>
      <c r="BD2042" s="28">
        <v>0</v>
      </c>
      <c r="BE2042" s="46" t="s">
        <v>4520</v>
      </c>
      <c r="BF2042" s="46" t="s">
        <v>4521</v>
      </c>
      <c r="BG2042" s="17"/>
      <c r="BH2042" s="17">
        <v>0</v>
      </c>
      <c r="BI2042" s="17"/>
      <c r="BJ2042" s="17"/>
      <c r="BK2042" s="17"/>
      <c r="BL2042" s="17">
        <v>80002023</v>
      </c>
      <c r="BM2042" s="17">
        <v>0</v>
      </c>
      <c r="BN2042" s="13">
        <v>0</v>
      </c>
      <c r="BO2042" s="13">
        <v>0</v>
      </c>
      <c r="BP2042" s="13">
        <v>0</v>
      </c>
      <c r="BQ2042" s="13">
        <v>0</v>
      </c>
      <c r="BR2042" s="13">
        <v>0</v>
      </c>
      <c r="BS2042" s="13">
        <v>0</v>
      </c>
      <c r="BT2042" s="13">
        <v>0</v>
      </c>
      <c r="BU2042" s="49">
        <v>0</v>
      </c>
      <c r="BV2042" s="49"/>
      <c r="BW2042" s="49"/>
    </row>
    <row r="2043" spans="3:75" ht="20.100000000000001" customHeight="1">
      <c r="C2043" s="19">
        <v>80001024</v>
      </c>
      <c r="D2043" s="18" t="s">
        <v>4522</v>
      </c>
      <c r="E2043" s="292" t="s">
        <v>4523</v>
      </c>
      <c r="F2043" s="17">
        <v>1</v>
      </c>
      <c r="G2043" s="17">
        <v>80001024</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0</v>
      </c>
      <c r="AQ2043" s="17">
        <v>3000</v>
      </c>
      <c r="AR2043" s="17">
        <v>0.5</v>
      </c>
      <c r="AS2043" s="17">
        <v>0</v>
      </c>
      <c r="AT2043" s="13">
        <v>0</v>
      </c>
      <c r="AU2043" s="17" t="s">
        <v>198</v>
      </c>
      <c r="AV2043" s="17"/>
      <c r="AW2043" s="18" t="s">
        <v>199</v>
      </c>
      <c r="AX2043" s="17">
        <v>0</v>
      </c>
      <c r="AY2043" s="19">
        <v>0</v>
      </c>
      <c r="AZ2043" s="19">
        <v>0</v>
      </c>
      <c r="BA2043" s="18" t="s">
        <v>200</v>
      </c>
      <c r="BB2043" s="17" t="s">
        <v>4524</v>
      </c>
      <c r="BC2043" s="28">
        <v>0</v>
      </c>
      <c r="BD2043" s="28">
        <v>0</v>
      </c>
      <c r="BE2043" s="46" t="s">
        <v>4525</v>
      </c>
      <c r="BF2043" s="46" t="s">
        <v>4526</v>
      </c>
      <c r="BG2043" s="17"/>
      <c r="BH2043" s="17">
        <v>0</v>
      </c>
      <c r="BI2043" s="17"/>
      <c r="BJ2043" s="17"/>
      <c r="BK2043" s="17"/>
      <c r="BL2043" s="17">
        <v>80002024</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80001025</v>
      </c>
      <c r="D2044" s="18" t="s">
        <v>4527</v>
      </c>
      <c r="E2044" s="292" t="s">
        <v>4528</v>
      </c>
      <c r="F2044" s="19">
        <v>1</v>
      </c>
      <c r="G2044" s="17">
        <v>80001025</v>
      </c>
      <c r="H2044" s="13">
        <v>0</v>
      </c>
      <c r="I2044" s="13">
        <v>0</v>
      </c>
      <c r="J2044" s="19">
        <v>1</v>
      </c>
      <c r="K2044" s="19">
        <v>0</v>
      </c>
      <c r="L2044" s="13">
        <v>0</v>
      </c>
      <c r="M2044" s="13">
        <v>0</v>
      </c>
      <c r="N2044" s="13">
        <v>0</v>
      </c>
      <c r="O2044" s="13">
        <v>2</v>
      </c>
      <c r="P2044" s="13">
        <v>10</v>
      </c>
      <c r="Q2044" s="13">
        <v>0.05</v>
      </c>
      <c r="R2044" s="13">
        <v>0</v>
      </c>
      <c r="S2044" s="13">
        <v>0</v>
      </c>
      <c r="T2044" s="13">
        <v>0</v>
      </c>
      <c r="U2044" s="17">
        <v>1</v>
      </c>
      <c r="V2044" s="13">
        <v>2</v>
      </c>
      <c r="W2044" s="13">
        <v>0</v>
      </c>
      <c r="X2044" s="13">
        <v>2.5</v>
      </c>
      <c r="Y2044" s="13">
        <v>0</v>
      </c>
      <c r="Z2044" s="13">
        <v>0</v>
      </c>
      <c r="AA2044" s="13">
        <v>0</v>
      </c>
      <c r="AB2044" s="13">
        <v>0</v>
      </c>
      <c r="AC2044" s="13">
        <v>0</v>
      </c>
      <c r="AD2044" s="19">
        <v>0</v>
      </c>
      <c r="AE2044" s="13">
        <v>0</v>
      </c>
      <c r="AF2044" s="13">
        <v>15</v>
      </c>
      <c r="AG2044" s="13">
        <v>0</v>
      </c>
      <c r="AH2044" s="13">
        <v>0</v>
      </c>
      <c r="AI2044" s="13">
        <v>7</v>
      </c>
      <c r="AJ2044" s="13">
        <v>0</v>
      </c>
      <c r="AK2044" s="13">
        <v>0</v>
      </c>
      <c r="AL2044" s="13">
        <v>6</v>
      </c>
      <c r="AM2044" s="13">
        <v>0</v>
      </c>
      <c r="AN2044" s="13">
        <v>0</v>
      </c>
      <c r="AO2044" s="13">
        <v>0</v>
      </c>
      <c r="AP2044" s="13">
        <v>0</v>
      </c>
      <c r="AQ2044" s="13">
        <v>1000</v>
      </c>
      <c r="AR2044" s="13">
        <v>0</v>
      </c>
      <c r="AS2044" s="13">
        <v>0</v>
      </c>
      <c r="AT2044" s="13">
        <v>0</v>
      </c>
      <c r="AU2044" s="13" t="s">
        <v>198</v>
      </c>
      <c r="AV2044" s="13"/>
      <c r="AW2044" s="18" t="s">
        <v>199</v>
      </c>
      <c r="AX2044" s="13" t="s">
        <v>1672</v>
      </c>
      <c r="AY2044" s="13" t="s">
        <v>198</v>
      </c>
      <c r="AZ2044" s="13" t="s">
        <v>1906</v>
      </c>
      <c r="BA2044" s="14" t="s">
        <v>200</v>
      </c>
      <c r="BB2044" s="13">
        <v>0</v>
      </c>
      <c r="BC2044" s="28">
        <v>0</v>
      </c>
      <c r="BD2044" s="28">
        <v>0</v>
      </c>
      <c r="BE2044" s="44" t="s">
        <v>4529</v>
      </c>
      <c r="BF2044" s="44" t="s">
        <v>4530</v>
      </c>
      <c r="BG2044" s="13">
        <v>0</v>
      </c>
      <c r="BH2044" s="17">
        <v>0</v>
      </c>
      <c r="BI2044" s="13"/>
      <c r="BJ2044" s="13"/>
      <c r="BK2044" s="13"/>
      <c r="BL2044" s="13">
        <v>80002025</v>
      </c>
      <c r="BM2044" s="16">
        <v>0</v>
      </c>
      <c r="BN2044" s="13">
        <v>0</v>
      </c>
      <c r="BO2044" s="13">
        <v>0</v>
      </c>
      <c r="BP2044" s="13">
        <v>0</v>
      </c>
      <c r="BQ2044" s="13">
        <v>0</v>
      </c>
      <c r="BR2044" s="13">
        <v>0</v>
      </c>
      <c r="BS2044" s="13">
        <v>0</v>
      </c>
      <c r="BT2044" s="13">
        <v>0</v>
      </c>
      <c r="BU2044" s="49">
        <v>0</v>
      </c>
      <c r="BV2044" s="49"/>
      <c r="BW2044" s="49"/>
    </row>
    <row r="2045" spans="3:75" ht="20.100000000000001" customHeight="1">
      <c r="C2045" s="19">
        <v>80001026</v>
      </c>
      <c r="D2045" s="18" t="s">
        <v>2895</v>
      </c>
      <c r="E2045" s="292" t="s">
        <v>3210</v>
      </c>
      <c r="F2045" s="19">
        <v>1</v>
      </c>
      <c r="G2045" s="17">
        <v>80001026</v>
      </c>
      <c r="H2045" s="13">
        <v>0</v>
      </c>
      <c r="I2045" s="13">
        <v>0</v>
      </c>
      <c r="J2045" s="19">
        <v>1</v>
      </c>
      <c r="K2045" s="19">
        <v>0</v>
      </c>
      <c r="L2045" s="13">
        <v>0</v>
      </c>
      <c r="M2045" s="13">
        <v>0</v>
      </c>
      <c r="N2045" s="13">
        <v>0</v>
      </c>
      <c r="O2045" s="13">
        <v>2</v>
      </c>
      <c r="P2045" s="13">
        <v>1</v>
      </c>
      <c r="Q2045" s="13">
        <v>0.1</v>
      </c>
      <c r="R2045" s="13">
        <v>0</v>
      </c>
      <c r="S2045" s="13">
        <v>0</v>
      </c>
      <c r="T2045" s="13">
        <v>0</v>
      </c>
      <c r="U2045" s="17">
        <v>1</v>
      </c>
      <c r="V2045" s="13">
        <v>2</v>
      </c>
      <c r="W2045" s="13">
        <v>0</v>
      </c>
      <c r="X2045" s="13">
        <v>0</v>
      </c>
      <c r="Y2045" s="13">
        <v>0</v>
      </c>
      <c r="Z2045" s="13">
        <v>0</v>
      </c>
      <c r="AA2045" s="13">
        <v>0</v>
      </c>
      <c r="AB2045" s="13">
        <v>0</v>
      </c>
      <c r="AC2045" s="13">
        <v>0</v>
      </c>
      <c r="AD2045" s="19">
        <v>0</v>
      </c>
      <c r="AE2045" s="13">
        <v>0</v>
      </c>
      <c r="AF2045" s="13">
        <v>10</v>
      </c>
      <c r="AG2045" s="13">
        <v>0</v>
      </c>
      <c r="AH2045" s="13">
        <v>0</v>
      </c>
      <c r="AI2045" s="13">
        <v>7</v>
      </c>
      <c r="AJ2045" s="13">
        <v>0</v>
      </c>
      <c r="AK2045" s="13">
        <v>0</v>
      </c>
      <c r="AL2045" s="13">
        <v>6</v>
      </c>
      <c r="AM2045" s="13">
        <v>0</v>
      </c>
      <c r="AN2045" s="13">
        <v>0</v>
      </c>
      <c r="AO2045" s="13">
        <v>0</v>
      </c>
      <c r="AP2045" s="13">
        <v>0</v>
      </c>
      <c r="AQ2045" s="13">
        <v>1000</v>
      </c>
      <c r="AR2045" s="13">
        <v>0</v>
      </c>
      <c r="AS2045" s="13">
        <v>0</v>
      </c>
      <c r="AT2045" s="13">
        <v>0</v>
      </c>
      <c r="AU2045" s="13">
        <v>80001004</v>
      </c>
      <c r="AV2045" s="13"/>
      <c r="AW2045" s="18" t="s">
        <v>199</v>
      </c>
      <c r="AX2045" s="13">
        <v>0</v>
      </c>
      <c r="AY2045" s="13" t="s">
        <v>198</v>
      </c>
      <c r="AZ2045" s="13">
        <v>0</v>
      </c>
      <c r="BA2045" s="14" t="s">
        <v>200</v>
      </c>
      <c r="BB2045" s="13">
        <v>0</v>
      </c>
      <c r="BC2045" s="28">
        <v>0</v>
      </c>
      <c r="BD2045" s="28">
        <v>0</v>
      </c>
      <c r="BE2045" s="44" t="s">
        <v>4531</v>
      </c>
      <c r="BF2045" s="44" t="s">
        <v>4532</v>
      </c>
      <c r="BG2045" s="13">
        <v>0</v>
      </c>
      <c r="BH2045" s="17">
        <v>0</v>
      </c>
      <c r="BI2045" s="13"/>
      <c r="BJ2045" s="13"/>
      <c r="BK2045" s="13"/>
      <c r="BL2045" s="13">
        <v>80002026</v>
      </c>
      <c r="BM2045" s="16">
        <v>0</v>
      </c>
      <c r="BN2045" s="13">
        <v>0</v>
      </c>
      <c r="BO2045" s="13">
        <v>0</v>
      </c>
      <c r="BP2045" s="13">
        <v>0</v>
      </c>
      <c r="BQ2045" s="13">
        <v>0</v>
      </c>
      <c r="BR2045" s="13">
        <v>0</v>
      </c>
      <c r="BS2045" s="13">
        <v>0</v>
      </c>
      <c r="BT2045" s="13">
        <v>0</v>
      </c>
      <c r="BU2045" s="49">
        <v>0</v>
      </c>
      <c r="BV2045" s="49"/>
      <c r="BW2045" s="49"/>
    </row>
    <row r="2046" spans="3:75" ht="20.100000000000001" customHeight="1">
      <c r="C2046" s="19">
        <v>80001027</v>
      </c>
      <c r="D2046" s="18" t="s">
        <v>4533</v>
      </c>
      <c r="E2046" s="292" t="s">
        <v>4534</v>
      </c>
      <c r="F2046" s="17">
        <v>1</v>
      </c>
      <c r="G2046" s="17">
        <v>80001027</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0</v>
      </c>
      <c r="AQ2046" s="17">
        <v>3000</v>
      </c>
      <c r="AR2046" s="17">
        <v>0.5</v>
      </c>
      <c r="AS2046" s="17">
        <v>0</v>
      </c>
      <c r="AT2046" s="13">
        <v>0</v>
      </c>
      <c r="AU2046" s="17" t="s">
        <v>198</v>
      </c>
      <c r="AV2046" s="17"/>
      <c r="AW2046" s="18" t="s">
        <v>199</v>
      </c>
      <c r="AX2046" s="17">
        <v>0</v>
      </c>
      <c r="AY2046" s="19">
        <v>0</v>
      </c>
      <c r="AZ2046" s="19">
        <v>0</v>
      </c>
      <c r="BA2046" s="18" t="s">
        <v>200</v>
      </c>
      <c r="BB2046" s="17" t="s">
        <v>4535</v>
      </c>
      <c r="BC2046" s="28">
        <v>0</v>
      </c>
      <c r="BD2046" s="28">
        <v>0</v>
      </c>
      <c r="BE2046" s="46" t="s">
        <v>4536</v>
      </c>
      <c r="BF2046" s="46" t="s">
        <v>4537</v>
      </c>
      <c r="BG2046" s="17"/>
      <c r="BH2046" s="17">
        <v>0</v>
      </c>
      <c r="BI2046" s="17"/>
      <c r="BJ2046" s="17"/>
      <c r="BK2046" s="17"/>
      <c r="BL2046" s="17">
        <v>80002027</v>
      </c>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80001028</v>
      </c>
      <c r="D2047" s="18" t="s">
        <v>1901</v>
      </c>
      <c r="E2047" s="292" t="s">
        <v>4538</v>
      </c>
      <c r="F2047" s="17">
        <v>1</v>
      </c>
      <c r="G2047" s="17">
        <v>80001028</v>
      </c>
      <c r="H2047" s="19">
        <v>0</v>
      </c>
      <c r="I2047" s="28">
        <v>0</v>
      </c>
      <c r="J2047" s="19">
        <v>1</v>
      </c>
      <c r="K2047" s="19">
        <v>0</v>
      </c>
      <c r="L2047" s="19">
        <v>0</v>
      </c>
      <c r="M2047" s="17">
        <v>0</v>
      </c>
      <c r="N2047" s="17">
        <v>0</v>
      </c>
      <c r="O2047" s="17">
        <v>2</v>
      </c>
      <c r="P2047" s="17">
        <v>9</v>
      </c>
      <c r="Q2047" s="17">
        <v>0.05</v>
      </c>
      <c r="R2047" s="17">
        <v>0</v>
      </c>
      <c r="S2047" s="13">
        <v>0</v>
      </c>
      <c r="T2047" s="17">
        <v>0</v>
      </c>
      <c r="U2047" s="17">
        <v>1</v>
      </c>
      <c r="V2047" s="17">
        <v>1</v>
      </c>
      <c r="W2047" s="17">
        <v>0</v>
      </c>
      <c r="X2047" s="17">
        <v>2</v>
      </c>
      <c r="Y2047" s="13">
        <v>0</v>
      </c>
      <c r="Z2047" s="17">
        <v>0</v>
      </c>
      <c r="AA2047" s="17">
        <v>0</v>
      </c>
      <c r="AB2047" s="17">
        <v>0</v>
      </c>
      <c r="AC2047" s="17">
        <v>0</v>
      </c>
      <c r="AD2047" s="17">
        <v>0</v>
      </c>
      <c r="AE2047" s="17">
        <v>0</v>
      </c>
      <c r="AF2047" s="17">
        <v>3</v>
      </c>
      <c r="AG2047" s="17">
        <v>2</v>
      </c>
      <c r="AH2047" s="17" t="s">
        <v>213</v>
      </c>
      <c r="AI2047" s="13">
        <v>0</v>
      </c>
      <c r="AJ2047" s="13">
        <v>0</v>
      </c>
      <c r="AK2047" s="13">
        <v>0</v>
      </c>
      <c r="AL2047" s="13">
        <v>1.5</v>
      </c>
      <c r="AM2047" s="17">
        <v>0</v>
      </c>
      <c r="AN2047" s="17">
        <v>0</v>
      </c>
      <c r="AO2047" s="17">
        <v>0</v>
      </c>
      <c r="AP2047" s="17">
        <v>0</v>
      </c>
      <c r="AQ2047" s="17">
        <v>3000</v>
      </c>
      <c r="AR2047" s="17">
        <v>0.5</v>
      </c>
      <c r="AS2047" s="17">
        <v>0</v>
      </c>
      <c r="AT2047" s="13">
        <v>0</v>
      </c>
      <c r="AU2047" s="17">
        <v>0</v>
      </c>
      <c r="AV2047" s="17"/>
      <c r="AW2047" s="18" t="s">
        <v>199</v>
      </c>
      <c r="AX2047" s="17">
        <v>0</v>
      </c>
      <c r="AY2047" s="19">
        <v>10000007</v>
      </c>
      <c r="AZ2047" s="19">
        <v>23000040</v>
      </c>
      <c r="BA2047" s="18" t="s">
        <v>200</v>
      </c>
      <c r="BB2047" s="17">
        <v>0</v>
      </c>
      <c r="BC2047" s="28">
        <v>0</v>
      </c>
      <c r="BD2047" s="28">
        <v>1</v>
      </c>
      <c r="BE2047" s="46" t="s">
        <v>4539</v>
      </c>
      <c r="BF2047" s="46" t="s">
        <v>4540</v>
      </c>
      <c r="BG2047" s="17">
        <v>0</v>
      </c>
      <c r="BH2047" s="17">
        <v>0</v>
      </c>
      <c r="BI2047" s="17"/>
      <c r="BJ2047" s="17"/>
      <c r="BK2047" s="17"/>
      <c r="BL2047" s="17">
        <v>80002028</v>
      </c>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80002001</v>
      </c>
      <c r="D2048" s="18" t="s">
        <v>4541</v>
      </c>
      <c r="E2048" s="292" t="s">
        <v>4542</v>
      </c>
      <c r="F2048" s="17">
        <v>1</v>
      </c>
      <c r="G2048" s="17">
        <v>80002001</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4543</v>
      </c>
      <c r="BC2048" s="28">
        <v>0</v>
      </c>
      <c r="BD2048" s="28">
        <v>0</v>
      </c>
      <c r="BE2048" s="46" t="s">
        <v>4544</v>
      </c>
      <c r="BF2048" s="46" t="s">
        <v>4545</v>
      </c>
      <c r="BG2048" s="17">
        <v>0</v>
      </c>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80002002</v>
      </c>
      <c r="D2049" s="18" t="s">
        <v>4546</v>
      </c>
      <c r="E2049" s="292" t="s">
        <v>4547</v>
      </c>
      <c r="F2049" s="17">
        <v>1</v>
      </c>
      <c r="G2049" s="17">
        <v>80002002</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2132</v>
      </c>
      <c r="BC2049" s="28">
        <v>0</v>
      </c>
      <c r="BD2049" s="28">
        <v>0</v>
      </c>
      <c r="BE2049" s="46" t="s">
        <v>2133</v>
      </c>
      <c r="BF2049" s="46" t="s">
        <v>2134</v>
      </c>
      <c r="BG2049" s="17"/>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80002003</v>
      </c>
      <c r="D2050" s="18" t="s">
        <v>4548</v>
      </c>
      <c r="E2050" s="292" t="s">
        <v>4549</v>
      </c>
      <c r="F2050" s="17">
        <v>1</v>
      </c>
      <c r="G2050" s="17">
        <v>80002003</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t="s">
        <v>4550</v>
      </c>
      <c r="BC2050" s="28">
        <v>0</v>
      </c>
      <c r="BD2050" s="28">
        <v>0</v>
      </c>
      <c r="BE2050" s="46" t="s">
        <v>4551</v>
      </c>
      <c r="BF2050" s="46" t="s">
        <v>4552</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80002004</v>
      </c>
      <c r="D2051" s="18" t="s">
        <v>4553</v>
      </c>
      <c r="E2051" s="292" t="s">
        <v>4554</v>
      </c>
      <c r="F2051" s="17">
        <v>1</v>
      </c>
      <c r="G2051" s="17">
        <v>80002004</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t="s">
        <v>4555</v>
      </c>
      <c r="BC2051" s="28">
        <v>0</v>
      </c>
      <c r="BD2051" s="28">
        <v>0</v>
      </c>
      <c r="BE2051" s="46" t="s">
        <v>4556</v>
      </c>
      <c r="BF2051" s="46" t="s">
        <v>4557</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80002005</v>
      </c>
      <c r="D2052" s="18" t="s">
        <v>4558</v>
      </c>
      <c r="E2052" s="292" t="s">
        <v>4559</v>
      </c>
      <c r="F2052" s="17">
        <v>1</v>
      </c>
      <c r="G2052" s="17">
        <v>80002005</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4560</v>
      </c>
      <c r="BC2052" s="28">
        <v>0</v>
      </c>
      <c r="BD2052" s="28">
        <v>0</v>
      </c>
      <c r="BE2052" s="46" t="s">
        <v>4561</v>
      </c>
      <c r="BF2052" s="46" t="s">
        <v>4562</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80002006</v>
      </c>
      <c r="D2053" s="18" t="s">
        <v>4563</v>
      </c>
      <c r="E2053" s="292" t="s">
        <v>4564</v>
      </c>
      <c r="F2053" s="17">
        <v>1</v>
      </c>
      <c r="G2053" s="17">
        <v>80002006</v>
      </c>
      <c r="H2053" s="19">
        <v>0</v>
      </c>
      <c r="I2053" s="28">
        <v>0</v>
      </c>
      <c r="J2053" s="19">
        <v>1</v>
      </c>
      <c r="K2053" s="19">
        <v>0</v>
      </c>
      <c r="L2053" s="19">
        <v>0</v>
      </c>
      <c r="M2053" s="17">
        <v>0</v>
      </c>
      <c r="N2053" s="17">
        <v>0</v>
      </c>
      <c r="O2053" s="17">
        <v>5</v>
      </c>
      <c r="P2053" s="182">
        <v>0</v>
      </c>
      <c r="Q2053" s="182">
        <v>0</v>
      </c>
      <c r="R2053" s="182">
        <v>0</v>
      </c>
      <c r="S2053" s="13">
        <v>0</v>
      </c>
      <c r="T2053" s="182">
        <v>0</v>
      </c>
      <c r="U2053" s="182">
        <v>1</v>
      </c>
      <c r="V2053" s="182">
        <v>2</v>
      </c>
      <c r="W2053" s="182">
        <v>0</v>
      </c>
      <c r="X2053" s="17">
        <v>1</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82" t="s">
        <v>4565</v>
      </c>
      <c r="BC2053" s="28">
        <v>0</v>
      </c>
      <c r="BD2053" s="28">
        <v>0</v>
      </c>
      <c r="BE2053" s="243" t="s">
        <v>4566</v>
      </c>
      <c r="BF2053" s="243" t="s">
        <v>4567</v>
      </c>
      <c r="BG2053" s="17"/>
      <c r="BH2053" s="17">
        <v>0</v>
      </c>
      <c r="BI2053" s="17"/>
      <c r="BJ2053" s="17"/>
      <c r="BK2053" s="17"/>
      <c r="BL2053" s="182"/>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80002007</v>
      </c>
      <c r="D2054" s="18" t="s">
        <v>4568</v>
      </c>
      <c r="E2054" s="292" t="s">
        <v>4569</v>
      </c>
      <c r="F2054" s="17">
        <v>1</v>
      </c>
      <c r="G2054" s="17">
        <v>80002007</v>
      </c>
      <c r="H2054" s="19">
        <v>0</v>
      </c>
      <c r="I2054" s="28">
        <v>0</v>
      </c>
      <c r="J2054" s="19">
        <v>1</v>
      </c>
      <c r="K2054" s="19">
        <v>0</v>
      </c>
      <c r="L2054" s="19">
        <v>0</v>
      </c>
      <c r="M2054" s="17">
        <v>0</v>
      </c>
      <c r="N2054" s="17">
        <v>0</v>
      </c>
      <c r="O2054" s="17">
        <v>2</v>
      </c>
      <c r="P2054" s="17">
        <v>3</v>
      </c>
      <c r="Q2054" s="17">
        <v>0.2</v>
      </c>
      <c r="R2054" s="17">
        <v>0</v>
      </c>
      <c r="S2054" s="13">
        <v>0</v>
      </c>
      <c r="T2054" s="17">
        <v>0</v>
      </c>
      <c r="U2054" s="17">
        <v>1</v>
      </c>
      <c r="V2054" s="17">
        <v>2</v>
      </c>
      <c r="W2054" s="17">
        <v>0</v>
      </c>
      <c r="X2054" s="17">
        <v>1</v>
      </c>
      <c r="Y2054" s="13">
        <v>0</v>
      </c>
      <c r="Z2054" s="17">
        <v>0</v>
      </c>
      <c r="AA2054" s="17">
        <v>0</v>
      </c>
      <c r="AB2054" s="17">
        <v>0</v>
      </c>
      <c r="AC2054" s="17">
        <v>0</v>
      </c>
      <c r="AD2054" s="17">
        <v>0</v>
      </c>
      <c r="AE2054" s="17">
        <v>0</v>
      </c>
      <c r="AF2054" s="17">
        <v>9</v>
      </c>
      <c r="AG2054" s="17">
        <v>1</v>
      </c>
      <c r="AH2054" s="17">
        <v>0</v>
      </c>
      <c r="AI2054" s="13">
        <v>1</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c r="BC2054" s="28">
        <v>0</v>
      </c>
      <c r="BD2054" s="28">
        <v>0</v>
      </c>
      <c r="BE2054" s="46" t="s">
        <v>4457</v>
      </c>
      <c r="BF2054" s="46" t="s">
        <v>4458</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80002008</v>
      </c>
      <c r="D2055" s="18" t="s">
        <v>4570</v>
      </c>
      <c r="E2055" s="292" t="s">
        <v>4571</v>
      </c>
      <c r="F2055" s="17">
        <v>1</v>
      </c>
      <c r="G2055" s="17">
        <v>80002008</v>
      </c>
      <c r="H2055" s="19">
        <v>0</v>
      </c>
      <c r="I2055" s="28">
        <v>0</v>
      </c>
      <c r="J2055" s="19">
        <v>1</v>
      </c>
      <c r="K2055" s="19">
        <v>0</v>
      </c>
      <c r="L2055" s="19">
        <v>0</v>
      </c>
      <c r="M2055" s="17">
        <v>0</v>
      </c>
      <c r="N2055" s="17">
        <v>0</v>
      </c>
      <c r="O2055" s="17">
        <v>2</v>
      </c>
      <c r="P2055" s="17">
        <v>3</v>
      </c>
      <c r="Q2055" s="17">
        <v>0.5</v>
      </c>
      <c r="R2055" s="17">
        <v>0</v>
      </c>
      <c r="S2055" s="13">
        <v>0</v>
      </c>
      <c r="T2055" s="17">
        <v>0</v>
      </c>
      <c r="U2055" s="17">
        <v>1</v>
      </c>
      <c r="V2055" s="17">
        <v>2</v>
      </c>
      <c r="W2055" s="17">
        <v>0</v>
      </c>
      <c r="X2055" s="17">
        <v>0.5</v>
      </c>
      <c r="Y2055" s="13">
        <v>0</v>
      </c>
      <c r="Z2055" s="17">
        <v>0</v>
      </c>
      <c r="AA2055" s="17">
        <v>0</v>
      </c>
      <c r="AB2055" s="17">
        <v>0</v>
      </c>
      <c r="AC2055" s="17">
        <v>0</v>
      </c>
      <c r="AD2055" s="17">
        <v>0</v>
      </c>
      <c r="AE2055" s="17">
        <v>0</v>
      </c>
      <c r="AF2055" s="17">
        <v>9</v>
      </c>
      <c r="AG2055" s="17">
        <v>1</v>
      </c>
      <c r="AH2055" s="17">
        <v>0</v>
      </c>
      <c r="AI2055" s="13">
        <v>1</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c r="BC2055" s="28">
        <v>0</v>
      </c>
      <c r="BD2055" s="28">
        <v>0</v>
      </c>
      <c r="BE2055" s="46" t="s">
        <v>4572</v>
      </c>
      <c r="BF2055" s="46" t="s">
        <v>4573</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80002009</v>
      </c>
      <c r="D2056" s="18" t="s">
        <v>4574</v>
      </c>
      <c r="E2056" s="292" t="s">
        <v>4575</v>
      </c>
      <c r="F2056" s="17">
        <v>1</v>
      </c>
      <c r="G2056" s="17">
        <v>80002009</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4576</v>
      </c>
      <c r="BC2056" s="28">
        <v>0</v>
      </c>
      <c r="BD2056" s="28">
        <v>0</v>
      </c>
      <c r="BE2056" s="46" t="s">
        <v>4577</v>
      </c>
      <c r="BF2056" s="46" t="s">
        <v>4578</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80002010</v>
      </c>
      <c r="D2057" s="18" t="s">
        <v>4579</v>
      </c>
      <c r="E2057" s="292" t="s">
        <v>4580</v>
      </c>
      <c r="F2057" s="17">
        <v>1</v>
      </c>
      <c r="G2057" s="17">
        <v>80002010</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4581</v>
      </c>
      <c r="BC2057" s="28">
        <v>0</v>
      </c>
      <c r="BD2057" s="28">
        <v>0</v>
      </c>
      <c r="BE2057" s="46" t="s">
        <v>1912</v>
      </c>
      <c r="BF2057" s="46" t="s">
        <v>1913</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80002011</v>
      </c>
      <c r="D2058" s="18" t="s">
        <v>4582</v>
      </c>
      <c r="E2058" s="292" t="s">
        <v>4583</v>
      </c>
      <c r="F2058" s="17">
        <v>1</v>
      </c>
      <c r="G2058" s="17">
        <v>80002011</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4584</v>
      </c>
      <c r="BC2058" s="28">
        <v>0</v>
      </c>
      <c r="BD2058" s="28">
        <v>0</v>
      </c>
      <c r="BE2058" s="46" t="s">
        <v>4585</v>
      </c>
      <c r="BF2058" s="46" t="s">
        <v>4586</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80002012</v>
      </c>
      <c r="D2059" s="18" t="s">
        <v>4587</v>
      </c>
      <c r="E2059" s="292" t="s">
        <v>4588</v>
      </c>
      <c r="F2059" s="17">
        <v>1</v>
      </c>
      <c r="G2059" s="17">
        <v>80002012</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4589</v>
      </c>
      <c r="BC2059" s="28">
        <v>0</v>
      </c>
      <c r="BD2059" s="28">
        <v>0</v>
      </c>
      <c r="BE2059" s="46" t="s">
        <v>4590</v>
      </c>
      <c r="BF2059" s="46" t="s">
        <v>4591</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80002013</v>
      </c>
      <c r="D2060" s="18" t="s">
        <v>4592</v>
      </c>
      <c r="E2060" s="292" t="s">
        <v>4593</v>
      </c>
      <c r="F2060" s="17">
        <v>1</v>
      </c>
      <c r="G2060" s="17">
        <v>80002013</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4594</v>
      </c>
      <c r="BC2060" s="28">
        <v>0</v>
      </c>
      <c r="BD2060" s="28">
        <v>0</v>
      </c>
      <c r="BE2060" s="46" t="s">
        <v>4595</v>
      </c>
      <c r="BF2060" s="46" t="s">
        <v>4596</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80002014</v>
      </c>
      <c r="D2061" s="18" t="s">
        <v>4597</v>
      </c>
      <c r="E2061" s="292" t="s">
        <v>4598</v>
      </c>
      <c r="F2061" s="17">
        <v>1</v>
      </c>
      <c r="G2061" s="17">
        <v>80002014</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4599</v>
      </c>
      <c r="BC2061" s="28">
        <v>0</v>
      </c>
      <c r="BD2061" s="28">
        <v>0</v>
      </c>
      <c r="BE2061" s="46" t="s">
        <v>4600</v>
      </c>
      <c r="BF2061" s="46" t="s">
        <v>4601</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82">
        <v>80002015</v>
      </c>
      <c r="D2062" s="240" t="s">
        <v>4602</v>
      </c>
      <c r="E2062" s="292" t="s">
        <v>4603</v>
      </c>
      <c r="F2062" s="182">
        <v>1</v>
      </c>
      <c r="G2062" s="182">
        <v>80002015</v>
      </c>
      <c r="H2062" s="182">
        <v>0</v>
      </c>
      <c r="I2062" s="182">
        <v>0</v>
      </c>
      <c r="J2062" s="19">
        <v>1</v>
      </c>
      <c r="K2062" s="19">
        <v>0</v>
      </c>
      <c r="L2062" s="182">
        <v>0</v>
      </c>
      <c r="M2062" s="182">
        <v>0</v>
      </c>
      <c r="N2062" s="182">
        <v>0</v>
      </c>
      <c r="O2062" s="182">
        <v>2</v>
      </c>
      <c r="P2062" s="182">
        <v>0</v>
      </c>
      <c r="Q2062" s="182">
        <v>0</v>
      </c>
      <c r="R2062" s="182">
        <v>0</v>
      </c>
      <c r="S2062" s="13">
        <v>0</v>
      </c>
      <c r="T2062" s="182">
        <v>0</v>
      </c>
      <c r="U2062" s="182">
        <v>1</v>
      </c>
      <c r="V2062" s="182">
        <v>2</v>
      </c>
      <c r="W2062" s="182">
        <v>0</v>
      </c>
      <c r="X2062" s="182">
        <v>0</v>
      </c>
      <c r="Y2062" s="13">
        <v>0</v>
      </c>
      <c r="Z2062" s="182">
        <v>0</v>
      </c>
      <c r="AA2062" s="182">
        <v>0</v>
      </c>
      <c r="AB2062" s="182">
        <v>0</v>
      </c>
      <c r="AC2062" s="182">
        <v>0</v>
      </c>
      <c r="AD2062" s="182">
        <v>0</v>
      </c>
      <c r="AE2062" s="182">
        <v>0</v>
      </c>
      <c r="AF2062" s="182">
        <v>9</v>
      </c>
      <c r="AG2062" s="182">
        <v>2</v>
      </c>
      <c r="AH2062" s="182" t="s">
        <v>213</v>
      </c>
      <c r="AI2062" s="182">
        <v>2</v>
      </c>
      <c r="AJ2062" s="182">
        <v>2</v>
      </c>
      <c r="AK2062" s="13">
        <v>0</v>
      </c>
      <c r="AL2062" s="182">
        <v>1.5</v>
      </c>
      <c r="AM2062" s="182">
        <v>0</v>
      </c>
      <c r="AN2062" s="182">
        <v>0</v>
      </c>
      <c r="AO2062" s="182">
        <v>0</v>
      </c>
      <c r="AP2062" s="182">
        <v>1</v>
      </c>
      <c r="AQ2062" s="182">
        <v>3000</v>
      </c>
      <c r="AR2062" s="182">
        <v>0.5</v>
      </c>
      <c r="AS2062" s="182">
        <v>0</v>
      </c>
      <c r="AT2062" s="182">
        <v>0</v>
      </c>
      <c r="AU2062" s="182" t="s">
        <v>198</v>
      </c>
      <c r="AV2062" s="182"/>
      <c r="AW2062" s="18" t="s">
        <v>199</v>
      </c>
      <c r="AX2062" s="182">
        <v>0</v>
      </c>
      <c r="AY2062" s="182">
        <v>0</v>
      </c>
      <c r="AZ2062" s="182">
        <v>0</v>
      </c>
      <c r="BA2062" s="240" t="s">
        <v>200</v>
      </c>
      <c r="BB2062" s="182" t="s">
        <v>4604</v>
      </c>
      <c r="BC2062" s="182">
        <v>0</v>
      </c>
      <c r="BD2062" s="182">
        <v>0</v>
      </c>
      <c r="BE2062" s="243" t="s">
        <v>4605</v>
      </c>
      <c r="BF2062" s="243" t="s">
        <v>4606</v>
      </c>
      <c r="BG2062" s="182"/>
      <c r="BH2062" s="17">
        <v>0</v>
      </c>
      <c r="BI2062" s="182"/>
      <c r="BJ2062" s="182"/>
      <c r="BK2062" s="182"/>
      <c r="BL2062" s="182"/>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80002016</v>
      </c>
      <c r="D2063" s="18" t="s">
        <v>4607</v>
      </c>
      <c r="E2063" s="292" t="s">
        <v>4608</v>
      </c>
      <c r="F2063" s="17">
        <v>1</v>
      </c>
      <c r="G2063" s="17">
        <v>80002016</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4609</v>
      </c>
      <c r="BC2063" s="28">
        <v>0</v>
      </c>
      <c r="BD2063" s="28">
        <v>0</v>
      </c>
      <c r="BE2063" s="46" t="s">
        <v>4610</v>
      </c>
      <c r="BF2063" s="46" t="s">
        <v>4611</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80002017</v>
      </c>
      <c r="D2064" s="18" t="s">
        <v>4612</v>
      </c>
      <c r="E2064" s="292" t="s">
        <v>4613</v>
      </c>
      <c r="F2064" s="17">
        <v>1</v>
      </c>
      <c r="G2064" s="17">
        <v>80002017</v>
      </c>
      <c r="H2064" s="19">
        <v>0</v>
      </c>
      <c r="I2064" s="28">
        <v>0</v>
      </c>
      <c r="J2064" s="19">
        <v>1</v>
      </c>
      <c r="K2064" s="19">
        <v>0</v>
      </c>
      <c r="L2064" s="19">
        <v>0</v>
      </c>
      <c r="M2064" s="17">
        <v>0</v>
      </c>
      <c r="N2064" s="17">
        <v>0</v>
      </c>
      <c r="O2064" s="17">
        <v>2</v>
      </c>
      <c r="P2064" s="17">
        <v>3</v>
      </c>
      <c r="Q2064" s="17">
        <v>0.2</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80010171</v>
      </c>
      <c r="AU2064" s="17" t="s">
        <v>198</v>
      </c>
      <c r="AV2064" s="17"/>
      <c r="AW2064" s="18" t="s">
        <v>199</v>
      </c>
      <c r="AX2064" s="17">
        <v>0</v>
      </c>
      <c r="AY2064" s="19">
        <v>0</v>
      </c>
      <c r="AZ2064" s="19">
        <v>0</v>
      </c>
      <c r="BA2064" s="18" t="s">
        <v>200</v>
      </c>
      <c r="BB2064" s="17"/>
      <c r="BC2064" s="28">
        <v>0</v>
      </c>
      <c r="BD2064" s="28">
        <v>0</v>
      </c>
      <c r="BE2064" s="243" t="s">
        <v>4614</v>
      </c>
      <c r="BF2064" s="243" t="s">
        <v>4615</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100000000000001" customHeight="1">
      <c r="C2065" s="19">
        <v>80002018</v>
      </c>
      <c r="D2065" s="18" t="s">
        <v>4616</v>
      </c>
      <c r="E2065" s="292" t="s">
        <v>4617</v>
      </c>
      <c r="F2065" s="17">
        <v>1</v>
      </c>
      <c r="G2065" s="17">
        <v>80002018</v>
      </c>
      <c r="H2065" s="19">
        <v>0</v>
      </c>
      <c r="I2065" s="28">
        <v>0</v>
      </c>
      <c r="J2065" s="19">
        <v>1</v>
      </c>
      <c r="K2065" s="19">
        <v>0</v>
      </c>
      <c r="L2065" s="19">
        <v>0</v>
      </c>
      <c r="M2065" s="17">
        <v>0</v>
      </c>
      <c r="N2065" s="17">
        <v>0</v>
      </c>
      <c r="O2065" s="17">
        <v>5</v>
      </c>
      <c r="P2065" s="17">
        <v>0</v>
      </c>
      <c r="Q2065" s="17">
        <v>0</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0</v>
      </c>
      <c r="AU2065" s="17" t="s">
        <v>198</v>
      </c>
      <c r="AV2065" s="17"/>
      <c r="AW2065" s="18" t="s">
        <v>199</v>
      </c>
      <c r="AX2065" s="17">
        <v>0</v>
      </c>
      <c r="AY2065" s="19">
        <v>0</v>
      </c>
      <c r="AZ2065" s="19">
        <v>0</v>
      </c>
      <c r="BA2065" s="18" t="s">
        <v>200</v>
      </c>
      <c r="BB2065" s="17" t="s">
        <v>4618</v>
      </c>
      <c r="BC2065" s="28">
        <v>0</v>
      </c>
      <c r="BD2065" s="28">
        <v>0</v>
      </c>
      <c r="BE2065" s="46" t="s">
        <v>4619</v>
      </c>
      <c r="BF2065" s="46" t="s">
        <v>4620</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spans="3:75" ht="20.100000000000001" customHeight="1">
      <c r="C2066" s="19">
        <v>80002019</v>
      </c>
      <c r="D2066" s="18" t="s">
        <v>4621</v>
      </c>
      <c r="E2066" s="292" t="s">
        <v>4622</v>
      </c>
      <c r="F2066" s="17">
        <v>1</v>
      </c>
      <c r="G2066" s="17">
        <v>80002019</v>
      </c>
      <c r="H2066" s="19">
        <v>0</v>
      </c>
      <c r="I2066" s="28">
        <v>0</v>
      </c>
      <c r="J2066" s="19">
        <v>1</v>
      </c>
      <c r="K2066" s="19">
        <v>0</v>
      </c>
      <c r="L2066" s="19">
        <v>0</v>
      </c>
      <c r="M2066" s="17">
        <v>0</v>
      </c>
      <c r="N2066" s="17">
        <v>0</v>
      </c>
      <c r="O2066" s="17">
        <v>5</v>
      </c>
      <c r="P2066" s="17">
        <v>0</v>
      </c>
      <c r="Q2066" s="17">
        <v>0</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7" t="s">
        <v>4623</v>
      </c>
      <c r="BC2066" s="28">
        <v>0</v>
      </c>
      <c r="BD2066" s="28">
        <v>0</v>
      </c>
      <c r="BE2066" s="46" t="s">
        <v>4624</v>
      </c>
      <c r="BF2066" s="46" t="s">
        <v>4625</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80002020</v>
      </c>
      <c r="D2067" s="18" t="s">
        <v>4626</v>
      </c>
      <c r="E2067" s="292" t="s">
        <v>4627</v>
      </c>
      <c r="F2067" s="17">
        <v>1</v>
      </c>
      <c r="G2067" s="17">
        <v>80002020</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9</v>
      </c>
      <c r="AG2067" s="17">
        <v>2</v>
      </c>
      <c r="AH2067" s="17" t="s">
        <v>213</v>
      </c>
      <c r="AI2067" s="13">
        <v>2</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t="s">
        <v>4628</v>
      </c>
      <c r="BC2067" s="28">
        <v>0</v>
      </c>
      <c r="BD2067" s="28">
        <v>0</v>
      </c>
      <c r="BE2067" s="46" t="s">
        <v>4629</v>
      </c>
      <c r="BF2067" s="46" t="s">
        <v>4630</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25" customHeight="1">
      <c r="C2068" s="19">
        <v>80002021</v>
      </c>
      <c r="D2068" s="18" t="s">
        <v>4631</v>
      </c>
      <c r="E2068" s="292" t="s">
        <v>4632</v>
      </c>
      <c r="F2068" s="19">
        <v>1</v>
      </c>
      <c r="G2068" s="17">
        <v>80002021</v>
      </c>
      <c r="H2068" s="19">
        <v>0</v>
      </c>
      <c r="I2068" s="28">
        <v>0</v>
      </c>
      <c r="J2068" s="19">
        <v>1</v>
      </c>
      <c r="K2068" s="19">
        <v>0</v>
      </c>
      <c r="L2068" s="19">
        <v>0</v>
      </c>
      <c r="M2068" s="17">
        <v>0</v>
      </c>
      <c r="N2068" s="17">
        <v>0</v>
      </c>
      <c r="O2068" s="17">
        <v>2</v>
      </c>
      <c r="P2068" s="17">
        <v>10</v>
      </c>
      <c r="Q2068" s="17">
        <v>0.2</v>
      </c>
      <c r="R2068" s="17">
        <v>0</v>
      </c>
      <c r="S2068" s="13">
        <v>0</v>
      </c>
      <c r="T2068" s="17">
        <v>0</v>
      </c>
      <c r="U2068" s="17">
        <v>1</v>
      </c>
      <c r="V2068" s="17">
        <v>2</v>
      </c>
      <c r="W2068" s="17">
        <v>0</v>
      </c>
      <c r="X2068" s="17">
        <v>2</v>
      </c>
      <c r="Y2068" s="13">
        <v>0</v>
      </c>
      <c r="Z2068" s="17">
        <v>0</v>
      </c>
      <c r="AA2068" s="17">
        <v>0</v>
      </c>
      <c r="AB2068" s="17">
        <v>0</v>
      </c>
      <c r="AC2068" s="17">
        <v>0</v>
      </c>
      <c r="AD2068" s="17">
        <v>0</v>
      </c>
      <c r="AE2068" s="17">
        <v>0</v>
      </c>
      <c r="AF2068" s="17">
        <v>5</v>
      </c>
      <c r="AG2068" s="17">
        <v>1</v>
      </c>
      <c r="AH2068" s="17">
        <v>3</v>
      </c>
      <c r="AI2068" s="13">
        <v>1</v>
      </c>
      <c r="AJ2068" s="13">
        <v>1</v>
      </c>
      <c r="AK2068" s="13">
        <v>0</v>
      </c>
      <c r="AL2068" s="13">
        <v>3</v>
      </c>
      <c r="AM2068" s="17">
        <v>0</v>
      </c>
      <c r="AN2068" s="17">
        <v>0</v>
      </c>
      <c r="AO2068" s="17">
        <v>0</v>
      </c>
      <c r="AP2068" s="17">
        <v>3</v>
      </c>
      <c r="AQ2068" s="17">
        <v>5000</v>
      </c>
      <c r="AR2068" s="17">
        <v>0.5</v>
      </c>
      <c r="AS2068" s="17">
        <v>0</v>
      </c>
      <c r="AT2068" s="13">
        <v>0</v>
      </c>
      <c r="AU2068" s="17">
        <v>0</v>
      </c>
      <c r="AV2068" s="17"/>
      <c r="AW2068" s="18" t="s">
        <v>199</v>
      </c>
      <c r="AX2068" s="13" t="s">
        <v>1672</v>
      </c>
      <c r="AY2068" s="19">
        <v>10000007</v>
      </c>
      <c r="AZ2068" s="293">
        <v>23000080</v>
      </c>
      <c r="BA2068" s="18" t="s">
        <v>200</v>
      </c>
      <c r="BB2068" s="20" t="s">
        <v>198</v>
      </c>
      <c r="BC2068" s="28">
        <v>0</v>
      </c>
      <c r="BD2068" s="28">
        <v>0</v>
      </c>
      <c r="BE2068" s="46" t="s">
        <v>4633</v>
      </c>
      <c r="BF2068" s="46" t="s">
        <v>4634</v>
      </c>
      <c r="BG2068" s="19">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spans="3:75" ht="20.100000000000001" customHeight="1">
      <c r="C2069" s="19">
        <v>80002022</v>
      </c>
      <c r="D2069" s="18" t="s">
        <v>4635</v>
      </c>
      <c r="E2069" s="292" t="s">
        <v>4636</v>
      </c>
      <c r="F2069" s="19">
        <v>1</v>
      </c>
      <c r="G2069" s="17">
        <v>80002022</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355" t="s">
        <v>2141</v>
      </c>
      <c r="AV2069" s="13"/>
      <c r="AW2069" s="18" t="s">
        <v>199</v>
      </c>
      <c r="AX2069" s="13" t="s">
        <v>1672</v>
      </c>
      <c r="AY2069" s="13" t="s">
        <v>198</v>
      </c>
      <c r="AZ2069" s="13">
        <v>0</v>
      </c>
      <c r="BA2069" s="14" t="s">
        <v>200</v>
      </c>
      <c r="BB2069" s="13">
        <v>0</v>
      </c>
      <c r="BC2069" s="28">
        <v>0</v>
      </c>
      <c r="BD2069" s="28">
        <v>0</v>
      </c>
      <c r="BE2069" s="46" t="s">
        <v>2142</v>
      </c>
      <c r="BF2069" s="46" t="s">
        <v>2143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80002023</v>
      </c>
      <c r="D2070" s="18" t="s">
        <v>4637</v>
      </c>
      <c r="E2070" s="292" t="s">
        <v>4638</v>
      </c>
      <c r="F2070" s="17">
        <v>1</v>
      </c>
      <c r="G2070" s="17">
        <v>80002023</v>
      </c>
      <c r="H2070" s="19">
        <v>0</v>
      </c>
      <c r="I2070" s="28">
        <v>0</v>
      </c>
      <c r="J2070" s="19">
        <v>1</v>
      </c>
      <c r="K2070" s="19">
        <v>0</v>
      </c>
      <c r="L2070" s="19">
        <v>0</v>
      </c>
      <c r="M2070" s="17">
        <v>0</v>
      </c>
      <c r="N2070" s="17">
        <v>0</v>
      </c>
      <c r="O2070" s="17">
        <v>2</v>
      </c>
      <c r="P2070" s="17">
        <v>9</v>
      </c>
      <c r="Q2070" s="17">
        <v>0.3</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10</v>
      </c>
      <c r="AG2070" s="17">
        <v>0</v>
      </c>
      <c r="AH2070" s="17">
        <v>3</v>
      </c>
      <c r="AI2070" s="13">
        <v>7</v>
      </c>
      <c r="AJ2070" s="13">
        <v>0</v>
      </c>
      <c r="AK2070" s="13">
        <v>0</v>
      </c>
      <c r="AL2070" s="13">
        <v>10</v>
      </c>
      <c r="AM2070" s="17">
        <v>0</v>
      </c>
      <c r="AN2070" s="17">
        <v>0</v>
      </c>
      <c r="AO2070" s="17">
        <v>0</v>
      </c>
      <c r="AP2070" s="17">
        <v>0</v>
      </c>
      <c r="AQ2070" s="17">
        <v>3000</v>
      </c>
      <c r="AR2070" s="17">
        <v>0.5</v>
      </c>
      <c r="AS2070" s="17">
        <v>0</v>
      </c>
      <c r="AT2070" s="13">
        <v>0</v>
      </c>
      <c r="AU2070" s="17">
        <v>80002003</v>
      </c>
      <c r="AV2070" s="17"/>
      <c r="AW2070" s="18" t="s">
        <v>199</v>
      </c>
      <c r="AX2070" s="17">
        <v>0</v>
      </c>
      <c r="AY2070" s="19">
        <v>0</v>
      </c>
      <c r="AZ2070" s="19">
        <v>0</v>
      </c>
      <c r="BA2070" s="18" t="s">
        <v>200</v>
      </c>
      <c r="BB2070" s="17">
        <v>0</v>
      </c>
      <c r="BC2070" s="28">
        <v>0</v>
      </c>
      <c r="BD2070" s="28">
        <v>0</v>
      </c>
      <c r="BE2070" s="46" t="s">
        <v>1899</v>
      </c>
      <c r="BF2070" s="46" t="s">
        <v>1900</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spans="3:75" ht="20.100000000000001" customHeight="1">
      <c r="C2071" s="19">
        <v>80002024</v>
      </c>
      <c r="D2071" s="18" t="s">
        <v>4639</v>
      </c>
      <c r="E2071" s="292" t="s">
        <v>4640</v>
      </c>
      <c r="F2071" s="17">
        <v>1</v>
      </c>
      <c r="G2071" s="17">
        <v>80002024</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10</v>
      </c>
      <c r="AG2071" s="17">
        <v>2</v>
      </c>
      <c r="AH2071" s="17" t="s">
        <v>213</v>
      </c>
      <c r="AI2071" s="13">
        <v>2</v>
      </c>
      <c r="AJ2071" s="13">
        <v>2</v>
      </c>
      <c r="AK2071" s="13">
        <v>0</v>
      </c>
      <c r="AL2071" s="13">
        <v>1.5</v>
      </c>
      <c r="AM2071" s="17">
        <v>0</v>
      </c>
      <c r="AN2071" s="17">
        <v>0</v>
      </c>
      <c r="AO2071" s="17">
        <v>0</v>
      </c>
      <c r="AP2071" s="17">
        <v>0</v>
      </c>
      <c r="AQ2071" s="17">
        <v>3000</v>
      </c>
      <c r="AR2071" s="17">
        <v>0.5</v>
      </c>
      <c r="AS2071" s="17">
        <v>0</v>
      </c>
      <c r="AT2071" s="13">
        <v>0</v>
      </c>
      <c r="AU2071" s="17" t="s">
        <v>198</v>
      </c>
      <c r="AV2071" s="17"/>
      <c r="AW2071" s="18" t="s">
        <v>199</v>
      </c>
      <c r="AX2071" s="17">
        <v>0</v>
      </c>
      <c r="AY2071" s="19">
        <v>0</v>
      </c>
      <c r="AZ2071" s="19">
        <v>0</v>
      </c>
      <c r="BA2071" s="18" t="s">
        <v>200</v>
      </c>
      <c r="BB2071" s="17" t="s">
        <v>4524</v>
      </c>
      <c r="BC2071" s="28">
        <v>0</v>
      </c>
      <c r="BD2071" s="28">
        <v>0</v>
      </c>
      <c r="BE2071" s="46" t="s">
        <v>4641</v>
      </c>
      <c r="BF2071" s="46" t="s">
        <v>4642</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80002025</v>
      </c>
      <c r="D2072" s="18" t="s">
        <v>4643</v>
      </c>
      <c r="E2072" s="292" t="s">
        <v>4644</v>
      </c>
      <c r="F2072" s="19">
        <v>1</v>
      </c>
      <c r="G2072" s="17">
        <v>80002025</v>
      </c>
      <c r="H2072" s="13">
        <v>0</v>
      </c>
      <c r="I2072" s="13">
        <v>0</v>
      </c>
      <c r="J2072" s="19">
        <v>1</v>
      </c>
      <c r="K2072" s="19">
        <v>0</v>
      </c>
      <c r="L2072" s="13">
        <v>0</v>
      </c>
      <c r="M2072" s="13">
        <v>0</v>
      </c>
      <c r="N2072" s="13">
        <v>0</v>
      </c>
      <c r="O2072" s="13">
        <v>2</v>
      </c>
      <c r="P2072" s="13">
        <v>10</v>
      </c>
      <c r="Q2072" s="13">
        <v>0.1</v>
      </c>
      <c r="R2072" s="13">
        <v>0</v>
      </c>
      <c r="S2072" s="13">
        <v>0</v>
      </c>
      <c r="T2072" s="13">
        <v>0</v>
      </c>
      <c r="U2072" s="17">
        <v>1</v>
      </c>
      <c r="V2072" s="13">
        <v>2</v>
      </c>
      <c r="W2072" s="13">
        <v>0</v>
      </c>
      <c r="X2072" s="13">
        <v>2.5</v>
      </c>
      <c r="Y2072" s="13">
        <v>0</v>
      </c>
      <c r="Z2072" s="13">
        <v>0</v>
      </c>
      <c r="AA2072" s="13">
        <v>0</v>
      </c>
      <c r="AB2072" s="13">
        <v>0</v>
      </c>
      <c r="AC2072" s="13">
        <v>0</v>
      </c>
      <c r="AD2072" s="19">
        <v>0</v>
      </c>
      <c r="AE2072" s="13">
        <v>0</v>
      </c>
      <c r="AF2072" s="13">
        <v>10</v>
      </c>
      <c r="AG2072" s="13">
        <v>0</v>
      </c>
      <c r="AH2072" s="13">
        <v>0</v>
      </c>
      <c r="AI2072" s="13">
        <v>7</v>
      </c>
      <c r="AJ2072" s="13">
        <v>0</v>
      </c>
      <c r="AK2072" s="13">
        <v>0</v>
      </c>
      <c r="AL2072" s="13">
        <v>6</v>
      </c>
      <c r="AM2072" s="13">
        <v>0</v>
      </c>
      <c r="AN2072" s="13">
        <v>0</v>
      </c>
      <c r="AO2072" s="13">
        <v>0</v>
      </c>
      <c r="AP2072" s="13">
        <v>0</v>
      </c>
      <c r="AQ2072" s="13">
        <v>1000</v>
      </c>
      <c r="AR2072" s="13">
        <v>0</v>
      </c>
      <c r="AS2072" s="13">
        <v>0</v>
      </c>
      <c r="AT2072" s="13">
        <v>0</v>
      </c>
      <c r="AU2072" s="13" t="s">
        <v>198</v>
      </c>
      <c r="AV2072" s="13"/>
      <c r="AW2072" s="18" t="s">
        <v>199</v>
      </c>
      <c r="AX2072" s="13" t="s">
        <v>1672</v>
      </c>
      <c r="AY2072" s="13" t="s">
        <v>198</v>
      </c>
      <c r="AZ2072" s="13" t="s">
        <v>1906</v>
      </c>
      <c r="BA2072" s="14" t="s">
        <v>200</v>
      </c>
      <c r="BB2072" s="13">
        <v>0</v>
      </c>
      <c r="BC2072" s="28">
        <v>0</v>
      </c>
      <c r="BD2072" s="28">
        <v>0</v>
      </c>
      <c r="BE2072" s="44" t="s">
        <v>4645</v>
      </c>
      <c r="BF2072" s="44" t="s">
        <v>4646</v>
      </c>
      <c r="BG2072" s="13">
        <v>0</v>
      </c>
      <c r="BH2072" s="17">
        <v>0</v>
      </c>
      <c r="BI2072" s="17"/>
      <c r="BJ2072" s="17"/>
      <c r="BK2072" s="17"/>
      <c r="BL2072" s="19"/>
      <c r="BM2072" s="16">
        <v>0</v>
      </c>
      <c r="BN2072" s="13">
        <v>0</v>
      </c>
      <c r="BO2072" s="13">
        <v>0</v>
      </c>
      <c r="BP2072" s="13">
        <v>0</v>
      </c>
      <c r="BQ2072" s="13">
        <v>0</v>
      </c>
      <c r="BR2072" s="13">
        <v>0</v>
      </c>
      <c r="BS2072" s="13">
        <v>0</v>
      </c>
      <c r="BT2072" s="13">
        <v>0</v>
      </c>
      <c r="BU2072" s="49">
        <v>0</v>
      </c>
      <c r="BV2072" s="49"/>
      <c r="BW2072" s="49"/>
    </row>
    <row r="2073" spans="3:75" ht="20.100000000000001" customHeight="1">
      <c r="C2073" s="19">
        <v>80002026</v>
      </c>
      <c r="D2073" s="18" t="s">
        <v>4647</v>
      </c>
      <c r="E2073" s="292" t="s">
        <v>4648</v>
      </c>
      <c r="F2073" s="19">
        <v>1</v>
      </c>
      <c r="G2073" s="17">
        <v>80002026</v>
      </c>
      <c r="H2073" s="13">
        <v>0</v>
      </c>
      <c r="I2073" s="13">
        <v>0</v>
      </c>
      <c r="J2073" s="19">
        <v>1</v>
      </c>
      <c r="K2073" s="19">
        <v>0</v>
      </c>
      <c r="L2073" s="13">
        <v>0</v>
      </c>
      <c r="M2073" s="13">
        <v>0</v>
      </c>
      <c r="N2073" s="13">
        <v>0</v>
      </c>
      <c r="O2073" s="13">
        <v>2</v>
      </c>
      <c r="P2073" s="13">
        <v>1</v>
      </c>
      <c r="Q2073" s="13">
        <v>0.2</v>
      </c>
      <c r="R2073" s="13">
        <v>0</v>
      </c>
      <c r="S2073" s="13">
        <v>0</v>
      </c>
      <c r="T2073" s="13">
        <v>0</v>
      </c>
      <c r="U2073" s="17">
        <v>1</v>
      </c>
      <c r="V2073" s="13">
        <v>2</v>
      </c>
      <c r="W2073" s="13">
        <v>0</v>
      </c>
      <c r="X2073" s="13">
        <v>0</v>
      </c>
      <c r="Y2073" s="13">
        <v>0</v>
      </c>
      <c r="Z2073" s="13">
        <v>0</v>
      </c>
      <c r="AA2073" s="13">
        <v>0</v>
      </c>
      <c r="AB2073" s="13">
        <v>0</v>
      </c>
      <c r="AC2073" s="13">
        <v>0</v>
      </c>
      <c r="AD2073" s="19">
        <v>0</v>
      </c>
      <c r="AE2073" s="13">
        <v>0</v>
      </c>
      <c r="AF2073" s="13">
        <v>10</v>
      </c>
      <c r="AG2073" s="13">
        <v>0</v>
      </c>
      <c r="AH2073" s="13">
        <v>0</v>
      </c>
      <c r="AI2073" s="13">
        <v>7</v>
      </c>
      <c r="AJ2073" s="13">
        <v>0</v>
      </c>
      <c r="AK2073" s="13">
        <v>0</v>
      </c>
      <c r="AL2073" s="13">
        <v>6</v>
      </c>
      <c r="AM2073" s="13">
        <v>0</v>
      </c>
      <c r="AN2073" s="13">
        <v>0</v>
      </c>
      <c r="AO2073" s="13">
        <v>0</v>
      </c>
      <c r="AP2073" s="13">
        <v>0</v>
      </c>
      <c r="AQ2073" s="13">
        <v>1000</v>
      </c>
      <c r="AR2073" s="13">
        <v>0</v>
      </c>
      <c r="AS2073" s="13">
        <v>0</v>
      </c>
      <c r="AT2073" s="13">
        <v>0</v>
      </c>
      <c r="AU2073" s="13">
        <v>80002004</v>
      </c>
      <c r="AV2073" s="13"/>
      <c r="AW2073" s="18" t="s">
        <v>199</v>
      </c>
      <c r="AX2073" s="13">
        <v>0</v>
      </c>
      <c r="AY2073" s="13" t="s">
        <v>198</v>
      </c>
      <c r="AZ2073" s="13">
        <v>0</v>
      </c>
      <c r="BA2073" s="14" t="s">
        <v>200</v>
      </c>
      <c r="BB2073" s="13">
        <v>0</v>
      </c>
      <c r="BC2073" s="28">
        <v>0</v>
      </c>
      <c r="BD2073" s="28">
        <v>0</v>
      </c>
      <c r="BE2073" s="44" t="s">
        <v>4649</v>
      </c>
      <c r="BF2073" s="44" t="s">
        <v>4650</v>
      </c>
      <c r="BG2073" s="13">
        <v>0</v>
      </c>
      <c r="BH2073" s="17">
        <v>0</v>
      </c>
      <c r="BI2073" s="17"/>
      <c r="BJ2073" s="17"/>
      <c r="BK2073" s="17"/>
      <c r="BL2073" s="19"/>
      <c r="BM2073" s="16">
        <v>0</v>
      </c>
      <c r="BN2073" s="13">
        <v>0</v>
      </c>
      <c r="BO2073" s="13">
        <v>0</v>
      </c>
      <c r="BP2073" s="13">
        <v>0</v>
      </c>
      <c r="BQ2073" s="13">
        <v>0</v>
      </c>
      <c r="BR2073" s="13">
        <v>0</v>
      </c>
      <c r="BS2073" s="13">
        <v>0</v>
      </c>
      <c r="BT2073" s="13">
        <v>0</v>
      </c>
      <c r="BU2073" s="49">
        <v>0</v>
      </c>
      <c r="BV2073" s="49"/>
      <c r="BW2073" s="49"/>
    </row>
    <row r="2074" spans="3:75" ht="20.100000000000001" customHeight="1">
      <c r="C2074" s="19">
        <v>80002027</v>
      </c>
      <c r="D2074" s="18" t="s">
        <v>4651</v>
      </c>
      <c r="E2074" s="292" t="s">
        <v>4652</v>
      </c>
      <c r="F2074" s="17">
        <v>1</v>
      </c>
      <c r="G2074" s="17">
        <v>80002027</v>
      </c>
      <c r="H2074" s="19">
        <v>0</v>
      </c>
      <c r="I2074" s="28">
        <v>0</v>
      </c>
      <c r="J2074" s="19">
        <v>1</v>
      </c>
      <c r="K2074" s="19">
        <v>0</v>
      </c>
      <c r="L2074" s="19">
        <v>0</v>
      </c>
      <c r="M2074" s="17">
        <v>0</v>
      </c>
      <c r="N2074" s="17">
        <v>0</v>
      </c>
      <c r="O2074" s="17">
        <v>5</v>
      </c>
      <c r="P2074" s="17">
        <v>0</v>
      </c>
      <c r="Q2074" s="17">
        <v>0</v>
      </c>
      <c r="R2074" s="17">
        <v>0</v>
      </c>
      <c r="S2074" s="13">
        <v>0</v>
      </c>
      <c r="T2074" s="17">
        <v>0</v>
      </c>
      <c r="U2074" s="17">
        <v>1</v>
      </c>
      <c r="V2074" s="17">
        <v>2</v>
      </c>
      <c r="W2074" s="17">
        <v>0</v>
      </c>
      <c r="X2074" s="17">
        <v>0</v>
      </c>
      <c r="Y2074" s="13">
        <v>0</v>
      </c>
      <c r="Z2074" s="17">
        <v>0</v>
      </c>
      <c r="AA2074" s="17">
        <v>0</v>
      </c>
      <c r="AB2074" s="17">
        <v>0</v>
      </c>
      <c r="AC2074" s="17">
        <v>0</v>
      </c>
      <c r="AD2074" s="17">
        <v>0</v>
      </c>
      <c r="AE2074" s="17">
        <v>0</v>
      </c>
      <c r="AF2074" s="17">
        <v>9</v>
      </c>
      <c r="AG2074" s="17">
        <v>2</v>
      </c>
      <c r="AH2074" s="17" t="s">
        <v>213</v>
      </c>
      <c r="AI2074" s="13">
        <v>2</v>
      </c>
      <c r="AJ2074" s="13">
        <v>2</v>
      </c>
      <c r="AK2074" s="13">
        <v>0</v>
      </c>
      <c r="AL2074" s="13">
        <v>1.5</v>
      </c>
      <c r="AM2074" s="17">
        <v>0</v>
      </c>
      <c r="AN2074" s="17">
        <v>0</v>
      </c>
      <c r="AO2074" s="17">
        <v>0</v>
      </c>
      <c r="AP2074" s="17">
        <v>0</v>
      </c>
      <c r="AQ2074" s="17">
        <v>3000</v>
      </c>
      <c r="AR2074" s="17">
        <v>0.5</v>
      </c>
      <c r="AS2074" s="17">
        <v>0</v>
      </c>
      <c r="AT2074" s="13">
        <v>0</v>
      </c>
      <c r="AU2074" s="17" t="s">
        <v>198</v>
      </c>
      <c r="AV2074" s="17"/>
      <c r="AW2074" s="18" t="s">
        <v>199</v>
      </c>
      <c r="AX2074" s="17">
        <v>0</v>
      </c>
      <c r="AY2074" s="19">
        <v>0</v>
      </c>
      <c r="AZ2074" s="19">
        <v>0</v>
      </c>
      <c r="BA2074" s="18" t="s">
        <v>200</v>
      </c>
      <c r="BB2074" s="17" t="s">
        <v>4535</v>
      </c>
      <c r="BC2074" s="28">
        <v>0</v>
      </c>
      <c r="BD2074" s="28">
        <v>0</v>
      </c>
      <c r="BE2074" s="46" t="s">
        <v>4653</v>
      </c>
      <c r="BF2074" s="46" t="s">
        <v>4654</v>
      </c>
      <c r="BG2074" s="17"/>
      <c r="BH2074" s="17">
        <v>0</v>
      </c>
      <c r="BI2074" s="17"/>
      <c r="BJ2074" s="17"/>
      <c r="BK2074" s="17"/>
      <c r="BL2074" s="19"/>
      <c r="BM2074" s="17">
        <v>0</v>
      </c>
      <c r="BN2074" s="13">
        <v>0</v>
      </c>
      <c r="BO2074" s="13">
        <v>0</v>
      </c>
      <c r="BP2074" s="13">
        <v>0</v>
      </c>
      <c r="BQ2074" s="13">
        <v>0</v>
      </c>
      <c r="BR2074" s="13">
        <v>0</v>
      </c>
      <c r="BS2074" s="13">
        <v>0</v>
      </c>
      <c r="BT2074" s="13">
        <v>0</v>
      </c>
      <c r="BU2074" s="49">
        <v>0</v>
      </c>
      <c r="BV2074" s="49"/>
      <c r="BW2074" s="49"/>
    </row>
    <row r="2075" spans="3:75" ht="20.100000000000001" customHeight="1">
      <c r="C2075" s="19">
        <v>80002028</v>
      </c>
      <c r="D2075" s="18" t="s">
        <v>4655</v>
      </c>
      <c r="E2075" s="292" t="s">
        <v>4656</v>
      </c>
      <c r="F2075" s="17">
        <v>1</v>
      </c>
      <c r="G2075" s="17">
        <v>80002028</v>
      </c>
      <c r="H2075" s="19">
        <v>0</v>
      </c>
      <c r="I2075" s="28">
        <v>0</v>
      </c>
      <c r="J2075" s="19">
        <v>1</v>
      </c>
      <c r="K2075" s="19">
        <v>0</v>
      </c>
      <c r="L2075" s="19">
        <v>0</v>
      </c>
      <c r="M2075" s="17">
        <v>0</v>
      </c>
      <c r="N2075" s="17">
        <v>0</v>
      </c>
      <c r="O2075" s="17">
        <v>2</v>
      </c>
      <c r="P2075" s="17">
        <v>9</v>
      </c>
      <c r="Q2075" s="17">
        <v>0.1</v>
      </c>
      <c r="R2075" s="17">
        <v>0</v>
      </c>
      <c r="S2075" s="13">
        <v>0</v>
      </c>
      <c r="T2075" s="17">
        <v>0</v>
      </c>
      <c r="U2075" s="17">
        <v>1</v>
      </c>
      <c r="V2075" s="17">
        <v>1</v>
      </c>
      <c r="W2075" s="17">
        <v>0</v>
      </c>
      <c r="X2075" s="17">
        <v>2</v>
      </c>
      <c r="Y2075" s="13">
        <v>0</v>
      </c>
      <c r="Z2075" s="17">
        <v>0</v>
      </c>
      <c r="AA2075" s="17">
        <v>0</v>
      </c>
      <c r="AB2075" s="17">
        <v>0</v>
      </c>
      <c r="AC2075" s="17">
        <v>0</v>
      </c>
      <c r="AD2075" s="17">
        <v>0</v>
      </c>
      <c r="AE2075" s="17">
        <v>0</v>
      </c>
      <c r="AF2075" s="17">
        <v>3</v>
      </c>
      <c r="AG2075" s="17">
        <v>2</v>
      </c>
      <c r="AH2075" s="17" t="s">
        <v>213</v>
      </c>
      <c r="AI2075" s="13">
        <v>0</v>
      </c>
      <c r="AJ2075" s="13">
        <v>0</v>
      </c>
      <c r="AK2075" s="13">
        <v>0</v>
      </c>
      <c r="AL2075" s="13">
        <v>1.5</v>
      </c>
      <c r="AM2075" s="17">
        <v>0</v>
      </c>
      <c r="AN2075" s="17">
        <v>0</v>
      </c>
      <c r="AO2075" s="17">
        <v>0</v>
      </c>
      <c r="AP2075" s="17">
        <v>0</v>
      </c>
      <c r="AQ2075" s="17">
        <v>3000</v>
      </c>
      <c r="AR2075" s="17">
        <v>0.5</v>
      </c>
      <c r="AS2075" s="17">
        <v>0</v>
      </c>
      <c r="AT2075" s="13">
        <v>0</v>
      </c>
      <c r="AU2075" s="17">
        <v>0</v>
      </c>
      <c r="AV2075" s="17"/>
      <c r="AW2075" s="18" t="s">
        <v>199</v>
      </c>
      <c r="AX2075" s="17">
        <v>0</v>
      </c>
      <c r="AY2075" s="19">
        <v>10000007</v>
      </c>
      <c r="AZ2075" s="19">
        <v>23000040</v>
      </c>
      <c r="BA2075" s="18" t="s">
        <v>200</v>
      </c>
      <c r="BB2075" s="17">
        <v>0</v>
      </c>
      <c r="BC2075" s="28">
        <v>0</v>
      </c>
      <c r="BD2075" s="28">
        <v>1</v>
      </c>
      <c r="BE2075" s="46" t="s">
        <v>1903</v>
      </c>
      <c r="BF2075" s="46" t="s">
        <v>1904</v>
      </c>
      <c r="BG2075" s="17">
        <v>0</v>
      </c>
      <c r="BH2075" s="17">
        <v>0</v>
      </c>
      <c r="BI2075" s="17"/>
      <c r="BJ2075" s="17"/>
      <c r="BK2075" s="17"/>
      <c r="BL2075" s="19"/>
      <c r="BM2075" s="17">
        <v>0</v>
      </c>
      <c r="BN2075" s="13">
        <v>0</v>
      </c>
      <c r="BO2075" s="13">
        <v>0</v>
      </c>
      <c r="BP2075" s="13">
        <v>0</v>
      </c>
      <c r="BQ2075" s="13">
        <v>0</v>
      </c>
      <c r="BR2075" s="13">
        <v>0</v>
      </c>
      <c r="BS2075" s="13">
        <v>0</v>
      </c>
      <c r="BT2075" s="13">
        <v>0</v>
      </c>
      <c r="BU2075" s="49">
        <v>0</v>
      </c>
      <c r="BV2075" s="49"/>
      <c r="BW2075" s="49"/>
    </row>
    <row r="2076" spans="3:75" ht="20.100000000000001" customHeight="1">
      <c r="C2076" s="19">
        <v>80003001</v>
      </c>
      <c r="D2076" s="61" t="s">
        <v>4657</v>
      </c>
      <c r="E2076" s="61" t="s">
        <v>4658</v>
      </c>
      <c r="F2076" s="62">
        <v>1</v>
      </c>
      <c r="G2076" s="19">
        <v>80003001</v>
      </c>
      <c r="H2076" s="62">
        <v>0</v>
      </c>
      <c r="I2076" s="68">
        <v>0</v>
      </c>
      <c r="J2076" s="66">
        <v>1</v>
      </c>
      <c r="K2076" s="66">
        <v>0</v>
      </c>
      <c r="L2076" s="66">
        <v>0</v>
      </c>
      <c r="M2076" s="62">
        <v>0</v>
      </c>
      <c r="N2076" s="62">
        <v>0</v>
      </c>
      <c r="O2076" s="62">
        <v>2</v>
      </c>
      <c r="P2076" s="62">
        <v>3</v>
      </c>
      <c r="Q2076" s="62">
        <v>0.2</v>
      </c>
      <c r="R2076" s="62">
        <v>0</v>
      </c>
      <c r="S2076" s="70">
        <v>0</v>
      </c>
      <c r="T2076" s="62">
        <v>0</v>
      </c>
      <c r="U2076" s="62">
        <v>1</v>
      </c>
      <c r="V2076" s="62">
        <v>1</v>
      </c>
      <c r="W2076" s="62">
        <v>0</v>
      </c>
      <c r="X2076" s="62">
        <v>0.3</v>
      </c>
      <c r="Y2076" s="13">
        <v>0</v>
      </c>
      <c r="Z2076" s="62">
        <v>0</v>
      </c>
      <c r="AA2076" s="62">
        <v>0</v>
      </c>
      <c r="AB2076" s="62">
        <v>0</v>
      </c>
      <c r="AC2076" s="62">
        <v>0</v>
      </c>
      <c r="AD2076" s="62">
        <v>0</v>
      </c>
      <c r="AE2076" s="62">
        <v>1</v>
      </c>
      <c r="AF2076" s="62">
        <v>3</v>
      </c>
      <c r="AG2076" s="62">
        <v>1</v>
      </c>
      <c r="AH2076" s="62">
        <v>2</v>
      </c>
      <c r="AI2076" s="70">
        <v>0</v>
      </c>
      <c r="AJ2076" s="70">
        <v>2</v>
      </c>
      <c r="AK2076" s="70">
        <v>0</v>
      </c>
      <c r="AL2076" s="70">
        <v>1.5</v>
      </c>
      <c r="AM2076" s="62">
        <v>0</v>
      </c>
      <c r="AN2076" s="62">
        <v>0</v>
      </c>
      <c r="AO2076" s="62">
        <v>0</v>
      </c>
      <c r="AP2076" s="62">
        <v>0.5</v>
      </c>
      <c r="AQ2076" s="62">
        <v>2000</v>
      </c>
      <c r="AR2076" s="62">
        <v>0.1</v>
      </c>
      <c r="AS2076" s="62">
        <v>8</v>
      </c>
      <c r="AT2076" s="70">
        <v>0</v>
      </c>
      <c r="AU2076" s="62">
        <v>0</v>
      </c>
      <c r="AV2076" s="62"/>
      <c r="AW2076" s="61" t="s">
        <v>198</v>
      </c>
      <c r="AX2076" s="62">
        <v>0</v>
      </c>
      <c r="AY2076" s="66">
        <v>0</v>
      </c>
      <c r="AZ2076" s="66">
        <v>23000101</v>
      </c>
      <c r="BA2076" s="61" t="s">
        <v>586</v>
      </c>
      <c r="BB2076" s="62">
        <v>0</v>
      </c>
      <c r="BC2076" s="68">
        <v>0</v>
      </c>
      <c r="BD2076" s="68">
        <v>1</v>
      </c>
      <c r="BE2076" s="92" t="s">
        <v>4659</v>
      </c>
      <c r="BF2076" s="92" t="s">
        <v>4660</v>
      </c>
      <c r="BG2076" s="62">
        <v>0</v>
      </c>
      <c r="BH2076" s="62">
        <v>0</v>
      </c>
      <c r="BI2076" s="62">
        <v>0</v>
      </c>
      <c r="BJ2076" s="62">
        <v>0</v>
      </c>
      <c r="BK2076" s="62">
        <v>0</v>
      </c>
      <c r="BL2076" s="62">
        <v>0</v>
      </c>
      <c r="BM2076" s="62">
        <v>0</v>
      </c>
      <c r="BN2076" s="70">
        <v>0</v>
      </c>
      <c r="BO2076" s="70">
        <v>0</v>
      </c>
      <c r="BP2076" s="70">
        <v>0</v>
      </c>
      <c r="BQ2076" s="70">
        <v>0</v>
      </c>
      <c r="BR2076" s="70">
        <v>0</v>
      </c>
      <c r="BS2076" s="70">
        <v>1</v>
      </c>
      <c r="BT2076" s="13">
        <v>0</v>
      </c>
      <c r="BU2076" s="49">
        <v>0</v>
      </c>
      <c r="BV2076" s="49"/>
      <c r="BW2076" s="49"/>
    </row>
    <row r="2077" spans="3:75" ht="20.100000000000001" customHeight="1">
      <c r="C2077" s="19">
        <v>80003002</v>
      </c>
      <c r="D2077" s="61" t="s">
        <v>4661</v>
      </c>
      <c r="E2077" s="61" t="s">
        <v>4662</v>
      </c>
      <c r="F2077" s="62">
        <v>1</v>
      </c>
      <c r="G2077" s="19">
        <v>80003002</v>
      </c>
      <c r="H2077" s="62">
        <v>0</v>
      </c>
      <c r="I2077" s="68">
        <v>0</v>
      </c>
      <c r="J2077" s="66">
        <v>1</v>
      </c>
      <c r="K2077" s="66">
        <v>0</v>
      </c>
      <c r="L2077" s="66">
        <v>0</v>
      </c>
      <c r="M2077" s="62">
        <v>0</v>
      </c>
      <c r="N2077" s="62">
        <v>0</v>
      </c>
      <c r="O2077" s="62">
        <v>2</v>
      </c>
      <c r="P2077" s="62">
        <v>1</v>
      </c>
      <c r="Q2077" s="62">
        <v>0.1</v>
      </c>
      <c r="R2077" s="62">
        <v>0</v>
      </c>
      <c r="S2077" s="70">
        <v>2</v>
      </c>
      <c r="T2077" s="62">
        <v>0</v>
      </c>
      <c r="U2077" s="62">
        <v>1</v>
      </c>
      <c r="V2077" s="62">
        <v>1</v>
      </c>
      <c r="W2077" s="62">
        <v>0</v>
      </c>
      <c r="X2077" s="62">
        <v>2</v>
      </c>
      <c r="Y2077" s="13">
        <v>0</v>
      </c>
      <c r="Z2077" s="62">
        <v>0</v>
      </c>
      <c r="AA2077" s="62">
        <v>0</v>
      </c>
      <c r="AB2077" s="62">
        <v>0</v>
      </c>
      <c r="AC2077" s="62">
        <v>0</v>
      </c>
      <c r="AD2077" s="62">
        <v>0</v>
      </c>
      <c r="AE2077" s="62">
        <v>1</v>
      </c>
      <c r="AF2077" s="62">
        <v>5</v>
      </c>
      <c r="AG2077" s="62">
        <v>1</v>
      </c>
      <c r="AH2077" s="62">
        <v>1</v>
      </c>
      <c r="AI2077" s="70">
        <v>7</v>
      </c>
      <c r="AJ2077" s="70">
        <v>1</v>
      </c>
      <c r="AK2077" s="70">
        <v>0</v>
      </c>
      <c r="AL2077" s="70">
        <v>1.5</v>
      </c>
      <c r="AM2077" s="62">
        <v>0</v>
      </c>
      <c r="AN2077" s="62">
        <v>0</v>
      </c>
      <c r="AO2077" s="62">
        <v>0</v>
      </c>
      <c r="AP2077" s="62">
        <v>0</v>
      </c>
      <c r="AQ2077" s="62">
        <v>500</v>
      </c>
      <c r="AR2077" s="62">
        <v>0.1</v>
      </c>
      <c r="AS2077" s="62">
        <v>0</v>
      </c>
      <c r="AT2077" s="70">
        <v>0</v>
      </c>
      <c r="AU2077" s="369" t="s">
        <v>4663</v>
      </c>
      <c r="AV2077" s="62"/>
      <c r="AW2077" s="61" t="s">
        <v>198</v>
      </c>
      <c r="AX2077" s="62">
        <v>0</v>
      </c>
      <c r="AY2077" s="66">
        <v>0</v>
      </c>
      <c r="AZ2077" s="66">
        <v>0</v>
      </c>
      <c r="BA2077" s="61" t="s">
        <v>200</v>
      </c>
      <c r="BB2077" s="62">
        <v>0</v>
      </c>
      <c r="BC2077" s="68">
        <v>0</v>
      </c>
      <c r="BD2077" s="68">
        <v>1</v>
      </c>
      <c r="BE2077" s="92" t="s">
        <v>4664</v>
      </c>
      <c r="BF2077" s="92" t="s">
        <v>4665</v>
      </c>
      <c r="BG2077" s="62">
        <v>0</v>
      </c>
      <c r="BH2077" s="62">
        <v>0</v>
      </c>
      <c r="BI2077" s="62">
        <v>0</v>
      </c>
      <c r="BJ2077" s="62">
        <v>0</v>
      </c>
      <c r="BK2077" s="62">
        <v>0</v>
      </c>
      <c r="BL2077" s="62">
        <v>0</v>
      </c>
      <c r="BM2077" s="62">
        <v>0</v>
      </c>
      <c r="BN2077" s="70">
        <v>0</v>
      </c>
      <c r="BO2077" s="70">
        <v>0</v>
      </c>
      <c r="BP2077" s="70">
        <v>0</v>
      </c>
      <c r="BQ2077" s="70">
        <v>0</v>
      </c>
      <c r="BR2077" s="70">
        <v>0</v>
      </c>
      <c r="BS2077" s="70">
        <v>1</v>
      </c>
      <c r="BT2077" s="13">
        <v>0</v>
      </c>
      <c r="BU2077" s="49">
        <v>0</v>
      </c>
      <c r="BV2077" s="49"/>
      <c r="BW2077" s="49"/>
    </row>
    <row r="2078" spans="3:75" ht="19.5" customHeight="1">
      <c r="C2078" s="19">
        <v>80003003</v>
      </c>
      <c r="D2078" s="61" t="s">
        <v>4666</v>
      </c>
      <c r="E2078" s="61" t="s">
        <v>4667</v>
      </c>
      <c r="F2078" s="66">
        <v>1</v>
      </c>
      <c r="G2078" s="19">
        <v>80003003</v>
      </c>
      <c r="H2078" s="66">
        <v>0</v>
      </c>
      <c r="I2078" s="68">
        <v>0</v>
      </c>
      <c r="J2078" s="66">
        <v>1</v>
      </c>
      <c r="K2078" s="66">
        <v>0</v>
      </c>
      <c r="L2078" s="66">
        <v>0</v>
      </c>
      <c r="M2078" s="62">
        <v>0</v>
      </c>
      <c r="N2078" s="62">
        <v>0</v>
      </c>
      <c r="O2078" s="62">
        <v>2</v>
      </c>
      <c r="P2078" s="62">
        <v>1</v>
      </c>
      <c r="Q2078" s="62">
        <v>0.1</v>
      </c>
      <c r="R2078" s="62">
        <v>0</v>
      </c>
      <c r="S2078" s="70">
        <v>1</v>
      </c>
      <c r="T2078" s="62">
        <v>0</v>
      </c>
      <c r="U2078" s="62">
        <v>1</v>
      </c>
      <c r="V2078" s="62">
        <v>2</v>
      </c>
      <c r="W2078" s="62">
        <v>0</v>
      </c>
      <c r="X2078" s="62">
        <v>2</v>
      </c>
      <c r="Y2078" s="13">
        <v>0</v>
      </c>
      <c r="Z2078" s="62">
        <v>0</v>
      </c>
      <c r="AA2078" s="62">
        <v>1</v>
      </c>
      <c r="AB2078" s="62">
        <v>0</v>
      </c>
      <c r="AC2078" s="62">
        <v>0</v>
      </c>
      <c r="AD2078" s="62">
        <v>0</v>
      </c>
      <c r="AE2078" s="62">
        <v>0</v>
      </c>
      <c r="AF2078" s="62">
        <v>0</v>
      </c>
      <c r="AG2078" s="62">
        <v>1</v>
      </c>
      <c r="AH2078" s="62">
        <v>3</v>
      </c>
      <c r="AI2078" s="70">
        <v>0</v>
      </c>
      <c r="AJ2078" s="70">
        <v>1</v>
      </c>
      <c r="AK2078" s="70">
        <v>0</v>
      </c>
      <c r="AL2078" s="70">
        <v>1.5</v>
      </c>
      <c r="AM2078" s="62">
        <v>0</v>
      </c>
      <c r="AN2078" s="62">
        <v>0</v>
      </c>
      <c r="AO2078" s="62">
        <v>0</v>
      </c>
      <c r="AP2078" s="62">
        <v>0</v>
      </c>
      <c r="AQ2078" s="62">
        <v>3000</v>
      </c>
      <c r="AR2078" s="62">
        <v>0.5</v>
      </c>
      <c r="AS2078" s="62">
        <v>0</v>
      </c>
      <c r="AT2078" s="70">
        <v>0</v>
      </c>
      <c r="AU2078" s="62">
        <v>80005021</v>
      </c>
      <c r="AV2078" s="62"/>
      <c r="AW2078" s="65" t="s">
        <v>198</v>
      </c>
      <c r="AX2078" s="62" t="s">
        <v>534</v>
      </c>
      <c r="AY2078" s="66">
        <v>0</v>
      </c>
      <c r="AZ2078" s="66">
        <v>23000102</v>
      </c>
      <c r="BA2078" s="61" t="s">
        <v>200</v>
      </c>
      <c r="BB2078" s="62">
        <v>0</v>
      </c>
      <c r="BC2078" s="68">
        <v>0</v>
      </c>
      <c r="BD2078" s="68">
        <v>0</v>
      </c>
      <c r="BE2078" s="92" t="s">
        <v>4668</v>
      </c>
      <c r="BF2078" s="92" t="s">
        <v>4669</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spans="3:75" ht="19.5" customHeight="1">
      <c r="C2079" s="66">
        <v>80003004</v>
      </c>
      <c r="D2079" s="65" t="s">
        <v>4670</v>
      </c>
      <c r="E2079" s="65" t="s">
        <v>4671</v>
      </c>
      <c r="F2079" s="66">
        <v>1</v>
      </c>
      <c r="G2079" s="66">
        <v>80003004</v>
      </c>
      <c r="H2079" s="66">
        <v>0</v>
      </c>
      <c r="I2079" s="66">
        <v>0</v>
      </c>
      <c r="J2079" s="66">
        <v>1</v>
      </c>
      <c r="K2079" s="66">
        <v>0</v>
      </c>
      <c r="L2079" s="66">
        <v>0</v>
      </c>
      <c r="M2079" s="66">
        <v>0</v>
      </c>
      <c r="N2079" s="66">
        <v>0</v>
      </c>
      <c r="O2079" s="66">
        <v>2</v>
      </c>
      <c r="P2079" s="66">
        <v>6</v>
      </c>
      <c r="Q2079" s="66">
        <v>1</v>
      </c>
      <c r="R2079" s="66">
        <v>1</v>
      </c>
      <c r="S2079" s="66">
        <v>1</v>
      </c>
      <c r="T2079" s="66">
        <v>0</v>
      </c>
      <c r="U2079" s="66">
        <v>1</v>
      </c>
      <c r="V2079" s="66">
        <v>2</v>
      </c>
      <c r="W2079" s="66">
        <v>0</v>
      </c>
      <c r="X2079" s="66">
        <v>3</v>
      </c>
      <c r="Y2079" s="13">
        <v>0</v>
      </c>
      <c r="Z2079" s="66">
        <v>0</v>
      </c>
      <c r="AA2079" s="66">
        <v>1</v>
      </c>
      <c r="AB2079" s="66">
        <v>0</v>
      </c>
      <c r="AC2079" s="66">
        <v>0</v>
      </c>
      <c r="AD2079" s="66">
        <v>0</v>
      </c>
      <c r="AE2079" s="66">
        <v>1</v>
      </c>
      <c r="AF2079" s="66">
        <v>15</v>
      </c>
      <c r="AG2079" s="66">
        <v>1</v>
      </c>
      <c r="AH2079" s="66">
        <v>4</v>
      </c>
      <c r="AI2079" s="66">
        <v>0</v>
      </c>
      <c r="AJ2079" s="66">
        <v>1</v>
      </c>
      <c r="AK2079" s="66">
        <v>0</v>
      </c>
      <c r="AL2079" s="66">
        <v>3</v>
      </c>
      <c r="AM2079" s="66">
        <v>0</v>
      </c>
      <c r="AN2079" s="66">
        <v>0</v>
      </c>
      <c r="AO2079" s="66">
        <v>0</v>
      </c>
      <c r="AP2079" s="66">
        <v>0</v>
      </c>
      <c r="AQ2079" s="66">
        <v>2000</v>
      </c>
      <c r="AR2079" s="66">
        <v>0</v>
      </c>
      <c r="AS2079" s="66">
        <v>0</v>
      </c>
      <c r="AT2079" s="66">
        <v>0</v>
      </c>
      <c r="AU2079" s="66">
        <v>80005031</v>
      </c>
      <c r="AV2079" s="66"/>
      <c r="AW2079" s="65" t="s">
        <v>198</v>
      </c>
      <c r="AX2079" s="66" t="s">
        <v>534</v>
      </c>
      <c r="AY2079" s="66">
        <v>0</v>
      </c>
      <c r="AZ2079" s="66">
        <v>23000103</v>
      </c>
      <c r="BA2079" s="65" t="s">
        <v>200</v>
      </c>
      <c r="BB2079" s="66">
        <v>0</v>
      </c>
      <c r="BC2079" s="66">
        <v>0</v>
      </c>
      <c r="BD2079" s="66">
        <v>0</v>
      </c>
      <c r="BE2079" s="94" t="s">
        <v>4672</v>
      </c>
      <c r="BF2079" s="94" t="s">
        <v>4673</v>
      </c>
      <c r="BG2079" s="66">
        <v>0</v>
      </c>
      <c r="BH2079" s="66">
        <v>0</v>
      </c>
      <c r="BI2079" s="66">
        <v>0</v>
      </c>
      <c r="BJ2079" s="66">
        <v>0</v>
      </c>
      <c r="BK2079" s="66">
        <v>0</v>
      </c>
      <c r="BL2079" s="66">
        <v>0</v>
      </c>
      <c r="BM2079" s="95">
        <v>0</v>
      </c>
      <c r="BN2079" s="66">
        <v>0</v>
      </c>
      <c r="BO2079" s="66">
        <v>0</v>
      </c>
      <c r="BP2079" s="66">
        <v>0</v>
      </c>
      <c r="BQ2079" s="66">
        <v>0</v>
      </c>
      <c r="BR2079" s="66">
        <v>0</v>
      </c>
      <c r="BS2079" s="66">
        <v>1</v>
      </c>
      <c r="BT2079" s="13">
        <v>0</v>
      </c>
      <c r="BU2079" s="49">
        <v>0</v>
      </c>
      <c r="BV2079" s="49"/>
      <c r="BW2079" s="49"/>
    </row>
    <row r="2080" spans="3:75" ht="18.75" customHeight="1">
      <c r="C2080" s="19">
        <v>80003005</v>
      </c>
      <c r="D2080" s="65" t="s">
        <v>1582</v>
      </c>
      <c r="E2080" s="65" t="s">
        <v>1583</v>
      </c>
      <c r="F2080" s="66">
        <v>1</v>
      </c>
      <c r="G2080" s="19">
        <v>80003005</v>
      </c>
      <c r="H2080" s="66">
        <v>0</v>
      </c>
      <c r="I2080" s="68">
        <v>0</v>
      </c>
      <c r="J2080" s="66">
        <v>1</v>
      </c>
      <c r="K2080" s="66">
        <v>0</v>
      </c>
      <c r="L2080" s="66">
        <v>0</v>
      </c>
      <c r="M2080" s="66">
        <v>0</v>
      </c>
      <c r="N2080" s="66">
        <v>0</v>
      </c>
      <c r="O2080" s="66">
        <v>2</v>
      </c>
      <c r="P2080" s="66">
        <v>10</v>
      </c>
      <c r="Q2080" s="66">
        <v>0.2</v>
      </c>
      <c r="R2080" s="66">
        <v>0</v>
      </c>
      <c r="S2080" s="70">
        <v>0</v>
      </c>
      <c r="T2080" s="68">
        <v>0</v>
      </c>
      <c r="U2080" s="62">
        <v>1</v>
      </c>
      <c r="V2080" s="66">
        <v>2</v>
      </c>
      <c r="W2080" s="66">
        <v>0</v>
      </c>
      <c r="X2080" s="66">
        <v>1.5</v>
      </c>
      <c r="Y2080" s="13">
        <v>0</v>
      </c>
      <c r="Z2080" s="66">
        <v>0</v>
      </c>
      <c r="AA2080" s="66">
        <v>0</v>
      </c>
      <c r="AB2080" s="66">
        <v>0</v>
      </c>
      <c r="AC2080" s="66">
        <v>0</v>
      </c>
      <c r="AD2080" s="66">
        <v>1</v>
      </c>
      <c r="AE2080" s="66">
        <v>1</v>
      </c>
      <c r="AF2080" s="66">
        <v>0</v>
      </c>
      <c r="AG2080" s="66">
        <v>1</v>
      </c>
      <c r="AH2080" s="66">
        <v>3</v>
      </c>
      <c r="AI2080" s="70">
        <v>2</v>
      </c>
      <c r="AJ2080" s="70">
        <v>1</v>
      </c>
      <c r="AK2080" s="70">
        <v>0</v>
      </c>
      <c r="AL2080" s="70">
        <v>6</v>
      </c>
      <c r="AM2080" s="66">
        <v>0</v>
      </c>
      <c r="AN2080" s="66">
        <v>0</v>
      </c>
      <c r="AO2080" s="66">
        <v>0</v>
      </c>
      <c r="AP2080" s="66">
        <v>0</v>
      </c>
      <c r="AQ2080" s="66">
        <v>5000</v>
      </c>
      <c r="AR2080" s="66">
        <v>0.2</v>
      </c>
      <c r="AS2080" s="66">
        <v>0</v>
      </c>
      <c r="AT2080" s="70">
        <v>0</v>
      </c>
      <c r="AU2080" s="66">
        <v>80005041</v>
      </c>
      <c r="AV2080" s="66"/>
      <c r="AW2080" s="65" t="s">
        <v>198</v>
      </c>
      <c r="AX2080" s="66" t="s">
        <v>1585</v>
      </c>
      <c r="AY2080" s="66">
        <v>10000006</v>
      </c>
      <c r="AZ2080" s="66">
        <v>23000106</v>
      </c>
      <c r="BA2080" s="65" t="s">
        <v>1586</v>
      </c>
      <c r="BB2080" s="65" t="s">
        <v>198</v>
      </c>
      <c r="BC2080" s="68">
        <v>0</v>
      </c>
      <c r="BD2080" s="68">
        <v>0</v>
      </c>
      <c r="BE2080" s="94" t="s">
        <v>4674</v>
      </c>
      <c r="BF2080" s="94" t="s">
        <v>4675</v>
      </c>
      <c r="BG2080" s="66">
        <v>0</v>
      </c>
      <c r="BH2080" s="62">
        <v>0</v>
      </c>
      <c r="BI2080" s="66">
        <v>0</v>
      </c>
      <c r="BJ2080" s="66">
        <v>0</v>
      </c>
      <c r="BK2080" s="66">
        <v>0</v>
      </c>
      <c r="BL2080" s="66">
        <v>0</v>
      </c>
      <c r="BM2080" s="95">
        <v>0</v>
      </c>
      <c r="BN2080" s="70">
        <v>1</v>
      </c>
      <c r="BO2080" s="70">
        <v>0</v>
      </c>
      <c r="BP2080" s="70">
        <v>0</v>
      </c>
      <c r="BQ2080" s="70">
        <v>0</v>
      </c>
      <c r="BR2080" s="70">
        <v>0</v>
      </c>
      <c r="BS2080" s="70">
        <v>1</v>
      </c>
      <c r="BT2080" s="13">
        <v>0</v>
      </c>
      <c r="BU2080" s="49">
        <v>0</v>
      </c>
      <c r="BV2080" s="49"/>
      <c r="BW2080" s="49"/>
    </row>
    <row r="2081" spans="3:75" ht="19.5" customHeight="1">
      <c r="C2081" s="19">
        <v>80003006</v>
      </c>
      <c r="D2081" s="61" t="s">
        <v>4676</v>
      </c>
      <c r="E2081" s="61" t="s">
        <v>4677</v>
      </c>
      <c r="F2081" s="66">
        <v>1</v>
      </c>
      <c r="G2081" s="19">
        <v>80003006</v>
      </c>
      <c r="H2081" s="66">
        <v>0</v>
      </c>
      <c r="I2081" s="68">
        <v>0</v>
      </c>
      <c r="J2081" s="66">
        <v>1</v>
      </c>
      <c r="K2081" s="66">
        <v>0</v>
      </c>
      <c r="L2081" s="66">
        <v>0</v>
      </c>
      <c r="M2081" s="62">
        <v>0</v>
      </c>
      <c r="N2081" s="62">
        <v>0</v>
      </c>
      <c r="O2081" s="62">
        <v>2</v>
      </c>
      <c r="P2081" s="62">
        <v>3</v>
      </c>
      <c r="Q2081" s="62">
        <v>0.15</v>
      </c>
      <c r="R2081" s="62">
        <v>0</v>
      </c>
      <c r="S2081" s="70">
        <v>0</v>
      </c>
      <c r="T2081" s="62">
        <v>0</v>
      </c>
      <c r="U2081" s="62">
        <v>1</v>
      </c>
      <c r="V2081" s="62">
        <v>1</v>
      </c>
      <c r="W2081" s="62">
        <v>0</v>
      </c>
      <c r="X2081" s="62">
        <v>2</v>
      </c>
      <c r="Y2081" s="13">
        <v>0</v>
      </c>
      <c r="Z2081" s="62">
        <v>0</v>
      </c>
      <c r="AA2081" s="62">
        <v>1</v>
      </c>
      <c r="AB2081" s="62">
        <v>0</v>
      </c>
      <c r="AC2081" s="62">
        <v>0</v>
      </c>
      <c r="AD2081" s="62">
        <v>0</v>
      </c>
      <c r="AE2081" s="62">
        <v>1</v>
      </c>
      <c r="AF2081" s="62">
        <v>0</v>
      </c>
      <c r="AG2081" s="62">
        <v>1</v>
      </c>
      <c r="AH2081" s="62">
        <v>4</v>
      </c>
      <c r="AI2081" s="70">
        <v>0</v>
      </c>
      <c r="AJ2081" s="70">
        <v>1</v>
      </c>
      <c r="AK2081" s="70">
        <v>0</v>
      </c>
      <c r="AL2081" s="70">
        <v>3</v>
      </c>
      <c r="AM2081" s="62">
        <v>0</v>
      </c>
      <c r="AN2081" s="62">
        <v>0</v>
      </c>
      <c r="AO2081" s="62">
        <v>0</v>
      </c>
      <c r="AP2081" s="62">
        <v>0</v>
      </c>
      <c r="AQ2081" s="62">
        <v>3000</v>
      </c>
      <c r="AR2081" s="62">
        <v>0.2</v>
      </c>
      <c r="AS2081" s="62">
        <v>0</v>
      </c>
      <c r="AT2081" s="70">
        <v>80005052</v>
      </c>
      <c r="AU2081" s="62">
        <v>80005051</v>
      </c>
      <c r="AV2081" s="62"/>
      <c r="AW2081" s="65" t="s">
        <v>198</v>
      </c>
      <c r="AX2081" s="62" t="s">
        <v>534</v>
      </c>
      <c r="AY2081" s="66">
        <v>0</v>
      </c>
      <c r="AZ2081" s="66">
        <v>23000104</v>
      </c>
      <c r="BA2081" s="61" t="s">
        <v>200</v>
      </c>
      <c r="BB2081" s="62">
        <v>0</v>
      </c>
      <c r="BC2081" s="68">
        <v>0</v>
      </c>
      <c r="BD2081" s="68">
        <v>0</v>
      </c>
      <c r="BE2081" s="92" t="s">
        <v>4678</v>
      </c>
      <c r="BF2081" s="92" t="s">
        <v>4679</v>
      </c>
      <c r="BG2081" s="62">
        <v>0</v>
      </c>
      <c r="BH2081" s="62">
        <v>0</v>
      </c>
      <c r="BI2081" s="62">
        <v>0</v>
      </c>
      <c r="BJ2081" s="62">
        <v>0</v>
      </c>
      <c r="BK2081" s="62">
        <v>0</v>
      </c>
      <c r="BL2081" s="62">
        <v>0</v>
      </c>
      <c r="BM2081" s="95">
        <v>0</v>
      </c>
      <c r="BN2081" s="70">
        <v>0</v>
      </c>
      <c r="BO2081" s="70">
        <v>0</v>
      </c>
      <c r="BP2081" s="70">
        <v>0</v>
      </c>
      <c r="BQ2081" s="70">
        <v>0</v>
      </c>
      <c r="BR2081" s="70">
        <v>0</v>
      </c>
      <c r="BS2081" s="70">
        <v>1</v>
      </c>
      <c r="BT2081" s="13">
        <v>0</v>
      </c>
      <c r="BU2081" s="49">
        <v>0</v>
      </c>
      <c r="BV2081" s="49"/>
      <c r="BW2081" s="49"/>
    </row>
    <row r="2082" spans="3:75" ht="20.100000000000001" customHeight="1">
      <c r="C2082" s="19">
        <v>80003007</v>
      </c>
      <c r="D2082" s="61" t="s">
        <v>4680</v>
      </c>
      <c r="E2082" s="61" t="s">
        <v>4681</v>
      </c>
      <c r="F2082" s="62">
        <v>1</v>
      </c>
      <c r="G2082" s="19">
        <v>80003007</v>
      </c>
      <c r="H2082" s="62">
        <v>0</v>
      </c>
      <c r="I2082" s="68">
        <v>0</v>
      </c>
      <c r="J2082" s="66">
        <v>1</v>
      </c>
      <c r="K2082" s="62">
        <v>0</v>
      </c>
      <c r="L2082" s="62">
        <v>0</v>
      </c>
      <c r="M2082" s="62">
        <v>0</v>
      </c>
      <c r="N2082" s="62">
        <v>0</v>
      </c>
      <c r="O2082" s="62">
        <v>2</v>
      </c>
      <c r="P2082" s="62">
        <v>3</v>
      </c>
      <c r="Q2082" s="62">
        <v>0.2</v>
      </c>
      <c r="R2082" s="62">
        <v>0</v>
      </c>
      <c r="S2082" s="70">
        <v>3</v>
      </c>
      <c r="T2082" s="62">
        <v>0</v>
      </c>
      <c r="U2082" s="62">
        <v>1</v>
      </c>
      <c r="V2082" s="62">
        <v>1</v>
      </c>
      <c r="W2082" s="62">
        <v>0</v>
      </c>
      <c r="X2082" s="62">
        <v>2</v>
      </c>
      <c r="Y2082" s="13">
        <v>0</v>
      </c>
      <c r="Z2082" s="62">
        <v>0</v>
      </c>
      <c r="AA2082" s="62">
        <v>1</v>
      </c>
      <c r="AB2082" s="62">
        <v>0</v>
      </c>
      <c r="AC2082" s="62">
        <v>0</v>
      </c>
      <c r="AD2082" s="62">
        <v>0</v>
      </c>
      <c r="AE2082" s="62">
        <v>1</v>
      </c>
      <c r="AF2082" s="62">
        <v>0</v>
      </c>
      <c r="AG2082" s="62">
        <v>1</v>
      </c>
      <c r="AH2082" s="62">
        <v>3</v>
      </c>
      <c r="AI2082" s="70">
        <v>0</v>
      </c>
      <c r="AJ2082" s="70">
        <v>1</v>
      </c>
      <c r="AK2082" s="70">
        <v>0</v>
      </c>
      <c r="AL2082" s="70">
        <v>1.5</v>
      </c>
      <c r="AM2082" s="62">
        <v>0</v>
      </c>
      <c r="AN2082" s="62">
        <v>0</v>
      </c>
      <c r="AO2082" s="62">
        <v>0</v>
      </c>
      <c r="AP2082" s="62">
        <v>0.5</v>
      </c>
      <c r="AQ2082" s="62">
        <v>3000</v>
      </c>
      <c r="AR2082" s="62">
        <v>0.9</v>
      </c>
      <c r="AS2082" s="62">
        <v>0</v>
      </c>
      <c r="AT2082" s="70">
        <v>0</v>
      </c>
      <c r="AU2082" s="62">
        <v>80005061</v>
      </c>
      <c r="AV2082" s="62"/>
      <c r="AW2082" s="61" t="s">
        <v>198</v>
      </c>
      <c r="AX2082" s="62" t="s">
        <v>534</v>
      </c>
      <c r="AY2082" s="66">
        <v>10000001</v>
      </c>
      <c r="AZ2082" s="66">
        <v>23000105</v>
      </c>
      <c r="BA2082" s="61" t="s">
        <v>771</v>
      </c>
      <c r="BB2082" s="62">
        <v>0</v>
      </c>
      <c r="BC2082" s="68">
        <v>0</v>
      </c>
      <c r="BD2082" s="68">
        <v>0</v>
      </c>
      <c r="BE2082" s="123" t="s">
        <v>4682</v>
      </c>
      <c r="BF2082" s="123" t="s">
        <v>4683</v>
      </c>
      <c r="BG2082" s="62">
        <v>0</v>
      </c>
      <c r="BH2082" s="62">
        <v>0</v>
      </c>
      <c r="BI2082" s="62">
        <v>0</v>
      </c>
      <c r="BJ2082" s="62">
        <v>0</v>
      </c>
      <c r="BK2082" s="62">
        <v>0</v>
      </c>
      <c r="BL2082" s="62">
        <v>0</v>
      </c>
      <c r="BM2082" s="95">
        <v>0</v>
      </c>
      <c r="BN2082" s="70">
        <v>0</v>
      </c>
      <c r="BO2082" s="70">
        <v>0</v>
      </c>
      <c r="BP2082" s="70">
        <v>0</v>
      </c>
      <c r="BQ2082" s="70">
        <v>0</v>
      </c>
      <c r="BR2082" s="70">
        <v>0</v>
      </c>
      <c r="BS2082" s="70">
        <v>1</v>
      </c>
      <c r="BT2082" s="13">
        <v>0</v>
      </c>
      <c r="BU2082" s="49">
        <v>0</v>
      </c>
      <c r="BV2082" s="49"/>
      <c r="BW2082" s="49"/>
    </row>
    <row r="2083" spans="3:75" ht="19.5" customHeight="1">
      <c r="C2083" s="19">
        <v>80003008</v>
      </c>
      <c r="D2083" s="61" t="s">
        <v>4684</v>
      </c>
      <c r="E2083" s="61" t="s">
        <v>4685</v>
      </c>
      <c r="F2083" s="66">
        <v>1</v>
      </c>
      <c r="G2083" s="19">
        <v>80003008</v>
      </c>
      <c r="H2083" s="66">
        <v>0</v>
      </c>
      <c r="I2083" s="68">
        <v>0</v>
      </c>
      <c r="J2083" s="66">
        <v>1</v>
      </c>
      <c r="K2083" s="66">
        <v>0</v>
      </c>
      <c r="L2083" s="66">
        <v>0</v>
      </c>
      <c r="M2083" s="62">
        <v>0</v>
      </c>
      <c r="N2083" s="62">
        <v>0</v>
      </c>
      <c r="O2083" s="62">
        <v>2</v>
      </c>
      <c r="P2083" s="62" t="s">
        <v>4686</v>
      </c>
      <c r="Q2083" s="62" t="s">
        <v>4687</v>
      </c>
      <c r="R2083" s="62">
        <v>0</v>
      </c>
      <c r="S2083" s="70">
        <v>0</v>
      </c>
      <c r="T2083" s="62">
        <v>0</v>
      </c>
      <c r="U2083" s="62">
        <v>1</v>
      </c>
      <c r="V2083" s="62">
        <v>1</v>
      </c>
      <c r="W2083" s="62">
        <v>0</v>
      </c>
      <c r="X2083" s="62">
        <v>0</v>
      </c>
      <c r="Y2083" s="13">
        <v>0</v>
      </c>
      <c r="Z2083" s="62">
        <v>0</v>
      </c>
      <c r="AA2083" s="62">
        <v>1</v>
      </c>
      <c r="AB2083" s="62">
        <v>0</v>
      </c>
      <c r="AC2083" s="62">
        <v>0</v>
      </c>
      <c r="AD2083" s="62">
        <v>0</v>
      </c>
      <c r="AE2083" s="62">
        <v>1</v>
      </c>
      <c r="AF2083" s="62">
        <v>0</v>
      </c>
      <c r="AG2083" s="62">
        <v>1</v>
      </c>
      <c r="AH2083" s="62">
        <v>6</v>
      </c>
      <c r="AI2083" s="70">
        <v>0</v>
      </c>
      <c r="AJ2083" s="70">
        <v>1</v>
      </c>
      <c r="AK2083" s="70">
        <v>0</v>
      </c>
      <c r="AL2083" s="70">
        <v>3</v>
      </c>
      <c r="AM2083" s="62">
        <v>0</v>
      </c>
      <c r="AN2083" s="62">
        <v>0</v>
      </c>
      <c r="AO2083" s="62">
        <v>0</v>
      </c>
      <c r="AP2083" s="62">
        <v>0</v>
      </c>
      <c r="AQ2083" s="62">
        <v>2000</v>
      </c>
      <c r="AR2083" s="62">
        <v>0</v>
      </c>
      <c r="AS2083" s="62">
        <v>0</v>
      </c>
      <c r="AT2083" s="356" t="s">
        <v>4688</v>
      </c>
      <c r="AU2083" s="62">
        <v>80005072</v>
      </c>
      <c r="AV2083" s="62"/>
      <c r="AW2083" s="65" t="s">
        <v>198</v>
      </c>
      <c r="AX2083" s="62" t="s">
        <v>534</v>
      </c>
      <c r="AY2083" s="66">
        <v>0</v>
      </c>
      <c r="AZ2083" s="66">
        <v>0</v>
      </c>
      <c r="BA2083" s="61" t="s">
        <v>200</v>
      </c>
      <c r="BB2083" s="62">
        <v>0</v>
      </c>
      <c r="BC2083" s="68">
        <v>0</v>
      </c>
      <c r="BD2083" s="68">
        <v>0</v>
      </c>
      <c r="BE2083" s="92" t="s">
        <v>4689</v>
      </c>
      <c r="BF2083" s="92" t="s">
        <v>4690</v>
      </c>
      <c r="BG2083" s="62">
        <v>0</v>
      </c>
      <c r="BH2083" s="62">
        <v>0</v>
      </c>
      <c r="BI2083" s="62">
        <v>0</v>
      </c>
      <c r="BJ2083" s="62">
        <v>0</v>
      </c>
      <c r="BK2083" s="62">
        <v>0</v>
      </c>
      <c r="BL2083" s="62">
        <v>0</v>
      </c>
      <c r="BM2083" s="95">
        <v>0</v>
      </c>
      <c r="BN2083" s="70">
        <v>0</v>
      </c>
      <c r="BO2083" s="70">
        <v>0</v>
      </c>
      <c r="BP2083" s="70">
        <v>0</v>
      </c>
      <c r="BQ2083" s="70">
        <v>0</v>
      </c>
      <c r="BR2083" s="70">
        <v>0</v>
      </c>
      <c r="BS2083" s="70">
        <v>1</v>
      </c>
      <c r="BT2083" s="13">
        <v>0</v>
      </c>
      <c r="BU2083" s="49">
        <v>0</v>
      </c>
      <c r="BV2083" s="49"/>
      <c r="BW2083" s="49"/>
    </row>
    <row r="2084" spans="3:75" ht="20.100000000000001" customHeight="1">
      <c r="C2084" s="19">
        <v>80003101</v>
      </c>
      <c r="D2084" s="18" t="s">
        <v>4691</v>
      </c>
      <c r="E2084" s="18" t="s">
        <v>4692</v>
      </c>
      <c r="F2084" s="17">
        <v>1</v>
      </c>
      <c r="G2084" s="17">
        <v>80003001</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4693</v>
      </c>
      <c r="BF2084" s="46" t="s">
        <v>4694</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80003102</v>
      </c>
      <c r="D2085" s="18" t="s">
        <v>4695</v>
      </c>
      <c r="E2085" s="18" t="s">
        <v>4696</v>
      </c>
      <c r="F2085" s="17">
        <v>1</v>
      </c>
      <c r="G2085" s="17">
        <v>80003002</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4693</v>
      </c>
      <c r="BF2085" s="46" t="s">
        <v>4694</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80003103</v>
      </c>
      <c r="D2086" s="18" t="s">
        <v>4697</v>
      </c>
      <c r="E2086" s="18" t="s">
        <v>4698</v>
      </c>
      <c r="F2086" s="17">
        <v>1</v>
      </c>
      <c r="G2086" s="17">
        <v>80003003</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4693</v>
      </c>
      <c r="BF2086" s="46" t="s">
        <v>4694</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80003104</v>
      </c>
      <c r="D2087" s="18" t="s">
        <v>4699</v>
      </c>
      <c r="E2087" s="18" t="s">
        <v>4700</v>
      </c>
      <c r="F2087" s="17">
        <v>1</v>
      </c>
      <c r="G2087" s="17">
        <v>80003004</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4693</v>
      </c>
      <c r="BF2087" s="46" t="s">
        <v>4694</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80003105</v>
      </c>
      <c r="D2088" s="18" t="s">
        <v>4701</v>
      </c>
      <c r="E2088" s="18" t="s">
        <v>4702</v>
      </c>
      <c r="F2088" s="17">
        <v>1</v>
      </c>
      <c r="G2088" s="17">
        <v>80003005</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4693</v>
      </c>
      <c r="BF2088" s="46" t="s">
        <v>4694</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80003106</v>
      </c>
      <c r="D2089" s="18" t="s">
        <v>4703</v>
      </c>
      <c r="E2089" s="18" t="s">
        <v>4704</v>
      </c>
      <c r="F2089" s="17">
        <v>1</v>
      </c>
      <c r="G2089" s="17">
        <v>80003101</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4705</v>
      </c>
      <c r="BF2089" s="46" t="s">
        <v>4706</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80003107</v>
      </c>
      <c r="D2090" s="18" t="s">
        <v>4707</v>
      </c>
      <c r="E2090" s="18" t="s">
        <v>4708</v>
      </c>
      <c r="F2090" s="17">
        <v>1</v>
      </c>
      <c r="G2090" s="17">
        <v>80003102</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4709</v>
      </c>
      <c r="BF2090" s="46" t="s">
        <v>4710</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80003108</v>
      </c>
      <c r="D2091" s="18" t="s">
        <v>4711</v>
      </c>
      <c r="E2091" s="18" t="s">
        <v>4712</v>
      </c>
      <c r="F2091" s="17">
        <v>1</v>
      </c>
      <c r="G2091" s="17">
        <v>80003103</v>
      </c>
      <c r="H2091" s="19">
        <v>0</v>
      </c>
      <c r="I2091" s="28">
        <v>0</v>
      </c>
      <c r="J2091" s="19">
        <v>1</v>
      </c>
      <c r="K2091" s="19">
        <v>0</v>
      </c>
      <c r="L2091" s="19">
        <v>0</v>
      </c>
      <c r="M2091" s="17">
        <v>0</v>
      </c>
      <c r="N2091" s="17">
        <v>0</v>
      </c>
      <c r="O2091" s="17">
        <v>1</v>
      </c>
      <c r="P2091" s="17">
        <v>0</v>
      </c>
      <c r="Q2091" s="17">
        <v>0</v>
      </c>
      <c r="R2091" s="17">
        <v>0</v>
      </c>
      <c r="S2091" s="13">
        <v>0</v>
      </c>
      <c r="T2091" s="17">
        <v>0</v>
      </c>
      <c r="U2091" s="17">
        <v>1</v>
      </c>
      <c r="V2091" s="17">
        <v>2</v>
      </c>
      <c r="W2091" s="17">
        <v>0</v>
      </c>
      <c r="X2091" s="17">
        <v>0</v>
      </c>
      <c r="Y2091" s="13">
        <v>0</v>
      </c>
      <c r="Z2091" s="17">
        <v>0</v>
      </c>
      <c r="AA2091" s="17">
        <v>0</v>
      </c>
      <c r="AB2091" s="17">
        <v>0</v>
      </c>
      <c r="AC2091" s="17">
        <v>0</v>
      </c>
      <c r="AD2091" s="17">
        <v>0</v>
      </c>
      <c r="AE2091" s="17">
        <v>0</v>
      </c>
      <c r="AF2091" s="17">
        <v>9</v>
      </c>
      <c r="AG2091" s="17">
        <v>2</v>
      </c>
      <c r="AH2091" s="17" t="s">
        <v>213</v>
      </c>
      <c r="AI2091" s="13">
        <v>2</v>
      </c>
      <c r="AJ2091" s="13">
        <v>2</v>
      </c>
      <c r="AK2091" s="13">
        <v>0</v>
      </c>
      <c r="AL2091" s="13">
        <v>1.5</v>
      </c>
      <c r="AM2091" s="17">
        <v>0</v>
      </c>
      <c r="AN2091" s="17">
        <v>0</v>
      </c>
      <c r="AO2091" s="17">
        <v>0</v>
      </c>
      <c r="AP2091" s="17">
        <v>1</v>
      </c>
      <c r="AQ2091" s="17">
        <v>3000</v>
      </c>
      <c r="AR2091" s="17">
        <v>0.5</v>
      </c>
      <c r="AS2091" s="17">
        <v>0</v>
      </c>
      <c r="AT2091" s="13">
        <v>0</v>
      </c>
      <c r="AU2091" s="17" t="s">
        <v>198</v>
      </c>
      <c r="AV2091" s="17"/>
      <c r="AW2091" s="18" t="s">
        <v>287</v>
      </c>
      <c r="AX2091" s="17">
        <v>0</v>
      </c>
      <c r="AY2091" s="19">
        <v>0</v>
      </c>
      <c r="AZ2091" s="19">
        <v>0</v>
      </c>
      <c r="BA2091" s="18" t="s">
        <v>200</v>
      </c>
      <c r="BB2091" s="17">
        <v>0</v>
      </c>
      <c r="BC2091" s="28">
        <v>0</v>
      </c>
      <c r="BD2091" s="28">
        <v>0</v>
      </c>
      <c r="BE2091" s="46" t="s">
        <v>4713</v>
      </c>
      <c r="BF2091" s="46" t="s">
        <v>4714</v>
      </c>
      <c r="BG2091" s="17"/>
      <c r="BH2091" s="17">
        <v>0</v>
      </c>
      <c r="BI2091" s="17"/>
      <c r="BJ2091" s="17"/>
      <c r="BK2091" s="17"/>
      <c r="BL2091" s="17"/>
      <c r="BM2091" s="17">
        <v>0</v>
      </c>
      <c r="BN2091" s="13">
        <v>0</v>
      </c>
      <c r="BO2091" s="13">
        <v>0</v>
      </c>
      <c r="BP2091" s="13">
        <v>0</v>
      </c>
      <c r="BQ2091" s="13">
        <v>0</v>
      </c>
      <c r="BR2091" s="13">
        <v>0</v>
      </c>
      <c r="BS2091" s="13">
        <v>0</v>
      </c>
      <c r="BT2091" s="13">
        <v>0</v>
      </c>
      <c r="BU2091" s="49">
        <v>0</v>
      </c>
      <c r="BV2091" s="49"/>
      <c r="BW2091" s="49"/>
    </row>
    <row r="2092" spans="3:75" ht="20.100000000000001" customHeight="1">
      <c r="C2092" s="19">
        <v>80003109</v>
      </c>
      <c r="D2092" s="18" t="s">
        <v>4715</v>
      </c>
      <c r="E2092" s="18" t="s">
        <v>4716</v>
      </c>
      <c r="F2092" s="17">
        <v>1</v>
      </c>
      <c r="G2092" s="17">
        <v>80003104</v>
      </c>
      <c r="H2092" s="19">
        <v>0</v>
      </c>
      <c r="I2092" s="28">
        <v>0</v>
      </c>
      <c r="J2092" s="19">
        <v>1</v>
      </c>
      <c r="K2092" s="19">
        <v>0</v>
      </c>
      <c r="L2092" s="19">
        <v>0</v>
      </c>
      <c r="M2092" s="17">
        <v>0</v>
      </c>
      <c r="N2092" s="17">
        <v>0</v>
      </c>
      <c r="O2092" s="17">
        <v>1</v>
      </c>
      <c r="P2092" s="17">
        <v>0</v>
      </c>
      <c r="Q2092" s="17">
        <v>0</v>
      </c>
      <c r="R2092" s="17">
        <v>0</v>
      </c>
      <c r="S2092" s="13">
        <v>0</v>
      </c>
      <c r="T2092" s="17">
        <v>0</v>
      </c>
      <c r="U2092" s="17">
        <v>1</v>
      </c>
      <c r="V2092" s="17">
        <v>2</v>
      </c>
      <c r="W2092" s="17">
        <v>0</v>
      </c>
      <c r="X2092" s="17">
        <v>0</v>
      </c>
      <c r="Y2092" s="13">
        <v>0</v>
      </c>
      <c r="Z2092" s="17">
        <v>0</v>
      </c>
      <c r="AA2092" s="17">
        <v>0</v>
      </c>
      <c r="AB2092" s="17">
        <v>0</v>
      </c>
      <c r="AC2092" s="17">
        <v>0</v>
      </c>
      <c r="AD2092" s="17">
        <v>0</v>
      </c>
      <c r="AE2092" s="17">
        <v>0</v>
      </c>
      <c r="AF2092" s="17">
        <v>9</v>
      </c>
      <c r="AG2092" s="17">
        <v>2</v>
      </c>
      <c r="AH2092" s="17" t="s">
        <v>213</v>
      </c>
      <c r="AI2092" s="13">
        <v>2</v>
      </c>
      <c r="AJ2092" s="13">
        <v>2</v>
      </c>
      <c r="AK2092" s="13">
        <v>0</v>
      </c>
      <c r="AL2092" s="13">
        <v>1.5</v>
      </c>
      <c r="AM2092" s="17">
        <v>0</v>
      </c>
      <c r="AN2092" s="17">
        <v>0</v>
      </c>
      <c r="AO2092" s="17">
        <v>0</v>
      </c>
      <c r="AP2092" s="17">
        <v>1</v>
      </c>
      <c r="AQ2092" s="17">
        <v>3000</v>
      </c>
      <c r="AR2092" s="17">
        <v>0.5</v>
      </c>
      <c r="AS2092" s="17">
        <v>0</v>
      </c>
      <c r="AT2092" s="13">
        <v>0</v>
      </c>
      <c r="AU2092" s="17" t="s">
        <v>198</v>
      </c>
      <c r="AV2092" s="17"/>
      <c r="AW2092" s="18" t="s">
        <v>287</v>
      </c>
      <c r="AX2092" s="17">
        <v>0</v>
      </c>
      <c r="AY2092" s="19">
        <v>0</v>
      </c>
      <c r="AZ2092" s="19">
        <v>0</v>
      </c>
      <c r="BA2092" s="18" t="s">
        <v>200</v>
      </c>
      <c r="BB2092" s="17">
        <v>0</v>
      </c>
      <c r="BC2092" s="28">
        <v>0</v>
      </c>
      <c r="BD2092" s="28">
        <v>0</v>
      </c>
      <c r="BE2092" s="46" t="s">
        <v>4717</v>
      </c>
      <c r="BF2092" s="46" t="s">
        <v>4718</v>
      </c>
      <c r="BG2092" s="17"/>
      <c r="BH2092" s="17">
        <v>0</v>
      </c>
      <c r="BI2092" s="17"/>
      <c r="BJ2092" s="17"/>
      <c r="BK2092" s="17"/>
      <c r="BL2092" s="17"/>
      <c r="BM2092" s="17">
        <v>0</v>
      </c>
      <c r="BN2092" s="13">
        <v>0</v>
      </c>
      <c r="BO2092" s="13">
        <v>0</v>
      </c>
      <c r="BP2092" s="13">
        <v>0</v>
      </c>
      <c r="BQ2092" s="13">
        <v>0</v>
      </c>
      <c r="BR2092" s="13">
        <v>0</v>
      </c>
      <c r="BS2092" s="13">
        <v>0</v>
      </c>
      <c r="BT2092" s="13">
        <v>0</v>
      </c>
      <c r="BU2092" s="49">
        <v>0</v>
      </c>
      <c r="BV2092" s="49"/>
      <c r="BW2092" s="49"/>
    </row>
    <row r="2093" spans="3:75" ht="20.100000000000001" customHeight="1">
      <c r="C2093" s="19">
        <v>80003110</v>
      </c>
      <c r="D2093" s="18" t="s">
        <v>4719</v>
      </c>
      <c r="E2093" s="18" t="s">
        <v>4720</v>
      </c>
      <c r="F2093" s="17">
        <v>1</v>
      </c>
      <c r="G2093" s="17">
        <v>80003105</v>
      </c>
      <c r="H2093" s="19">
        <v>0</v>
      </c>
      <c r="I2093" s="28">
        <v>0</v>
      </c>
      <c r="J2093" s="19">
        <v>1</v>
      </c>
      <c r="K2093" s="19">
        <v>0</v>
      </c>
      <c r="L2093" s="19">
        <v>0</v>
      </c>
      <c r="M2093" s="17">
        <v>0</v>
      </c>
      <c r="N2093" s="17">
        <v>0</v>
      </c>
      <c r="O2093" s="17">
        <v>1</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287</v>
      </c>
      <c r="AX2093" s="17">
        <v>0</v>
      </c>
      <c r="AY2093" s="19">
        <v>0</v>
      </c>
      <c r="AZ2093" s="19">
        <v>0</v>
      </c>
      <c r="BA2093" s="18" t="s">
        <v>200</v>
      </c>
      <c r="BB2093" s="17">
        <v>0</v>
      </c>
      <c r="BC2093" s="28">
        <v>0</v>
      </c>
      <c r="BD2093" s="28">
        <v>0</v>
      </c>
      <c r="BE2093" s="46" t="s">
        <v>4721</v>
      </c>
      <c r="BF2093" s="46" t="s">
        <v>4722</v>
      </c>
      <c r="BG2093" s="17"/>
      <c r="BH2093" s="17">
        <v>0</v>
      </c>
      <c r="BI2093" s="17"/>
      <c r="BJ2093" s="17"/>
      <c r="BK2093" s="17"/>
      <c r="BL2093" s="17"/>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80004001</v>
      </c>
      <c r="D2094" s="61" t="s">
        <v>4723</v>
      </c>
      <c r="E2094" s="61" t="s">
        <v>4724</v>
      </c>
      <c r="F2094" s="17">
        <v>1</v>
      </c>
      <c r="G2094" s="19">
        <v>80004001</v>
      </c>
      <c r="H2094" s="62">
        <v>0</v>
      </c>
      <c r="I2094" s="28">
        <v>0</v>
      </c>
      <c r="J2094" s="19">
        <v>1</v>
      </c>
      <c r="K2094" s="19">
        <v>0</v>
      </c>
      <c r="L2094" s="19">
        <v>0</v>
      </c>
      <c r="M2094" s="62">
        <v>0</v>
      </c>
      <c r="N2094" s="62">
        <v>0</v>
      </c>
      <c r="O2094" s="62">
        <v>2</v>
      </c>
      <c r="P2094" s="62">
        <v>1</v>
      </c>
      <c r="Q2094" s="62">
        <v>0.2</v>
      </c>
      <c r="R2094" s="62">
        <v>0</v>
      </c>
      <c r="S2094" s="13">
        <v>0</v>
      </c>
      <c r="T2094" s="62">
        <v>0</v>
      </c>
      <c r="U2094" s="17">
        <v>1</v>
      </c>
      <c r="V2094" s="62">
        <v>2</v>
      </c>
      <c r="W2094" s="62">
        <v>0</v>
      </c>
      <c r="X2094" s="62">
        <v>0</v>
      </c>
      <c r="Y2094" s="13">
        <v>0</v>
      </c>
      <c r="Z2094" s="62">
        <v>0</v>
      </c>
      <c r="AA2094" s="62">
        <v>0</v>
      </c>
      <c r="AB2094" s="62">
        <v>0</v>
      </c>
      <c r="AC2094" s="62">
        <v>0</v>
      </c>
      <c r="AD2094" s="62">
        <v>0</v>
      </c>
      <c r="AE2094" s="62">
        <v>0</v>
      </c>
      <c r="AF2094" s="62">
        <v>15</v>
      </c>
      <c r="AG2094" s="62">
        <v>1</v>
      </c>
      <c r="AH2094" s="62">
        <v>3</v>
      </c>
      <c r="AI2094" s="13">
        <v>0</v>
      </c>
      <c r="AJ2094" s="13">
        <v>0</v>
      </c>
      <c r="AK2094" s="13">
        <v>0</v>
      </c>
      <c r="AL2094" s="70">
        <v>6</v>
      </c>
      <c r="AM2094" s="62">
        <v>0</v>
      </c>
      <c r="AN2094" s="62">
        <v>0</v>
      </c>
      <c r="AO2094" s="62">
        <v>0</v>
      </c>
      <c r="AP2094" s="62">
        <v>0.5</v>
      </c>
      <c r="AQ2094" s="62">
        <v>3000</v>
      </c>
      <c r="AR2094" s="62">
        <v>0.5</v>
      </c>
      <c r="AS2094" s="62">
        <v>0</v>
      </c>
      <c r="AT2094" s="13">
        <v>0</v>
      </c>
      <c r="AU2094" s="62">
        <v>93000201</v>
      </c>
      <c r="AV2094" s="62"/>
      <c r="AW2094" s="61" t="s">
        <v>287</v>
      </c>
      <c r="AX2094" s="17">
        <v>0</v>
      </c>
      <c r="AY2094" s="66">
        <v>10000007</v>
      </c>
      <c r="AZ2094" s="19">
        <v>23000050</v>
      </c>
      <c r="BA2094" s="61" t="s">
        <v>200</v>
      </c>
      <c r="BB2094" s="62">
        <v>0</v>
      </c>
      <c r="BC2094" s="68">
        <v>0</v>
      </c>
      <c r="BD2094" s="28">
        <v>0</v>
      </c>
      <c r="BE2094" s="46" t="s">
        <v>4725</v>
      </c>
      <c r="BF2094" s="46" t="s">
        <v>4726</v>
      </c>
      <c r="BG2094" s="62">
        <v>0</v>
      </c>
      <c r="BH2094" s="17">
        <v>0</v>
      </c>
      <c r="BI2094" s="62">
        <v>0</v>
      </c>
      <c r="BJ2094" s="62">
        <v>0</v>
      </c>
      <c r="BK2094" s="62">
        <v>0</v>
      </c>
      <c r="BL2094" s="62">
        <v>0</v>
      </c>
      <c r="BM2094" s="17">
        <v>0</v>
      </c>
      <c r="BN2094" s="13">
        <v>0</v>
      </c>
      <c r="BO2094" s="13">
        <v>0</v>
      </c>
      <c r="BP2094" s="13">
        <v>0</v>
      </c>
      <c r="BQ2094" s="13">
        <v>0</v>
      </c>
      <c r="BR2094" s="13">
        <v>0</v>
      </c>
      <c r="BS2094" s="13">
        <v>0</v>
      </c>
      <c r="BT2094" s="13">
        <v>0</v>
      </c>
      <c r="BU2094" s="49">
        <v>0</v>
      </c>
      <c r="BV2094" s="49"/>
      <c r="BW2094" s="49"/>
    </row>
    <row r="2095" spans="3:75" ht="19.5" customHeight="1">
      <c r="C2095" s="19">
        <v>80004002</v>
      </c>
      <c r="D2095" s="18" t="s">
        <v>4727</v>
      </c>
      <c r="E2095" s="18" t="s">
        <v>4728</v>
      </c>
      <c r="F2095" s="19">
        <v>1</v>
      </c>
      <c r="G2095" s="19">
        <v>80004002</v>
      </c>
      <c r="H2095" s="19">
        <v>0</v>
      </c>
      <c r="I2095" s="28">
        <v>0</v>
      </c>
      <c r="J2095" s="19">
        <v>1</v>
      </c>
      <c r="K2095" s="19">
        <v>0</v>
      </c>
      <c r="L2095" s="19">
        <v>0</v>
      </c>
      <c r="M2095" s="17">
        <v>0</v>
      </c>
      <c r="N2095" s="17">
        <v>0</v>
      </c>
      <c r="O2095" s="17">
        <v>2</v>
      </c>
      <c r="P2095" s="17">
        <v>1</v>
      </c>
      <c r="Q2095" s="17">
        <v>1</v>
      </c>
      <c r="R2095" s="17">
        <v>0</v>
      </c>
      <c r="S2095" s="13">
        <v>0</v>
      </c>
      <c r="T2095" s="17">
        <v>0</v>
      </c>
      <c r="U2095" s="17">
        <v>1</v>
      </c>
      <c r="V2095" s="17">
        <v>2</v>
      </c>
      <c r="W2095" s="17">
        <v>0</v>
      </c>
      <c r="X2095" s="17">
        <v>1.2</v>
      </c>
      <c r="Y2095" s="13">
        <v>0</v>
      </c>
      <c r="Z2095" s="17">
        <v>0</v>
      </c>
      <c r="AA2095" s="17">
        <v>1</v>
      </c>
      <c r="AB2095" s="17">
        <v>0</v>
      </c>
      <c r="AC2095" s="17">
        <v>0</v>
      </c>
      <c r="AD2095" s="17">
        <v>0</v>
      </c>
      <c r="AE2095" s="17">
        <v>0</v>
      </c>
      <c r="AF2095" s="17">
        <v>3</v>
      </c>
      <c r="AG2095" s="17">
        <v>1</v>
      </c>
      <c r="AH2095" s="17" t="s">
        <v>607</v>
      </c>
      <c r="AI2095" s="13">
        <v>0</v>
      </c>
      <c r="AJ2095" s="13">
        <v>1</v>
      </c>
      <c r="AK2095" s="13">
        <v>0</v>
      </c>
      <c r="AL2095" s="13">
        <v>3</v>
      </c>
      <c r="AM2095" s="17">
        <v>0</v>
      </c>
      <c r="AN2095" s="17">
        <v>0</v>
      </c>
      <c r="AO2095" s="17">
        <v>0</v>
      </c>
      <c r="AP2095" s="17">
        <v>0.5</v>
      </c>
      <c r="AQ2095" s="17">
        <v>5000</v>
      </c>
      <c r="AR2095" s="17">
        <v>0.5</v>
      </c>
      <c r="AS2095" s="17">
        <v>0</v>
      </c>
      <c r="AT2095" s="13">
        <v>0</v>
      </c>
      <c r="AU2095" s="17" t="s">
        <v>659</v>
      </c>
      <c r="AV2095" s="17"/>
      <c r="AW2095" s="20" t="s">
        <v>256</v>
      </c>
      <c r="AX2095" s="17">
        <v>0</v>
      </c>
      <c r="AY2095" s="19">
        <v>10000007</v>
      </c>
      <c r="AZ2095" s="19">
        <v>70403003</v>
      </c>
      <c r="BA2095" s="18" t="s">
        <v>200</v>
      </c>
      <c r="BB2095" s="17">
        <v>0</v>
      </c>
      <c r="BC2095" s="28">
        <v>0</v>
      </c>
      <c r="BD2095" s="28">
        <v>0</v>
      </c>
      <c r="BE2095" s="46" t="s">
        <v>4729</v>
      </c>
      <c r="BF2095" s="46" t="s">
        <v>4730</v>
      </c>
      <c r="BG2095" s="17">
        <v>0</v>
      </c>
      <c r="BH2095" s="17">
        <v>0</v>
      </c>
      <c r="BI2095" s="17">
        <v>0</v>
      </c>
      <c r="BJ2095" s="17">
        <v>0</v>
      </c>
      <c r="BK2095" s="17">
        <v>0</v>
      </c>
      <c r="BL2095" s="17">
        <v>0</v>
      </c>
      <c r="BM2095" s="16">
        <v>0</v>
      </c>
      <c r="BN2095" s="13">
        <v>0</v>
      </c>
      <c r="BO2095" s="13">
        <v>0</v>
      </c>
      <c r="BP2095" s="13">
        <v>0</v>
      </c>
      <c r="BQ2095" s="13">
        <v>0</v>
      </c>
      <c r="BR2095" s="13">
        <v>0</v>
      </c>
      <c r="BS2095" s="13">
        <v>0</v>
      </c>
      <c r="BT2095" s="13">
        <v>0</v>
      </c>
      <c r="BU2095" s="49">
        <v>0</v>
      </c>
      <c r="BV2095" s="49"/>
      <c r="BW2095" s="49"/>
    </row>
    <row r="2096" spans="3:75" ht="20.100000000000001" customHeight="1">
      <c r="C2096" s="19">
        <v>80004003</v>
      </c>
      <c r="D2096" s="18" t="s">
        <v>4731</v>
      </c>
      <c r="E2096" s="18" t="s">
        <v>4732</v>
      </c>
      <c r="F2096" s="17">
        <v>1</v>
      </c>
      <c r="G2096" s="19">
        <v>80004003</v>
      </c>
      <c r="H2096" s="17">
        <v>0</v>
      </c>
      <c r="I2096" s="28">
        <v>0</v>
      </c>
      <c r="J2096" s="19">
        <v>1</v>
      </c>
      <c r="K2096" s="19">
        <v>0</v>
      </c>
      <c r="L2096" s="19">
        <v>0</v>
      </c>
      <c r="M2096" s="17">
        <v>0</v>
      </c>
      <c r="N2096" s="17">
        <v>0</v>
      </c>
      <c r="O2096" s="17">
        <v>2</v>
      </c>
      <c r="P2096" s="17">
        <v>1</v>
      </c>
      <c r="Q2096" s="17">
        <v>0.3</v>
      </c>
      <c r="R2096" s="17">
        <v>0</v>
      </c>
      <c r="S2096" s="13">
        <v>0</v>
      </c>
      <c r="T2096" s="17">
        <v>0</v>
      </c>
      <c r="U2096" s="17">
        <v>1</v>
      </c>
      <c r="V2096" s="17">
        <v>2</v>
      </c>
      <c r="W2096" s="17">
        <v>0</v>
      </c>
      <c r="X2096" s="17">
        <v>3</v>
      </c>
      <c r="Y2096" s="13">
        <v>0</v>
      </c>
      <c r="Z2096" s="17">
        <v>0</v>
      </c>
      <c r="AA2096" s="17">
        <v>0</v>
      </c>
      <c r="AB2096" s="17">
        <v>0</v>
      </c>
      <c r="AC2096" s="17">
        <v>0</v>
      </c>
      <c r="AD2096" s="17">
        <v>0</v>
      </c>
      <c r="AE2096" s="17">
        <v>0</v>
      </c>
      <c r="AF2096" s="17">
        <v>6</v>
      </c>
      <c r="AG2096" s="17">
        <v>2</v>
      </c>
      <c r="AH2096" s="17" t="s">
        <v>213</v>
      </c>
      <c r="AI2096" s="13">
        <v>0</v>
      </c>
      <c r="AJ2096" s="13">
        <v>0</v>
      </c>
      <c r="AK2096" s="13">
        <v>0</v>
      </c>
      <c r="AL2096" s="13">
        <v>1.5</v>
      </c>
      <c r="AM2096" s="17">
        <v>0</v>
      </c>
      <c r="AN2096" s="17">
        <v>0</v>
      </c>
      <c r="AO2096" s="17">
        <v>0</v>
      </c>
      <c r="AP2096" s="17">
        <v>0.5</v>
      </c>
      <c r="AQ2096" s="17">
        <v>3000</v>
      </c>
      <c r="AR2096" s="17">
        <v>0.5</v>
      </c>
      <c r="AS2096" s="17">
        <v>0</v>
      </c>
      <c r="AT2096" s="13">
        <v>0</v>
      </c>
      <c r="AU2096" s="17">
        <v>90001021</v>
      </c>
      <c r="AV2096" s="17"/>
      <c r="AW2096" s="18" t="s">
        <v>287</v>
      </c>
      <c r="AX2096" s="17">
        <v>0</v>
      </c>
      <c r="AY2096" s="19">
        <v>10000007</v>
      </c>
      <c r="AZ2096" s="19">
        <v>23000070</v>
      </c>
      <c r="BA2096" s="18" t="s">
        <v>200</v>
      </c>
      <c r="BB2096" s="17">
        <v>0</v>
      </c>
      <c r="BC2096" s="28">
        <v>0</v>
      </c>
      <c r="BD2096" s="28">
        <v>0</v>
      </c>
      <c r="BE2096" s="46" t="s">
        <v>4733</v>
      </c>
      <c r="BF2096" s="46" t="s">
        <v>4734</v>
      </c>
      <c r="BG2096" s="17">
        <v>0</v>
      </c>
      <c r="BH2096" s="17">
        <v>0</v>
      </c>
      <c r="BI2096" s="17">
        <v>0</v>
      </c>
      <c r="BJ2096" s="17">
        <v>0</v>
      </c>
      <c r="BK2096" s="17">
        <v>0</v>
      </c>
      <c r="BL2096" s="17">
        <v>0</v>
      </c>
      <c r="BM2096" s="17">
        <v>0</v>
      </c>
      <c r="BN2096" s="13">
        <v>0</v>
      </c>
      <c r="BO2096" s="13">
        <v>0</v>
      </c>
      <c r="BP2096" s="13">
        <v>0</v>
      </c>
      <c r="BQ2096" s="13">
        <v>0</v>
      </c>
      <c r="BR2096" s="13">
        <v>0</v>
      </c>
      <c r="BS2096" s="13">
        <v>0</v>
      </c>
      <c r="BT2096" s="13">
        <v>0</v>
      </c>
      <c r="BU2096" s="49">
        <v>0</v>
      </c>
      <c r="BV2096" s="49"/>
      <c r="BW2096" s="49"/>
    </row>
    <row r="2097" spans="3:75" ht="20.100000000000001" customHeight="1">
      <c r="C2097" s="19">
        <v>80004004</v>
      </c>
      <c r="D2097" s="18" t="s">
        <v>4735</v>
      </c>
      <c r="E2097" s="18" t="s">
        <v>4736</v>
      </c>
      <c r="F2097" s="17">
        <v>1</v>
      </c>
      <c r="G2097" s="17">
        <v>80004004</v>
      </c>
      <c r="H2097" s="19">
        <v>0</v>
      </c>
      <c r="I2097" s="28">
        <v>0</v>
      </c>
      <c r="J2097" s="19">
        <v>1</v>
      </c>
      <c r="K2097" s="19">
        <v>0</v>
      </c>
      <c r="L2097" s="19">
        <v>0</v>
      </c>
      <c r="M2097" s="17">
        <v>0</v>
      </c>
      <c r="N2097" s="17">
        <v>0</v>
      </c>
      <c r="O2097" s="17">
        <v>5</v>
      </c>
      <c r="P2097" s="17">
        <v>0</v>
      </c>
      <c r="Q2097" s="17">
        <v>0</v>
      </c>
      <c r="R2097" s="17">
        <v>0</v>
      </c>
      <c r="S2097" s="13">
        <v>0</v>
      </c>
      <c r="T2097" s="17">
        <v>0</v>
      </c>
      <c r="U2097" s="17">
        <v>1</v>
      </c>
      <c r="V2097" s="17">
        <v>2</v>
      </c>
      <c r="W2097" s="17">
        <v>0</v>
      </c>
      <c r="X2097" s="17">
        <v>0</v>
      </c>
      <c r="Y2097" s="13">
        <v>0</v>
      </c>
      <c r="Z2097" s="17">
        <v>0</v>
      </c>
      <c r="AA2097" s="17">
        <v>0</v>
      </c>
      <c r="AB2097" s="17">
        <v>0</v>
      </c>
      <c r="AC2097" s="17">
        <v>0</v>
      </c>
      <c r="AD2097" s="17">
        <v>0</v>
      </c>
      <c r="AE2097" s="17">
        <v>0</v>
      </c>
      <c r="AF2097" s="17">
        <v>9</v>
      </c>
      <c r="AG2097" s="17">
        <v>2</v>
      </c>
      <c r="AH2097" s="17" t="s">
        <v>213</v>
      </c>
      <c r="AI2097" s="13">
        <v>2</v>
      </c>
      <c r="AJ2097" s="13">
        <v>2</v>
      </c>
      <c r="AK2097" s="13">
        <v>0</v>
      </c>
      <c r="AL2097" s="13">
        <v>1.5</v>
      </c>
      <c r="AM2097" s="17">
        <v>0</v>
      </c>
      <c r="AN2097" s="17">
        <v>0</v>
      </c>
      <c r="AO2097" s="17">
        <v>0</v>
      </c>
      <c r="AP2097" s="17">
        <v>1</v>
      </c>
      <c r="AQ2097" s="17">
        <v>3000</v>
      </c>
      <c r="AR2097" s="17">
        <v>0.5</v>
      </c>
      <c r="AS2097" s="17">
        <v>0</v>
      </c>
      <c r="AT2097" s="13">
        <v>0</v>
      </c>
      <c r="AU2097" s="17" t="s">
        <v>198</v>
      </c>
      <c r="AV2097" s="17"/>
      <c r="AW2097" s="18" t="s">
        <v>199</v>
      </c>
      <c r="AX2097" s="17">
        <v>0</v>
      </c>
      <c r="AY2097" s="19">
        <v>0</v>
      </c>
      <c r="AZ2097" s="19">
        <v>0</v>
      </c>
      <c r="BA2097" s="18" t="s">
        <v>200</v>
      </c>
      <c r="BB2097" s="17" t="s">
        <v>4737</v>
      </c>
      <c r="BC2097" s="28">
        <v>0</v>
      </c>
      <c r="BD2097" s="28">
        <v>0</v>
      </c>
      <c r="BE2097" s="46" t="s">
        <v>4738</v>
      </c>
      <c r="BF2097" s="46" t="s">
        <v>4739</v>
      </c>
      <c r="BG2097" s="17"/>
      <c r="BH2097" s="17">
        <v>0</v>
      </c>
      <c r="BI2097" s="17"/>
      <c r="BJ2097" s="17"/>
      <c r="BK2097" s="17"/>
      <c r="BL2097" s="19"/>
      <c r="BM2097" s="17">
        <v>0</v>
      </c>
      <c r="BN2097" s="13">
        <v>0</v>
      </c>
      <c r="BO2097" s="13">
        <v>0</v>
      </c>
      <c r="BP2097" s="13">
        <v>0</v>
      </c>
      <c r="BQ2097" s="13">
        <v>0</v>
      </c>
      <c r="BR2097" s="13">
        <v>0</v>
      </c>
      <c r="BS2097" s="13">
        <v>0</v>
      </c>
      <c r="BT2097" s="13">
        <v>0</v>
      </c>
      <c r="BU2097" s="49">
        <v>0</v>
      </c>
      <c r="BV2097" s="49"/>
      <c r="BW2097" s="49"/>
    </row>
    <row r="2098" spans="3:75" ht="19.5" customHeight="1">
      <c r="C2098" s="66">
        <v>80004005</v>
      </c>
      <c r="D2098" s="61" t="s">
        <v>4723</v>
      </c>
      <c r="E2098" s="61" t="s">
        <v>4724</v>
      </c>
      <c r="F2098" s="66">
        <v>1</v>
      </c>
      <c r="G2098" s="66">
        <v>80004005</v>
      </c>
      <c r="H2098" s="66">
        <v>0</v>
      </c>
      <c r="I2098" s="68">
        <v>0</v>
      </c>
      <c r="J2098" s="66">
        <v>1</v>
      </c>
      <c r="K2098" s="66">
        <v>0</v>
      </c>
      <c r="L2098" s="66">
        <v>0</v>
      </c>
      <c r="M2098" s="62">
        <v>0</v>
      </c>
      <c r="N2098" s="62">
        <v>0</v>
      </c>
      <c r="O2098" s="62">
        <v>2</v>
      </c>
      <c r="P2098" s="62">
        <v>3</v>
      </c>
      <c r="Q2098" s="62">
        <v>0.15</v>
      </c>
      <c r="R2098" s="62">
        <v>0</v>
      </c>
      <c r="S2098" s="70">
        <v>0</v>
      </c>
      <c r="T2098" s="62">
        <v>0</v>
      </c>
      <c r="U2098" s="62">
        <v>1</v>
      </c>
      <c r="V2098" s="62">
        <v>2</v>
      </c>
      <c r="W2098" s="62">
        <v>0</v>
      </c>
      <c r="X2098" s="62">
        <v>0</v>
      </c>
      <c r="Y2098" s="13">
        <v>0</v>
      </c>
      <c r="Z2098" s="62">
        <v>0</v>
      </c>
      <c r="AA2098" s="62">
        <v>0</v>
      </c>
      <c r="AB2098" s="62">
        <v>0</v>
      </c>
      <c r="AC2098" s="62">
        <v>0</v>
      </c>
      <c r="AD2098" s="62">
        <v>0</v>
      </c>
      <c r="AE2098" s="62">
        <v>1</v>
      </c>
      <c r="AF2098" s="62">
        <v>16</v>
      </c>
      <c r="AG2098" s="62">
        <v>1</v>
      </c>
      <c r="AH2098" s="62">
        <v>5</v>
      </c>
      <c r="AI2098" s="70">
        <v>0</v>
      </c>
      <c r="AJ2098" s="70">
        <v>1</v>
      </c>
      <c r="AK2098" s="70">
        <v>0</v>
      </c>
      <c r="AL2098" s="70">
        <v>3</v>
      </c>
      <c r="AM2098" s="62">
        <v>0</v>
      </c>
      <c r="AN2098" s="62">
        <v>0</v>
      </c>
      <c r="AO2098" s="62">
        <v>0</v>
      </c>
      <c r="AP2098" s="62">
        <v>0</v>
      </c>
      <c r="AQ2098" s="62">
        <v>5000</v>
      </c>
      <c r="AR2098" s="62">
        <v>0.1</v>
      </c>
      <c r="AS2098" s="62">
        <v>0</v>
      </c>
      <c r="AT2098" s="356" t="s">
        <v>4740</v>
      </c>
      <c r="AU2098" s="81">
        <v>0</v>
      </c>
      <c r="AV2098" s="81"/>
      <c r="AW2098" s="61" t="s">
        <v>198</v>
      </c>
      <c r="AX2098" s="62">
        <v>0</v>
      </c>
      <c r="AY2098" s="66">
        <v>0</v>
      </c>
      <c r="AZ2098" s="66">
        <v>0</v>
      </c>
      <c r="BA2098" s="61" t="s">
        <v>200</v>
      </c>
      <c r="BB2098" s="62">
        <v>0</v>
      </c>
      <c r="BC2098" s="68">
        <v>0</v>
      </c>
      <c r="BD2098" s="68">
        <v>0</v>
      </c>
      <c r="BE2098" s="92" t="s">
        <v>4741</v>
      </c>
      <c r="BF2098" s="92" t="s">
        <v>4742</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spans="3:75" ht="19.5" customHeight="1">
      <c r="C2099" s="66">
        <v>80004006</v>
      </c>
      <c r="D2099" s="61" t="s">
        <v>4743</v>
      </c>
      <c r="E2099" s="61" t="s">
        <v>4744</v>
      </c>
      <c r="F2099" s="66">
        <v>1</v>
      </c>
      <c r="G2099" s="66">
        <v>80004006</v>
      </c>
      <c r="H2099" s="66">
        <v>0</v>
      </c>
      <c r="I2099" s="68">
        <v>0</v>
      </c>
      <c r="J2099" s="66">
        <v>1</v>
      </c>
      <c r="K2099" s="66">
        <v>0</v>
      </c>
      <c r="L2099" s="66">
        <v>0</v>
      </c>
      <c r="M2099" s="62">
        <v>0</v>
      </c>
      <c r="N2099" s="62">
        <v>0</v>
      </c>
      <c r="O2099" s="62">
        <v>2</v>
      </c>
      <c r="P2099" s="62">
        <v>1</v>
      </c>
      <c r="Q2099" s="62">
        <v>0.15</v>
      </c>
      <c r="R2099" s="62">
        <v>0</v>
      </c>
      <c r="S2099" s="70">
        <v>0</v>
      </c>
      <c r="T2099" s="62">
        <v>0</v>
      </c>
      <c r="U2099" s="62">
        <v>1</v>
      </c>
      <c r="V2099" s="62">
        <v>2</v>
      </c>
      <c r="W2099" s="62">
        <v>0</v>
      </c>
      <c r="X2099" s="62">
        <v>1.5</v>
      </c>
      <c r="Y2099" s="13">
        <v>0</v>
      </c>
      <c r="Z2099" s="62">
        <v>0</v>
      </c>
      <c r="AA2099" s="62">
        <v>1</v>
      </c>
      <c r="AB2099" s="62">
        <v>0</v>
      </c>
      <c r="AC2099" s="62">
        <v>0</v>
      </c>
      <c r="AD2099" s="62">
        <v>0</v>
      </c>
      <c r="AE2099" s="62">
        <v>1</v>
      </c>
      <c r="AF2099" s="62">
        <v>0</v>
      </c>
      <c r="AG2099" s="62">
        <v>1</v>
      </c>
      <c r="AH2099" s="62">
        <v>6</v>
      </c>
      <c r="AI2099" s="70">
        <v>0</v>
      </c>
      <c r="AJ2099" s="70">
        <v>1</v>
      </c>
      <c r="AK2099" s="70">
        <v>0</v>
      </c>
      <c r="AL2099" s="70">
        <v>3</v>
      </c>
      <c r="AM2099" s="62">
        <v>0</v>
      </c>
      <c r="AN2099" s="62">
        <v>0</v>
      </c>
      <c r="AO2099" s="62">
        <v>0</v>
      </c>
      <c r="AP2099" s="62">
        <v>0</v>
      </c>
      <c r="AQ2099" s="62">
        <v>3000</v>
      </c>
      <c r="AR2099" s="62">
        <v>0.2</v>
      </c>
      <c r="AS2099" s="62">
        <v>0</v>
      </c>
      <c r="AT2099" s="70">
        <v>0</v>
      </c>
      <c r="AU2099" s="62">
        <v>80005106</v>
      </c>
      <c r="AV2099" s="62"/>
      <c r="AW2099" s="61" t="s">
        <v>199</v>
      </c>
      <c r="AX2099" s="62">
        <v>0</v>
      </c>
      <c r="AY2099" s="66">
        <v>0</v>
      </c>
      <c r="AZ2099" s="66">
        <v>23000201</v>
      </c>
      <c r="BA2099" s="61" t="s">
        <v>200</v>
      </c>
      <c r="BB2099" s="62">
        <v>0</v>
      </c>
      <c r="BC2099" s="68">
        <v>0</v>
      </c>
      <c r="BD2099" s="68">
        <v>0</v>
      </c>
      <c r="BE2099" s="92" t="s">
        <v>4745</v>
      </c>
      <c r="BF2099" s="92" t="s">
        <v>4746</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19.5" customHeight="1">
      <c r="C2100" s="66">
        <v>80004007</v>
      </c>
      <c r="D2100" s="61" t="s">
        <v>4747</v>
      </c>
      <c r="E2100" s="61" t="s">
        <v>4748</v>
      </c>
      <c r="F2100" s="66">
        <v>1</v>
      </c>
      <c r="G2100" s="62">
        <v>60010100</v>
      </c>
      <c r="H2100" s="66">
        <v>0</v>
      </c>
      <c r="I2100" s="68">
        <v>0</v>
      </c>
      <c r="J2100" s="66">
        <v>1</v>
      </c>
      <c r="K2100" s="66">
        <v>0</v>
      </c>
      <c r="L2100" s="66">
        <v>0</v>
      </c>
      <c r="M2100" s="62">
        <v>0</v>
      </c>
      <c r="N2100" s="62">
        <v>0</v>
      </c>
      <c r="O2100" s="62">
        <v>2</v>
      </c>
      <c r="P2100" s="62">
        <v>3</v>
      </c>
      <c r="Q2100" s="62">
        <v>0.15</v>
      </c>
      <c r="R2100" s="62">
        <v>0</v>
      </c>
      <c r="S2100" s="70">
        <v>0</v>
      </c>
      <c r="T2100" s="62">
        <v>0</v>
      </c>
      <c r="U2100" s="62">
        <v>1</v>
      </c>
      <c r="V2100" s="62">
        <v>2</v>
      </c>
      <c r="W2100" s="62">
        <v>0</v>
      </c>
      <c r="X2100" s="62">
        <v>0</v>
      </c>
      <c r="Y2100" s="13">
        <v>0</v>
      </c>
      <c r="Z2100" s="62">
        <v>0</v>
      </c>
      <c r="AA2100" s="62">
        <v>0</v>
      </c>
      <c r="AB2100" s="62">
        <v>0</v>
      </c>
      <c r="AC2100" s="62">
        <v>0</v>
      </c>
      <c r="AD2100" s="62">
        <v>0</v>
      </c>
      <c r="AE2100" s="62">
        <v>1</v>
      </c>
      <c r="AF2100" s="62">
        <v>0</v>
      </c>
      <c r="AG2100" s="62">
        <v>1</v>
      </c>
      <c r="AH2100" s="62">
        <v>5</v>
      </c>
      <c r="AI2100" s="70">
        <v>0</v>
      </c>
      <c r="AJ2100" s="70">
        <v>1</v>
      </c>
      <c r="AK2100" s="70">
        <v>0</v>
      </c>
      <c r="AL2100" s="70">
        <v>3</v>
      </c>
      <c r="AM2100" s="62">
        <v>0</v>
      </c>
      <c r="AN2100" s="62">
        <v>0</v>
      </c>
      <c r="AO2100" s="62">
        <v>0</v>
      </c>
      <c r="AP2100" s="62">
        <v>1</v>
      </c>
      <c r="AQ2100" s="62">
        <v>1000</v>
      </c>
      <c r="AR2100" s="62">
        <v>0</v>
      </c>
      <c r="AS2100" s="62">
        <v>0</v>
      </c>
      <c r="AT2100" s="80">
        <v>0</v>
      </c>
      <c r="AU2100" s="348" t="s">
        <v>4749</v>
      </c>
      <c r="AV2100" s="81"/>
      <c r="AW2100" s="61" t="s">
        <v>287</v>
      </c>
      <c r="AX2100" s="62">
        <v>0</v>
      </c>
      <c r="AY2100" s="66">
        <v>0</v>
      </c>
      <c r="AZ2100" s="66">
        <v>23000202</v>
      </c>
      <c r="BA2100" s="61" t="s">
        <v>200</v>
      </c>
      <c r="BB2100" s="62">
        <v>0</v>
      </c>
      <c r="BC2100" s="68">
        <v>0</v>
      </c>
      <c r="BD2100" s="68">
        <v>0</v>
      </c>
      <c r="BE2100" s="92" t="s">
        <v>4750</v>
      </c>
      <c r="BF2100" s="92" t="s">
        <v>4751</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19.5" customHeight="1">
      <c r="C2101" s="66">
        <v>80004008</v>
      </c>
      <c r="D2101" s="61" t="s">
        <v>4752</v>
      </c>
      <c r="E2101" s="61" t="s">
        <v>4753</v>
      </c>
      <c r="F2101" s="66">
        <v>1</v>
      </c>
      <c r="G2101" s="66">
        <v>80004008</v>
      </c>
      <c r="H2101" s="66">
        <v>0</v>
      </c>
      <c r="I2101" s="68">
        <v>0</v>
      </c>
      <c r="J2101" s="66">
        <v>1</v>
      </c>
      <c r="K2101" s="66">
        <v>0</v>
      </c>
      <c r="L2101" s="66">
        <v>0</v>
      </c>
      <c r="M2101" s="62">
        <v>0</v>
      </c>
      <c r="N2101" s="62">
        <v>0</v>
      </c>
      <c r="O2101" s="62">
        <v>2</v>
      </c>
      <c r="P2101" s="62" t="s">
        <v>4754</v>
      </c>
      <c r="Q2101" s="62" t="s">
        <v>4755</v>
      </c>
      <c r="R2101" s="62">
        <v>0</v>
      </c>
      <c r="S2101" s="70">
        <v>0</v>
      </c>
      <c r="T2101" s="62">
        <v>0</v>
      </c>
      <c r="U2101" s="62">
        <v>1</v>
      </c>
      <c r="V2101" s="62">
        <v>2</v>
      </c>
      <c r="W2101" s="62">
        <v>0</v>
      </c>
      <c r="X2101" s="62">
        <v>0</v>
      </c>
      <c r="Y2101" s="13">
        <v>0</v>
      </c>
      <c r="Z2101" s="62">
        <v>0</v>
      </c>
      <c r="AA2101" s="62">
        <v>1</v>
      </c>
      <c r="AB2101" s="62">
        <v>0</v>
      </c>
      <c r="AC2101" s="62">
        <v>0</v>
      </c>
      <c r="AD2101" s="62">
        <v>0</v>
      </c>
      <c r="AE2101" s="62">
        <v>1</v>
      </c>
      <c r="AF2101" s="62">
        <v>8</v>
      </c>
      <c r="AG2101" s="62">
        <v>1</v>
      </c>
      <c r="AH2101" s="62">
        <v>6</v>
      </c>
      <c r="AI2101" s="70">
        <v>0</v>
      </c>
      <c r="AJ2101" s="70">
        <v>1</v>
      </c>
      <c r="AK2101" s="70">
        <v>0</v>
      </c>
      <c r="AL2101" s="70">
        <v>3</v>
      </c>
      <c r="AM2101" s="62">
        <v>0</v>
      </c>
      <c r="AN2101" s="62">
        <v>0</v>
      </c>
      <c r="AO2101" s="62">
        <v>0</v>
      </c>
      <c r="AP2101" s="62">
        <v>0</v>
      </c>
      <c r="AQ2101" s="62">
        <v>1000</v>
      </c>
      <c r="AR2101" s="62">
        <v>0</v>
      </c>
      <c r="AS2101" s="62">
        <v>0</v>
      </c>
      <c r="AT2101" s="347" t="s">
        <v>4756</v>
      </c>
      <c r="AU2101" s="348" t="s">
        <v>4757</v>
      </c>
      <c r="AV2101" s="81"/>
      <c r="AW2101" s="61" t="s">
        <v>287</v>
      </c>
      <c r="AX2101" s="62">
        <v>0</v>
      </c>
      <c r="AY2101" s="66">
        <v>0</v>
      </c>
      <c r="AZ2101" s="66">
        <v>23000211</v>
      </c>
      <c r="BA2101" s="61" t="s">
        <v>200</v>
      </c>
      <c r="BB2101" s="62">
        <v>0</v>
      </c>
      <c r="BC2101" s="68">
        <v>0</v>
      </c>
      <c r="BD2101" s="68">
        <v>0</v>
      </c>
      <c r="BE2101" s="92" t="s">
        <v>4758</v>
      </c>
      <c r="BF2101" s="92" t="s">
        <v>4759</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80004009</v>
      </c>
      <c r="D2102" s="61" t="s">
        <v>4760</v>
      </c>
      <c r="E2102" s="61" t="s">
        <v>4761</v>
      </c>
      <c r="F2102" s="66">
        <v>1</v>
      </c>
      <c r="G2102" s="66">
        <v>80004009</v>
      </c>
      <c r="H2102" s="66">
        <v>0</v>
      </c>
      <c r="I2102" s="68">
        <v>0</v>
      </c>
      <c r="J2102" s="66">
        <v>1</v>
      </c>
      <c r="K2102" s="66">
        <v>0</v>
      </c>
      <c r="L2102" s="66">
        <v>0</v>
      </c>
      <c r="M2102" s="62">
        <v>0</v>
      </c>
      <c r="N2102" s="62">
        <v>0</v>
      </c>
      <c r="O2102" s="62">
        <v>2</v>
      </c>
      <c r="P2102" s="62">
        <v>16</v>
      </c>
      <c r="Q2102" s="62">
        <v>5</v>
      </c>
      <c r="R2102" s="62">
        <v>0</v>
      </c>
      <c r="S2102" s="70">
        <v>0</v>
      </c>
      <c r="T2102" s="62">
        <v>0</v>
      </c>
      <c r="U2102" s="62">
        <v>1</v>
      </c>
      <c r="V2102" s="62">
        <v>2</v>
      </c>
      <c r="W2102" s="62">
        <v>0</v>
      </c>
      <c r="X2102" s="62">
        <v>1.2</v>
      </c>
      <c r="Y2102" s="13">
        <v>0</v>
      </c>
      <c r="Z2102" s="62">
        <v>0</v>
      </c>
      <c r="AA2102" s="62">
        <v>1</v>
      </c>
      <c r="AB2102" s="62">
        <v>0</v>
      </c>
      <c r="AC2102" s="62">
        <v>0</v>
      </c>
      <c r="AD2102" s="62">
        <v>0</v>
      </c>
      <c r="AE2102" s="62">
        <v>1</v>
      </c>
      <c r="AF2102" s="62">
        <v>0</v>
      </c>
      <c r="AG2102" s="62">
        <v>1</v>
      </c>
      <c r="AH2102" s="62">
        <v>2</v>
      </c>
      <c r="AI2102" s="70">
        <v>0</v>
      </c>
      <c r="AJ2102" s="70">
        <v>2</v>
      </c>
      <c r="AK2102" s="70">
        <v>0</v>
      </c>
      <c r="AL2102" s="70">
        <v>2</v>
      </c>
      <c r="AM2102" s="62">
        <v>0</v>
      </c>
      <c r="AN2102" s="62">
        <v>0</v>
      </c>
      <c r="AO2102" s="62">
        <v>0</v>
      </c>
      <c r="AP2102" s="62">
        <v>2</v>
      </c>
      <c r="AQ2102" s="62">
        <v>8000</v>
      </c>
      <c r="AR2102" s="62">
        <v>0</v>
      </c>
      <c r="AS2102" s="62">
        <v>10</v>
      </c>
      <c r="AT2102" s="80">
        <v>0</v>
      </c>
      <c r="AU2102" s="348" t="s">
        <v>198</v>
      </c>
      <c r="AV2102" s="81"/>
      <c r="AW2102" s="61" t="s">
        <v>199</v>
      </c>
      <c r="AX2102" s="62" t="s">
        <v>534</v>
      </c>
      <c r="AY2102" s="66">
        <v>10000007</v>
      </c>
      <c r="AZ2102" s="66">
        <v>23000212</v>
      </c>
      <c r="BA2102" s="61" t="s">
        <v>586</v>
      </c>
      <c r="BB2102" s="62" t="s">
        <v>1318</v>
      </c>
      <c r="BC2102" s="68">
        <v>0</v>
      </c>
      <c r="BD2102" s="68">
        <v>1</v>
      </c>
      <c r="BE2102" s="92" t="s">
        <v>1306</v>
      </c>
      <c r="BF2102" s="92" t="s">
        <v>1307</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20.100000000000001" customHeight="1">
      <c r="C2103" s="66">
        <v>80004010</v>
      </c>
      <c r="D2103" s="61" t="s">
        <v>4762</v>
      </c>
      <c r="E2103" s="61" t="s">
        <v>952</v>
      </c>
      <c r="F2103" s="62">
        <v>1</v>
      </c>
      <c r="G2103" s="66">
        <v>80004010</v>
      </c>
      <c r="H2103" s="62">
        <v>0</v>
      </c>
      <c r="I2103" s="68">
        <v>0</v>
      </c>
      <c r="J2103" s="66">
        <v>1</v>
      </c>
      <c r="K2103" s="66">
        <v>0</v>
      </c>
      <c r="L2103" s="66">
        <v>0</v>
      </c>
      <c r="M2103" s="62">
        <v>0</v>
      </c>
      <c r="N2103" s="62">
        <v>0</v>
      </c>
      <c r="O2103" s="62">
        <v>2</v>
      </c>
      <c r="P2103" s="62">
        <v>1</v>
      </c>
      <c r="Q2103" s="62">
        <v>0.2</v>
      </c>
      <c r="R2103" s="62">
        <v>0</v>
      </c>
      <c r="S2103" s="70">
        <v>0</v>
      </c>
      <c r="T2103" s="62">
        <v>0</v>
      </c>
      <c r="U2103" s="62">
        <v>1</v>
      </c>
      <c r="V2103" s="62">
        <v>1</v>
      </c>
      <c r="W2103" s="62">
        <v>0</v>
      </c>
      <c r="X2103" s="62">
        <v>1.2</v>
      </c>
      <c r="Y2103" s="13">
        <v>0</v>
      </c>
      <c r="Z2103" s="62">
        <v>0</v>
      </c>
      <c r="AA2103" s="62">
        <v>1</v>
      </c>
      <c r="AB2103" s="62">
        <v>0</v>
      </c>
      <c r="AC2103" s="62">
        <v>0</v>
      </c>
      <c r="AD2103" s="62">
        <v>0</v>
      </c>
      <c r="AE2103" s="62">
        <v>1</v>
      </c>
      <c r="AF2103" s="62">
        <v>0</v>
      </c>
      <c r="AG2103" s="62">
        <v>2</v>
      </c>
      <c r="AH2103" s="62" t="s">
        <v>213</v>
      </c>
      <c r="AI2103" s="70">
        <v>0</v>
      </c>
      <c r="AJ2103" s="70">
        <v>2</v>
      </c>
      <c r="AK2103" s="70">
        <v>0</v>
      </c>
      <c r="AL2103" s="70">
        <v>1.5</v>
      </c>
      <c r="AM2103" s="62">
        <v>0</v>
      </c>
      <c r="AN2103" s="62">
        <v>0.1</v>
      </c>
      <c r="AO2103" s="62">
        <v>0</v>
      </c>
      <c r="AP2103" s="62">
        <v>0.5</v>
      </c>
      <c r="AQ2103" s="62">
        <v>500</v>
      </c>
      <c r="AR2103" s="62">
        <v>0</v>
      </c>
      <c r="AS2103" s="62">
        <v>15</v>
      </c>
      <c r="AT2103" s="356" t="s">
        <v>4763</v>
      </c>
      <c r="AU2103" s="348" t="s">
        <v>4764</v>
      </c>
      <c r="AV2103" s="81"/>
      <c r="AW2103" s="61" t="s">
        <v>199</v>
      </c>
      <c r="AX2103" s="62" t="s">
        <v>215</v>
      </c>
      <c r="AY2103" s="66">
        <v>10000011</v>
      </c>
      <c r="AZ2103" s="66">
        <v>23000221</v>
      </c>
      <c r="BA2103" s="61" t="s">
        <v>216</v>
      </c>
      <c r="BB2103" s="62">
        <v>0</v>
      </c>
      <c r="BC2103" s="68">
        <v>0</v>
      </c>
      <c r="BD2103" s="68">
        <v>0</v>
      </c>
      <c r="BE2103" s="92" t="s">
        <v>4765</v>
      </c>
      <c r="BF2103" s="92" t="s">
        <v>4766</v>
      </c>
      <c r="BG2103" s="62">
        <v>0</v>
      </c>
      <c r="BH2103" s="62">
        <v>0</v>
      </c>
      <c r="BI2103" s="62">
        <v>0</v>
      </c>
      <c r="BJ2103" s="62">
        <v>0</v>
      </c>
      <c r="BK2103" s="62">
        <v>0</v>
      </c>
      <c r="BL2103" s="62">
        <v>0</v>
      </c>
      <c r="BM2103" s="95">
        <v>0</v>
      </c>
      <c r="BN2103" s="70">
        <v>0</v>
      </c>
      <c r="BO2103" s="70">
        <v>0</v>
      </c>
      <c r="BP2103" s="70">
        <v>0</v>
      </c>
      <c r="BQ2103" s="70">
        <v>0</v>
      </c>
      <c r="BR2103" s="70">
        <v>0</v>
      </c>
      <c r="BS2103" s="70">
        <v>1</v>
      </c>
      <c r="BT2103" s="13">
        <v>0</v>
      </c>
      <c r="BU2103" s="49">
        <v>0</v>
      </c>
      <c r="BV2103" s="49"/>
      <c r="BW2103" s="49"/>
    </row>
    <row r="2104" spans="3:75" ht="20.100000000000001" customHeight="1">
      <c r="C2104" s="66">
        <v>80004011</v>
      </c>
      <c r="D2104" s="61" t="s">
        <v>4762</v>
      </c>
      <c r="E2104" s="61" t="s">
        <v>952</v>
      </c>
      <c r="F2104" s="62">
        <v>1</v>
      </c>
      <c r="G2104" s="62">
        <v>61012301</v>
      </c>
      <c r="H2104" s="62">
        <v>0</v>
      </c>
      <c r="I2104" s="68">
        <v>0</v>
      </c>
      <c r="J2104" s="66">
        <v>1</v>
      </c>
      <c r="K2104" s="66">
        <v>0</v>
      </c>
      <c r="L2104" s="66">
        <v>0</v>
      </c>
      <c r="M2104" s="62">
        <v>0</v>
      </c>
      <c r="N2104" s="62">
        <v>0</v>
      </c>
      <c r="O2104" s="62">
        <v>2</v>
      </c>
      <c r="P2104" s="62">
        <v>1</v>
      </c>
      <c r="Q2104" s="62">
        <v>0.2</v>
      </c>
      <c r="R2104" s="62">
        <v>0</v>
      </c>
      <c r="S2104" s="70">
        <v>0</v>
      </c>
      <c r="T2104" s="62">
        <v>0</v>
      </c>
      <c r="U2104" s="62">
        <v>1</v>
      </c>
      <c r="V2104" s="62">
        <v>1</v>
      </c>
      <c r="W2104" s="62">
        <v>0</v>
      </c>
      <c r="X2104" s="62">
        <v>1.2</v>
      </c>
      <c r="Y2104" s="13">
        <v>0</v>
      </c>
      <c r="Z2104" s="62">
        <v>0</v>
      </c>
      <c r="AA2104" s="62">
        <v>1</v>
      </c>
      <c r="AB2104" s="62">
        <v>0</v>
      </c>
      <c r="AC2104" s="62">
        <v>0</v>
      </c>
      <c r="AD2104" s="62">
        <v>0</v>
      </c>
      <c r="AE2104" s="62">
        <v>1</v>
      </c>
      <c r="AF2104" s="62">
        <v>0</v>
      </c>
      <c r="AG2104" s="62">
        <v>2</v>
      </c>
      <c r="AH2104" s="62" t="s">
        <v>213</v>
      </c>
      <c r="AI2104" s="70">
        <v>0</v>
      </c>
      <c r="AJ2104" s="70">
        <v>2</v>
      </c>
      <c r="AK2104" s="70">
        <v>0</v>
      </c>
      <c r="AL2104" s="70">
        <v>1.5</v>
      </c>
      <c r="AM2104" s="62">
        <v>0</v>
      </c>
      <c r="AN2104" s="62">
        <v>0.1</v>
      </c>
      <c r="AO2104" s="62">
        <v>0</v>
      </c>
      <c r="AP2104" s="62">
        <v>0.5</v>
      </c>
      <c r="AQ2104" s="62">
        <v>500</v>
      </c>
      <c r="AR2104" s="62">
        <v>0</v>
      </c>
      <c r="AS2104" s="62">
        <v>15</v>
      </c>
      <c r="AT2104" s="356" t="s">
        <v>4767</v>
      </c>
      <c r="AU2104" s="348" t="s">
        <v>4764</v>
      </c>
      <c r="AV2104" s="81"/>
      <c r="AW2104" s="61" t="s">
        <v>199</v>
      </c>
      <c r="AX2104" s="62" t="s">
        <v>215</v>
      </c>
      <c r="AY2104" s="66">
        <v>10000011</v>
      </c>
      <c r="AZ2104" s="66">
        <v>23000221</v>
      </c>
      <c r="BA2104" s="61" t="s">
        <v>216</v>
      </c>
      <c r="BB2104" s="62">
        <v>0</v>
      </c>
      <c r="BC2104" s="68">
        <v>0</v>
      </c>
      <c r="BD2104" s="68">
        <v>0</v>
      </c>
      <c r="BE2104" s="92" t="s">
        <v>4768</v>
      </c>
      <c r="BF2104" s="92" t="s">
        <v>4769</v>
      </c>
      <c r="BG2104" s="62">
        <v>0</v>
      </c>
      <c r="BH2104" s="62">
        <v>0</v>
      </c>
      <c r="BI2104" s="62">
        <v>0</v>
      </c>
      <c r="BJ2104" s="62">
        <v>0</v>
      </c>
      <c r="BK2104" s="62">
        <v>0</v>
      </c>
      <c r="BL2104" s="62">
        <v>0</v>
      </c>
      <c r="BM2104" s="95">
        <v>0</v>
      </c>
      <c r="BN2104" s="70">
        <v>0</v>
      </c>
      <c r="BO2104" s="70">
        <v>0</v>
      </c>
      <c r="BP2104" s="70">
        <v>0</v>
      </c>
      <c r="BQ2104" s="70">
        <v>0</v>
      </c>
      <c r="BR2104" s="70">
        <v>0</v>
      </c>
      <c r="BS2104" s="70">
        <v>1</v>
      </c>
      <c r="BT2104" s="13">
        <v>0</v>
      </c>
      <c r="BU2104" s="49">
        <v>0</v>
      </c>
      <c r="BV2104" s="49"/>
      <c r="BW2104" s="49"/>
    </row>
    <row r="2105" spans="3:75" ht="19.5" customHeight="1">
      <c r="C2105" s="66">
        <v>80004012</v>
      </c>
      <c r="D2105" s="61" t="s">
        <v>2135</v>
      </c>
      <c r="E2105" s="61" t="s">
        <v>2136</v>
      </c>
      <c r="F2105" s="66">
        <v>1</v>
      </c>
      <c r="G2105" s="62">
        <v>60010100</v>
      </c>
      <c r="H2105" s="66">
        <v>0</v>
      </c>
      <c r="I2105" s="68">
        <v>0</v>
      </c>
      <c r="J2105" s="66">
        <v>1</v>
      </c>
      <c r="K2105" s="66">
        <v>0</v>
      </c>
      <c r="L2105" s="66">
        <v>0</v>
      </c>
      <c r="M2105" s="62">
        <v>0</v>
      </c>
      <c r="N2105" s="62">
        <v>0</v>
      </c>
      <c r="O2105" s="62">
        <v>2</v>
      </c>
      <c r="P2105" s="62">
        <v>1</v>
      </c>
      <c r="Q2105" s="62">
        <v>0.2</v>
      </c>
      <c r="R2105" s="62">
        <v>0</v>
      </c>
      <c r="S2105" s="70">
        <v>0</v>
      </c>
      <c r="T2105" s="62">
        <v>0</v>
      </c>
      <c r="U2105" s="62">
        <v>1</v>
      </c>
      <c r="V2105" s="62">
        <v>1</v>
      </c>
      <c r="W2105" s="62">
        <v>0</v>
      </c>
      <c r="X2105" s="62">
        <v>0.3</v>
      </c>
      <c r="Y2105" s="13">
        <v>0</v>
      </c>
      <c r="Z2105" s="62">
        <v>0</v>
      </c>
      <c r="AA2105" s="62">
        <v>1</v>
      </c>
      <c r="AB2105" s="62">
        <v>0</v>
      </c>
      <c r="AC2105" s="62">
        <v>0</v>
      </c>
      <c r="AD2105" s="62">
        <v>0</v>
      </c>
      <c r="AE2105" s="62">
        <v>1</v>
      </c>
      <c r="AF2105" s="62">
        <v>0</v>
      </c>
      <c r="AG2105" s="62">
        <v>1</v>
      </c>
      <c r="AH2105" s="62" t="s">
        <v>861</v>
      </c>
      <c r="AI2105" s="70">
        <v>0</v>
      </c>
      <c r="AJ2105" s="70">
        <v>0</v>
      </c>
      <c r="AK2105" s="70">
        <v>0</v>
      </c>
      <c r="AL2105" s="70">
        <v>0</v>
      </c>
      <c r="AM2105" s="62">
        <v>0</v>
      </c>
      <c r="AN2105" s="62">
        <v>0</v>
      </c>
      <c r="AO2105" s="62">
        <v>0</v>
      </c>
      <c r="AP2105" s="62">
        <v>0</v>
      </c>
      <c r="AQ2105" s="62">
        <v>5000</v>
      </c>
      <c r="AR2105" s="62">
        <v>0</v>
      </c>
      <c r="AS2105" s="62">
        <v>0</v>
      </c>
      <c r="AT2105" s="70">
        <v>0</v>
      </c>
      <c r="AU2105" s="62">
        <v>80005302</v>
      </c>
      <c r="AV2105" s="62"/>
      <c r="AW2105" s="61" t="s">
        <v>287</v>
      </c>
      <c r="AX2105" s="62" t="s">
        <v>534</v>
      </c>
      <c r="AY2105" s="66">
        <v>10000007</v>
      </c>
      <c r="AZ2105" s="66">
        <v>23000222</v>
      </c>
      <c r="BA2105" s="65" t="s">
        <v>315</v>
      </c>
      <c r="BB2105" s="65" t="s">
        <v>371</v>
      </c>
      <c r="BC2105" s="68">
        <v>0</v>
      </c>
      <c r="BD2105" s="68">
        <v>0</v>
      </c>
      <c r="BE2105" s="92" t="s">
        <v>4770</v>
      </c>
      <c r="BF2105" s="92" t="s">
        <v>4771</v>
      </c>
      <c r="BG2105" s="62">
        <v>0</v>
      </c>
      <c r="BH2105" s="62">
        <v>0</v>
      </c>
      <c r="BI2105" s="62">
        <v>0</v>
      </c>
      <c r="BJ2105" s="62">
        <v>0</v>
      </c>
      <c r="BK2105" s="62">
        <v>0</v>
      </c>
      <c r="BL2105" s="62">
        <v>0</v>
      </c>
      <c r="BM2105" s="95">
        <v>0</v>
      </c>
      <c r="BN2105" s="70">
        <v>0</v>
      </c>
      <c r="BO2105" s="70">
        <v>0</v>
      </c>
      <c r="BP2105" s="70">
        <v>0</v>
      </c>
      <c r="BQ2105" s="70">
        <v>0</v>
      </c>
      <c r="BR2105" s="70">
        <v>0</v>
      </c>
      <c r="BS2105" s="70">
        <v>1</v>
      </c>
      <c r="BT2105" s="13">
        <v>0</v>
      </c>
      <c r="BU2105" s="49">
        <v>0</v>
      </c>
      <c r="BV2105" s="49"/>
      <c r="BW2105" s="49"/>
    </row>
    <row r="2106" spans="3:75" ht="20.100000000000001" customHeight="1">
      <c r="C2106" s="66">
        <v>80004013</v>
      </c>
      <c r="D2106" s="61" t="s">
        <v>4731</v>
      </c>
      <c r="E2106" s="61" t="s">
        <v>4732</v>
      </c>
      <c r="F2106" s="62">
        <v>1</v>
      </c>
      <c r="G2106" s="66">
        <v>80004013</v>
      </c>
      <c r="H2106" s="62">
        <v>0</v>
      </c>
      <c r="I2106" s="68">
        <v>0</v>
      </c>
      <c r="J2106" s="66">
        <v>1</v>
      </c>
      <c r="K2106" s="66">
        <v>0</v>
      </c>
      <c r="L2106" s="66">
        <v>0</v>
      </c>
      <c r="M2106" s="62">
        <v>0</v>
      </c>
      <c r="N2106" s="62">
        <v>0</v>
      </c>
      <c r="O2106" s="62">
        <v>2</v>
      </c>
      <c r="P2106" s="62">
        <v>1</v>
      </c>
      <c r="Q2106" s="62">
        <v>0.3</v>
      </c>
      <c r="R2106" s="62">
        <v>0</v>
      </c>
      <c r="S2106" s="70">
        <v>0</v>
      </c>
      <c r="T2106" s="62">
        <v>0</v>
      </c>
      <c r="U2106" s="62">
        <v>1</v>
      </c>
      <c r="V2106" s="62">
        <v>1</v>
      </c>
      <c r="W2106" s="62">
        <v>0</v>
      </c>
      <c r="X2106" s="62">
        <v>2</v>
      </c>
      <c r="Y2106" s="13">
        <v>0</v>
      </c>
      <c r="Z2106" s="62">
        <v>0</v>
      </c>
      <c r="AA2106" s="62">
        <v>0</v>
      </c>
      <c r="AB2106" s="62">
        <v>0</v>
      </c>
      <c r="AC2106" s="62">
        <v>0</v>
      </c>
      <c r="AD2106" s="62">
        <v>0</v>
      </c>
      <c r="AE2106" s="62">
        <v>0</v>
      </c>
      <c r="AF2106" s="62">
        <v>6</v>
      </c>
      <c r="AG2106" s="62">
        <v>2</v>
      </c>
      <c r="AH2106" s="62" t="s">
        <v>213</v>
      </c>
      <c r="AI2106" s="70">
        <v>0</v>
      </c>
      <c r="AJ2106" s="70">
        <v>0</v>
      </c>
      <c r="AK2106" s="70">
        <v>0</v>
      </c>
      <c r="AL2106" s="70">
        <v>1.5</v>
      </c>
      <c r="AM2106" s="62">
        <v>0</v>
      </c>
      <c r="AN2106" s="62">
        <v>0</v>
      </c>
      <c r="AO2106" s="62">
        <v>0</v>
      </c>
      <c r="AP2106" s="62">
        <v>0.5</v>
      </c>
      <c r="AQ2106" s="62">
        <v>3000</v>
      </c>
      <c r="AR2106" s="62">
        <v>0.5</v>
      </c>
      <c r="AS2106" s="62">
        <v>0</v>
      </c>
      <c r="AT2106" s="70">
        <v>0</v>
      </c>
      <c r="AU2106" s="62">
        <v>80005305</v>
      </c>
      <c r="AV2106" s="62"/>
      <c r="AW2106" s="61" t="s">
        <v>287</v>
      </c>
      <c r="AX2106" s="62">
        <v>0</v>
      </c>
      <c r="AY2106" s="66">
        <v>10000007</v>
      </c>
      <c r="AZ2106" s="66">
        <v>23000223</v>
      </c>
      <c r="BA2106" s="61" t="s">
        <v>200</v>
      </c>
      <c r="BB2106" s="62">
        <v>0</v>
      </c>
      <c r="BC2106" s="68">
        <v>0</v>
      </c>
      <c r="BD2106" s="68">
        <v>0</v>
      </c>
      <c r="BE2106" s="92" t="s">
        <v>4772</v>
      </c>
      <c r="BF2106" s="92" t="s">
        <v>4773</v>
      </c>
      <c r="BG2106" s="62">
        <v>0</v>
      </c>
      <c r="BH2106" s="62">
        <v>0</v>
      </c>
      <c r="BI2106" s="62">
        <v>0</v>
      </c>
      <c r="BJ2106" s="62">
        <v>0</v>
      </c>
      <c r="BK2106" s="62">
        <v>0</v>
      </c>
      <c r="BL2106" s="62">
        <v>0</v>
      </c>
      <c r="BM2106" s="62">
        <v>0</v>
      </c>
      <c r="BN2106" s="70">
        <v>0</v>
      </c>
      <c r="BO2106" s="70">
        <v>0</v>
      </c>
      <c r="BP2106" s="70">
        <v>0</v>
      </c>
      <c r="BQ2106" s="70">
        <v>0</v>
      </c>
      <c r="BR2106" s="70">
        <v>0</v>
      </c>
      <c r="BS2106" s="70">
        <v>0</v>
      </c>
      <c r="BT2106" s="13">
        <v>0</v>
      </c>
      <c r="BU2106" s="49">
        <v>0</v>
      </c>
      <c r="BV2106" s="49"/>
      <c r="BW2106" s="49"/>
    </row>
    <row r="2107" spans="3:75" ht="20.100000000000001" customHeight="1">
      <c r="C2107" s="19">
        <v>81000110</v>
      </c>
      <c r="D2107" s="20" t="s">
        <v>1309</v>
      </c>
      <c r="E2107" s="20" t="s">
        <v>1310</v>
      </c>
      <c r="F2107" s="17">
        <v>1</v>
      </c>
      <c r="G2107" s="19">
        <v>61023101</v>
      </c>
      <c r="H2107" s="19">
        <v>0</v>
      </c>
      <c r="I2107" s="28">
        <v>0</v>
      </c>
      <c r="J2107" s="17">
        <v>1</v>
      </c>
      <c r="K2107" s="17">
        <v>0</v>
      </c>
      <c r="L2107" s="17">
        <v>0</v>
      </c>
      <c r="M2107" s="19">
        <v>0</v>
      </c>
      <c r="N2107" s="19">
        <v>0</v>
      </c>
      <c r="O2107" s="19">
        <v>1</v>
      </c>
      <c r="P2107" s="19">
        <v>0</v>
      </c>
      <c r="Q2107" s="19">
        <v>0</v>
      </c>
      <c r="R2107" s="19">
        <v>0</v>
      </c>
      <c r="S2107" s="13">
        <v>0</v>
      </c>
      <c r="T2107" s="28">
        <v>0</v>
      </c>
      <c r="U2107" s="17">
        <v>1</v>
      </c>
      <c r="V2107" s="19">
        <v>2</v>
      </c>
      <c r="W2107" s="19">
        <v>0</v>
      </c>
      <c r="X2107" s="19">
        <v>0</v>
      </c>
      <c r="Y2107" s="13">
        <v>0</v>
      </c>
      <c r="Z2107" s="19">
        <v>0</v>
      </c>
      <c r="AA2107" s="19">
        <v>1</v>
      </c>
      <c r="AB2107" s="19">
        <v>0</v>
      </c>
      <c r="AC2107" s="19">
        <v>0</v>
      </c>
      <c r="AD2107" s="19">
        <v>0</v>
      </c>
      <c r="AE2107" s="19">
        <v>0</v>
      </c>
      <c r="AF2107" s="19">
        <v>9</v>
      </c>
      <c r="AG2107" s="19">
        <v>1</v>
      </c>
      <c r="AH2107" s="19">
        <v>3.5</v>
      </c>
      <c r="AI2107" s="13">
        <v>0</v>
      </c>
      <c r="AJ2107" s="13">
        <v>0</v>
      </c>
      <c r="AK2107" s="13">
        <v>0</v>
      </c>
      <c r="AL2107" s="13">
        <v>3</v>
      </c>
      <c r="AM2107" s="19">
        <v>0</v>
      </c>
      <c r="AN2107" s="19">
        <v>0</v>
      </c>
      <c r="AO2107" s="19">
        <v>0</v>
      </c>
      <c r="AP2107" s="19">
        <v>0</v>
      </c>
      <c r="AQ2107" s="19">
        <v>2000</v>
      </c>
      <c r="AR2107" s="19">
        <v>0</v>
      </c>
      <c r="AS2107" s="19">
        <v>0</v>
      </c>
      <c r="AT2107" s="13">
        <v>0</v>
      </c>
      <c r="AU2107" s="363" t="s">
        <v>4774</v>
      </c>
      <c r="AV2107" s="19"/>
      <c r="AW2107" s="20" t="s">
        <v>199</v>
      </c>
      <c r="AX2107" s="19" t="s">
        <v>534</v>
      </c>
      <c r="AY2107" s="19">
        <v>10000007</v>
      </c>
      <c r="AZ2107" s="19">
        <v>70403003</v>
      </c>
      <c r="BA2107" s="18" t="s">
        <v>1526</v>
      </c>
      <c r="BB2107" s="20">
        <v>0</v>
      </c>
      <c r="BC2107" s="28">
        <v>0</v>
      </c>
      <c r="BD2107" s="28">
        <v>0</v>
      </c>
      <c r="BE2107" s="186" t="s">
        <v>4775</v>
      </c>
      <c r="BF2107" s="186" t="s">
        <v>4776</v>
      </c>
      <c r="BG2107" s="19">
        <v>0</v>
      </c>
      <c r="BH2107" s="17">
        <v>0</v>
      </c>
      <c r="BI2107" s="19">
        <v>0</v>
      </c>
      <c r="BJ2107" s="19">
        <v>0</v>
      </c>
      <c r="BK2107" s="19">
        <v>0</v>
      </c>
      <c r="BL2107" s="19">
        <v>0</v>
      </c>
      <c r="BM2107" s="16">
        <v>0</v>
      </c>
      <c r="BN2107" s="13">
        <v>1</v>
      </c>
      <c r="BO2107" s="13">
        <v>0</v>
      </c>
      <c r="BP2107" s="13">
        <v>0</v>
      </c>
      <c r="BQ2107" s="13">
        <v>0</v>
      </c>
      <c r="BR2107" s="13">
        <v>0</v>
      </c>
      <c r="BS2107" s="13">
        <v>0</v>
      </c>
      <c r="BT2107" s="13">
        <v>0</v>
      </c>
      <c r="BU2107" s="49">
        <v>0</v>
      </c>
      <c r="BV2107" s="49"/>
      <c r="BW2107" s="49"/>
    </row>
    <row r="2108" spans="3:75" ht="19.5" customHeight="1">
      <c r="C2108" s="19">
        <v>81000120</v>
      </c>
      <c r="D2108" s="20" t="s">
        <v>4367</v>
      </c>
      <c r="E2108" s="20" t="s">
        <v>4368</v>
      </c>
      <c r="F2108" s="17">
        <v>1</v>
      </c>
      <c r="G2108" s="19">
        <v>61021301</v>
      </c>
      <c r="H2108" s="19">
        <v>0</v>
      </c>
      <c r="I2108" s="28">
        <v>0</v>
      </c>
      <c r="J2108" s="17">
        <v>1</v>
      </c>
      <c r="K2108" s="19">
        <v>0</v>
      </c>
      <c r="L2108" s="17">
        <v>0</v>
      </c>
      <c r="M2108" s="19">
        <v>0</v>
      </c>
      <c r="N2108" s="19">
        <v>0</v>
      </c>
      <c r="O2108" s="19">
        <v>1</v>
      </c>
      <c r="P2108" s="19">
        <v>0</v>
      </c>
      <c r="Q2108" s="19">
        <v>0</v>
      </c>
      <c r="R2108" s="19">
        <v>0</v>
      </c>
      <c r="S2108" s="13">
        <v>0</v>
      </c>
      <c r="T2108" s="28">
        <v>0</v>
      </c>
      <c r="U2108" s="17">
        <v>1</v>
      </c>
      <c r="V2108" s="19">
        <v>2</v>
      </c>
      <c r="W2108" s="19">
        <v>0</v>
      </c>
      <c r="X2108" s="19">
        <v>0</v>
      </c>
      <c r="Y2108" s="13">
        <v>0</v>
      </c>
      <c r="Z2108" s="19">
        <v>0</v>
      </c>
      <c r="AA2108" s="19">
        <v>1</v>
      </c>
      <c r="AB2108" s="19">
        <v>0</v>
      </c>
      <c r="AC2108" s="19">
        <v>0</v>
      </c>
      <c r="AD2108" s="19">
        <v>0</v>
      </c>
      <c r="AE2108" s="19">
        <v>0</v>
      </c>
      <c r="AF2108" s="19">
        <v>9</v>
      </c>
      <c r="AG2108" s="19">
        <v>2</v>
      </c>
      <c r="AH2108" s="19" t="s">
        <v>1542</v>
      </c>
      <c r="AI2108" s="13">
        <v>2</v>
      </c>
      <c r="AJ2108" s="13">
        <v>3</v>
      </c>
      <c r="AK2108" s="13">
        <v>0</v>
      </c>
      <c r="AL2108" s="13">
        <v>3</v>
      </c>
      <c r="AM2108" s="19">
        <v>0</v>
      </c>
      <c r="AN2108" s="19">
        <v>0</v>
      </c>
      <c r="AO2108" s="19">
        <v>0</v>
      </c>
      <c r="AP2108" s="19">
        <v>0</v>
      </c>
      <c r="AQ2108" s="19">
        <v>3000</v>
      </c>
      <c r="AR2108" s="19">
        <v>0</v>
      </c>
      <c r="AS2108" s="19">
        <v>0</v>
      </c>
      <c r="AT2108" s="13">
        <v>0</v>
      </c>
      <c r="AU2108" s="19">
        <v>81000120</v>
      </c>
      <c r="AV2108" s="19"/>
      <c r="AW2108" s="20" t="s">
        <v>199</v>
      </c>
      <c r="AX2108" s="19" t="s">
        <v>545</v>
      </c>
      <c r="AY2108" s="19">
        <v>10001007</v>
      </c>
      <c r="AZ2108" s="19">
        <v>21010030</v>
      </c>
      <c r="BA2108" s="20" t="s">
        <v>200</v>
      </c>
      <c r="BB2108" s="20">
        <v>0</v>
      </c>
      <c r="BC2108" s="28">
        <v>0</v>
      </c>
      <c r="BD2108" s="28">
        <v>0</v>
      </c>
      <c r="BE2108" s="186" t="s">
        <v>4777</v>
      </c>
      <c r="BF2108" s="186" t="s">
        <v>4778</v>
      </c>
      <c r="BG2108" s="19">
        <v>0</v>
      </c>
      <c r="BH2108" s="17">
        <v>0</v>
      </c>
      <c r="BI2108" s="19">
        <v>0</v>
      </c>
      <c r="BJ2108" s="19">
        <v>0</v>
      </c>
      <c r="BK2108" s="19">
        <v>0</v>
      </c>
      <c r="BL2108" s="19">
        <v>0</v>
      </c>
      <c r="BM2108" s="16">
        <v>0</v>
      </c>
      <c r="BN2108" s="13">
        <v>0</v>
      </c>
      <c r="BO2108" s="13">
        <v>0</v>
      </c>
      <c r="BP2108" s="13">
        <v>0</v>
      </c>
      <c r="BQ2108" s="13">
        <v>0</v>
      </c>
      <c r="BR2108" s="13">
        <v>0</v>
      </c>
      <c r="BS2108" s="13">
        <v>0</v>
      </c>
      <c r="BT2108" s="13">
        <v>0</v>
      </c>
      <c r="BU2108" s="49">
        <v>0</v>
      </c>
      <c r="BV2108" s="49"/>
      <c r="BW2108" s="49"/>
    </row>
    <row r="2109" spans="3:75" ht="20.100000000000001" customHeight="1">
      <c r="C2109" s="19">
        <v>81000130</v>
      </c>
      <c r="D2109" s="20" t="s">
        <v>4779</v>
      </c>
      <c r="E2109" s="20" t="s">
        <v>4780</v>
      </c>
      <c r="F2109" s="17">
        <v>1</v>
      </c>
      <c r="G2109" s="19">
        <v>61023101</v>
      </c>
      <c r="H2109" s="19">
        <v>0</v>
      </c>
      <c r="I2109" s="28">
        <v>0</v>
      </c>
      <c r="J2109" s="17">
        <v>1</v>
      </c>
      <c r="K2109" s="17">
        <v>0</v>
      </c>
      <c r="L2109" s="17">
        <v>0</v>
      </c>
      <c r="M2109" s="19">
        <v>0</v>
      </c>
      <c r="N2109" s="19">
        <v>0</v>
      </c>
      <c r="O2109" s="19">
        <v>1</v>
      </c>
      <c r="P2109" s="19">
        <v>0</v>
      </c>
      <c r="Q2109" s="19">
        <v>0</v>
      </c>
      <c r="R2109" s="19">
        <v>0</v>
      </c>
      <c r="S2109" s="13">
        <v>0</v>
      </c>
      <c r="T2109" s="28">
        <v>0</v>
      </c>
      <c r="U2109" s="17">
        <v>1</v>
      </c>
      <c r="V2109" s="19">
        <v>2</v>
      </c>
      <c r="W2109" s="19">
        <v>0</v>
      </c>
      <c r="X2109" s="19">
        <v>0</v>
      </c>
      <c r="Y2109" s="13">
        <v>0</v>
      </c>
      <c r="Z2109" s="19">
        <v>0</v>
      </c>
      <c r="AA2109" s="19">
        <v>1</v>
      </c>
      <c r="AB2109" s="19">
        <v>0</v>
      </c>
      <c r="AC2109" s="19">
        <v>0</v>
      </c>
      <c r="AD2109" s="19">
        <v>0</v>
      </c>
      <c r="AE2109" s="19">
        <v>0</v>
      </c>
      <c r="AF2109" s="19">
        <v>9</v>
      </c>
      <c r="AG2109" s="19">
        <v>1</v>
      </c>
      <c r="AH2109" s="19">
        <v>3.5</v>
      </c>
      <c r="AI2109" s="13">
        <v>0</v>
      </c>
      <c r="AJ2109" s="13">
        <v>0</v>
      </c>
      <c r="AK2109" s="13">
        <v>0</v>
      </c>
      <c r="AL2109" s="13">
        <v>3</v>
      </c>
      <c r="AM2109" s="19">
        <v>0</v>
      </c>
      <c r="AN2109" s="19">
        <v>0</v>
      </c>
      <c r="AO2109" s="19">
        <v>0</v>
      </c>
      <c r="AP2109" s="19">
        <v>0</v>
      </c>
      <c r="AQ2109" s="19">
        <v>2000</v>
      </c>
      <c r="AR2109" s="19">
        <v>0</v>
      </c>
      <c r="AS2109" s="19">
        <v>0</v>
      </c>
      <c r="AT2109" s="13">
        <v>0</v>
      </c>
      <c r="AU2109" s="19">
        <v>81000130</v>
      </c>
      <c r="AV2109" s="19"/>
      <c r="AW2109" s="20" t="s">
        <v>199</v>
      </c>
      <c r="AX2109" s="19" t="s">
        <v>534</v>
      </c>
      <c r="AY2109" s="19">
        <v>10000009</v>
      </c>
      <c r="AZ2109" s="19">
        <v>21030010</v>
      </c>
      <c r="BA2109" s="18" t="s">
        <v>1526</v>
      </c>
      <c r="BB2109" s="20">
        <v>0</v>
      </c>
      <c r="BC2109" s="28">
        <v>0</v>
      </c>
      <c r="BD2109" s="28">
        <v>0</v>
      </c>
      <c r="BE2109" s="186" t="s">
        <v>4781</v>
      </c>
      <c r="BF2109" s="186" t="s">
        <v>4782</v>
      </c>
      <c r="BG2109" s="19">
        <v>0</v>
      </c>
      <c r="BH2109" s="17">
        <v>0</v>
      </c>
      <c r="BI2109" s="19">
        <v>0</v>
      </c>
      <c r="BJ2109" s="19">
        <v>0</v>
      </c>
      <c r="BK2109" s="19">
        <v>0</v>
      </c>
      <c r="BL2109" s="19">
        <v>0</v>
      </c>
      <c r="BM2109" s="16">
        <v>0</v>
      </c>
      <c r="BN2109" s="13">
        <v>1</v>
      </c>
      <c r="BO2109" s="13">
        <v>0</v>
      </c>
      <c r="BP2109" s="13">
        <v>0</v>
      </c>
      <c r="BQ2109" s="13">
        <v>0</v>
      </c>
      <c r="BR2109" s="13">
        <v>0</v>
      </c>
      <c r="BS2109" s="13">
        <v>0</v>
      </c>
      <c r="BT2109" s="13">
        <v>0</v>
      </c>
      <c r="BU2109" s="49">
        <v>0</v>
      </c>
      <c r="BV2109" s="49"/>
      <c r="BW2109" s="49"/>
    </row>
    <row r="2110" spans="3:75" ht="20.100000000000001" customHeight="1">
      <c r="C2110" s="19">
        <v>81000140</v>
      </c>
      <c r="D2110" s="20" t="s">
        <v>4783</v>
      </c>
      <c r="E2110" s="20" t="s">
        <v>4784</v>
      </c>
      <c r="F2110" s="17">
        <v>1</v>
      </c>
      <c r="G2110" s="19">
        <v>61023101</v>
      </c>
      <c r="H2110" s="19">
        <v>0</v>
      </c>
      <c r="I2110" s="28">
        <v>0</v>
      </c>
      <c r="J2110" s="17">
        <v>1</v>
      </c>
      <c r="K2110" s="17">
        <v>0</v>
      </c>
      <c r="L2110" s="17">
        <v>0</v>
      </c>
      <c r="M2110" s="19">
        <v>0</v>
      </c>
      <c r="N2110" s="19">
        <v>0</v>
      </c>
      <c r="O2110" s="19">
        <v>1</v>
      </c>
      <c r="P2110" s="19">
        <v>0</v>
      </c>
      <c r="Q2110" s="19">
        <v>0</v>
      </c>
      <c r="R2110" s="19">
        <v>0</v>
      </c>
      <c r="S2110" s="13">
        <v>0</v>
      </c>
      <c r="T2110" s="28">
        <v>0</v>
      </c>
      <c r="U2110" s="17">
        <v>1</v>
      </c>
      <c r="V2110" s="19">
        <v>2</v>
      </c>
      <c r="W2110" s="19">
        <v>0</v>
      </c>
      <c r="X2110" s="19">
        <v>0</v>
      </c>
      <c r="Y2110" s="13">
        <v>0</v>
      </c>
      <c r="Z2110" s="19">
        <v>0</v>
      </c>
      <c r="AA2110" s="19">
        <v>1</v>
      </c>
      <c r="AB2110" s="19">
        <v>0</v>
      </c>
      <c r="AC2110" s="19">
        <v>0</v>
      </c>
      <c r="AD2110" s="19">
        <v>0</v>
      </c>
      <c r="AE2110" s="19">
        <v>0</v>
      </c>
      <c r="AF2110" s="19">
        <v>9</v>
      </c>
      <c r="AG2110" s="19">
        <v>1</v>
      </c>
      <c r="AH2110" s="19">
        <v>3.5</v>
      </c>
      <c r="AI2110" s="13">
        <v>0</v>
      </c>
      <c r="AJ2110" s="13">
        <v>0</v>
      </c>
      <c r="AK2110" s="13">
        <v>0</v>
      </c>
      <c r="AL2110" s="13">
        <v>3</v>
      </c>
      <c r="AM2110" s="19">
        <v>0</v>
      </c>
      <c r="AN2110" s="19">
        <v>0</v>
      </c>
      <c r="AO2110" s="19">
        <v>0</v>
      </c>
      <c r="AP2110" s="19">
        <v>0</v>
      </c>
      <c r="AQ2110" s="19">
        <v>2000</v>
      </c>
      <c r="AR2110" s="19">
        <v>0</v>
      </c>
      <c r="AS2110" s="19">
        <v>0</v>
      </c>
      <c r="AT2110" s="13">
        <v>0</v>
      </c>
      <c r="AU2110" s="19">
        <v>81000140</v>
      </c>
      <c r="AV2110" s="19"/>
      <c r="AW2110" s="20" t="s">
        <v>199</v>
      </c>
      <c r="AX2110" s="19" t="s">
        <v>534</v>
      </c>
      <c r="AY2110" s="19">
        <v>10000015</v>
      </c>
      <c r="AZ2110" s="19">
        <v>21000030</v>
      </c>
      <c r="BA2110" s="18" t="s">
        <v>1526</v>
      </c>
      <c r="BB2110" s="20">
        <v>0</v>
      </c>
      <c r="BC2110" s="28">
        <v>0</v>
      </c>
      <c r="BD2110" s="28">
        <v>0</v>
      </c>
      <c r="BE2110" s="186" t="s">
        <v>4785</v>
      </c>
      <c r="BF2110" s="186" t="s">
        <v>4786</v>
      </c>
      <c r="BG2110" s="19">
        <v>0</v>
      </c>
      <c r="BH2110" s="17">
        <v>0</v>
      </c>
      <c r="BI2110" s="19">
        <v>0</v>
      </c>
      <c r="BJ2110" s="19">
        <v>0</v>
      </c>
      <c r="BK2110" s="19">
        <v>0</v>
      </c>
      <c r="BL2110" s="19">
        <v>0</v>
      </c>
      <c r="BM2110" s="16">
        <v>0</v>
      </c>
      <c r="BN2110" s="13">
        <v>1</v>
      </c>
      <c r="BO2110" s="13">
        <v>0</v>
      </c>
      <c r="BP2110" s="13">
        <v>0</v>
      </c>
      <c r="BQ2110" s="13">
        <v>0</v>
      </c>
      <c r="BR2110" s="13">
        <v>0</v>
      </c>
      <c r="BS2110" s="13">
        <v>0</v>
      </c>
      <c r="BT2110" s="13">
        <v>0</v>
      </c>
      <c r="BU2110" s="49">
        <v>0</v>
      </c>
      <c r="BV2110" s="49"/>
      <c r="BW2110" s="49"/>
    </row>
    <row r="2111" spans="3:75" ht="20.100000000000001" customHeight="1">
      <c r="C2111" s="19">
        <v>81000150</v>
      </c>
      <c r="D2111" s="65" t="s">
        <v>4787</v>
      </c>
      <c r="E2111" s="65" t="s">
        <v>4788</v>
      </c>
      <c r="F2111" s="66">
        <v>1</v>
      </c>
      <c r="G2111" s="66">
        <v>63021201</v>
      </c>
      <c r="H2111" s="66">
        <v>0</v>
      </c>
      <c r="I2111" s="68">
        <v>0</v>
      </c>
      <c r="J2111" s="62">
        <v>1</v>
      </c>
      <c r="K2111" s="62">
        <v>0</v>
      </c>
      <c r="L2111" s="66">
        <v>0</v>
      </c>
      <c r="M2111" s="66">
        <v>0</v>
      </c>
      <c r="N2111" s="66">
        <v>0</v>
      </c>
      <c r="O2111" s="66">
        <v>1</v>
      </c>
      <c r="P2111" s="66">
        <v>0</v>
      </c>
      <c r="Q2111" s="66">
        <v>0</v>
      </c>
      <c r="R2111" s="66">
        <v>0</v>
      </c>
      <c r="S2111" s="70">
        <v>0</v>
      </c>
      <c r="T2111" s="68">
        <v>0</v>
      </c>
      <c r="U2111" s="62">
        <v>1</v>
      </c>
      <c r="V2111" s="66">
        <v>2</v>
      </c>
      <c r="W2111" s="66">
        <v>0</v>
      </c>
      <c r="X2111" s="19">
        <v>0</v>
      </c>
      <c r="Y2111" s="13">
        <v>0</v>
      </c>
      <c r="Z2111" s="19">
        <v>0</v>
      </c>
      <c r="AA2111" s="66">
        <v>1</v>
      </c>
      <c r="AB2111" s="66">
        <v>0</v>
      </c>
      <c r="AC2111" s="66">
        <v>0</v>
      </c>
      <c r="AD2111" s="66">
        <v>0</v>
      </c>
      <c r="AE2111" s="66">
        <v>0</v>
      </c>
      <c r="AF2111" s="66">
        <v>9</v>
      </c>
      <c r="AG2111" s="66">
        <v>1</v>
      </c>
      <c r="AH2111" s="66">
        <v>4</v>
      </c>
      <c r="AI2111" s="70">
        <v>2</v>
      </c>
      <c r="AJ2111" s="70">
        <v>1</v>
      </c>
      <c r="AK2111" s="70">
        <v>0</v>
      </c>
      <c r="AL2111" s="70">
        <v>8</v>
      </c>
      <c r="AM2111" s="66">
        <v>0</v>
      </c>
      <c r="AN2111" s="66">
        <v>0</v>
      </c>
      <c r="AO2111" s="66">
        <v>0</v>
      </c>
      <c r="AP2111" s="66">
        <v>0</v>
      </c>
      <c r="AQ2111" s="66">
        <v>360000</v>
      </c>
      <c r="AR2111" s="66">
        <v>0</v>
      </c>
      <c r="AS2111" s="66">
        <v>0</v>
      </c>
      <c r="AT2111" s="70">
        <v>0</v>
      </c>
      <c r="AU2111" s="66">
        <v>0</v>
      </c>
      <c r="AV2111" s="66"/>
      <c r="AW2111" s="20" t="s">
        <v>199</v>
      </c>
      <c r="AX2111" s="66" t="s">
        <v>1846</v>
      </c>
      <c r="AY2111" s="66">
        <v>10002001</v>
      </c>
      <c r="AZ2111" s="66">
        <v>21201020</v>
      </c>
      <c r="BA2111" s="65" t="s">
        <v>1174</v>
      </c>
      <c r="BB2111" s="65" t="s">
        <v>4789</v>
      </c>
      <c r="BC2111" s="68">
        <v>0</v>
      </c>
      <c r="BD2111" s="68">
        <v>0</v>
      </c>
      <c r="BE2111" s="94" t="s">
        <v>4790</v>
      </c>
      <c r="BF2111" s="94" t="s">
        <v>4791</v>
      </c>
      <c r="BG2111" s="66">
        <v>0</v>
      </c>
      <c r="BH2111" s="62">
        <v>0</v>
      </c>
      <c r="BI2111" s="66">
        <v>0</v>
      </c>
      <c r="BJ2111" s="66">
        <v>0</v>
      </c>
      <c r="BK2111" s="66">
        <v>0</v>
      </c>
      <c r="BL2111" s="66">
        <v>0</v>
      </c>
      <c r="BM2111" s="95">
        <v>0</v>
      </c>
      <c r="BN2111" s="70">
        <v>0</v>
      </c>
      <c r="BO2111" s="70">
        <v>0</v>
      </c>
      <c r="BP2111" s="70">
        <v>0</v>
      </c>
      <c r="BQ2111" s="70">
        <v>0</v>
      </c>
      <c r="BR2111" s="70">
        <v>0</v>
      </c>
      <c r="BS2111" s="70">
        <v>0</v>
      </c>
      <c r="BT2111" s="13">
        <v>0</v>
      </c>
      <c r="BU2111" s="49">
        <v>0</v>
      </c>
      <c r="BV2111" s="49"/>
      <c r="BW2111" s="49"/>
    </row>
    <row r="2112" spans="3:75" ht="19.5" customHeight="1">
      <c r="C2112" s="19">
        <v>81000151</v>
      </c>
      <c r="D2112" s="65" t="s">
        <v>4792</v>
      </c>
      <c r="E2112" s="65" t="s">
        <v>4793</v>
      </c>
      <c r="F2112" s="62">
        <v>1</v>
      </c>
      <c r="G2112" s="66">
        <v>62011101</v>
      </c>
      <c r="H2112" s="62">
        <v>0</v>
      </c>
      <c r="I2112" s="68">
        <v>0</v>
      </c>
      <c r="J2112" s="62">
        <v>1</v>
      </c>
      <c r="K2112" s="62">
        <v>0</v>
      </c>
      <c r="L2112" s="62">
        <v>0</v>
      </c>
      <c r="M2112" s="66">
        <v>0</v>
      </c>
      <c r="N2112" s="66">
        <v>0</v>
      </c>
      <c r="O2112" s="66">
        <v>2</v>
      </c>
      <c r="P2112" s="66">
        <v>10</v>
      </c>
      <c r="Q2112" s="66">
        <v>0.8</v>
      </c>
      <c r="R2112" s="66">
        <v>0</v>
      </c>
      <c r="S2112" s="70">
        <v>0</v>
      </c>
      <c r="T2112" s="68">
        <v>0</v>
      </c>
      <c r="U2112" s="62">
        <v>1</v>
      </c>
      <c r="V2112" s="66">
        <v>2</v>
      </c>
      <c r="W2112" s="66">
        <v>0</v>
      </c>
      <c r="X2112" s="19">
        <v>0</v>
      </c>
      <c r="Y2112" s="13">
        <v>0</v>
      </c>
      <c r="Z2112" s="19">
        <v>0</v>
      </c>
      <c r="AA2112" s="66">
        <v>1</v>
      </c>
      <c r="AB2112" s="66">
        <v>0</v>
      </c>
      <c r="AC2112" s="66">
        <v>0</v>
      </c>
      <c r="AD2112" s="66">
        <v>0</v>
      </c>
      <c r="AE2112" s="66">
        <v>0</v>
      </c>
      <c r="AF2112" s="66">
        <v>9</v>
      </c>
      <c r="AG2112" s="66">
        <v>1</v>
      </c>
      <c r="AH2112" s="66">
        <v>4</v>
      </c>
      <c r="AI2112" s="70">
        <v>2</v>
      </c>
      <c r="AJ2112" s="70">
        <v>1</v>
      </c>
      <c r="AK2112" s="70">
        <v>1</v>
      </c>
      <c r="AL2112" s="70">
        <v>2</v>
      </c>
      <c r="AM2112" s="66">
        <v>0</v>
      </c>
      <c r="AN2112" s="66">
        <v>0</v>
      </c>
      <c r="AO2112" s="66">
        <v>0</v>
      </c>
      <c r="AP2112" s="66">
        <v>0</v>
      </c>
      <c r="AQ2112" s="66">
        <v>3000</v>
      </c>
      <c r="AR2112" s="66">
        <v>0</v>
      </c>
      <c r="AS2112" s="66">
        <v>0</v>
      </c>
      <c r="AT2112" s="70">
        <v>0</v>
      </c>
      <c r="AU2112" s="66">
        <v>81000120</v>
      </c>
      <c r="AV2112" s="66"/>
      <c r="AW2112" s="20" t="s">
        <v>199</v>
      </c>
      <c r="AX2112" s="66" t="s">
        <v>1672</v>
      </c>
      <c r="AY2112" s="66">
        <v>10002001</v>
      </c>
      <c r="AZ2112" s="66">
        <v>21201020</v>
      </c>
      <c r="BA2112" s="65" t="s">
        <v>200</v>
      </c>
      <c r="BB2112" s="65">
        <v>0</v>
      </c>
      <c r="BC2112" s="68">
        <v>0</v>
      </c>
      <c r="BD2112" s="68">
        <v>0</v>
      </c>
      <c r="BE2112" s="209" t="s">
        <v>4794</v>
      </c>
      <c r="BF2112" s="209" t="s">
        <v>4795</v>
      </c>
      <c r="BG2112" s="66">
        <v>0</v>
      </c>
      <c r="BH2112" s="62">
        <v>0</v>
      </c>
      <c r="BI2112" s="66">
        <v>0</v>
      </c>
      <c r="BJ2112" s="66">
        <v>0</v>
      </c>
      <c r="BK2112" s="66">
        <v>0</v>
      </c>
      <c r="BL2112" s="66">
        <v>0</v>
      </c>
      <c r="BM2112" s="95">
        <v>0</v>
      </c>
      <c r="BN2112" s="70">
        <v>0</v>
      </c>
      <c r="BO2112" s="70">
        <v>0</v>
      </c>
      <c r="BP2112" s="70">
        <v>0</v>
      </c>
      <c r="BQ2112" s="70">
        <v>0</v>
      </c>
      <c r="BR2112" s="70">
        <v>0</v>
      </c>
      <c r="BS2112" s="70">
        <v>0</v>
      </c>
      <c r="BT2112" s="13">
        <v>0</v>
      </c>
      <c r="BU2112" s="49">
        <v>0</v>
      </c>
      <c r="BV2112" s="49"/>
      <c r="BW2112" s="49"/>
    </row>
    <row r="2113" spans="3:75" ht="19.5" customHeight="1">
      <c r="C2113" s="19">
        <v>81000160</v>
      </c>
      <c r="D2113" s="18" t="s">
        <v>4796</v>
      </c>
      <c r="E2113" s="18" t="s">
        <v>4797</v>
      </c>
      <c r="F2113" s="17">
        <v>1</v>
      </c>
      <c r="G2113" s="17">
        <v>62011201</v>
      </c>
      <c r="H2113" s="17">
        <v>0</v>
      </c>
      <c r="I2113" s="28">
        <v>0</v>
      </c>
      <c r="J2113" s="17">
        <v>1</v>
      </c>
      <c r="K2113" s="17">
        <v>0</v>
      </c>
      <c r="L2113" s="17">
        <v>0</v>
      </c>
      <c r="M2113" s="17">
        <v>0</v>
      </c>
      <c r="N2113" s="17">
        <v>0</v>
      </c>
      <c r="O2113" s="17">
        <v>1</v>
      </c>
      <c r="P2113" s="17">
        <v>0</v>
      </c>
      <c r="Q2113" s="17">
        <v>0</v>
      </c>
      <c r="R2113" s="17">
        <v>0</v>
      </c>
      <c r="S2113" s="13">
        <v>0</v>
      </c>
      <c r="T2113" s="17">
        <v>0</v>
      </c>
      <c r="U2113" s="17">
        <v>1</v>
      </c>
      <c r="V2113" s="17">
        <v>2</v>
      </c>
      <c r="W2113" s="17">
        <v>0</v>
      </c>
      <c r="X2113" s="19">
        <v>0</v>
      </c>
      <c r="Y2113" s="13">
        <v>0</v>
      </c>
      <c r="Z2113" s="19">
        <v>0</v>
      </c>
      <c r="AA2113" s="17">
        <v>1</v>
      </c>
      <c r="AB2113" s="17">
        <v>0</v>
      </c>
      <c r="AC2113" s="17">
        <v>0</v>
      </c>
      <c r="AD2113" s="17">
        <v>0</v>
      </c>
      <c r="AE2113" s="17">
        <v>0</v>
      </c>
      <c r="AF2113" s="17">
        <v>9</v>
      </c>
      <c r="AG2113" s="17">
        <v>1</v>
      </c>
      <c r="AH2113" s="17">
        <v>2</v>
      </c>
      <c r="AI2113" s="13">
        <v>7</v>
      </c>
      <c r="AJ2113" s="13">
        <v>0</v>
      </c>
      <c r="AK2113" s="13">
        <v>0</v>
      </c>
      <c r="AL2113" s="13">
        <v>15</v>
      </c>
      <c r="AM2113" s="17">
        <v>0</v>
      </c>
      <c r="AN2113" s="17">
        <v>0</v>
      </c>
      <c r="AO2113" s="17">
        <v>0</v>
      </c>
      <c r="AP2113" s="17">
        <v>0</v>
      </c>
      <c r="AQ2113" s="17">
        <v>3000</v>
      </c>
      <c r="AR2113" s="17">
        <v>0</v>
      </c>
      <c r="AS2113" s="17">
        <v>0</v>
      </c>
      <c r="AT2113" s="13">
        <v>0</v>
      </c>
      <c r="AU2113" s="363" t="s">
        <v>4774</v>
      </c>
      <c r="AV2113" s="19"/>
      <c r="AW2113" s="20" t="s">
        <v>199</v>
      </c>
      <c r="AX2113" s="17" t="s">
        <v>534</v>
      </c>
      <c r="AY2113" s="19">
        <v>10000007</v>
      </c>
      <c r="AZ2113" s="19">
        <v>21101050</v>
      </c>
      <c r="BA2113" s="18" t="s">
        <v>4798</v>
      </c>
      <c r="BB2113" s="17">
        <v>0</v>
      </c>
      <c r="BC2113" s="28">
        <v>0</v>
      </c>
      <c r="BD2113" s="28">
        <v>0</v>
      </c>
      <c r="BE2113" s="186" t="s">
        <v>4799</v>
      </c>
      <c r="BF2113" s="186" t="s">
        <v>4800</v>
      </c>
      <c r="BG2113" s="17">
        <v>0</v>
      </c>
      <c r="BH2113" s="17">
        <v>0</v>
      </c>
      <c r="BI2113" s="17">
        <v>0</v>
      </c>
      <c r="BJ2113" s="17">
        <v>0</v>
      </c>
      <c r="BK2113" s="17">
        <v>0</v>
      </c>
      <c r="BL2113" s="17">
        <v>0</v>
      </c>
      <c r="BM2113" s="16">
        <v>0</v>
      </c>
      <c r="BN2113" s="13">
        <v>0</v>
      </c>
      <c r="BO2113" s="13">
        <v>0</v>
      </c>
      <c r="BP2113" s="13">
        <v>0</v>
      </c>
      <c r="BQ2113" s="13">
        <v>0</v>
      </c>
      <c r="BR2113" s="13">
        <v>0</v>
      </c>
      <c r="BS2113" s="13">
        <v>0</v>
      </c>
      <c r="BT2113" s="13">
        <v>0</v>
      </c>
      <c r="BU2113" s="49">
        <v>0</v>
      </c>
      <c r="BV2113" s="49"/>
      <c r="BW2113" s="49"/>
    </row>
    <row r="2114" spans="3:75" ht="20.100000000000001" customHeight="1">
      <c r="C2114" s="19">
        <v>81000170</v>
      </c>
      <c r="D2114" s="18" t="s">
        <v>4801</v>
      </c>
      <c r="E2114" s="18" t="s">
        <v>4802</v>
      </c>
      <c r="F2114" s="17">
        <v>1</v>
      </c>
      <c r="G2114" s="17">
        <v>61011301</v>
      </c>
      <c r="H2114" s="17">
        <v>0</v>
      </c>
      <c r="I2114" s="28">
        <v>0</v>
      </c>
      <c r="J2114" s="17">
        <v>1</v>
      </c>
      <c r="K2114" s="17">
        <v>0</v>
      </c>
      <c r="L2114" s="17">
        <v>0</v>
      </c>
      <c r="M2114" s="17">
        <v>0</v>
      </c>
      <c r="N2114" s="17">
        <v>0</v>
      </c>
      <c r="O2114" s="17">
        <v>6</v>
      </c>
      <c r="P2114" s="17">
        <v>0</v>
      </c>
      <c r="Q2114" s="17">
        <v>0</v>
      </c>
      <c r="R2114" s="17">
        <v>0</v>
      </c>
      <c r="S2114" s="13">
        <v>0</v>
      </c>
      <c r="T2114" s="17">
        <v>0</v>
      </c>
      <c r="U2114" s="17">
        <v>1</v>
      </c>
      <c r="V2114" s="17">
        <v>2</v>
      </c>
      <c r="W2114" s="17">
        <v>0</v>
      </c>
      <c r="X2114" s="19">
        <v>0</v>
      </c>
      <c r="Y2114" s="13">
        <v>0</v>
      </c>
      <c r="Z2114" s="19">
        <v>0</v>
      </c>
      <c r="AA2114" s="17">
        <v>1</v>
      </c>
      <c r="AB2114" s="17">
        <v>0</v>
      </c>
      <c r="AC2114" s="17">
        <v>0</v>
      </c>
      <c r="AD2114" s="17">
        <v>0</v>
      </c>
      <c r="AE2114" s="17">
        <v>0</v>
      </c>
      <c r="AF2114" s="17">
        <v>9</v>
      </c>
      <c r="AG2114" s="17">
        <v>1</v>
      </c>
      <c r="AH2114" s="17">
        <v>3</v>
      </c>
      <c r="AI2114" s="13">
        <v>2</v>
      </c>
      <c r="AJ2114" s="13">
        <v>1</v>
      </c>
      <c r="AK2114" s="13">
        <v>0</v>
      </c>
      <c r="AL2114" s="13">
        <v>6</v>
      </c>
      <c r="AM2114" s="17">
        <v>0</v>
      </c>
      <c r="AN2114" s="17">
        <v>0</v>
      </c>
      <c r="AO2114" s="17">
        <v>0</v>
      </c>
      <c r="AP2114" s="17">
        <v>0</v>
      </c>
      <c r="AQ2114" s="17">
        <v>3000</v>
      </c>
      <c r="AR2114" s="17">
        <v>0</v>
      </c>
      <c r="AS2114" s="17">
        <v>0</v>
      </c>
      <c r="AT2114" s="13">
        <v>0</v>
      </c>
      <c r="AU2114" s="17" t="s">
        <v>198</v>
      </c>
      <c r="AV2114" s="17"/>
      <c r="AW2114" s="20" t="s">
        <v>199</v>
      </c>
      <c r="AX2114" s="17" t="s">
        <v>215</v>
      </c>
      <c r="AY2114" s="19">
        <v>10000015</v>
      </c>
      <c r="AZ2114" s="19">
        <v>21000030</v>
      </c>
      <c r="BA2114" s="18" t="s">
        <v>1369</v>
      </c>
      <c r="BB2114" s="17">
        <v>0</v>
      </c>
      <c r="BC2114" s="28">
        <v>0</v>
      </c>
      <c r="BD2114" s="28">
        <v>0</v>
      </c>
      <c r="BE2114" s="172" t="s">
        <v>4803</v>
      </c>
      <c r="BF2114" s="172" t="s">
        <v>4804</v>
      </c>
      <c r="BG2114" s="17">
        <v>0</v>
      </c>
      <c r="BH2114" s="17">
        <v>0</v>
      </c>
      <c r="BI2114" s="17">
        <v>0</v>
      </c>
      <c r="BJ2114" s="17">
        <v>0</v>
      </c>
      <c r="BK2114" s="17">
        <v>0</v>
      </c>
      <c r="BL2114" s="17">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81000310</v>
      </c>
      <c r="D2115" s="18" t="s">
        <v>4805</v>
      </c>
      <c r="E2115" s="18" t="s">
        <v>4806</v>
      </c>
      <c r="F2115" s="13">
        <v>1</v>
      </c>
      <c r="G2115" s="19">
        <v>81000310</v>
      </c>
      <c r="H2115" s="13">
        <v>0</v>
      </c>
      <c r="I2115" s="13">
        <v>0</v>
      </c>
      <c r="J2115" s="13">
        <v>1</v>
      </c>
      <c r="K2115" s="13">
        <v>0</v>
      </c>
      <c r="L2115" s="17">
        <v>0</v>
      </c>
      <c r="M2115" s="13">
        <v>0</v>
      </c>
      <c r="N2115" s="13">
        <v>0</v>
      </c>
      <c r="O2115" s="13">
        <v>1</v>
      </c>
      <c r="P2115" s="13">
        <v>0</v>
      </c>
      <c r="Q2115" s="13">
        <v>0</v>
      </c>
      <c r="R2115" s="13">
        <v>0</v>
      </c>
      <c r="S2115" s="13">
        <v>0</v>
      </c>
      <c r="T2115" s="13">
        <v>0</v>
      </c>
      <c r="U2115" s="13">
        <v>1</v>
      </c>
      <c r="V2115" s="13">
        <v>2</v>
      </c>
      <c r="W2115" s="13">
        <v>0</v>
      </c>
      <c r="X2115" s="13">
        <v>0</v>
      </c>
      <c r="Y2115" s="13">
        <v>0</v>
      </c>
      <c r="Z2115" s="13">
        <v>0</v>
      </c>
      <c r="AA2115" s="13">
        <v>1</v>
      </c>
      <c r="AB2115" s="13">
        <v>0</v>
      </c>
      <c r="AC2115" s="13">
        <v>0</v>
      </c>
      <c r="AD2115" s="13">
        <v>0</v>
      </c>
      <c r="AE2115" s="13">
        <v>0</v>
      </c>
      <c r="AF2115" s="13">
        <v>1</v>
      </c>
      <c r="AG2115" s="13">
        <v>0</v>
      </c>
      <c r="AH2115" s="13">
        <v>0</v>
      </c>
      <c r="AI2115" s="13">
        <v>2</v>
      </c>
      <c r="AJ2115" s="13">
        <v>0</v>
      </c>
      <c r="AK2115" s="13">
        <v>0</v>
      </c>
      <c r="AL2115" s="13">
        <v>0</v>
      </c>
      <c r="AM2115" s="13">
        <v>0</v>
      </c>
      <c r="AN2115" s="13">
        <v>0</v>
      </c>
      <c r="AO2115" s="13">
        <v>0</v>
      </c>
      <c r="AP2115" s="13">
        <v>0</v>
      </c>
      <c r="AQ2115" s="13">
        <v>1000</v>
      </c>
      <c r="AR2115" s="13">
        <v>0</v>
      </c>
      <c r="AS2115" s="13">
        <v>0</v>
      </c>
      <c r="AT2115" s="13">
        <v>81000310</v>
      </c>
      <c r="AU2115" s="13" t="s">
        <v>198</v>
      </c>
      <c r="AV2115" s="13"/>
      <c r="AW2115" s="14" t="s">
        <v>199</v>
      </c>
      <c r="AX2115" s="13" t="s">
        <v>2079</v>
      </c>
      <c r="AY2115" s="13">
        <v>0</v>
      </c>
      <c r="AZ2115" s="13">
        <v>0</v>
      </c>
      <c r="BA2115" s="14" t="s">
        <v>200</v>
      </c>
      <c r="BB2115" s="14" t="s">
        <v>198</v>
      </c>
      <c r="BC2115" s="13">
        <v>0</v>
      </c>
      <c r="BD2115" s="13">
        <v>0</v>
      </c>
      <c r="BE2115" s="44" t="s">
        <v>4807</v>
      </c>
      <c r="BF2115" s="44" t="s">
        <v>4808</v>
      </c>
      <c r="BG2115" s="13">
        <v>0</v>
      </c>
      <c r="BH2115" s="13">
        <v>0</v>
      </c>
      <c r="BI2115" s="13">
        <v>0</v>
      </c>
      <c r="BJ2115" s="13">
        <v>0</v>
      </c>
      <c r="BK2115" s="13">
        <v>0</v>
      </c>
      <c r="BL2115" s="13">
        <v>0</v>
      </c>
      <c r="BM2115" s="188">
        <v>0</v>
      </c>
      <c r="BN2115" s="13">
        <v>1</v>
      </c>
      <c r="BO2115" s="13">
        <v>0</v>
      </c>
      <c r="BP2115" s="13">
        <v>0</v>
      </c>
      <c r="BQ2115" s="13">
        <v>0</v>
      </c>
      <c r="BR2115" s="13">
        <v>0</v>
      </c>
      <c r="BS2115" s="13">
        <v>0</v>
      </c>
      <c r="BT2115" s="13">
        <v>0</v>
      </c>
      <c r="BU2115" s="49">
        <v>0</v>
      </c>
      <c r="BV2115" s="49"/>
      <c r="BW2115" s="49"/>
    </row>
    <row r="2116" spans="3:75" ht="20.100000000000001" customHeight="1">
      <c r="C2116" s="19">
        <v>81000320</v>
      </c>
      <c r="D2116" s="18" t="s">
        <v>4809</v>
      </c>
      <c r="E2116" s="18" t="s">
        <v>4810</v>
      </c>
      <c r="F2116" s="13">
        <v>1</v>
      </c>
      <c r="G2116" s="13">
        <v>68000011</v>
      </c>
      <c r="H2116" s="13">
        <v>0</v>
      </c>
      <c r="I2116" s="13">
        <v>0</v>
      </c>
      <c r="J2116" s="13">
        <v>1</v>
      </c>
      <c r="K2116" s="13">
        <v>0</v>
      </c>
      <c r="L2116" s="17">
        <v>0</v>
      </c>
      <c r="M2116" s="13">
        <v>0</v>
      </c>
      <c r="N2116" s="13">
        <v>0</v>
      </c>
      <c r="O2116" s="13">
        <v>1</v>
      </c>
      <c r="P2116" s="13">
        <v>0</v>
      </c>
      <c r="Q2116" s="13">
        <v>0</v>
      </c>
      <c r="R2116" s="13">
        <v>0</v>
      </c>
      <c r="S2116" s="13">
        <v>0</v>
      </c>
      <c r="T2116" s="13">
        <v>0</v>
      </c>
      <c r="U2116" s="13">
        <v>1</v>
      </c>
      <c r="V2116" s="13">
        <v>2</v>
      </c>
      <c r="W2116" s="13">
        <v>0</v>
      </c>
      <c r="X2116" s="13">
        <v>0</v>
      </c>
      <c r="Y2116" s="13">
        <v>0</v>
      </c>
      <c r="Z2116" s="13">
        <v>0</v>
      </c>
      <c r="AA2116" s="13">
        <v>1</v>
      </c>
      <c r="AB2116" s="13">
        <v>0</v>
      </c>
      <c r="AC2116" s="13">
        <v>0</v>
      </c>
      <c r="AD2116" s="13">
        <v>0</v>
      </c>
      <c r="AE2116" s="13">
        <v>0</v>
      </c>
      <c r="AF2116" s="13">
        <v>1</v>
      </c>
      <c r="AG2116" s="13">
        <v>0</v>
      </c>
      <c r="AH2116" s="13">
        <v>0</v>
      </c>
      <c r="AI2116" s="13">
        <v>2</v>
      </c>
      <c r="AJ2116" s="13">
        <v>0</v>
      </c>
      <c r="AK2116" s="13">
        <v>0</v>
      </c>
      <c r="AL2116" s="13">
        <v>0</v>
      </c>
      <c r="AM2116" s="13">
        <v>0</v>
      </c>
      <c r="AN2116" s="13">
        <v>0</v>
      </c>
      <c r="AO2116" s="13">
        <v>0</v>
      </c>
      <c r="AP2116" s="13">
        <v>0</v>
      </c>
      <c r="AQ2116" s="13">
        <v>1000</v>
      </c>
      <c r="AR2116" s="13">
        <v>0</v>
      </c>
      <c r="AS2116" s="13">
        <v>0</v>
      </c>
      <c r="AT2116" s="13">
        <v>81000320</v>
      </c>
      <c r="AU2116" s="13" t="s">
        <v>198</v>
      </c>
      <c r="AV2116" s="13"/>
      <c r="AW2116" s="14" t="s">
        <v>199</v>
      </c>
      <c r="AX2116" s="13" t="s">
        <v>2079</v>
      </c>
      <c r="AY2116" s="13">
        <v>0</v>
      </c>
      <c r="AZ2116" s="13">
        <v>0</v>
      </c>
      <c r="BA2116" s="14" t="s">
        <v>200</v>
      </c>
      <c r="BB2116" s="14" t="s">
        <v>198</v>
      </c>
      <c r="BC2116" s="13">
        <v>0</v>
      </c>
      <c r="BD2116" s="13">
        <v>0</v>
      </c>
      <c r="BE2116" s="44" t="s">
        <v>4811</v>
      </c>
      <c r="BF2116" s="44" t="s">
        <v>4812</v>
      </c>
      <c r="BG2116" s="13">
        <v>0</v>
      </c>
      <c r="BH2116" s="13">
        <v>0</v>
      </c>
      <c r="BI2116" s="13">
        <v>0</v>
      </c>
      <c r="BJ2116" s="13">
        <v>0</v>
      </c>
      <c r="BK2116" s="13">
        <v>0</v>
      </c>
      <c r="BL2116" s="13">
        <v>0</v>
      </c>
      <c r="BM2116" s="188">
        <v>0</v>
      </c>
      <c r="BN2116" s="13">
        <v>1</v>
      </c>
      <c r="BO2116" s="13">
        <v>0</v>
      </c>
      <c r="BP2116" s="13">
        <v>0</v>
      </c>
      <c r="BQ2116" s="13">
        <v>0</v>
      </c>
      <c r="BR2116" s="13">
        <v>0</v>
      </c>
      <c r="BS2116" s="13">
        <v>0</v>
      </c>
      <c r="BT2116" s="13">
        <v>0</v>
      </c>
      <c r="BU2116" s="49">
        <v>0</v>
      </c>
      <c r="BV2116" s="49"/>
      <c r="BW2116" s="49"/>
    </row>
    <row r="2117" spans="3:75" ht="19.5" customHeight="1">
      <c r="C2117" s="19">
        <v>81000330</v>
      </c>
      <c r="D2117" s="18" t="s">
        <v>2319</v>
      </c>
      <c r="E2117" s="18" t="s">
        <v>2320</v>
      </c>
      <c r="F2117" s="17">
        <v>1</v>
      </c>
      <c r="G2117" s="17">
        <v>66001008</v>
      </c>
      <c r="H2117" s="13">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2</v>
      </c>
      <c r="AK2117" s="13">
        <v>0</v>
      </c>
      <c r="AL2117" s="13">
        <v>4</v>
      </c>
      <c r="AM2117" s="19">
        <v>0</v>
      </c>
      <c r="AN2117" s="19">
        <v>0</v>
      </c>
      <c r="AO2117" s="19">
        <v>0</v>
      </c>
      <c r="AP2117" s="19">
        <v>0</v>
      </c>
      <c r="AQ2117" s="19">
        <v>2000</v>
      </c>
      <c r="AR2117" s="19">
        <v>0</v>
      </c>
      <c r="AS2117" s="19">
        <v>10</v>
      </c>
      <c r="AT2117" s="13">
        <v>0</v>
      </c>
      <c r="AU2117" s="19">
        <v>92002001</v>
      </c>
      <c r="AV2117" s="19"/>
      <c r="AW2117" s="20" t="s">
        <v>199</v>
      </c>
      <c r="AX2117" s="19" t="s">
        <v>1680</v>
      </c>
      <c r="AY2117" s="19">
        <v>10003002</v>
      </c>
      <c r="AZ2117" s="19">
        <v>21100020</v>
      </c>
      <c r="BA2117" s="18" t="s">
        <v>1526</v>
      </c>
      <c r="BB2117" s="20">
        <v>0</v>
      </c>
      <c r="BC2117" s="28">
        <v>0</v>
      </c>
      <c r="BD2117" s="28">
        <v>0</v>
      </c>
      <c r="BE2117" s="186" t="s">
        <v>4813</v>
      </c>
      <c r="BF2117" s="186" t="s">
        <v>4814</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spans="3:75" ht="20.100000000000001" customHeight="1">
      <c r="C2118" s="19">
        <v>81000340</v>
      </c>
      <c r="D2118" s="20" t="s">
        <v>1309</v>
      </c>
      <c r="E2118" s="20" t="s">
        <v>1310</v>
      </c>
      <c r="F2118" s="17">
        <v>1</v>
      </c>
      <c r="G2118" s="19">
        <v>61023101</v>
      </c>
      <c r="H2118" s="19">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3.5</v>
      </c>
      <c r="AI2118" s="13">
        <v>0</v>
      </c>
      <c r="AJ2118" s="13">
        <v>0</v>
      </c>
      <c r="AK2118" s="13">
        <v>0</v>
      </c>
      <c r="AL2118" s="13">
        <v>3</v>
      </c>
      <c r="AM2118" s="19">
        <v>0</v>
      </c>
      <c r="AN2118" s="19">
        <v>0</v>
      </c>
      <c r="AO2118" s="19">
        <v>0</v>
      </c>
      <c r="AP2118" s="19">
        <v>0</v>
      </c>
      <c r="AQ2118" s="19">
        <v>2000</v>
      </c>
      <c r="AR2118" s="19">
        <v>0</v>
      </c>
      <c r="AS2118" s="19">
        <v>0</v>
      </c>
      <c r="AT2118" s="13">
        <v>0</v>
      </c>
      <c r="AU2118" s="19">
        <v>81000130</v>
      </c>
      <c r="AV2118" s="19"/>
      <c r="AW2118" s="20" t="s">
        <v>199</v>
      </c>
      <c r="AX2118" s="19" t="s">
        <v>534</v>
      </c>
      <c r="AY2118" s="19">
        <v>10000007</v>
      </c>
      <c r="AZ2118" s="19">
        <v>70204001</v>
      </c>
      <c r="BA2118" s="65" t="s">
        <v>200</v>
      </c>
      <c r="BB2118" s="20">
        <v>0</v>
      </c>
      <c r="BC2118" s="28">
        <v>0</v>
      </c>
      <c r="BD2118" s="28">
        <v>0</v>
      </c>
      <c r="BE2118" s="186" t="s">
        <v>4815</v>
      </c>
      <c r="BF2118" s="186" t="s">
        <v>4816</v>
      </c>
      <c r="BG2118" s="19">
        <v>0</v>
      </c>
      <c r="BH2118" s="17">
        <v>0</v>
      </c>
      <c r="BI2118" s="19">
        <v>0</v>
      </c>
      <c r="BJ2118" s="19">
        <v>0</v>
      </c>
      <c r="BK2118" s="19">
        <v>0</v>
      </c>
      <c r="BL2118" s="19">
        <v>0</v>
      </c>
      <c r="BM2118" s="16">
        <v>0</v>
      </c>
      <c r="BN2118" s="13">
        <v>1</v>
      </c>
      <c r="BO2118" s="13">
        <v>0</v>
      </c>
      <c r="BP2118" s="13">
        <v>0</v>
      </c>
      <c r="BQ2118" s="13">
        <v>0</v>
      </c>
      <c r="BR2118" s="13">
        <v>0</v>
      </c>
      <c r="BS2118" s="13">
        <v>0</v>
      </c>
      <c r="BT2118" s="13">
        <v>0</v>
      </c>
      <c r="BU2118" s="49">
        <v>0</v>
      </c>
      <c r="BV2118" s="49"/>
      <c r="BW2118" s="49"/>
    </row>
    <row r="2119" spans="3:75" ht="19.5" customHeight="1">
      <c r="C2119" s="19">
        <v>81000350</v>
      </c>
      <c r="D2119" s="18" t="s">
        <v>4817</v>
      </c>
      <c r="E2119" s="18" t="s">
        <v>4818</v>
      </c>
      <c r="F2119" s="17">
        <v>1</v>
      </c>
      <c r="G2119" s="17">
        <v>68000014</v>
      </c>
      <c r="H2119" s="17">
        <v>0</v>
      </c>
      <c r="I2119" s="28">
        <v>0</v>
      </c>
      <c r="J2119" s="17">
        <v>1</v>
      </c>
      <c r="K2119" s="17">
        <v>0</v>
      </c>
      <c r="L2119" s="17">
        <v>0</v>
      </c>
      <c r="M2119" s="17">
        <v>0</v>
      </c>
      <c r="N2119" s="17">
        <v>0</v>
      </c>
      <c r="O2119" s="17">
        <v>1</v>
      </c>
      <c r="P2119" s="17">
        <v>0</v>
      </c>
      <c r="Q2119" s="17">
        <v>0</v>
      </c>
      <c r="R2119" s="17">
        <v>0</v>
      </c>
      <c r="S2119" s="13">
        <v>0</v>
      </c>
      <c r="T2119" s="17">
        <v>0</v>
      </c>
      <c r="U2119" s="17">
        <v>1</v>
      </c>
      <c r="V2119" s="17">
        <v>2</v>
      </c>
      <c r="W2119" s="17">
        <v>0</v>
      </c>
      <c r="X2119" s="19">
        <v>0</v>
      </c>
      <c r="Y2119" s="13">
        <v>0</v>
      </c>
      <c r="Z2119" s="19">
        <v>0</v>
      </c>
      <c r="AA2119" s="17">
        <v>1</v>
      </c>
      <c r="AB2119" s="17">
        <v>0</v>
      </c>
      <c r="AC2119" s="17">
        <v>0</v>
      </c>
      <c r="AD2119" s="17">
        <v>0</v>
      </c>
      <c r="AE2119" s="17">
        <v>0</v>
      </c>
      <c r="AF2119" s="17">
        <v>1</v>
      </c>
      <c r="AG2119" s="17">
        <v>1</v>
      </c>
      <c r="AH2119" s="17">
        <v>0</v>
      </c>
      <c r="AI2119" s="13">
        <v>7</v>
      </c>
      <c r="AJ2119" s="13">
        <v>0</v>
      </c>
      <c r="AK2119" s="13">
        <v>0</v>
      </c>
      <c r="AL2119" s="13">
        <v>15</v>
      </c>
      <c r="AM2119" s="17">
        <v>0</v>
      </c>
      <c r="AN2119" s="17">
        <v>0</v>
      </c>
      <c r="AO2119" s="17">
        <v>0</v>
      </c>
      <c r="AP2119" s="17">
        <v>0</v>
      </c>
      <c r="AQ2119" s="17">
        <v>3000</v>
      </c>
      <c r="AR2119" s="17">
        <v>0</v>
      </c>
      <c r="AS2119" s="17">
        <v>0</v>
      </c>
      <c r="AT2119" s="13">
        <v>0</v>
      </c>
      <c r="AU2119" s="19">
        <v>81000130</v>
      </c>
      <c r="AV2119" s="19"/>
      <c r="AW2119" s="20" t="s">
        <v>199</v>
      </c>
      <c r="AX2119" s="17" t="s">
        <v>534</v>
      </c>
      <c r="AY2119" s="19">
        <v>10000007</v>
      </c>
      <c r="AZ2119" s="19">
        <v>21101050</v>
      </c>
      <c r="BA2119" s="18" t="s">
        <v>4798</v>
      </c>
      <c r="BB2119" s="17">
        <v>0</v>
      </c>
      <c r="BC2119" s="28">
        <v>0</v>
      </c>
      <c r="BD2119" s="28">
        <v>0</v>
      </c>
      <c r="BE2119" s="186" t="s">
        <v>4819</v>
      </c>
      <c r="BF2119" s="186" t="s">
        <v>4820</v>
      </c>
      <c r="BG2119" s="17">
        <v>0</v>
      </c>
      <c r="BH2119" s="17">
        <v>0</v>
      </c>
      <c r="BI2119" s="17">
        <v>0</v>
      </c>
      <c r="BJ2119" s="17">
        <v>0</v>
      </c>
      <c r="BK2119" s="17">
        <v>0</v>
      </c>
      <c r="BL2119" s="17">
        <v>0</v>
      </c>
      <c r="BM2119" s="16">
        <v>0</v>
      </c>
      <c r="BN2119" s="13">
        <v>0</v>
      </c>
      <c r="BO2119" s="13">
        <v>0</v>
      </c>
      <c r="BP2119" s="13">
        <v>0</v>
      </c>
      <c r="BQ2119" s="13">
        <v>0</v>
      </c>
      <c r="BR2119" s="13">
        <v>0</v>
      </c>
      <c r="BS2119" s="13">
        <v>0</v>
      </c>
      <c r="BT2119" s="13">
        <v>0</v>
      </c>
      <c r="BU2119" s="49">
        <v>0</v>
      </c>
      <c r="BV2119" s="49"/>
      <c r="BW2119" s="49"/>
    </row>
    <row r="2120" spans="3:75" ht="19.5" customHeight="1">
      <c r="C2120" s="19">
        <v>81000360</v>
      </c>
      <c r="D2120" s="189" t="s">
        <v>4821</v>
      </c>
      <c r="E2120" s="189" t="s">
        <v>4822</v>
      </c>
      <c r="F2120" s="190">
        <v>1</v>
      </c>
      <c r="G2120" s="13">
        <v>68000006</v>
      </c>
      <c r="H2120" s="17">
        <v>0</v>
      </c>
      <c r="I2120" s="193">
        <v>0</v>
      </c>
      <c r="J2120" s="190">
        <v>1</v>
      </c>
      <c r="K2120" s="190">
        <v>0</v>
      </c>
      <c r="L2120" s="190">
        <v>0</v>
      </c>
      <c r="M2120" s="194">
        <v>0</v>
      </c>
      <c r="N2120" s="194">
        <v>0</v>
      </c>
      <c r="O2120" s="194">
        <v>1</v>
      </c>
      <c r="P2120" s="194">
        <v>0</v>
      </c>
      <c r="Q2120" s="194">
        <v>0</v>
      </c>
      <c r="R2120" s="194">
        <v>0</v>
      </c>
      <c r="S2120" s="196">
        <v>0</v>
      </c>
      <c r="T2120" s="193">
        <v>0</v>
      </c>
      <c r="U2120" s="190">
        <v>1</v>
      </c>
      <c r="V2120" s="194">
        <v>2</v>
      </c>
      <c r="W2120" s="194">
        <v>0</v>
      </c>
      <c r="X2120" s="194">
        <v>0</v>
      </c>
      <c r="Y2120" s="13">
        <v>0</v>
      </c>
      <c r="Z2120" s="190">
        <v>0</v>
      </c>
      <c r="AA2120" s="194">
        <v>1</v>
      </c>
      <c r="AB2120" s="194">
        <v>0</v>
      </c>
      <c r="AC2120" s="194">
        <v>0</v>
      </c>
      <c r="AD2120" s="194">
        <v>0</v>
      </c>
      <c r="AE2120" s="194">
        <v>0</v>
      </c>
      <c r="AF2120" s="194">
        <v>1</v>
      </c>
      <c r="AG2120" s="194">
        <v>1</v>
      </c>
      <c r="AH2120" s="194">
        <v>4</v>
      </c>
      <c r="AI2120" s="196">
        <v>2</v>
      </c>
      <c r="AJ2120" s="196">
        <v>1</v>
      </c>
      <c r="AK2120" s="196">
        <v>0</v>
      </c>
      <c r="AL2120" s="196">
        <v>7</v>
      </c>
      <c r="AM2120" s="194">
        <v>0</v>
      </c>
      <c r="AN2120" s="194">
        <v>0</v>
      </c>
      <c r="AO2120" s="194">
        <v>0</v>
      </c>
      <c r="AP2120" s="194">
        <v>0</v>
      </c>
      <c r="AQ2120" s="194">
        <v>2000</v>
      </c>
      <c r="AR2120" s="194">
        <v>0</v>
      </c>
      <c r="AS2120" s="194">
        <v>0</v>
      </c>
      <c r="AT2120" s="196">
        <v>0</v>
      </c>
      <c r="AU2120" s="194"/>
      <c r="AV2120" s="194"/>
      <c r="AW2120" s="20" t="s">
        <v>199</v>
      </c>
      <c r="AX2120" s="194" t="s">
        <v>1525</v>
      </c>
      <c r="AY2120" s="194">
        <v>10000006</v>
      </c>
      <c r="AZ2120" s="194">
        <v>21101022</v>
      </c>
      <c r="BA2120" s="197" t="s">
        <v>1042</v>
      </c>
      <c r="BB2120" s="189">
        <v>0</v>
      </c>
      <c r="BC2120" s="193">
        <v>0</v>
      </c>
      <c r="BD2120" s="193">
        <v>0</v>
      </c>
      <c r="BE2120" s="199" t="str">
        <f>"立即将附近玩家全部拉到当前位置"</f>
        <v>立即将附近玩家全部拉到当前位置</v>
      </c>
      <c r="BF2120" s="199" t="s">
        <v>4823</v>
      </c>
      <c r="BG2120" s="194">
        <v>0</v>
      </c>
      <c r="BH2120" s="190">
        <v>0</v>
      </c>
      <c r="BI2120" s="194">
        <v>0</v>
      </c>
      <c r="BJ2120" s="194">
        <v>0</v>
      </c>
      <c r="BK2120" s="194">
        <v>0</v>
      </c>
      <c r="BL2120" s="194">
        <v>0</v>
      </c>
      <c r="BM2120" s="200">
        <v>0</v>
      </c>
      <c r="BN2120" s="196">
        <v>0</v>
      </c>
      <c r="BO2120" s="196">
        <v>0</v>
      </c>
      <c r="BP2120" s="196">
        <v>0</v>
      </c>
      <c r="BQ2120" s="196">
        <v>0</v>
      </c>
      <c r="BR2120" s="196">
        <v>0</v>
      </c>
      <c r="BS2120" s="196">
        <v>0</v>
      </c>
      <c r="BT2120" s="13">
        <v>0</v>
      </c>
      <c r="BU2120" s="49">
        <v>0</v>
      </c>
      <c r="BV2120" s="49"/>
      <c r="BW2120" s="49"/>
    </row>
    <row r="2121" spans="3:75" ht="19.5" customHeight="1">
      <c r="C2121" s="19">
        <v>81000370</v>
      </c>
      <c r="D2121" s="20" t="s">
        <v>4824</v>
      </c>
      <c r="E2121" s="20" t="s">
        <v>4825</v>
      </c>
      <c r="F2121" s="17">
        <v>1</v>
      </c>
      <c r="G2121" s="19">
        <v>68000007</v>
      </c>
      <c r="H2121" s="19">
        <v>0</v>
      </c>
      <c r="I2121" s="28">
        <v>0</v>
      </c>
      <c r="J2121" s="17">
        <v>1</v>
      </c>
      <c r="K2121" s="17">
        <v>0</v>
      </c>
      <c r="L2121" s="17">
        <v>0</v>
      </c>
      <c r="M2121" s="19">
        <v>0</v>
      </c>
      <c r="N2121" s="19">
        <v>0</v>
      </c>
      <c r="O2121" s="19">
        <v>1</v>
      </c>
      <c r="P2121" s="19">
        <v>0</v>
      </c>
      <c r="Q2121" s="19">
        <v>0</v>
      </c>
      <c r="R2121" s="19">
        <v>0</v>
      </c>
      <c r="S2121" s="13">
        <v>0</v>
      </c>
      <c r="T2121" s="28">
        <v>0</v>
      </c>
      <c r="U2121" s="17">
        <v>1</v>
      </c>
      <c r="V2121" s="19">
        <v>2</v>
      </c>
      <c r="W2121" s="19">
        <v>0</v>
      </c>
      <c r="X2121" s="19">
        <v>0</v>
      </c>
      <c r="Y2121" s="13">
        <v>0</v>
      </c>
      <c r="Z2121" s="19">
        <v>0</v>
      </c>
      <c r="AA2121" s="19">
        <v>1</v>
      </c>
      <c r="AB2121" s="19">
        <v>0</v>
      </c>
      <c r="AC2121" s="19">
        <v>0</v>
      </c>
      <c r="AD2121" s="19">
        <v>0</v>
      </c>
      <c r="AE2121" s="19">
        <v>0</v>
      </c>
      <c r="AF2121" s="19">
        <v>1</v>
      </c>
      <c r="AG2121" s="19">
        <v>1</v>
      </c>
      <c r="AH2121" s="19">
        <v>3</v>
      </c>
      <c r="AI2121" s="13">
        <v>2</v>
      </c>
      <c r="AJ2121" s="13">
        <v>1</v>
      </c>
      <c r="AK2121" s="13">
        <v>0</v>
      </c>
      <c r="AL2121" s="13">
        <v>4</v>
      </c>
      <c r="AM2121" s="19">
        <v>0</v>
      </c>
      <c r="AN2121" s="19">
        <v>0</v>
      </c>
      <c r="AO2121" s="19">
        <v>0</v>
      </c>
      <c r="AP2121" s="19">
        <v>0</v>
      </c>
      <c r="AQ2121" s="19">
        <v>30000</v>
      </c>
      <c r="AR2121" s="19">
        <v>0</v>
      </c>
      <c r="AS2121" s="19">
        <v>0</v>
      </c>
      <c r="AT2121" s="13">
        <v>0</v>
      </c>
      <c r="AU2121" s="301">
        <v>81000370</v>
      </c>
      <c r="AV2121" s="302"/>
      <c r="AW2121" s="20" t="s">
        <v>199</v>
      </c>
      <c r="AX2121" s="19" t="s">
        <v>534</v>
      </c>
      <c r="AY2121" s="19">
        <v>10003002</v>
      </c>
      <c r="AZ2121" s="19">
        <v>21100060</v>
      </c>
      <c r="BA2121" s="20" t="s">
        <v>200</v>
      </c>
      <c r="BB2121" s="20">
        <v>0</v>
      </c>
      <c r="BC2121" s="28">
        <v>0</v>
      </c>
      <c r="BD2121" s="28">
        <v>0</v>
      </c>
      <c r="BE2121" s="186" t="s">
        <v>4826</v>
      </c>
      <c r="BF2121" s="186" t="s">
        <v>4827</v>
      </c>
      <c r="BG2121" s="19">
        <v>0</v>
      </c>
      <c r="BH2121" s="17">
        <v>0</v>
      </c>
      <c r="BI2121" s="19">
        <v>0</v>
      </c>
      <c r="BJ2121" s="19">
        <v>0</v>
      </c>
      <c r="BK2121" s="19">
        <v>0</v>
      </c>
      <c r="BL2121" s="19">
        <v>0</v>
      </c>
      <c r="BM2121" s="16">
        <v>0</v>
      </c>
      <c r="BN2121" s="13">
        <v>0</v>
      </c>
      <c r="BO2121" s="13">
        <v>0</v>
      </c>
      <c r="BP2121" s="13">
        <v>0</v>
      </c>
      <c r="BQ2121" s="13">
        <v>0</v>
      </c>
      <c r="BR2121" s="13">
        <v>0</v>
      </c>
      <c r="BS2121" s="13">
        <v>0</v>
      </c>
      <c r="BT2121" s="13">
        <v>0</v>
      </c>
      <c r="BU2121" s="49">
        <v>0</v>
      </c>
      <c r="BV2121" s="49"/>
      <c r="BW2121" s="49"/>
    </row>
    <row r="2122" spans="3:75" ht="20.100000000000001" customHeight="1">
      <c r="C2122" s="19">
        <v>67000262</v>
      </c>
      <c r="D2122" s="18" t="s">
        <v>4828</v>
      </c>
      <c r="E2122" s="18" t="s">
        <v>4829</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0</v>
      </c>
      <c r="Y2122" s="13">
        <v>0</v>
      </c>
      <c r="Z2122" s="17">
        <v>0</v>
      </c>
      <c r="AA2122" s="17">
        <v>0</v>
      </c>
      <c r="AB2122" s="17">
        <v>0</v>
      </c>
      <c r="AC2122" s="17">
        <v>0</v>
      </c>
      <c r="AD2122" s="17">
        <v>0</v>
      </c>
      <c r="AE2122" s="17">
        <v>0</v>
      </c>
      <c r="AF2122" s="17">
        <v>3</v>
      </c>
      <c r="AG2122" s="17">
        <v>2</v>
      </c>
      <c r="AH2122" s="17" t="s">
        <v>213</v>
      </c>
      <c r="AI2122" s="13">
        <v>0</v>
      </c>
      <c r="AJ2122" s="13">
        <v>0</v>
      </c>
      <c r="AK2122" s="13">
        <v>0</v>
      </c>
      <c r="AL2122" s="13">
        <v>1.5</v>
      </c>
      <c r="AM2122" s="17">
        <v>0</v>
      </c>
      <c r="AN2122" s="17">
        <v>0</v>
      </c>
      <c r="AO2122" s="17">
        <v>0</v>
      </c>
      <c r="AP2122" s="17">
        <v>1</v>
      </c>
      <c r="AQ2122" s="17">
        <v>3000</v>
      </c>
      <c r="AR2122" s="17">
        <v>0.5</v>
      </c>
      <c r="AS2122" s="17">
        <v>0</v>
      </c>
      <c r="AT2122" s="13">
        <v>93000201</v>
      </c>
      <c r="AU2122" s="17" t="s">
        <v>198</v>
      </c>
      <c r="AV2122" s="17"/>
      <c r="AW2122" s="18" t="s">
        <v>199</v>
      </c>
      <c r="AX2122" s="17">
        <v>0</v>
      </c>
      <c r="AY2122" s="19">
        <v>0</v>
      </c>
      <c r="AZ2122" s="19">
        <v>0</v>
      </c>
      <c r="BA2122" s="18" t="s">
        <v>4830</v>
      </c>
      <c r="BB2122" s="17">
        <v>0</v>
      </c>
      <c r="BC2122" s="28">
        <v>0</v>
      </c>
      <c r="BD2122" s="28">
        <v>1</v>
      </c>
      <c r="BE2122" s="46" t="s">
        <v>4831</v>
      </c>
      <c r="BF2122" s="46" t="s">
        <v>4832</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spans="3:75" ht="20.100000000000001" customHeight="1">
      <c r="C2123" s="19">
        <v>67000263</v>
      </c>
      <c r="D2123" s="18" t="s">
        <v>4833</v>
      </c>
      <c r="E2123" s="18" t="s">
        <v>4834</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0</v>
      </c>
      <c r="Y2123" s="13">
        <v>0</v>
      </c>
      <c r="Z2123" s="17">
        <v>0</v>
      </c>
      <c r="AA2123" s="17">
        <v>0</v>
      </c>
      <c r="AB2123" s="17">
        <v>0</v>
      </c>
      <c r="AC2123" s="17">
        <v>0</v>
      </c>
      <c r="AD2123" s="17">
        <v>0</v>
      </c>
      <c r="AE2123" s="17">
        <v>0</v>
      </c>
      <c r="AF2123" s="17">
        <v>3</v>
      </c>
      <c r="AG2123" s="17">
        <v>2</v>
      </c>
      <c r="AH2123" s="17" t="s">
        <v>213</v>
      </c>
      <c r="AI2123" s="13">
        <v>1</v>
      </c>
      <c r="AJ2123" s="13">
        <v>0</v>
      </c>
      <c r="AK2123" s="13">
        <v>0</v>
      </c>
      <c r="AL2123" s="13">
        <v>1.5</v>
      </c>
      <c r="AM2123" s="17">
        <v>0</v>
      </c>
      <c r="AN2123" s="17">
        <v>0</v>
      </c>
      <c r="AO2123" s="17">
        <v>0</v>
      </c>
      <c r="AP2123" s="17">
        <v>1</v>
      </c>
      <c r="AQ2123" s="17">
        <v>3000</v>
      </c>
      <c r="AR2123" s="17">
        <v>0.5</v>
      </c>
      <c r="AS2123" s="17">
        <v>0</v>
      </c>
      <c r="AT2123" s="13">
        <v>0</v>
      </c>
      <c r="AU2123" s="17" t="s">
        <v>4835</v>
      </c>
      <c r="AV2123" s="17"/>
      <c r="AW2123" s="18" t="s">
        <v>287</v>
      </c>
      <c r="AX2123" s="17">
        <v>0</v>
      </c>
      <c r="AY2123" s="19">
        <v>0</v>
      </c>
      <c r="AZ2123" s="19">
        <v>0</v>
      </c>
      <c r="BA2123" s="18" t="s">
        <v>200</v>
      </c>
      <c r="BB2123" s="17">
        <v>0</v>
      </c>
      <c r="BC2123" s="28">
        <v>0</v>
      </c>
      <c r="BD2123" s="28">
        <v>1</v>
      </c>
      <c r="BE2123" s="46" t="s">
        <v>4836</v>
      </c>
      <c r="BF2123" s="46" t="s">
        <v>4837</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67000264</v>
      </c>
      <c r="D2124" s="61" t="s">
        <v>4838</v>
      </c>
      <c r="E2124" s="61" t="s">
        <v>4839</v>
      </c>
      <c r="F2124" s="17">
        <v>1</v>
      </c>
      <c r="G2124" s="17">
        <v>90002001</v>
      </c>
      <c r="H2124" s="62">
        <v>0</v>
      </c>
      <c r="I2124" s="28">
        <v>0</v>
      </c>
      <c r="J2124" s="19">
        <v>1</v>
      </c>
      <c r="K2124" s="19">
        <v>0</v>
      </c>
      <c r="L2124" s="19">
        <v>0</v>
      </c>
      <c r="M2124" s="62">
        <v>0</v>
      </c>
      <c r="N2124" s="62">
        <v>0</v>
      </c>
      <c r="O2124" s="62">
        <v>1</v>
      </c>
      <c r="P2124" s="17">
        <v>1</v>
      </c>
      <c r="Q2124" s="17">
        <v>0.1</v>
      </c>
      <c r="R2124" s="62">
        <v>0</v>
      </c>
      <c r="S2124" s="13">
        <v>0</v>
      </c>
      <c r="T2124" s="62">
        <v>0</v>
      </c>
      <c r="U2124" s="17">
        <v>1</v>
      </c>
      <c r="V2124" s="62">
        <v>2</v>
      </c>
      <c r="W2124" s="62">
        <v>0</v>
      </c>
      <c r="X2124" s="62">
        <v>1.5</v>
      </c>
      <c r="Y2124" s="13">
        <v>0</v>
      </c>
      <c r="Z2124" s="17">
        <v>0</v>
      </c>
      <c r="AA2124" s="62">
        <v>0</v>
      </c>
      <c r="AB2124" s="62">
        <v>0</v>
      </c>
      <c r="AC2124" s="62">
        <v>0</v>
      </c>
      <c r="AD2124" s="62">
        <v>0</v>
      </c>
      <c r="AE2124" s="62">
        <v>0</v>
      </c>
      <c r="AF2124" s="62">
        <v>10</v>
      </c>
      <c r="AG2124" s="62">
        <v>2</v>
      </c>
      <c r="AH2124" s="62" t="s">
        <v>2146</v>
      </c>
      <c r="AI2124" s="70">
        <v>0</v>
      </c>
      <c r="AJ2124" s="13">
        <v>0</v>
      </c>
      <c r="AK2124" s="13">
        <v>0</v>
      </c>
      <c r="AL2124" s="70">
        <v>1.5</v>
      </c>
      <c r="AM2124" s="62">
        <v>0</v>
      </c>
      <c r="AN2124" s="62">
        <v>0</v>
      </c>
      <c r="AO2124" s="62">
        <v>0</v>
      </c>
      <c r="AP2124" s="62">
        <v>2</v>
      </c>
      <c r="AQ2124" s="62">
        <v>3000</v>
      </c>
      <c r="AR2124" s="62">
        <v>0.5</v>
      </c>
      <c r="AS2124" s="62">
        <v>0</v>
      </c>
      <c r="AT2124" s="13">
        <v>0</v>
      </c>
      <c r="AU2124" s="62" t="s">
        <v>198</v>
      </c>
      <c r="AV2124" s="62"/>
      <c r="AW2124" s="61" t="s">
        <v>287</v>
      </c>
      <c r="AX2124" s="17">
        <v>0</v>
      </c>
      <c r="AY2124" s="66">
        <v>10000007</v>
      </c>
      <c r="AZ2124" s="19">
        <v>23000010</v>
      </c>
      <c r="BA2124" s="61" t="s">
        <v>200</v>
      </c>
      <c r="BB2124" s="62">
        <v>0</v>
      </c>
      <c r="BC2124" s="68">
        <v>0</v>
      </c>
      <c r="BD2124" s="28">
        <v>1</v>
      </c>
      <c r="BE2124" s="92" t="s">
        <v>4840</v>
      </c>
      <c r="BF2124" s="92" t="s">
        <v>4841</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67000265</v>
      </c>
      <c r="D2125" s="18" t="s">
        <v>4842</v>
      </c>
      <c r="E2125" s="18" t="s">
        <v>4843</v>
      </c>
      <c r="F2125" s="17">
        <v>1</v>
      </c>
      <c r="G2125" s="17">
        <v>90002001</v>
      </c>
      <c r="H2125" s="17">
        <v>0</v>
      </c>
      <c r="I2125" s="28">
        <v>0</v>
      </c>
      <c r="J2125" s="19">
        <v>1</v>
      </c>
      <c r="K2125" s="19">
        <v>0</v>
      </c>
      <c r="L2125" s="19">
        <v>0</v>
      </c>
      <c r="M2125" s="17">
        <v>0</v>
      </c>
      <c r="N2125" s="17">
        <v>0</v>
      </c>
      <c r="O2125" s="17">
        <v>1</v>
      </c>
      <c r="P2125" s="17">
        <v>2</v>
      </c>
      <c r="Q2125" s="17">
        <v>1</v>
      </c>
      <c r="R2125" s="17">
        <v>0</v>
      </c>
      <c r="S2125" s="13">
        <v>0</v>
      </c>
      <c r="T2125" s="17">
        <v>0</v>
      </c>
      <c r="U2125" s="17">
        <v>1</v>
      </c>
      <c r="V2125" s="17">
        <v>2</v>
      </c>
      <c r="W2125" s="17">
        <v>0</v>
      </c>
      <c r="X2125" s="17">
        <v>0</v>
      </c>
      <c r="Y2125" s="13">
        <v>0</v>
      </c>
      <c r="Z2125" s="17">
        <v>0</v>
      </c>
      <c r="AA2125" s="17">
        <v>0</v>
      </c>
      <c r="AB2125" s="17">
        <v>0</v>
      </c>
      <c r="AC2125" s="17">
        <v>0</v>
      </c>
      <c r="AD2125" s="17">
        <v>0</v>
      </c>
      <c r="AE2125" s="17">
        <v>0</v>
      </c>
      <c r="AF2125" s="17">
        <v>30</v>
      </c>
      <c r="AG2125" s="17">
        <v>2</v>
      </c>
      <c r="AH2125" s="17" t="s">
        <v>213</v>
      </c>
      <c r="AI2125" s="13">
        <v>0</v>
      </c>
      <c r="AJ2125" s="13">
        <v>0</v>
      </c>
      <c r="AK2125" s="13">
        <v>0</v>
      </c>
      <c r="AL2125" s="13">
        <v>1.5</v>
      </c>
      <c r="AM2125" s="17">
        <v>0</v>
      </c>
      <c r="AN2125" s="17">
        <v>0</v>
      </c>
      <c r="AO2125" s="17">
        <v>0</v>
      </c>
      <c r="AP2125" s="17">
        <v>1</v>
      </c>
      <c r="AQ2125" s="17">
        <v>3000</v>
      </c>
      <c r="AR2125" s="17">
        <v>0.5</v>
      </c>
      <c r="AS2125" s="17">
        <v>0</v>
      </c>
      <c r="AT2125" s="13">
        <v>93000203</v>
      </c>
      <c r="AU2125" s="17" t="s">
        <v>198</v>
      </c>
      <c r="AV2125" s="17"/>
      <c r="AW2125" s="18" t="s">
        <v>199</v>
      </c>
      <c r="AX2125" s="17">
        <v>0</v>
      </c>
      <c r="AY2125" s="19">
        <v>0</v>
      </c>
      <c r="AZ2125" s="19">
        <v>0</v>
      </c>
      <c r="BA2125" s="18" t="s">
        <v>4830</v>
      </c>
      <c r="BB2125" s="17">
        <v>0</v>
      </c>
      <c r="BC2125" s="28">
        <v>0</v>
      </c>
      <c r="BD2125" s="28">
        <v>1</v>
      </c>
      <c r="BE2125" s="46" t="s">
        <v>4844</v>
      </c>
      <c r="BF2125" s="46" t="s">
        <v>4845</v>
      </c>
      <c r="BG2125" s="17">
        <v>0</v>
      </c>
      <c r="BH2125" s="17">
        <v>0</v>
      </c>
      <c r="BI2125" s="17">
        <v>0</v>
      </c>
      <c r="BJ2125" s="17">
        <v>0</v>
      </c>
      <c r="BK2125" s="17">
        <v>0</v>
      </c>
      <c r="BL2125" s="17">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67000266</v>
      </c>
      <c r="D2126" s="18" t="s">
        <v>4846</v>
      </c>
      <c r="E2126" s="18" t="s">
        <v>4847</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0</v>
      </c>
      <c r="AK2126" s="13">
        <v>0</v>
      </c>
      <c r="AL2126" s="13">
        <v>1.5</v>
      </c>
      <c r="AM2126" s="17">
        <v>0</v>
      </c>
      <c r="AN2126" s="17">
        <v>0</v>
      </c>
      <c r="AO2126" s="17">
        <v>0</v>
      </c>
      <c r="AP2126" s="17">
        <v>1</v>
      </c>
      <c r="AQ2126" s="17">
        <v>3000</v>
      </c>
      <c r="AR2126" s="17">
        <v>0.5</v>
      </c>
      <c r="AS2126" s="17">
        <v>0</v>
      </c>
      <c r="AT2126" s="13">
        <v>0</v>
      </c>
      <c r="AU2126" s="17" t="s">
        <v>4848</v>
      </c>
      <c r="AV2126" s="17"/>
      <c r="AW2126" s="18" t="s">
        <v>287</v>
      </c>
      <c r="AX2126" s="17">
        <v>0</v>
      </c>
      <c r="AY2126" s="19">
        <v>0</v>
      </c>
      <c r="AZ2126" s="19">
        <v>0</v>
      </c>
      <c r="BA2126" s="18" t="s">
        <v>200</v>
      </c>
      <c r="BB2126" s="17">
        <v>0</v>
      </c>
      <c r="BC2126" s="28">
        <v>0</v>
      </c>
      <c r="BD2126" s="28">
        <v>1</v>
      </c>
      <c r="BE2126" s="46" t="s">
        <v>4849</v>
      </c>
      <c r="BF2126" s="46" t="s">
        <v>4850</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67000267</v>
      </c>
      <c r="D2127" s="61" t="s">
        <v>4851</v>
      </c>
      <c r="E2127" s="61" t="s">
        <v>4852</v>
      </c>
      <c r="F2127" s="17">
        <v>1</v>
      </c>
      <c r="G2127" s="17">
        <v>90002001</v>
      </c>
      <c r="H2127" s="62">
        <v>0</v>
      </c>
      <c r="I2127" s="28">
        <v>0</v>
      </c>
      <c r="J2127" s="19">
        <v>1</v>
      </c>
      <c r="K2127" s="19">
        <v>0</v>
      </c>
      <c r="L2127" s="19">
        <v>0</v>
      </c>
      <c r="M2127" s="62">
        <v>0</v>
      </c>
      <c r="N2127" s="62">
        <v>0</v>
      </c>
      <c r="O2127" s="62">
        <v>1</v>
      </c>
      <c r="P2127" s="62">
        <v>1</v>
      </c>
      <c r="Q2127" s="62">
        <v>0.1</v>
      </c>
      <c r="R2127" s="62">
        <v>0</v>
      </c>
      <c r="S2127" s="13">
        <v>0</v>
      </c>
      <c r="T2127" s="62">
        <v>0</v>
      </c>
      <c r="U2127" s="17">
        <v>1</v>
      </c>
      <c r="V2127" s="62">
        <v>2</v>
      </c>
      <c r="W2127" s="62">
        <v>0</v>
      </c>
      <c r="X2127" s="62">
        <v>1.5</v>
      </c>
      <c r="Y2127" s="13">
        <v>0</v>
      </c>
      <c r="Z2127" s="62">
        <v>0</v>
      </c>
      <c r="AA2127" s="62">
        <v>0</v>
      </c>
      <c r="AB2127" s="62">
        <v>0</v>
      </c>
      <c r="AC2127" s="62">
        <v>0</v>
      </c>
      <c r="AD2127" s="62">
        <v>0</v>
      </c>
      <c r="AE2127" s="62">
        <v>0</v>
      </c>
      <c r="AF2127" s="62">
        <v>3</v>
      </c>
      <c r="AG2127" s="62">
        <v>1</v>
      </c>
      <c r="AH2127" s="62" t="s">
        <v>861</v>
      </c>
      <c r="AI2127" s="70">
        <v>0</v>
      </c>
      <c r="AJ2127" s="70">
        <v>0</v>
      </c>
      <c r="AK2127" s="13">
        <v>0</v>
      </c>
      <c r="AL2127" s="70">
        <v>1.5</v>
      </c>
      <c r="AM2127" s="62">
        <v>0</v>
      </c>
      <c r="AN2127" s="62">
        <v>0</v>
      </c>
      <c r="AO2127" s="62">
        <v>0</v>
      </c>
      <c r="AP2127" s="62">
        <v>1</v>
      </c>
      <c r="AQ2127" s="62">
        <v>3000</v>
      </c>
      <c r="AR2127" s="62">
        <v>1</v>
      </c>
      <c r="AS2127" s="62">
        <v>0</v>
      </c>
      <c r="AT2127" s="13">
        <v>0</v>
      </c>
      <c r="AU2127" s="62" t="s">
        <v>198</v>
      </c>
      <c r="AV2127" s="62"/>
      <c r="AW2127" s="61" t="s">
        <v>199</v>
      </c>
      <c r="AX2127" s="17">
        <v>0</v>
      </c>
      <c r="AY2127" s="66">
        <v>10000007</v>
      </c>
      <c r="AZ2127" s="19">
        <v>23000020</v>
      </c>
      <c r="BA2127" s="61" t="s">
        <v>200</v>
      </c>
      <c r="BB2127" s="62">
        <v>0</v>
      </c>
      <c r="BC2127" s="68">
        <v>0</v>
      </c>
      <c r="BD2127" s="28">
        <v>1</v>
      </c>
      <c r="BE2127" s="92" t="s">
        <v>4853</v>
      </c>
      <c r="BF2127" s="92" t="s">
        <v>4854</v>
      </c>
      <c r="BG2127" s="62">
        <v>0</v>
      </c>
      <c r="BH2127" s="17">
        <v>0</v>
      </c>
      <c r="BI2127" s="62">
        <v>0</v>
      </c>
      <c r="BJ2127" s="62">
        <v>0</v>
      </c>
      <c r="BK2127" s="62">
        <v>0</v>
      </c>
      <c r="BL2127" s="62">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67000268</v>
      </c>
      <c r="D2128" s="61" t="s">
        <v>4855</v>
      </c>
      <c r="E2128" s="61" t="s">
        <v>4856</v>
      </c>
      <c r="F2128" s="17">
        <v>1</v>
      </c>
      <c r="G2128" s="17">
        <v>90002001</v>
      </c>
      <c r="H2128" s="62">
        <v>0</v>
      </c>
      <c r="I2128" s="28">
        <v>0</v>
      </c>
      <c r="J2128" s="19">
        <v>1</v>
      </c>
      <c r="K2128" s="19">
        <v>0</v>
      </c>
      <c r="L2128" s="19">
        <v>0</v>
      </c>
      <c r="M2128" s="62">
        <v>0</v>
      </c>
      <c r="N2128" s="62">
        <v>0</v>
      </c>
      <c r="O2128" s="62">
        <v>1</v>
      </c>
      <c r="P2128" s="62">
        <v>1</v>
      </c>
      <c r="Q2128" s="62">
        <v>0.1</v>
      </c>
      <c r="R2128" s="62">
        <v>0</v>
      </c>
      <c r="S2128" s="13">
        <v>0</v>
      </c>
      <c r="T2128" s="62">
        <v>0</v>
      </c>
      <c r="U2128" s="17">
        <v>1</v>
      </c>
      <c r="V2128" s="62">
        <v>2</v>
      </c>
      <c r="W2128" s="62">
        <v>0</v>
      </c>
      <c r="X2128" s="62">
        <v>1</v>
      </c>
      <c r="Y2128" s="13">
        <v>0</v>
      </c>
      <c r="Z2128" s="62">
        <v>0</v>
      </c>
      <c r="AA2128" s="62">
        <v>0</v>
      </c>
      <c r="AB2128" s="62">
        <v>0</v>
      </c>
      <c r="AC2128" s="62">
        <v>0</v>
      </c>
      <c r="AD2128" s="62">
        <v>0</v>
      </c>
      <c r="AE2128" s="62">
        <v>0</v>
      </c>
      <c r="AF2128" s="62">
        <v>3</v>
      </c>
      <c r="AG2128" s="62">
        <v>2</v>
      </c>
      <c r="AH2128" s="62" t="s">
        <v>213</v>
      </c>
      <c r="AI2128" s="70">
        <v>0</v>
      </c>
      <c r="AJ2128" s="70">
        <v>1</v>
      </c>
      <c r="AK2128" s="13">
        <v>0</v>
      </c>
      <c r="AL2128" s="70">
        <v>1.5</v>
      </c>
      <c r="AM2128" s="62">
        <v>0</v>
      </c>
      <c r="AN2128" s="62">
        <v>0</v>
      </c>
      <c r="AO2128" s="62">
        <v>0</v>
      </c>
      <c r="AP2128" s="62">
        <v>1</v>
      </c>
      <c r="AQ2128" s="62">
        <v>3000</v>
      </c>
      <c r="AR2128" s="62">
        <v>0.5</v>
      </c>
      <c r="AS2128" s="62">
        <v>0</v>
      </c>
      <c r="AT2128" s="13">
        <v>0</v>
      </c>
      <c r="AU2128" s="62" t="s">
        <v>4857</v>
      </c>
      <c r="AV2128" s="62"/>
      <c r="AW2128" s="61" t="s">
        <v>287</v>
      </c>
      <c r="AX2128" s="17">
        <v>0</v>
      </c>
      <c r="AY2128" s="66">
        <v>10000007</v>
      </c>
      <c r="AZ2128" s="19">
        <v>23000030</v>
      </c>
      <c r="BA2128" s="61" t="s">
        <v>200</v>
      </c>
      <c r="BB2128" s="62">
        <v>0</v>
      </c>
      <c r="BC2128" s="68">
        <v>0</v>
      </c>
      <c r="BD2128" s="28">
        <v>1</v>
      </c>
      <c r="BE2128" s="92" t="s">
        <v>4858</v>
      </c>
      <c r="BF2128" s="92" t="s">
        <v>4859</v>
      </c>
      <c r="BG2128" s="62">
        <v>0</v>
      </c>
      <c r="BH2128" s="17">
        <v>0</v>
      </c>
      <c r="BI2128" s="62">
        <v>0</v>
      </c>
      <c r="BJ2128" s="62">
        <v>0</v>
      </c>
      <c r="BK2128" s="62">
        <v>0</v>
      </c>
      <c r="BL2128" s="62">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67000269</v>
      </c>
      <c r="D2129" s="61" t="s">
        <v>4860</v>
      </c>
      <c r="E2129" s="61" t="s">
        <v>4861</v>
      </c>
      <c r="F2129" s="17">
        <v>1</v>
      </c>
      <c r="G2129" s="17">
        <v>90002001</v>
      </c>
      <c r="H2129" s="62">
        <v>0</v>
      </c>
      <c r="I2129" s="28">
        <v>0</v>
      </c>
      <c r="J2129" s="19">
        <v>1</v>
      </c>
      <c r="K2129" s="19">
        <v>0</v>
      </c>
      <c r="L2129" s="19">
        <v>0</v>
      </c>
      <c r="M2129" s="62">
        <v>0</v>
      </c>
      <c r="N2129" s="62">
        <v>0</v>
      </c>
      <c r="O2129" s="62">
        <v>1</v>
      </c>
      <c r="P2129" s="62">
        <v>1</v>
      </c>
      <c r="Q2129" s="62">
        <v>0.1</v>
      </c>
      <c r="R2129" s="62">
        <v>0</v>
      </c>
      <c r="S2129" s="13">
        <v>0</v>
      </c>
      <c r="T2129" s="62">
        <v>0</v>
      </c>
      <c r="U2129" s="17">
        <v>1</v>
      </c>
      <c r="V2129" s="62">
        <v>2</v>
      </c>
      <c r="W2129" s="62">
        <v>0</v>
      </c>
      <c r="X2129" s="62">
        <v>1</v>
      </c>
      <c r="Y2129" s="13">
        <v>0</v>
      </c>
      <c r="Z2129" s="62">
        <v>0</v>
      </c>
      <c r="AA2129" s="62">
        <v>0</v>
      </c>
      <c r="AB2129" s="62">
        <v>0</v>
      </c>
      <c r="AC2129" s="62">
        <v>0</v>
      </c>
      <c r="AD2129" s="62">
        <v>0</v>
      </c>
      <c r="AE2129" s="62">
        <v>0</v>
      </c>
      <c r="AF2129" s="62">
        <v>3</v>
      </c>
      <c r="AG2129" s="62">
        <v>2</v>
      </c>
      <c r="AH2129" s="62" t="s">
        <v>213</v>
      </c>
      <c r="AI2129" s="70">
        <v>0</v>
      </c>
      <c r="AJ2129" s="70">
        <v>0</v>
      </c>
      <c r="AK2129" s="13">
        <v>0</v>
      </c>
      <c r="AL2129" s="70">
        <v>1.5</v>
      </c>
      <c r="AM2129" s="62">
        <v>0</v>
      </c>
      <c r="AN2129" s="62">
        <v>0</v>
      </c>
      <c r="AO2129" s="62">
        <v>0</v>
      </c>
      <c r="AP2129" s="62">
        <v>1</v>
      </c>
      <c r="AQ2129" s="62">
        <v>3000</v>
      </c>
      <c r="AR2129" s="62">
        <v>0.5</v>
      </c>
      <c r="AS2129" s="62">
        <v>0</v>
      </c>
      <c r="AT2129" s="13">
        <v>0</v>
      </c>
      <c r="AU2129" s="62" t="s">
        <v>1460</v>
      </c>
      <c r="AV2129" s="62"/>
      <c r="AW2129" s="61" t="s">
        <v>287</v>
      </c>
      <c r="AX2129" s="17">
        <v>0</v>
      </c>
      <c r="AY2129" s="66">
        <v>10000007</v>
      </c>
      <c r="AZ2129" s="19">
        <v>23000040</v>
      </c>
      <c r="BA2129" s="61" t="s">
        <v>200</v>
      </c>
      <c r="BB2129" s="62">
        <v>0</v>
      </c>
      <c r="BC2129" s="68">
        <v>0</v>
      </c>
      <c r="BD2129" s="28">
        <v>1</v>
      </c>
      <c r="BE2129" s="92" t="s">
        <v>4862</v>
      </c>
      <c r="BF2129" s="92" t="s">
        <v>4863</v>
      </c>
      <c r="BG2129" s="62">
        <v>0</v>
      </c>
      <c r="BH2129" s="17">
        <v>0</v>
      </c>
      <c r="BI2129" s="62">
        <v>0</v>
      </c>
      <c r="BJ2129" s="62">
        <v>0</v>
      </c>
      <c r="BK2129" s="62">
        <v>0</v>
      </c>
      <c r="BL2129" s="62">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67000270</v>
      </c>
      <c r="D2130" s="18" t="s">
        <v>4864</v>
      </c>
      <c r="E2130" s="18" t="s">
        <v>4865</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1.5</v>
      </c>
      <c r="Y2130" s="13">
        <v>0</v>
      </c>
      <c r="Z2130" s="17">
        <v>0</v>
      </c>
      <c r="AA2130" s="17">
        <v>0</v>
      </c>
      <c r="AB2130" s="17">
        <v>0</v>
      </c>
      <c r="AC2130" s="17">
        <v>0</v>
      </c>
      <c r="AD2130" s="17">
        <v>0</v>
      </c>
      <c r="AE2130" s="17">
        <v>0</v>
      </c>
      <c r="AF2130" s="17">
        <v>3</v>
      </c>
      <c r="AG2130" s="17">
        <v>2</v>
      </c>
      <c r="AH2130" s="17" t="s">
        <v>213</v>
      </c>
      <c r="AI2130" s="13">
        <v>7</v>
      </c>
      <c r="AJ2130" s="13">
        <v>2</v>
      </c>
      <c r="AK2130" s="13">
        <v>0</v>
      </c>
      <c r="AL2130" s="13">
        <v>1.5</v>
      </c>
      <c r="AM2130" s="17">
        <v>0</v>
      </c>
      <c r="AN2130" s="17">
        <v>0</v>
      </c>
      <c r="AO2130" s="17">
        <v>0</v>
      </c>
      <c r="AP2130" s="17">
        <v>1</v>
      </c>
      <c r="AQ2130" s="17">
        <v>3000</v>
      </c>
      <c r="AR2130" s="17">
        <v>0.5</v>
      </c>
      <c r="AS2130" s="17">
        <v>0</v>
      </c>
      <c r="AT2130" s="13">
        <v>0</v>
      </c>
      <c r="AU2130" s="17" t="s">
        <v>4866</v>
      </c>
      <c r="AV2130" s="17"/>
      <c r="AW2130" s="18" t="s">
        <v>287</v>
      </c>
      <c r="AX2130" s="17">
        <v>0</v>
      </c>
      <c r="AY2130" s="19">
        <v>0</v>
      </c>
      <c r="AZ2130" s="19">
        <v>0</v>
      </c>
      <c r="BA2130" s="18" t="s">
        <v>200</v>
      </c>
      <c r="BB2130" s="17">
        <v>0</v>
      </c>
      <c r="BC2130" s="28">
        <v>0</v>
      </c>
      <c r="BD2130" s="28">
        <v>1</v>
      </c>
      <c r="BE2130" s="46" t="s">
        <v>4867</v>
      </c>
      <c r="BF2130" s="46" t="s">
        <v>4868</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67000271</v>
      </c>
      <c r="D2131" s="18" t="s">
        <v>4869</v>
      </c>
      <c r="E2131" s="18" t="s">
        <v>4870</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1.5</v>
      </c>
      <c r="Y2131" s="13">
        <v>0</v>
      </c>
      <c r="Z2131" s="17">
        <v>0</v>
      </c>
      <c r="AA2131" s="17">
        <v>0</v>
      </c>
      <c r="AB2131" s="17">
        <v>0</v>
      </c>
      <c r="AC2131" s="17">
        <v>0</v>
      </c>
      <c r="AD2131" s="17">
        <v>0</v>
      </c>
      <c r="AE2131" s="17">
        <v>0</v>
      </c>
      <c r="AF2131" s="17">
        <v>3</v>
      </c>
      <c r="AG2131" s="17">
        <v>2</v>
      </c>
      <c r="AH2131" s="17" t="s">
        <v>213</v>
      </c>
      <c r="AI2131" s="13">
        <v>7</v>
      </c>
      <c r="AJ2131" s="13">
        <v>2</v>
      </c>
      <c r="AK2131" s="13">
        <v>0</v>
      </c>
      <c r="AL2131" s="13">
        <v>1.5</v>
      </c>
      <c r="AM2131" s="17">
        <v>0</v>
      </c>
      <c r="AN2131" s="17">
        <v>0</v>
      </c>
      <c r="AO2131" s="17">
        <v>0</v>
      </c>
      <c r="AP2131" s="17">
        <v>1</v>
      </c>
      <c r="AQ2131" s="17">
        <v>3000</v>
      </c>
      <c r="AR2131" s="17">
        <v>0.5</v>
      </c>
      <c r="AS2131" s="17">
        <v>0</v>
      </c>
      <c r="AT2131" s="13">
        <v>0</v>
      </c>
      <c r="AU2131" s="17" t="s">
        <v>4871</v>
      </c>
      <c r="AV2131" s="17"/>
      <c r="AW2131" s="18" t="s">
        <v>287</v>
      </c>
      <c r="AX2131" s="17">
        <v>0</v>
      </c>
      <c r="AY2131" s="19">
        <v>0</v>
      </c>
      <c r="AZ2131" s="19">
        <v>0</v>
      </c>
      <c r="BA2131" s="18" t="s">
        <v>200</v>
      </c>
      <c r="BB2131" s="17">
        <v>0</v>
      </c>
      <c r="BC2131" s="28">
        <v>0</v>
      </c>
      <c r="BD2131" s="28">
        <v>1</v>
      </c>
      <c r="BE2131" s="46" t="s">
        <v>4872</v>
      </c>
      <c r="BF2131" s="46" t="s">
        <v>4873</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67000272</v>
      </c>
      <c r="D2132" s="18" t="s">
        <v>4874</v>
      </c>
      <c r="E2132" s="18" t="s">
        <v>4875</v>
      </c>
      <c r="F2132" s="17">
        <v>1</v>
      </c>
      <c r="G2132" s="17">
        <v>90002001</v>
      </c>
      <c r="H2132" s="17">
        <v>0</v>
      </c>
      <c r="I2132" s="28">
        <v>0</v>
      </c>
      <c r="J2132" s="19">
        <v>1</v>
      </c>
      <c r="K2132" s="19">
        <v>0</v>
      </c>
      <c r="L2132" s="19">
        <v>0</v>
      </c>
      <c r="M2132" s="17">
        <v>0</v>
      </c>
      <c r="N2132" s="17">
        <v>0</v>
      </c>
      <c r="O2132" s="17">
        <v>1</v>
      </c>
      <c r="P2132" s="17">
        <v>1</v>
      </c>
      <c r="Q2132" s="17">
        <v>0.1</v>
      </c>
      <c r="R2132" s="17">
        <v>0</v>
      </c>
      <c r="S2132" s="13">
        <v>0</v>
      </c>
      <c r="T2132" s="17">
        <v>0</v>
      </c>
      <c r="U2132" s="17">
        <v>1</v>
      </c>
      <c r="V2132" s="17">
        <v>2</v>
      </c>
      <c r="W2132" s="17">
        <v>0</v>
      </c>
      <c r="X2132" s="17">
        <v>1.5</v>
      </c>
      <c r="Y2132" s="13">
        <v>0</v>
      </c>
      <c r="Z2132" s="17">
        <v>0</v>
      </c>
      <c r="AA2132" s="17">
        <v>0</v>
      </c>
      <c r="AB2132" s="17">
        <v>0</v>
      </c>
      <c r="AC2132" s="17">
        <v>0</v>
      </c>
      <c r="AD2132" s="17">
        <v>0</v>
      </c>
      <c r="AE2132" s="17">
        <v>0</v>
      </c>
      <c r="AF2132" s="17">
        <v>3</v>
      </c>
      <c r="AG2132" s="17">
        <v>2</v>
      </c>
      <c r="AH2132" s="17" t="s">
        <v>213</v>
      </c>
      <c r="AI2132" s="13">
        <v>7</v>
      </c>
      <c r="AJ2132" s="13">
        <v>2</v>
      </c>
      <c r="AK2132" s="13">
        <v>0</v>
      </c>
      <c r="AL2132" s="13">
        <v>1.5</v>
      </c>
      <c r="AM2132" s="17">
        <v>0</v>
      </c>
      <c r="AN2132" s="17">
        <v>0</v>
      </c>
      <c r="AO2132" s="17">
        <v>0</v>
      </c>
      <c r="AP2132" s="17">
        <v>1</v>
      </c>
      <c r="AQ2132" s="17">
        <v>3000</v>
      </c>
      <c r="AR2132" s="17">
        <v>0.5</v>
      </c>
      <c r="AS2132" s="17">
        <v>0</v>
      </c>
      <c r="AT2132" s="13">
        <v>0</v>
      </c>
      <c r="AU2132" s="17" t="s">
        <v>4876</v>
      </c>
      <c r="AV2132" s="17"/>
      <c r="AW2132" s="18" t="s">
        <v>287</v>
      </c>
      <c r="AX2132" s="17">
        <v>0</v>
      </c>
      <c r="AY2132" s="19">
        <v>0</v>
      </c>
      <c r="AZ2132" s="19">
        <v>0</v>
      </c>
      <c r="BA2132" s="18" t="s">
        <v>200</v>
      </c>
      <c r="BB2132" s="17">
        <v>0</v>
      </c>
      <c r="BC2132" s="28">
        <v>0</v>
      </c>
      <c r="BD2132" s="28">
        <v>1</v>
      </c>
      <c r="BE2132" s="46" t="s">
        <v>4877</v>
      </c>
      <c r="BF2132" s="46" t="s">
        <v>4878</v>
      </c>
      <c r="BG2132" s="17">
        <v>0</v>
      </c>
      <c r="BH2132" s="17">
        <v>0</v>
      </c>
      <c r="BI2132" s="17">
        <v>0</v>
      </c>
      <c r="BJ2132" s="17">
        <v>0</v>
      </c>
      <c r="BK2132" s="17">
        <v>0</v>
      </c>
      <c r="BL2132" s="17">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67000273</v>
      </c>
      <c r="D2133" s="18" t="s">
        <v>4879</v>
      </c>
      <c r="E2133" s="18" t="s">
        <v>4880</v>
      </c>
      <c r="F2133" s="17">
        <v>1</v>
      </c>
      <c r="G2133" s="17">
        <v>90002001</v>
      </c>
      <c r="H2133" s="17">
        <v>0</v>
      </c>
      <c r="I2133" s="28">
        <v>0</v>
      </c>
      <c r="J2133" s="19">
        <v>1</v>
      </c>
      <c r="K2133" s="19">
        <v>0</v>
      </c>
      <c r="L2133" s="19">
        <v>0</v>
      </c>
      <c r="M2133" s="17">
        <v>0</v>
      </c>
      <c r="N2133" s="17">
        <v>0</v>
      </c>
      <c r="O2133" s="17">
        <v>1</v>
      </c>
      <c r="P2133" s="17">
        <v>1</v>
      </c>
      <c r="Q2133" s="17">
        <v>0.1</v>
      </c>
      <c r="R2133" s="17">
        <v>0</v>
      </c>
      <c r="S2133" s="13">
        <v>0</v>
      </c>
      <c r="T2133" s="17">
        <v>0</v>
      </c>
      <c r="U2133" s="17">
        <v>1</v>
      </c>
      <c r="V2133" s="17">
        <v>2</v>
      </c>
      <c r="W2133" s="17">
        <v>0</v>
      </c>
      <c r="X2133" s="17">
        <v>2</v>
      </c>
      <c r="Y2133" s="13">
        <v>0</v>
      </c>
      <c r="Z2133" s="17">
        <v>0</v>
      </c>
      <c r="AA2133" s="17">
        <v>0</v>
      </c>
      <c r="AB2133" s="17">
        <v>0</v>
      </c>
      <c r="AC2133" s="17">
        <v>0</v>
      </c>
      <c r="AD2133" s="17">
        <v>0</v>
      </c>
      <c r="AE2133" s="17">
        <v>0</v>
      </c>
      <c r="AF2133" s="17">
        <v>3</v>
      </c>
      <c r="AG2133" s="17">
        <v>2</v>
      </c>
      <c r="AH2133" s="17" t="s">
        <v>213</v>
      </c>
      <c r="AI2133" s="13">
        <v>7</v>
      </c>
      <c r="AJ2133" s="13">
        <v>2</v>
      </c>
      <c r="AK2133" s="13">
        <v>0</v>
      </c>
      <c r="AL2133" s="13">
        <v>1.5</v>
      </c>
      <c r="AM2133" s="17">
        <v>0</v>
      </c>
      <c r="AN2133" s="17">
        <v>0</v>
      </c>
      <c r="AO2133" s="17">
        <v>0</v>
      </c>
      <c r="AP2133" s="17">
        <v>1</v>
      </c>
      <c r="AQ2133" s="17">
        <v>3000</v>
      </c>
      <c r="AR2133" s="17">
        <v>0.5</v>
      </c>
      <c r="AS2133" s="17">
        <v>0</v>
      </c>
      <c r="AT2133" s="13">
        <v>0</v>
      </c>
      <c r="AU2133" s="17" t="s">
        <v>198</v>
      </c>
      <c r="AV2133" s="17"/>
      <c r="AW2133" s="18" t="s">
        <v>287</v>
      </c>
      <c r="AX2133" s="17">
        <v>0</v>
      </c>
      <c r="AY2133" s="19">
        <v>0</v>
      </c>
      <c r="AZ2133" s="19">
        <v>0</v>
      </c>
      <c r="BA2133" s="18" t="s">
        <v>200</v>
      </c>
      <c r="BB2133" s="17">
        <v>0</v>
      </c>
      <c r="BC2133" s="28">
        <v>0</v>
      </c>
      <c r="BD2133" s="28">
        <v>1</v>
      </c>
      <c r="BE2133" s="46" t="s">
        <v>4881</v>
      </c>
      <c r="BF2133" s="46" t="s">
        <v>4882</v>
      </c>
      <c r="BG2133" s="17">
        <v>0</v>
      </c>
      <c r="BH2133" s="17">
        <v>0</v>
      </c>
      <c r="BI2133" s="17">
        <v>0</v>
      </c>
      <c r="BJ2133" s="17">
        <v>0</v>
      </c>
      <c r="BK2133" s="17">
        <v>0</v>
      </c>
      <c r="BL2133" s="17">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67000274</v>
      </c>
      <c r="D2134" s="18" t="s">
        <v>4883</v>
      </c>
      <c r="E2134" s="18" t="s">
        <v>4884</v>
      </c>
      <c r="F2134" s="17">
        <v>1</v>
      </c>
      <c r="G2134" s="17">
        <v>90002001</v>
      </c>
      <c r="H2134" s="17">
        <v>0</v>
      </c>
      <c r="I2134" s="28">
        <v>0</v>
      </c>
      <c r="J2134" s="19">
        <v>1</v>
      </c>
      <c r="K2134" s="19">
        <v>0</v>
      </c>
      <c r="L2134" s="19">
        <v>0</v>
      </c>
      <c r="M2134" s="17">
        <v>0</v>
      </c>
      <c r="N2134" s="17">
        <v>0</v>
      </c>
      <c r="O2134" s="17">
        <v>1</v>
      </c>
      <c r="P2134" s="17">
        <v>1</v>
      </c>
      <c r="Q2134" s="17">
        <v>0.1</v>
      </c>
      <c r="R2134" s="17">
        <v>0</v>
      </c>
      <c r="S2134" s="13">
        <v>0</v>
      </c>
      <c r="T2134" s="17">
        <v>0</v>
      </c>
      <c r="U2134" s="17">
        <v>1</v>
      </c>
      <c r="V2134" s="17">
        <v>2</v>
      </c>
      <c r="W2134" s="17">
        <v>0</v>
      </c>
      <c r="X2134" s="17">
        <v>1</v>
      </c>
      <c r="Y2134" s="13">
        <v>0</v>
      </c>
      <c r="Z2134" s="17">
        <v>0</v>
      </c>
      <c r="AA2134" s="17">
        <v>0</v>
      </c>
      <c r="AB2134" s="17">
        <v>0</v>
      </c>
      <c r="AC2134" s="17">
        <v>0</v>
      </c>
      <c r="AD2134" s="17">
        <v>0</v>
      </c>
      <c r="AE2134" s="17">
        <v>0</v>
      </c>
      <c r="AF2134" s="17">
        <v>10</v>
      </c>
      <c r="AG2134" s="17">
        <v>2</v>
      </c>
      <c r="AH2134" s="17" t="s">
        <v>213</v>
      </c>
      <c r="AI2134" s="13">
        <v>0</v>
      </c>
      <c r="AJ2134" s="13">
        <v>0</v>
      </c>
      <c r="AK2134" s="13">
        <v>0</v>
      </c>
      <c r="AL2134" s="13">
        <v>1.5</v>
      </c>
      <c r="AM2134" s="17">
        <v>0</v>
      </c>
      <c r="AN2134" s="17">
        <v>0</v>
      </c>
      <c r="AO2134" s="17">
        <v>0</v>
      </c>
      <c r="AP2134" s="17">
        <v>1</v>
      </c>
      <c r="AQ2134" s="17">
        <v>3000</v>
      </c>
      <c r="AR2134" s="17">
        <v>0.5</v>
      </c>
      <c r="AS2134" s="17">
        <v>0</v>
      </c>
      <c r="AT2134" s="13">
        <v>0</v>
      </c>
      <c r="AU2134" s="17" t="s">
        <v>1460</v>
      </c>
      <c r="AV2134" s="17"/>
      <c r="AW2134" s="18" t="s">
        <v>287</v>
      </c>
      <c r="AX2134" s="17">
        <v>0</v>
      </c>
      <c r="AY2134" s="19">
        <v>10000007</v>
      </c>
      <c r="AZ2134" s="19">
        <v>23000070</v>
      </c>
      <c r="BA2134" s="18" t="s">
        <v>200</v>
      </c>
      <c r="BB2134" s="17">
        <v>0</v>
      </c>
      <c r="BC2134" s="28">
        <v>0</v>
      </c>
      <c r="BD2134" s="28">
        <v>1</v>
      </c>
      <c r="BE2134" s="46" t="s">
        <v>4885</v>
      </c>
      <c r="BF2134" s="46" t="s">
        <v>4886</v>
      </c>
      <c r="BG2134" s="17">
        <v>0</v>
      </c>
      <c r="BH2134" s="17">
        <v>0</v>
      </c>
      <c r="BI2134" s="17">
        <v>0</v>
      </c>
      <c r="BJ2134" s="17">
        <v>0</v>
      </c>
      <c r="BK2134" s="17">
        <v>0</v>
      </c>
      <c r="BL2134" s="17">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67000275</v>
      </c>
      <c r="D2135" s="61" t="s">
        <v>4887</v>
      </c>
      <c r="E2135" s="61" t="s">
        <v>4888</v>
      </c>
      <c r="F2135" s="17">
        <v>1</v>
      </c>
      <c r="G2135" s="17">
        <v>90002001</v>
      </c>
      <c r="H2135" s="62">
        <v>0</v>
      </c>
      <c r="I2135" s="28">
        <v>0</v>
      </c>
      <c r="J2135" s="19">
        <v>1</v>
      </c>
      <c r="K2135" s="19">
        <v>0</v>
      </c>
      <c r="L2135" s="19">
        <v>0</v>
      </c>
      <c r="M2135" s="62">
        <v>0</v>
      </c>
      <c r="N2135" s="62">
        <v>0</v>
      </c>
      <c r="O2135" s="62">
        <v>1</v>
      </c>
      <c r="P2135" s="62">
        <v>2</v>
      </c>
      <c r="Q2135" s="62">
        <v>1</v>
      </c>
      <c r="R2135" s="62">
        <v>0</v>
      </c>
      <c r="S2135" s="13">
        <v>0</v>
      </c>
      <c r="T2135" s="62">
        <v>0</v>
      </c>
      <c r="U2135" s="17">
        <v>1</v>
      </c>
      <c r="V2135" s="62">
        <v>2</v>
      </c>
      <c r="W2135" s="62">
        <v>0</v>
      </c>
      <c r="X2135" s="62">
        <v>0</v>
      </c>
      <c r="Y2135" s="13">
        <v>0</v>
      </c>
      <c r="Z2135" s="62">
        <v>0</v>
      </c>
      <c r="AA2135" s="62">
        <v>0</v>
      </c>
      <c r="AB2135" s="62">
        <v>0</v>
      </c>
      <c r="AC2135" s="62">
        <v>0</v>
      </c>
      <c r="AD2135" s="62">
        <v>0</v>
      </c>
      <c r="AE2135" s="62">
        <v>0</v>
      </c>
      <c r="AF2135" s="62">
        <v>20</v>
      </c>
      <c r="AG2135" s="62">
        <v>2</v>
      </c>
      <c r="AH2135" s="62" t="s">
        <v>213</v>
      </c>
      <c r="AI2135" s="13">
        <v>0</v>
      </c>
      <c r="AJ2135" s="13">
        <v>0</v>
      </c>
      <c r="AK2135" s="13">
        <v>0</v>
      </c>
      <c r="AL2135" s="70">
        <v>1.5</v>
      </c>
      <c r="AM2135" s="62">
        <v>0</v>
      </c>
      <c r="AN2135" s="62">
        <v>0</v>
      </c>
      <c r="AO2135" s="62">
        <v>0</v>
      </c>
      <c r="AP2135" s="62">
        <v>1</v>
      </c>
      <c r="AQ2135" s="62">
        <v>3000</v>
      </c>
      <c r="AR2135" s="62">
        <v>0.5</v>
      </c>
      <c r="AS2135" s="62">
        <v>0</v>
      </c>
      <c r="AT2135" s="13">
        <v>0</v>
      </c>
      <c r="AU2135" s="62" t="s">
        <v>4889</v>
      </c>
      <c r="AV2135" s="62"/>
      <c r="AW2135" s="61" t="s">
        <v>287</v>
      </c>
      <c r="AX2135" s="17">
        <v>0</v>
      </c>
      <c r="AY2135" s="66">
        <v>10000007</v>
      </c>
      <c r="AZ2135" s="19">
        <v>23000050</v>
      </c>
      <c r="BA2135" s="61" t="s">
        <v>200</v>
      </c>
      <c r="BB2135" s="62">
        <v>0</v>
      </c>
      <c r="BC2135" s="68">
        <v>0</v>
      </c>
      <c r="BD2135" s="28">
        <v>1</v>
      </c>
      <c r="BE2135" s="92" t="s">
        <v>4890</v>
      </c>
      <c r="BF2135" s="92" t="s">
        <v>4891</v>
      </c>
      <c r="BG2135" s="62">
        <v>0</v>
      </c>
      <c r="BH2135" s="17">
        <v>0</v>
      </c>
      <c r="BI2135" s="62">
        <v>0</v>
      </c>
      <c r="BJ2135" s="62">
        <v>0</v>
      </c>
      <c r="BK2135" s="62">
        <v>0</v>
      </c>
      <c r="BL2135" s="62">
        <v>0</v>
      </c>
      <c r="BM2135" s="17">
        <v>0</v>
      </c>
      <c r="BN2135" s="13">
        <v>0</v>
      </c>
      <c r="BO2135" s="13">
        <v>0</v>
      </c>
      <c r="BP2135" s="13">
        <v>0</v>
      </c>
      <c r="BQ2135" s="13">
        <v>0</v>
      </c>
      <c r="BR2135" s="13">
        <v>0</v>
      </c>
      <c r="BS2135" s="13">
        <v>0</v>
      </c>
      <c r="BT2135" s="13">
        <v>0</v>
      </c>
      <c r="BU2135" s="49">
        <v>0</v>
      </c>
      <c r="BV2135" s="49"/>
      <c r="BW2135" s="49"/>
    </row>
    <row r="2136" spans="3:75" ht="20.100000000000001" customHeight="1">
      <c r="C2136" s="19">
        <v>67000276</v>
      </c>
      <c r="D2136" s="61" t="s">
        <v>4892</v>
      </c>
      <c r="E2136" s="61" t="s">
        <v>4893</v>
      </c>
      <c r="F2136" s="17">
        <v>1</v>
      </c>
      <c r="G2136" s="17">
        <v>90002001</v>
      </c>
      <c r="H2136" s="62">
        <v>0</v>
      </c>
      <c r="I2136" s="28">
        <v>0</v>
      </c>
      <c r="J2136" s="19">
        <v>1</v>
      </c>
      <c r="K2136" s="19">
        <v>0</v>
      </c>
      <c r="L2136" s="19">
        <v>0</v>
      </c>
      <c r="M2136" s="62">
        <v>0</v>
      </c>
      <c r="N2136" s="62">
        <v>0</v>
      </c>
      <c r="O2136" s="62">
        <v>1</v>
      </c>
      <c r="P2136" s="62">
        <v>2</v>
      </c>
      <c r="Q2136" s="62">
        <v>1</v>
      </c>
      <c r="R2136" s="62">
        <v>0</v>
      </c>
      <c r="S2136" s="13">
        <v>0</v>
      </c>
      <c r="T2136" s="62">
        <v>0</v>
      </c>
      <c r="U2136" s="17">
        <v>1</v>
      </c>
      <c r="V2136" s="62">
        <v>2</v>
      </c>
      <c r="W2136" s="62">
        <v>0</v>
      </c>
      <c r="X2136" s="62">
        <v>0</v>
      </c>
      <c r="Y2136" s="13">
        <v>0</v>
      </c>
      <c r="Z2136" s="62">
        <v>0</v>
      </c>
      <c r="AA2136" s="62">
        <v>0</v>
      </c>
      <c r="AB2136" s="62">
        <v>0</v>
      </c>
      <c r="AC2136" s="62">
        <v>0</v>
      </c>
      <c r="AD2136" s="62">
        <v>0</v>
      </c>
      <c r="AE2136" s="62">
        <v>0</v>
      </c>
      <c r="AF2136" s="62">
        <v>30</v>
      </c>
      <c r="AG2136" s="62">
        <v>2</v>
      </c>
      <c r="AH2136" s="62" t="s">
        <v>213</v>
      </c>
      <c r="AI2136" s="13">
        <v>0</v>
      </c>
      <c r="AJ2136" s="13">
        <v>0</v>
      </c>
      <c r="AK2136" s="13">
        <v>0</v>
      </c>
      <c r="AL2136" s="70">
        <v>1.5</v>
      </c>
      <c r="AM2136" s="62">
        <v>0</v>
      </c>
      <c r="AN2136" s="62">
        <v>0</v>
      </c>
      <c r="AO2136" s="62">
        <v>0</v>
      </c>
      <c r="AP2136" s="62">
        <v>1</v>
      </c>
      <c r="AQ2136" s="62">
        <v>3000</v>
      </c>
      <c r="AR2136" s="62">
        <v>0.5</v>
      </c>
      <c r="AS2136" s="62">
        <v>0</v>
      </c>
      <c r="AT2136" s="13">
        <v>0</v>
      </c>
      <c r="AU2136" s="62" t="s">
        <v>4894</v>
      </c>
      <c r="AV2136" s="62"/>
      <c r="AW2136" s="61" t="s">
        <v>287</v>
      </c>
      <c r="AX2136" s="17">
        <v>0</v>
      </c>
      <c r="AY2136" s="66">
        <v>10000007</v>
      </c>
      <c r="AZ2136" s="19">
        <v>23000060</v>
      </c>
      <c r="BA2136" s="61" t="s">
        <v>200</v>
      </c>
      <c r="BB2136" s="62">
        <v>0</v>
      </c>
      <c r="BC2136" s="68">
        <v>0</v>
      </c>
      <c r="BD2136" s="68">
        <v>0</v>
      </c>
      <c r="BE2136" s="92" t="s">
        <v>4895</v>
      </c>
      <c r="BF2136" s="92" t="s">
        <v>4896</v>
      </c>
      <c r="BG2136" s="62">
        <v>0</v>
      </c>
      <c r="BH2136" s="17">
        <v>0</v>
      </c>
      <c r="BI2136" s="62">
        <v>0</v>
      </c>
      <c r="BJ2136" s="62">
        <v>0</v>
      </c>
      <c r="BK2136" s="62">
        <v>0</v>
      </c>
      <c r="BL2136" s="62">
        <v>0</v>
      </c>
      <c r="BM2136" s="17">
        <v>0</v>
      </c>
      <c r="BN2136" s="13">
        <v>0</v>
      </c>
      <c r="BO2136" s="13">
        <v>0</v>
      </c>
      <c r="BP2136" s="13">
        <v>0</v>
      </c>
      <c r="BQ2136" s="13">
        <v>0</v>
      </c>
      <c r="BR2136" s="13">
        <v>0</v>
      </c>
      <c r="BS2136" s="13">
        <v>0</v>
      </c>
      <c r="BT2136" s="13">
        <v>0</v>
      </c>
      <c r="BU2136" s="49">
        <v>0</v>
      </c>
      <c r="BV2136" s="49"/>
      <c r="BW2136" s="49"/>
    </row>
    <row r="2137" spans="3:75" ht="20.100000000000001" customHeight="1">
      <c r="C2137" s="19">
        <v>67000277</v>
      </c>
      <c r="D2137" s="61" t="s">
        <v>625</v>
      </c>
      <c r="E2137" s="61" t="s">
        <v>626</v>
      </c>
      <c r="F2137" s="17">
        <v>1</v>
      </c>
      <c r="G2137" s="17">
        <v>90002001</v>
      </c>
      <c r="H2137" s="62">
        <v>0</v>
      </c>
      <c r="I2137" s="28">
        <v>0</v>
      </c>
      <c r="J2137" s="19">
        <v>1</v>
      </c>
      <c r="K2137" s="19">
        <v>0</v>
      </c>
      <c r="L2137" s="19">
        <v>0</v>
      </c>
      <c r="M2137" s="62">
        <v>0</v>
      </c>
      <c r="N2137" s="62">
        <v>0</v>
      </c>
      <c r="O2137" s="62">
        <v>1</v>
      </c>
      <c r="P2137" s="62">
        <v>0</v>
      </c>
      <c r="Q2137" s="62">
        <v>0</v>
      </c>
      <c r="R2137" s="62">
        <v>0</v>
      </c>
      <c r="S2137" s="13">
        <v>0</v>
      </c>
      <c r="T2137" s="62">
        <v>0</v>
      </c>
      <c r="U2137" s="17">
        <v>1</v>
      </c>
      <c r="V2137" s="62">
        <v>2</v>
      </c>
      <c r="W2137" s="62">
        <v>0</v>
      </c>
      <c r="X2137" s="62">
        <v>1</v>
      </c>
      <c r="Y2137" s="13">
        <v>0</v>
      </c>
      <c r="Z2137" s="62">
        <v>0</v>
      </c>
      <c r="AA2137" s="62">
        <v>0</v>
      </c>
      <c r="AB2137" s="62">
        <v>0</v>
      </c>
      <c r="AC2137" s="62">
        <v>0</v>
      </c>
      <c r="AD2137" s="62">
        <v>0</v>
      </c>
      <c r="AE2137" s="62">
        <v>0</v>
      </c>
      <c r="AF2137" s="62">
        <v>30</v>
      </c>
      <c r="AG2137" s="62">
        <v>2</v>
      </c>
      <c r="AH2137" s="62" t="s">
        <v>627</v>
      </c>
      <c r="AI2137" s="13">
        <v>0</v>
      </c>
      <c r="AJ2137" s="13">
        <v>2</v>
      </c>
      <c r="AK2137" s="13">
        <v>0</v>
      </c>
      <c r="AL2137" s="70">
        <v>0</v>
      </c>
      <c r="AM2137" s="62">
        <v>0</v>
      </c>
      <c r="AN2137" s="62">
        <v>0</v>
      </c>
      <c r="AO2137" s="62">
        <v>0</v>
      </c>
      <c r="AP2137" s="62">
        <v>5</v>
      </c>
      <c r="AQ2137" s="62">
        <v>5000</v>
      </c>
      <c r="AR2137" s="62">
        <v>0</v>
      </c>
      <c r="AS2137" s="62">
        <v>0</v>
      </c>
      <c r="AT2137" s="13">
        <v>0</v>
      </c>
      <c r="AU2137" s="62">
        <v>0</v>
      </c>
      <c r="AV2137" s="62"/>
      <c r="AW2137" s="61" t="s">
        <v>287</v>
      </c>
      <c r="AX2137" s="17">
        <v>0</v>
      </c>
      <c r="AY2137" s="66">
        <v>0</v>
      </c>
      <c r="AZ2137" s="19">
        <v>21000010</v>
      </c>
      <c r="BA2137" s="61" t="s">
        <v>628</v>
      </c>
      <c r="BB2137" s="62" t="s">
        <v>4897</v>
      </c>
      <c r="BC2137" s="68">
        <v>0</v>
      </c>
      <c r="BD2137" s="68">
        <v>0</v>
      </c>
      <c r="BE2137" s="92" t="s">
        <v>4895</v>
      </c>
      <c r="BF2137" s="92" t="s">
        <v>4896</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spans="3:75" ht="20.100000000000001" customHeight="1">
      <c r="C2138" s="19">
        <v>67000278</v>
      </c>
      <c r="D2138" s="20" t="s">
        <v>4898</v>
      </c>
      <c r="E2138" s="20" t="s">
        <v>4899</v>
      </c>
      <c r="F2138" s="17">
        <v>1</v>
      </c>
      <c r="G2138" s="19">
        <v>63001001</v>
      </c>
      <c r="H2138" s="19">
        <v>0</v>
      </c>
      <c r="I2138" s="28">
        <v>0</v>
      </c>
      <c r="J2138" s="19">
        <v>1</v>
      </c>
      <c r="K2138" s="19">
        <v>0</v>
      </c>
      <c r="L2138" s="17">
        <v>0</v>
      </c>
      <c r="M2138" s="19">
        <v>0</v>
      </c>
      <c r="N2138" s="19">
        <v>0</v>
      </c>
      <c r="O2138" s="19">
        <v>1</v>
      </c>
      <c r="P2138" s="19">
        <v>0</v>
      </c>
      <c r="Q2138" s="19">
        <v>1</v>
      </c>
      <c r="R2138" s="19">
        <v>0</v>
      </c>
      <c r="S2138" s="13">
        <v>0</v>
      </c>
      <c r="T2138" s="28">
        <v>0</v>
      </c>
      <c r="U2138" s="17">
        <v>1</v>
      </c>
      <c r="V2138" s="19">
        <v>2</v>
      </c>
      <c r="W2138" s="19">
        <v>0</v>
      </c>
      <c r="X2138" s="19">
        <v>0</v>
      </c>
      <c r="Y2138" s="13">
        <v>0</v>
      </c>
      <c r="Z2138" s="19">
        <v>0</v>
      </c>
      <c r="AA2138" s="19">
        <v>0</v>
      </c>
      <c r="AB2138" s="19">
        <v>0</v>
      </c>
      <c r="AC2138" s="19">
        <v>0</v>
      </c>
      <c r="AD2138" s="19">
        <v>1</v>
      </c>
      <c r="AE2138" s="19">
        <v>0</v>
      </c>
      <c r="AF2138" s="19">
        <v>60</v>
      </c>
      <c r="AG2138" s="19">
        <v>2</v>
      </c>
      <c r="AH2138" s="19" t="s">
        <v>4900</v>
      </c>
      <c r="AI2138" s="13">
        <v>0</v>
      </c>
      <c r="AJ2138" s="13">
        <v>0</v>
      </c>
      <c r="AK2138" s="13">
        <v>0</v>
      </c>
      <c r="AL2138" s="13">
        <v>0</v>
      </c>
      <c r="AM2138" s="19">
        <v>0</v>
      </c>
      <c r="AN2138" s="19">
        <v>0</v>
      </c>
      <c r="AO2138" s="19">
        <v>0</v>
      </c>
      <c r="AP2138" s="19">
        <v>1</v>
      </c>
      <c r="AQ2138" s="19">
        <v>1800000</v>
      </c>
      <c r="AR2138" s="19">
        <v>0</v>
      </c>
      <c r="AS2138" s="19">
        <v>0</v>
      </c>
      <c r="AT2138" s="13">
        <v>0</v>
      </c>
      <c r="AU2138" s="19">
        <v>90106002</v>
      </c>
      <c r="AV2138" s="19"/>
      <c r="AW2138" s="20" t="s">
        <v>198</v>
      </c>
      <c r="AX2138" s="19">
        <v>0</v>
      </c>
      <c r="AY2138" s="19">
        <v>0</v>
      </c>
      <c r="AZ2138" s="19">
        <v>0</v>
      </c>
      <c r="BA2138" s="20" t="s">
        <v>2791</v>
      </c>
      <c r="BB2138" s="20">
        <v>0</v>
      </c>
      <c r="BC2138" s="28">
        <v>0</v>
      </c>
      <c r="BD2138" s="28">
        <v>0</v>
      </c>
      <c r="BE2138" s="186" t="s">
        <v>4901</v>
      </c>
      <c r="BF2138" s="186" t="s">
        <v>4902</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spans="3:75" ht="19.5" customHeight="1">
      <c r="C2139" s="19">
        <v>67000279</v>
      </c>
      <c r="D2139" s="18" t="s">
        <v>4903</v>
      </c>
      <c r="E2139" s="18" t="s">
        <v>4904</v>
      </c>
      <c r="F2139" s="17">
        <v>1</v>
      </c>
      <c r="G2139" s="17">
        <v>62011201</v>
      </c>
      <c r="H2139" s="17">
        <v>0</v>
      </c>
      <c r="I2139" s="28">
        <v>0</v>
      </c>
      <c r="J2139" s="17">
        <v>5</v>
      </c>
      <c r="K2139" s="17">
        <v>3</v>
      </c>
      <c r="L2139" s="17">
        <v>0</v>
      </c>
      <c r="M2139" s="17">
        <v>0</v>
      </c>
      <c r="N2139" s="17">
        <v>0</v>
      </c>
      <c r="O2139" s="17">
        <v>1</v>
      </c>
      <c r="P2139" s="17">
        <v>0</v>
      </c>
      <c r="Q2139" s="17">
        <v>0</v>
      </c>
      <c r="R2139" s="17">
        <v>0</v>
      </c>
      <c r="S2139" s="13">
        <v>0</v>
      </c>
      <c r="T2139" s="17">
        <v>0</v>
      </c>
      <c r="U2139" s="17">
        <v>1</v>
      </c>
      <c r="V2139" s="17">
        <v>2</v>
      </c>
      <c r="W2139" s="17">
        <v>0</v>
      </c>
      <c r="X2139" s="17">
        <v>1.5</v>
      </c>
      <c r="Y2139" s="13">
        <v>0</v>
      </c>
      <c r="Z2139" s="17">
        <v>10</v>
      </c>
      <c r="AA2139" s="17">
        <v>1</v>
      </c>
      <c r="AB2139" s="17">
        <v>0</v>
      </c>
      <c r="AC2139" s="17">
        <v>0</v>
      </c>
      <c r="AD2139" s="17">
        <v>0</v>
      </c>
      <c r="AE2139" s="17">
        <v>0</v>
      </c>
      <c r="AF2139" s="17">
        <v>5</v>
      </c>
      <c r="AG2139" s="17">
        <v>1</v>
      </c>
      <c r="AH2139" s="17">
        <v>10</v>
      </c>
      <c r="AI2139" s="13">
        <v>0</v>
      </c>
      <c r="AJ2139" s="13">
        <v>0</v>
      </c>
      <c r="AK2139" s="13">
        <v>0</v>
      </c>
      <c r="AL2139" s="13">
        <v>0</v>
      </c>
      <c r="AM2139" s="17">
        <v>0</v>
      </c>
      <c r="AN2139" s="17">
        <v>0</v>
      </c>
      <c r="AO2139" s="17">
        <v>0</v>
      </c>
      <c r="AP2139" s="17">
        <v>0.5</v>
      </c>
      <c r="AQ2139" s="17">
        <v>3000</v>
      </c>
      <c r="AR2139" s="17">
        <v>0.2</v>
      </c>
      <c r="AS2139" s="17">
        <v>0</v>
      </c>
      <c r="AT2139" s="13">
        <v>0</v>
      </c>
      <c r="AU2139" s="17" t="s">
        <v>198</v>
      </c>
      <c r="AV2139" s="17"/>
      <c r="AW2139" s="18" t="s">
        <v>617</v>
      </c>
      <c r="AX2139" s="17" t="s">
        <v>534</v>
      </c>
      <c r="AY2139" s="19">
        <v>10000007</v>
      </c>
      <c r="AZ2139" s="19">
        <v>21000020</v>
      </c>
      <c r="BA2139" s="18" t="s">
        <v>1526</v>
      </c>
      <c r="BB2139" s="17">
        <v>0</v>
      </c>
      <c r="BC2139" s="28">
        <v>0</v>
      </c>
      <c r="BD2139" s="28">
        <v>0</v>
      </c>
      <c r="BE2139" s="186" t="s">
        <v>4905</v>
      </c>
      <c r="BF2139" s="186" t="s">
        <v>4906</v>
      </c>
      <c r="BG2139" s="17">
        <v>0</v>
      </c>
      <c r="BH2139" s="17">
        <v>0</v>
      </c>
      <c r="BI2139" s="17">
        <v>0</v>
      </c>
      <c r="BJ2139" s="17">
        <v>0</v>
      </c>
      <c r="BK2139" s="17">
        <v>0</v>
      </c>
      <c r="BL2139" s="17">
        <v>0</v>
      </c>
      <c r="BM2139" s="16">
        <v>0</v>
      </c>
      <c r="BN2139" s="13">
        <v>0</v>
      </c>
      <c r="BO2139" s="13">
        <v>0</v>
      </c>
      <c r="BP2139" s="13">
        <v>0</v>
      </c>
      <c r="BQ2139" s="13">
        <v>0</v>
      </c>
      <c r="BR2139" s="13">
        <v>0</v>
      </c>
      <c r="BS2139" s="13">
        <v>0</v>
      </c>
      <c r="BT2139" s="13">
        <v>0</v>
      </c>
      <c r="BU2139" s="49">
        <v>0</v>
      </c>
      <c r="BV2139" s="49"/>
      <c r="BW2139" s="49"/>
    </row>
    <row r="2140" spans="3:75" ht="20.100000000000001" customHeight="1">
      <c r="C2140" s="19">
        <v>67000280</v>
      </c>
      <c r="D2140" s="18" t="s">
        <v>4907</v>
      </c>
      <c r="E2140" s="18" t="s">
        <v>4908</v>
      </c>
      <c r="F2140" s="17">
        <v>1</v>
      </c>
      <c r="G2140" s="17">
        <v>62011201</v>
      </c>
      <c r="H2140" s="17">
        <v>0</v>
      </c>
      <c r="I2140" s="28">
        <v>0</v>
      </c>
      <c r="J2140" s="17">
        <v>5</v>
      </c>
      <c r="K2140" s="17">
        <v>3</v>
      </c>
      <c r="L2140" s="17">
        <v>0</v>
      </c>
      <c r="M2140" s="17">
        <v>0</v>
      </c>
      <c r="N2140" s="17">
        <v>0</v>
      </c>
      <c r="O2140" s="17">
        <v>1</v>
      </c>
      <c r="P2140" s="17">
        <v>0</v>
      </c>
      <c r="Q2140" s="17">
        <v>0</v>
      </c>
      <c r="R2140" s="17">
        <v>0</v>
      </c>
      <c r="S2140" s="13">
        <v>0</v>
      </c>
      <c r="T2140" s="17">
        <v>0</v>
      </c>
      <c r="U2140" s="17">
        <v>1</v>
      </c>
      <c r="V2140" s="17">
        <v>2</v>
      </c>
      <c r="W2140" s="17">
        <v>0</v>
      </c>
      <c r="X2140" s="17">
        <v>1.5</v>
      </c>
      <c r="Y2140" s="13">
        <v>0</v>
      </c>
      <c r="Z2140" s="17">
        <v>10</v>
      </c>
      <c r="AA2140" s="17">
        <v>1</v>
      </c>
      <c r="AB2140" s="17">
        <v>0</v>
      </c>
      <c r="AC2140" s="17">
        <v>0</v>
      </c>
      <c r="AD2140" s="17">
        <v>0</v>
      </c>
      <c r="AE2140" s="17">
        <v>0</v>
      </c>
      <c r="AF2140" s="17">
        <v>5</v>
      </c>
      <c r="AG2140" s="17">
        <v>1</v>
      </c>
      <c r="AH2140" s="62">
        <v>3</v>
      </c>
      <c r="AI2140" s="13">
        <v>2</v>
      </c>
      <c r="AJ2140" s="13">
        <v>1</v>
      </c>
      <c r="AK2140" s="13">
        <v>0</v>
      </c>
      <c r="AL2140" s="13">
        <v>8</v>
      </c>
      <c r="AM2140" s="17">
        <v>0</v>
      </c>
      <c r="AN2140" s="17">
        <v>0</v>
      </c>
      <c r="AO2140" s="17">
        <v>0</v>
      </c>
      <c r="AP2140" s="17">
        <v>0.5</v>
      </c>
      <c r="AQ2140" s="17">
        <v>10000</v>
      </c>
      <c r="AR2140" s="17">
        <v>0.2</v>
      </c>
      <c r="AS2140" s="17">
        <v>0</v>
      </c>
      <c r="AT2140" s="13">
        <v>0</v>
      </c>
      <c r="AU2140" s="17" t="s">
        <v>198</v>
      </c>
      <c r="AV2140" s="17"/>
      <c r="AW2140" s="18" t="s">
        <v>617</v>
      </c>
      <c r="AX2140" s="17" t="s">
        <v>534</v>
      </c>
      <c r="AY2140" s="19">
        <v>10000007</v>
      </c>
      <c r="AZ2140" s="19">
        <v>21102020</v>
      </c>
      <c r="BA2140" s="18" t="s">
        <v>1526</v>
      </c>
      <c r="BB2140" s="17">
        <v>0</v>
      </c>
      <c r="BC2140" s="28">
        <v>0</v>
      </c>
      <c r="BD2140" s="28">
        <v>0</v>
      </c>
      <c r="BE2140" s="186" t="s">
        <v>4909</v>
      </c>
      <c r="BF2140" s="186" t="s">
        <v>4910</v>
      </c>
      <c r="BG2140" s="17">
        <v>0</v>
      </c>
      <c r="BH2140" s="17">
        <v>0</v>
      </c>
      <c r="BI2140" s="17">
        <v>0</v>
      </c>
      <c r="BJ2140" s="17">
        <v>0</v>
      </c>
      <c r="BK2140" s="17">
        <v>0</v>
      </c>
      <c r="BL2140" s="17">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67000281</v>
      </c>
      <c r="D2141" s="18" t="s">
        <v>4911</v>
      </c>
      <c r="E2141" s="18" t="s">
        <v>4912</v>
      </c>
      <c r="F2141" s="17">
        <v>1</v>
      </c>
      <c r="G2141" s="17">
        <v>62011201</v>
      </c>
      <c r="H2141" s="17">
        <v>0</v>
      </c>
      <c r="I2141" s="28">
        <v>0</v>
      </c>
      <c r="J2141" s="17">
        <v>5</v>
      </c>
      <c r="K2141" s="17">
        <v>3</v>
      </c>
      <c r="L2141" s="17">
        <v>0</v>
      </c>
      <c r="M2141" s="17">
        <v>0</v>
      </c>
      <c r="N2141" s="17">
        <v>0</v>
      </c>
      <c r="O2141" s="17">
        <v>1</v>
      </c>
      <c r="P2141" s="17">
        <v>0</v>
      </c>
      <c r="Q2141" s="17">
        <v>0</v>
      </c>
      <c r="R2141" s="17">
        <v>0</v>
      </c>
      <c r="S2141" s="13">
        <v>0</v>
      </c>
      <c r="T2141" s="17">
        <v>0</v>
      </c>
      <c r="U2141" s="17">
        <v>1</v>
      </c>
      <c r="V2141" s="17">
        <v>2</v>
      </c>
      <c r="W2141" s="17">
        <v>0</v>
      </c>
      <c r="X2141" s="17">
        <v>1.5</v>
      </c>
      <c r="Y2141" s="13">
        <v>0</v>
      </c>
      <c r="Z2141" s="17">
        <v>10</v>
      </c>
      <c r="AA2141" s="17">
        <v>1</v>
      </c>
      <c r="AB2141" s="17">
        <v>0</v>
      </c>
      <c r="AC2141" s="17">
        <v>0</v>
      </c>
      <c r="AD2141" s="17">
        <v>0</v>
      </c>
      <c r="AE2141" s="17">
        <v>0</v>
      </c>
      <c r="AF2141" s="17">
        <v>5</v>
      </c>
      <c r="AG2141" s="17">
        <v>1</v>
      </c>
      <c r="AH2141" s="62">
        <v>3</v>
      </c>
      <c r="AI2141" s="13">
        <v>0</v>
      </c>
      <c r="AJ2141" s="13">
        <v>2</v>
      </c>
      <c r="AK2141" s="13">
        <v>0</v>
      </c>
      <c r="AL2141" s="13">
        <v>3</v>
      </c>
      <c r="AM2141" s="17">
        <v>0</v>
      </c>
      <c r="AN2141" s="17">
        <v>0</v>
      </c>
      <c r="AO2141" s="17">
        <v>0</v>
      </c>
      <c r="AP2141" s="17">
        <v>0.5</v>
      </c>
      <c r="AQ2141" s="17">
        <v>10000</v>
      </c>
      <c r="AR2141" s="17">
        <v>0.2</v>
      </c>
      <c r="AS2141" s="17">
        <v>3</v>
      </c>
      <c r="AT2141" s="13">
        <v>0</v>
      </c>
      <c r="AU2141" s="17" t="s">
        <v>198</v>
      </c>
      <c r="AV2141" s="17"/>
      <c r="AW2141" s="18" t="s">
        <v>617</v>
      </c>
      <c r="AX2141" s="17" t="s">
        <v>534</v>
      </c>
      <c r="AY2141" s="19">
        <v>10000007</v>
      </c>
      <c r="AZ2141" s="19">
        <v>21102020</v>
      </c>
      <c r="BA2141" s="18" t="s">
        <v>1551</v>
      </c>
      <c r="BB2141" s="17">
        <v>0</v>
      </c>
      <c r="BC2141" s="28">
        <v>0</v>
      </c>
      <c r="BD2141" s="28">
        <v>0</v>
      </c>
      <c r="BE2141" s="186" t="s">
        <v>4913</v>
      </c>
      <c r="BF2141" s="186" t="s">
        <v>4914</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spans="3:75" ht="19.5" customHeight="1">
      <c r="C2142" s="19">
        <v>67000282</v>
      </c>
      <c r="D2142" s="18" t="s">
        <v>4915</v>
      </c>
      <c r="E2142" s="18" t="s">
        <v>4916</v>
      </c>
      <c r="F2142" s="17">
        <v>1</v>
      </c>
      <c r="G2142" s="19">
        <v>61021201</v>
      </c>
      <c r="H2142" s="19">
        <v>0</v>
      </c>
      <c r="I2142" s="28">
        <v>0</v>
      </c>
      <c r="J2142" s="17">
        <f>J2136+5</f>
        <v>6</v>
      </c>
      <c r="K2142" s="17">
        <v>5</v>
      </c>
      <c r="L2142" s="17">
        <v>0</v>
      </c>
      <c r="M2142" s="19">
        <v>0</v>
      </c>
      <c r="N2142" s="19">
        <v>0</v>
      </c>
      <c r="O2142" s="19">
        <v>1</v>
      </c>
      <c r="P2142" s="19">
        <v>0</v>
      </c>
      <c r="Q2142" s="19">
        <v>0</v>
      </c>
      <c r="R2142" s="19">
        <v>0</v>
      </c>
      <c r="S2142" s="13">
        <v>0</v>
      </c>
      <c r="T2142" s="28">
        <v>0</v>
      </c>
      <c r="U2142" s="17">
        <v>1</v>
      </c>
      <c r="V2142" s="19">
        <v>2</v>
      </c>
      <c r="W2142" s="19">
        <v>0</v>
      </c>
      <c r="X2142" s="17">
        <v>3.5</v>
      </c>
      <c r="Y2142" s="13">
        <v>0</v>
      </c>
      <c r="Z2142" s="17">
        <v>500</v>
      </c>
      <c r="AA2142" s="19">
        <v>1</v>
      </c>
      <c r="AB2142" s="19">
        <v>0</v>
      </c>
      <c r="AC2142" s="19">
        <v>0</v>
      </c>
      <c r="AD2142" s="19">
        <v>0</v>
      </c>
      <c r="AE2142" s="19">
        <v>0</v>
      </c>
      <c r="AF2142" s="19">
        <v>7</v>
      </c>
      <c r="AG2142" s="19">
        <v>1</v>
      </c>
      <c r="AH2142" s="19">
        <v>3</v>
      </c>
      <c r="AI2142" s="13">
        <v>2</v>
      </c>
      <c r="AJ2142" s="13">
        <v>1</v>
      </c>
      <c r="AK2142" s="13">
        <v>0</v>
      </c>
      <c r="AL2142" s="13">
        <v>8</v>
      </c>
      <c r="AM2142" s="19">
        <v>0</v>
      </c>
      <c r="AN2142" s="19">
        <v>0.5</v>
      </c>
      <c r="AO2142" s="19">
        <v>0</v>
      </c>
      <c r="AP2142" s="19">
        <v>0.25</v>
      </c>
      <c r="AQ2142" s="19">
        <v>9000</v>
      </c>
      <c r="AR2142" s="19">
        <v>0.5</v>
      </c>
      <c r="AS2142" s="19">
        <v>0</v>
      </c>
      <c r="AT2142" s="13">
        <v>0</v>
      </c>
      <c r="AU2142" s="19">
        <v>0</v>
      </c>
      <c r="AV2142" s="19"/>
      <c r="AW2142" s="20" t="s">
        <v>1534</v>
      </c>
      <c r="AX2142" s="19" t="s">
        <v>1041</v>
      </c>
      <c r="AY2142" s="19">
        <v>10003002</v>
      </c>
      <c r="AZ2142" s="19">
        <v>21010020</v>
      </c>
      <c r="BA2142" s="20" t="s">
        <v>1551</v>
      </c>
      <c r="BB2142" s="20">
        <v>0</v>
      </c>
      <c r="BC2142" s="28">
        <v>0</v>
      </c>
      <c r="BD2142" s="28">
        <v>0</v>
      </c>
      <c r="BE2142" s="186" t="s">
        <v>4917</v>
      </c>
      <c r="BF2142" s="186" t="s">
        <v>4918</v>
      </c>
      <c r="BG2142" s="19">
        <v>0</v>
      </c>
      <c r="BH2142" s="17">
        <v>0</v>
      </c>
      <c r="BI2142" s="19">
        <v>0</v>
      </c>
      <c r="BJ2142" s="19">
        <v>0</v>
      </c>
      <c r="BK2142" s="19">
        <v>0</v>
      </c>
      <c r="BL2142" s="19">
        <v>0</v>
      </c>
      <c r="BM2142" s="16">
        <v>0</v>
      </c>
      <c r="BN2142" s="13">
        <v>0</v>
      </c>
      <c r="BO2142" s="13">
        <v>0</v>
      </c>
      <c r="BP2142" s="13">
        <v>0</v>
      </c>
      <c r="BQ2142" s="13">
        <v>0</v>
      </c>
      <c r="BR2142" s="13">
        <v>0</v>
      </c>
      <c r="BS2142" s="13">
        <v>0</v>
      </c>
      <c r="BT2142" s="13">
        <v>0</v>
      </c>
      <c r="BU2142" s="49">
        <v>0</v>
      </c>
      <c r="BV2142" s="49"/>
      <c r="BW2142" s="49"/>
    </row>
    <row r="2143" spans="3:75" ht="20.100000000000001" customHeight="1">
      <c r="C2143" s="19">
        <v>67000283</v>
      </c>
      <c r="D2143" s="20" t="s">
        <v>4919</v>
      </c>
      <c r="E2143" s="20" t="s">
        <v>4920</v>
      </c>
      <c r="F2143" s="17">
        <v>1</v>
      </c>
      <c r="G2143" s="19">
        <v>63001001</v>
      </c>
      <c r="H2143" s="19">
        <v>0</v>
      </c>
      <c r="I2143" s="28">
        <v>0</v>
      </c>
      <c r="J2143" s="19">
        <v>1</v>
      </c>
      <c r="K2143" s="19">
        <v>0</v>
      </c>
      <c r="L2143" s="17">
        <v>0</v>
      </c>
      <c r="M2143" s="19">
        <v>0</v>
      </c>
      <c r="N2143" s="19">
        <v>0</v>
      </c>
      <c r="O2143" s="19">
        <v>1</v>
      </c>
      <c r="P2143" s="19">
        <v>0</v>
      </c>
      <c r="Q2143" s="19">
        <v>1</v>
      </c>
      <c r="R2143" s="19">
        <v>0</v>
      </c>
      <c r="S2143" s="13">
        <v>0</v>
      </c>
      <c r="T2143" s="28">
        <v>0</v>
      </c>
      <c r="U2143" s="17">
        <v>1</v>
      </c>
      <c r="V2143" s="19">
        <v>2</v>
      </c>
      <c r="W2143" s="19">
        <v>0</v>
      </c>
      <c r="X2143" s="19">
        <v>0</v>
      </c>
      <c r="Y2143" s="13">
        <v>0</v>
      </c>
      <c r="Z2143" s="19">
        <v>0</v>
      </c>
      <c r="AA2143" s="19">
        <v>0</v>
      </c>
      <c r="AB2143" s="19">
        <v>0</v>
      </c>
      <c r="AC2143" s="19">
        <v>0</v>
      </c>
      <c r="AD2143" s="19">
        <v>1</v>
      </c>
      <c r="AE2143" s="19">
        <v>0</v>
      </c>
      <c r="AF2143" s="19">
        <v>60</v>
      </c>
      <c r="AG2143" s="19">
        <v>2</v>
      </c>
      <c r="AH2143" s="19" t="s">
        <v>4921</v>
      </c>
      <c r="AI2143" s="13">
        <v>0</v>
      </c>
      <c r="AJ2143" s="13">
        <v>0</v>
      </c>
      <c r="AK2143" s="13">
        <v>0</v>
      </c>
      <c r="AL2143" s="13">
        <v>0</v>
      </c>
      <c r="AM2143" s="19">
        <v>0</v>
      </c>
      <c r="AN2143" s="19">
        <v>0</v>
      </c>
      <c r="AO2143" s="19">
        <v>0</v>
      </c>
      <c r="AP2143" s="19">
        <v>1</v>
      </c>
      <c r="AQ2143" s="19">
        <v>1800000</v>
      </c>
      <c r="AR2143" s="19">
        <v>0</v>
      </c>
      <c r="AS2143" s="19">
        <v>0</v>
      </c>
      <c r="AT2143" s="13">
        <v>0</v>
      </c>
      <c r="AU2143" s="19">
        <v>99002002</v>
      </c>
      <c r="AV2143" s="19"/>
      <c r="AW2143" s="20" t="s">
        <v>198</v>
      </c>
      <c r="AX2143" s="19">
        <v>0</v>
      </c>
      <c r="AY2143" s="19">
        <v>0</v>
      </c>
      <c r="AZ2143" s="19">
        <v>0</v>
      </c>
      <c r="BA2143" s="20" t="s">
        <v>2791</v>
      </c>
      <c r="BB2143" s="20">
        <v>0</v>
      </c>
      <c r="BC2143" s="28">
        <v>0</v>
      </c>
      <c r="BD2143" s="28">
        <v>0</v>
      </c>
      <c r="BE2143" s="186" t="s">
        <v>4901</v>
      </c>
      <c r="BF2143" s="186" t="s">
        <v>4902</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67000284</v>
      </c>
      <c r="D2144" s="20" t="s">
        <v>4922</v>
      </c>
      <c r="E2144" s="20" t="s">
        <v>4923</v>
      </c>
      <c r="F2144" s="17">
        <v>1</v>
      </c>
      <c r="G2144" s="19">
        <v>63001001</v>
      </c>
      <c r="H2144" s="19">
        <v>0</v>
      </c>
      <c r="I2144" s="28">
        <v>0</v>
      </c>
      <c r="J2144" s="19">
        <v>1</v>
      </c>
      <c r="K2144" s="19">
        <v>0</v>
      </c>
      <c r="L2144" s="17">
        <v>0</v>
      </c>
      <c r="M2144" s="19">
        <v>0</v>
      </c>
      <c r="N2144" s="19">
        <v>0</v>
      </c>
      <c r="O2144" s="19">
        <v>1</v>
      </c>
      <c r="P2144" s="19">
        <v>0</v>
      </c>
      <c r="Q2144" s="19">
        <v>1</v>
      </c>
      <c r="R2144" s="19">
        <v>0</v>
      </c>
      <c r="S2144" s="13">
        <v>0</v>
      </c>
      <c r="T2144" s="28">
        <v>0</v>
      </c>
      <c r="U2144" s="17">
        <v>1</v>
      </c>
      <c r="V2144" s="19">
        <v>2</v>
      </c>
      <c r="W2144" s="19">
        <v>0</v>
      </c>
      <c r="X2144" s="19">
        <v>0</v>
      </c>
      <c r="Y2144" s="13">
        <v>0</v>
      </c>
      <c r="Z2144" s="19">
        <v>0</v>
      </c>
      <c r="AA2144" s="19">
        <v>0</v>
      </c>
      <c r="AB2144" s="19">
        <v>0</v>
      </c>
      <c r="AC2144" s="19">
        <v>0</v>
      </c>
      <c r="AD2144" s="19">
        <v>1</v>
      </c>
      <c r="AE2144" s="19">
        <v>0</v>
      </c>
      <c r="AF2144" s="19">
        <v>60</v>
      </c>
      <c r="AG2144" s="19">
        <v>2</v>
      </c>
      <c r="AH2144" s="19" t="s">
        <v>711</v>
      </c>
      <c r="AI2144" s="13">
        <v>0</v>
      </c>
      <c r="AJ2144" s="13">
        <v>0</v>
      </c>
      <c r="AK2144" s="13">
        <v>0</v>
      </c>
      <c r="AL2144" s="13">
        <v>0</v>
      </c>
      <c r="AM2144" s="19">
        <v>0</v>
      </c>
      <c r="AN2144" s="19">
        <v>0</v>
      </c>
      <c r="AO2144" s="19">
        <v>0</v>
      </c>
      <c r="AP2144" s="19">
        <v>1</v>
      </c>
      <c r="AQ2144" s="19">
        <v>1800000</v>
      </c>
      <c r="AR2144" s="19">
        <v>0</v>
      </c>
      <c r="AS2144" s="19">
        <v>0</v>
      </c>
      <c r="AT2144" s="13">
        <v>0</v>
      </c>
      <c r="AU2144" s="19">
        <v>99002002</v>
      </c>
      <c r="AV2144" s="19"/>
      <c r="AW2144" s="20" t="s">
        <v>198</v>
      </c>
      <c r="AX2144" s="19">
        <v>0</v>
      </c>
      <c r="AY2144" s="19">
        <v>0</v>
      </c>
      <c r="AZ2144" s="19">
        <v>0</v>
      </c>
      <c r="BA2144" s="20" t="s">
        <v>2791</v>
      </c>
      <c r="BB2144" s="20">
        <v>0</v>
      </c>
      <c r="BC2144" s="28">
        <v>0</v>
      </c>
      <c r="BD2144" s="28">
        <v>0</v>
      </c>
      <c r="BE2144" s="186" t="s">
        <v>4901</v>
      </c>
      <c r="BF2144" s="186" t="s">
        <v>4902</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1.75" customHeight="1">
      <c r="C2145" s="19">
        <v>90010301</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4</v>
      </c>
      <c r="AI2145" s="13">
        <v>0</v>
      </c>
      <c r="AJ2145" s="13">
        <v>1</v>
      </c>
      <c r="AK2145" s="13">
        <v>0</v>
      </c>
      <c r="AL2145" s="13">
        <v>2</v>
      </c>
      <c r="AM2145" s="17">
        <v>0</v>
      </c>
      <c r="AN2145" s="17">
        <v>0</v>
      </c>
      <c r="AO2145" s="17">
        <v>0</v>
      </c>
      <c r="AP2145" s="17">
        <v>3</v>
      </c>
      <c r="AQ2145" s="17">
        <v>5000</v>
      </c>
      <c r="AR2145" s="17">
        <v>1.1000000000000001</v>
      </c>
      <c r="AS2145" s="17">
        <v>0</v>
      </c>
      <c r="AT2145" s="13">
        <v>0</v>
      </c>
      <c r="AU2145" s="17">
        <v>90000002</v>
      </c>
      <c r="AV2145" s="17"/>
      <c r="AW2145" s="18" t="s">
        <v>287</v>
      </c>
      <c r="AX2145" s="17" t="s">
        <v>534</v>
      </c>
      <c r="AY2145" s="19">
        <v>10000007</v>
      </c>
      <c r="AZ2145" s="19">
        <v>90010301</v>
      </c>
      <c r="BA2145" s="18" t="s">
        <v>200</v>
      </c>
      <c r="BB2145" s="17" t="s">
        <v>4190</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spans="3:75" ht="20.100000000000001" customHeight="1">
      <c r="C2146" s="19">
        <v>90010302</v>
      </c>
      <c r="D2146" s="18" t="s">
        <v>543</v>
      </c>
      <c r="E2146" s="18" t="s">
        <v>544</v>
      </c>
      <c r="F2146" s="19">
        <v>1</v>
      </c>
      <c r="G2146" s="17">
        <v>60010300</v>
      </c>
      <c r="H2146" s="19">
        <v>0</v>
      </c>
      <c r="I2146" s="28">
        <v>0</v>
      </c>
      <c r="J2146" s="19">
        <v>1</v>
      </c>
      <c r="K2146" s="19">
        <v>0</v>
      </c>
      <c r="L2146" s="19">
        <v>0</v>
      </c>
      <c r="M2146" s="17">
        <v>0</v>
      </c>
      <c r="N2146" s="17">
        <v>0</v>
      </c>
      <c r="O2146" s="17">
        <v>2</v>
      </c>
      <c r="P2146" s="17">
        <v>1</v>
      </c>
      <c r="Q2146" s="17">
        <v>0.5</v>
      </c>
      <c r="R2146" s="17">
        <v>0</v>
      </c>
      <c r="S2146" s="13">
        <v>0</v>
      </c>
      <c r="T2146" s="17">
        <v>0</v>
      </c>
      <c r="U2146" s="17">
        <v>1</v>
      </c>
      <c r="V2146" s="17">
        <v>2</v>
      </c>
      <c r="W2146" s="17">
        <v>0</v>
      </c>
      <c r="X2146" s="17">
        <v>3</v>
      </c>
      <c r="Y2146" s="13">
        <v>0</v>
      </c>
      <c r="Z2146" s="17">
        <v>0</v>
      </c>
      <c r="AA2146" s="17">
        <v>0</v>
      </c>
      <c r="AB2146" s="17">
        <v>0</v>
      </c>
      <c r="AC2146" s="17">
        <v>0</v>
      </c>
      <c r="AD2146" s="17">
        <v>0</v>
      </c>
      <c r="AE2146" s="17">
        <v>0</v>
      </c>
      <c r="AF2146" s="17">
        <v>12</v>
      </c>
      <c r="AG2146" s="17">
        <v>2</v>
      </c>
      <c r="AH2146" s="17" t="s">
        <v>213</v>
      </c>
      <c r="AI2146" s="13">
        <v>0</v>
      </c>
      <c r="AJ2146" s="13">
        <v>2</v>
      </c>
      <c r="AK2146" s="13">
        <v>0</v>
      </c>
      <c r="AL2146" s="13">
        <v>1.5</v>
      </c>
      <c r="AM2146" s="17">
        <v>0</v>
      </c>
      <c r="AN2146" s="17">
        <v>0</v>
      </c>
      <c r="AO2146" s="17">
        <v>0</v>
      </c>
      <c r="AP2146" s="17">
        <v>1.1000000000000001</v>
      </c>
      <c r="AQ2146" s="17">
        <v>3000</v>
      </c>
      <c r="AR2146" s="17">
        <v>1.1000000000000001</v>
      </c>
      <c r="AS2146" s="17">
        <v>0</v>
      </c>
      <c r="AT2146" s="13">
        <v>0</v>
      </c>
      <c r="AU2146" s="17" t="s">
        <v>198</v>
      </c>
      <c r="AV2146" s="17"/>
      <c r="AW2146" s="20" t="s">
        <v>287</v>
      </c>
      <c r="AX2146" s="17" t="s">
        <v>545</v>
      </c>
      <c r="AY2146" s="19">
        <v>10001007</v>
      </c>
      <c r="AZ2146" s="19">
        <v>70103001</v>
      </c>
      <c r="BA2146" s="18" t="s">
        <v>200</v>
      </c>
      <c r="BB2146" s="17">
        <v>0</v>
      </c>
      <c r="BC2146" s="28">
        <v>0</v>
      </c>
      <c r="BD2146" s="28">
        <v>0</v>
      </c>
      <c r="BE2146" s="46" t="s">
        <v>546</v>
      </c>
      <c r="BF2146" s="46" t="s">
        <v>547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90010303</v>
      </c>
      <c r="D2147" s="20" t="s">
        <v>538</v>
      </c>
      <c r="E2147" s="20" t="s">
        <v>539</v>
      </c>
      <c r="F2147" s="19">
        <v>1</v>
      </c>
      <c r="G2147" s="19">
        <v>60010500</v>
      </c>
      <c r="H2147" s="19">
        <v>0</v>
      </c>
      <c r="I2147" s="28">
        <v>0</v>
      </c>
      <c r="J2147" s="19">
        <v>1</v>
      </c>
      <c r="K2147" s="19">
        <v>0</v>
      </c>
      <c r="L2147" s="19">
        <v>0</v>
      </c>
      <c r="M2147" s="19">
        <v>0</v>
      </c>
      <c r="N2147" s="19">
        <v>0</v>
      </c>
      <c r="O2147" s="17">
        <v>2</v>
      </c>
      <c r="P2147" s="19">
        <v>2</v>
      </c>
      <c r="Q2147" s="19">
        <v>0.6</v>
      </c>
      <c r="R2147" s="19">
        <v>0</v>
      </c>
      <c r="S2147" s="13">
        <v>0</v>
      </c>
      <c r="T2147" s="28">
        <v>0</v>
      </c>
      <c r="U2147" s="17">
        <v>1</v>
      </c>
      <c r="V2147" s="19">
        <v>2</v>
      </c>
      <c r="W2147" s="19">
        <v>0</v>
      </c>
      <c r="X2147" s="19">
        <v>0</v>
      </c>
      <c r="Y2147" s="13">
        <v>0</v>
      </c>
      <c r="Z2147" s="19">
        <v>0</v>
      </c>
      <c r="AA2147" s="19">
        <v>0</v>
      </c>
      <c r="AB2147" s="19">
        <v>0</v>
      </c>
      <c r="AC2147" s="19">
        <v>0</v>
      </c>
      <c r="AD2147" s="19">
        <v>0</v>
      </c>
      <c r="AE2147" s="19">
        <v>0</v>
      </c>
      <c r="AF2147" s="19">
        <v>20</v>
      </c>
      <c r="AG2147" s="19">
        <v>0</v>
      </c>
      <c r="AH2147" s="19">
        <v>0</v>
      </c>
      <c r="AI2147" s="13">
        <v>0</v>
      </c>
      <c r="AJ2147" s="13">
        <v>0</v>
      </c>
      <c r="AK2147" s="13">
        <v>0</v>
      </c>
      <c r="AL2147" s="13">
        <v>0</v>
      </c>
      <c r="AM2147" s="19">
        <v>0</v>
      </c>
      <c r="AN2147" s="19">
        <v>0</v>
      </c>
      <c r="AO2147" s="19">
        <v>0</v>
      </c>
      <c r="AP2147" s="19">
        <v>0</v>
      </c>
      <c r="AQ2147" s="19">
        <v>1000</v>
      </c>
      <c r="AR2147" s="19">
        <v>0</v>
      </c>
      <c r="AS2147" s="19">
        <v>0</v>
      </c>
      <c r="AT2147" s="13">
        <v>90103001</v>
      </c>
      <c r="AU2147" s="19" t="s">
        <v>198</v>
      </c>
      <c r="AV2147" s="19"/>
      <c r="AW2147" s="20" t="s">
        <v>198</v>
      </c>
      <c r="AX2147" s="19" t="s">
        <v>348</v>
      </c>
      <c r="AY2147" s="19">
        <v>0</v>
      </c>
      <c r="AZ2147" s="19">
        <v>40000003</v>
      </c>
      <c r="BA2147" s="20" t="s">
        <v>200</v>
      </c>
      <c r="BB2147" s="20" t="s">
        <v>198</v>
      </c>
      <c r="BC2147" s="28">
        <v>0</v>
      </c>
      <c r="BD2147" s="28">
        <v>0</v>
      </c>
      <c r="BE2147" s="89" t="s">
        <v>548</v>
      </c>
      <c r="BF2147" s="89" t="s">
        <v>549</v>
      </c>
      <c r="BG2147" s="19">
        <v>0</v>
      </c>
      <c r="BH2147" s="17">
        <v>0</v>
      </c>
      <c r="BI2147" s="19">
        <v>0</v>
      </c>
      <c r="BJ2147" s="19">
        <v>0</v>
      </c>
      <c r="BK2147" s="19">
        <v>0</v>
      </c>
      <c r="BL2147" s="19">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90010401</v>
      </c>
      <c r="D2148" s="16" t="s">
        <v>4924</v>
      </c>
      <c r="E2148" s="16" t="s">
        <v>4925</v>
      </c>
      <c r="F2148" s="16">
        <v>1</v>
      </c>
      <c r="G2148" s="16">
        <v>0</v>
      </c>
      <c r="H2148" s="16">
        <v>0</v>
      </c>
      <c r="I2148" s="27">
        <v>0</v>
      </c>
      <c r="J2148" s="16">
        <v>1</v>
      </c>
      <c r="K2148" s="16">
        <v>0</v>
      </c>
      <c r="L2148" s="27">
        <v>0</v>
      </c>
      <c r="M2148" s="27">
        <v>0</v>
      </c>
      <c r="N2148" s="16">
        <v>0</v>
      </c>
      <c r="O2148" s="16">
        <v>2</v>
      </c>
      <c r="P2148" s="16">
        <v>1</v>
      </c>
      <c r="Q2148" s="16">
        <v>0.1</v>
      </c>
      <c r="R2148" s="16">
        <v>0</v>
      </c>
      <c r="S2148" s="13">
        <v>0</v>
      </c>
      <c r="T2148" s="16">
        <v>0</v>
      </c>
      <c r="U2148" s="17">
        <v>1</v>
      </c>
      <c r="V2148" s="16">
        <v>1</v>
      </c>
      <c r="W2148" s="27">
        <v>0</v>
      </c>
      <c r="X2148" s="16">
        <v>2.5</v>
      </c>
      <c r="Y2148" s="13">
        <v>0</v>
      </c>
      <c r="Z2148" s="16">
        <v>0</v>
      </c>
      <c r="AA2148" s="16">
        <v>1</v>
      </c>
      <c r="AB2148" s="16">
        <v>0</v>
      </c>
      <c r="AC2148" s="27">
        <v>0</v>
      </c>
      <c r="AD2148" s="16">
        <v>0</v>
      </c>
      <c r="AE2148" s="16">
        <v>0</v>
      </c>
      <c r="AF2148" s="16">
        <v>1</v>
      </c>
      <c r="AG2148" s="16">
        <v>0</v>
      </c>
      <c r="AH2148" s="16">
        <v>0</v>
      </c>
      <c r="AI2148" s="13">
        <v>0</v>
      </c>
      <c r="AJ2148" s="13">
        <v>0</v>
      </c>
      <c r="AK2148" s="13">
        <v>0</v>
      </c>
      <c r="AL2148" s="16">
        <v>0</v>
      </c>
      <c r="AM2148" s="34">
        <v>0</v>
      </c>
      <c r="AN2148" s="16">
        <v>0</v>
      </c>
      <c r="AO2148" s="16">
        <v>0</v>
      </c>
      <c r="AP2148" s="16">
        <v>0</v>
      </c>
      <c r="AQ2148" s="16">
        <v>3000</v>
      </c>
      <c r="AR2148" s="16">
        <v>0</v>
      </c>
      <c r="AS2148" s="16">
        <v>0</v>
      </c>
      <c r="AT2148" s="13">
        <v>0</v>
      </c>
      <c r="AU2148" s="16">
        <v>0</v>
      </c>
      <c r="AV2148" s="16"/>
      <c r="AW2148" s="16">
        <v>0</v>
      </c>
      <c r="AX2148" s="27">
        <v>0</v>
      </c>
      <c r="AY2148" s="27">
        <v>0</v>
      </c>
      <c r="AZ2148" s="27">
        <v>0</v>
      </c>
      <c r="BA2148" s="20" t="s">
        <v>200</v>
      </c>
      <c r="BB2148" s="7">
        <v>0</v>
      </c>
      <c r="BC2148" s="82">
        <v>0</v>
      </c>
      <c r="BD2148" s="82">
        <v>0</v>
      </c>
      <c r="BE2148" s="45" t="s">
        <v>634</v>
      </c>
      <c r="BF2148" s="45" t="s">
        <v>635</v>
      </c>
      <c r="BG2148" s="16">
        <v>0</v>
      </c>
      <c r="BH2148" s="16">
        <v>0</v>
      </c>
      <c r="BI2148" s="19">
        <v>0</v>
      </c>
      <c r="BJ2148" s="16">
        <v>0</v>
      </c>
      <c r="BK2148" s="16">
        <v>0</v>
      </c>
      <c r="BL2148" s="34">
        <v>0</v>
      </c>
      <c r="BM2148" s="16">
        <v>0</v>
      </c>
      <c r="BN2148" s="13">
        <v>0</v>
      </c>
      <c r="BO2148" s="13">
        <v>0</v>
      </c>
      <c r="BP2148" s="13">
        <v>0</v>
      </c>
      <c r="BQ2148" s="13">
        <v>0</v>
      </c>
      <c r="BR2148" s="13">
        <v>0</v>
      </c>
      <c r="BS2148" s="13">
        <v>0</v>
      </c>
      <c r="BT2148" s="13">
        <v>0</v>
      </c>
      <c r="BU2148" s="49">
        <v>0</v>
      </c>
      <c r="BV2148" s="49"/>
      <c r="BW2148" s="49"/>
    </row>
    <row r="2149" spans="3:75" ht="21.75" customHeight="1">
      <c r="C2149" s="19">
        <v>90010402</v>
      </c>
      <c r="D2149" s="18" t="s">
        <v>532</v>
      </c>
      <c r="E2149" s="18" t="s">
        <v>255</v>
      </c>
      <c r="F2149" s="19">
        <v>1</v>
      </c>
      <c r="G2149" s="17">
        <v>60010100</v>
      </c>
      <c r="H2149" s="19">
        <v>0</v>
      </c>
      <c r="I2149" s="28">
        <v>0</v>
      </c>
      <c r="J2149" s="19">
        <v>1</v>
      </c>
      <c r="K2149" s="19">
        <v>0</v>
      </c>
      <c r="L2149" s="19">
        <v>0</v>
      </c>
      <c r="M2149" s="17">
        <v>0</v>
      </c>
      <c r="N2149" s="17">
        <v>0</v>
      </c>
      <c r="O2149" s="17">
        <v>2</v>
      </c>
      <c r="P2149" s="17">
        <v>3</v>
      </c>
      <c r="Q2149" s="17">
        <v>1</v>
      </c>
      <c r="R2149" s="17">
        <v>0</v>
      </c>
      <c r="S2149" s="13">
        <v>0</v>
      </c>
      <c r="T2149" s="17">
        <v>0</v>
      </c>
      <c r="U2149" s="17">
        <v>1</v>
      </c>
      <c r="V2149" s="17">
        <v>2</v>
      </c>
      <c r="W2149" s="17">
        <v>0</v>
      </c>
      <c r="X2149" s="17">
        <v>3</v>
      </c>
      <c r="Y2149" s="13">
        <v>0</v>
      </c>
      <c r="Z2149" s="17">
        <v>0</v>
      </c>
      <c r="AA2149" s="17">
        <v>1</v>
      </c>
      <c r="AB2149" s="17">
        <v>0</v>
      </c>
      <c r="AC2149" s="17">
        <v>0</v>
      </c>
      <c r="AD2149" s="17">
        <v>0</v>
      </c>
      <c r="AE2149" s="17">
        <v>0</v>
      </c>
      <c r="AF2149" s="17">
        <v>9</v>
      </c>
      <c r="AG2149" s="17">
        <v>1</v>
      </c>
      <c r="AH2149" s="17">
        <v>5</v>
      </c>
      <c r="AI2149" s="13">
        <v>0</v>
      </c>
      <c r="AJ2149" s="13">
        <v>1</v>
      </c>
      <c r="AK2149" s="13">
        <v>0</v>
      </c>
      <c r="AL2149" s="13">
        <v>2.5</v>
      </c>
      <c r="AM2149" s="17">
        <v>0</v>
      </c>
      <c r="AN2149" s="17">
        <v>0</v>
      </c>
      <c r="AO2149" s="17">
        <v>0</v>
      </c>
      <c r="AP2149" s="17">
        <v>2.5</v>
      </c>
      <c r="AQ2149" s="17">
        <v>5000</v>
      </c>
      <c r="AR2149" s="17">
        <v>2</v>
      </c>
      <c r="AS2149" s="17">
        <v>0</v>
      </c>
      <c r="AT2149" s="13">
        <v>0</v>
      </c>
      <c r="AU2149" s="16">
        <v>91000005</v>
      </c>
      <c r="AV2149" s="16"/>
      <c r="AW2149" s="16" t="s">
        <v>256</v>
      </c>
      <c r="AX2149" s="17">
        <v>0</v>
      </c>
      <c r="AY2149" s="19">
        <v>10000007</v>
      </c>
      <c r="AZ2149" s="19">
        <v>90010402</v>
      </c>
      <c r="BA2149" s="18" t="s">
        <v>200</v>
      </c>
      <c r="BB2149" s="17" t="s">
        <v>4926</v>
      </c>
      <c r="BC2149" s="28">
        <v>0</v>
      </c>
      <c r="BD2149" s="28">
        <v>0</v>
      </c>
      <c r="BE2149" s="46" t="s">
        <v>536</v>
      </c>
      <c r="BF2149" s="46" t="s">
        <v>537</v>
      </c>
      <c r="BG2149" s="17">
        <v>0</v>
      </c>
      <c r="BH2149" s="17">
        <v>0</v>
      </c>
      <c r="BI2149" s="17">
        <v>0</v>
      </c>
      <c r="BJ2149" s="17">
        <v>0</v>
      </c>
      <c r="BK2149" s="17">
        <v>0</v>
      </c>
      <c r="BL2149" s="17">
        <v>0</v>
      </c>
      <c r="BM2149" s="16">
        <v>0</v>
      </c>
      <c r="BN2149" s="13">
        <v>0</v>
      </c>
      <c r="BO2149" s="13">
        <v>0</v>
      </c>
      <c r="BP2149" s="13">
        <v>0</v>
      </c>
      <c r="BQ2149" s="13">
        <v>0</v>
      </c>
      <c r="BR2149" s="13">
        <v>0</v>
      </c>
      <c r="BS2149" s="13">
        <v>0</v>
      </c>
      <c r="BT2149" s="13">
        <v>0</v>
      </c>
      <c r="BU2149" s="49">
        <v>0</v>
      </c>
      <c r="BV2149" s="49"/>
      <c r="BW2149" s="49"/>
    </row>
    <row r="2150" spans="3:75" ht="20.100000000000001" customHeight="1">
      <c r="C2150" s="19">
        <v>90010403</v>
      </c>
      <c r="D2150" s="16" t="s">
        <v>4927</v>
      </c>
      <c r="E2150" s="16" t="s">
        <v>4928</v>
      </c>
      <c r="F2150" s="16">
        <v>1</v>
      </c>
      <c r="G2150" s="16">
        <v>0</v>
      </c>
      <c r="H2150" s="16">
        <v>0</v>
      </c>
      <c r="I2150" s="27">
        <v>0</v>
      </c>
      <c r="J2150" s="16">
        <v>1</v>
      </c>
      <c r="K2150" s="16">
        <v>0</v>
      </c>
      <c r="L2150" s="27">
        <v>0</v>
      </c>
      <c r="M2150" s="27">
        <v>0</v>
      </c>
      <c r="N2150" s="16">
        <v>0</v>
      </c>
      <c r="O2150" s="16">
        <v>2</v>
      </c>
      <c r="P2150" s="16">
        <v>2</v>
      </c>
      <c r="Q2150" s="16">
        <v>0.95</v>
      </c>
      <c r="R2150" s="16">
        <v>0</v>
      </c>
      <c r="S2150" s="13">
        <v>0</v>
      </c>
      <c r="T2150" s="16">
        <v>0</v>
      </c>
      <c r="U2150" s="17">
        <v>1</v>
      </c>
      <c r="V2150" s="16">
        <v>1</v>
      </c>
      <c r="W2150" s="27">
        <v>0</v>
      </c>
      <c r="X2150" s="16">
        <v>2.5</v>
      </c>
      <c r="Y2150" s="13">
        <v>0</v>
      </c>
      <c r="Z2150" s="16">
        <v>0</v>
      </c>
      <c r="AA2150" s="16">
        <v>1</v>
      </c>
      <c r="AB2150" s="16">
        <v>0</v>
      </c>
      <c r="AC2150" s="27">
        <v>0</v>
      </c>
      <c r="AD2150" s="16">
        <v>0</v>
      </c>
      <c r="AE2150" s="16">
        <v>0</v>
      </c>
      <c r="AF2150" s="16">
        <v>6</v>
      </c>
      <c r="AG2150" s="16">
        <v>1</v>
      </c>
      <c r="AH2150" s="16">
        <v>3</v>
      </c>
      <c r="AI2150" s="13">
        <v>1</v>
      </c>
      <c r="AJ2150" s="13">
        <v>1</v>
      </c>
      <c r="AK2150" s="13">
        <v>0</v>
      </c>
      <c r="AL2150" s="16">
        <v>1.5</v>
      </c>
      <c r="AM2150" s="34">
        <v>0</v>
      </c>
      <c r="AN2150" s="16">
        <v>0</v>
      </c>
      <c r="AO2150" s="16">
        <v>0</v>
      </c>
      <c r="AP2150" s="16">
        <v>2</v>
      </c>
      <c r="AQ2150" s="16">
        <v>4000</v>
      </c>
      <c r="AR2150" s="16">
        <v>2</v>
      </c>
      <c r="AS2150" s="16">
        <v>0</v>
      </c>
      <c r="AT2150" s="13">
        <v>0</v>
      </c>
      <c r="AU2150" s="75" t="s">
        <v>559</v>
      </c>
      <c r="AV2150" s="75"/>
      <c r="AW2150" s="16" t="s">
        <v>199</v>
      </c>
      <c r="AX2150" s="27">
        <v>0</v>
      </c>
      <c r="AY2150" s="27">
        <v>0</v>
      </c>
      <c r="AZ2150" s="27">
        <v>90010403</v>
      </c>
      <c r="BA2150" s="20" t="s">
        <v>200</v>
      </c>
      <c r="BB2150" s="7">
        <v>0</v>
      </c>
      <c r="BC2150" s="82">
        <v>0</v>
      </c>
      <c r="BD2150" s="82">
        <v>0</v>
      </c>
      <c r="BE2150" s="45" t="s">
        <v>645</v>
      </c>
      <c r="BF2150" s="45" t="s">
        <v>646</v>
      </c>
      <c r="BG2150" s="16">
        <v>2</v>
      </c>
      <c r="BH2150" s="16">
        <v>0</v>
      </c>
      <c r="BI2150" s="19">
        <v>0</v>
      </c>
      <c r="BJ2150" s="16">
        <v>0</v>
      </c>
      <c r="BK2150" s="16">
        <v>3</v>
      </c>
      <c r="BL2150" s="34">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90010404</v>
      </c>
      <c r="D2151" s="16" t="s">
        <v>4929</v>
      </c>
      <c r="E2151" s="16" t="s">
        <v>4930</v>
      </c>
      <c r="F2151" s="16">
        <v>1</v>
      </c>
      <c r="G2151" s="16">
        <v>0</v>
      </c>
      <c r="H2151" s="16">
        <v>0</v>
      </c>
      <c r="I2151" s="27">
        <v>0</v>
      </c>
      <c r="J2151" s="16">
        <v>0</v>
      </c>
      <c r="K2151" s="16">
        <v>0</v>
      </c>
      <c r="L2151" s="27">
        <v>0</v>
      </c>
      <c r="M2151" s="27">
        <v>0</v>
      </c>
      <c r="N2151" s="16">
        <v>0</v>
      </c>
      <c r="O2151" s="16">
        <v>2</v>
      </c>
      <c r="P2151" s="16">
        <v>2</v>
      </c>
      <c r="Q2151" s="16">
        <v>0.9</v>
      </c>
      <c r="R2151" s="16">
        <v>0</v>
      </c>
      <c r="S2151" s="13">
        <v>0</v>
      </c>
      <c r="T2151" s="16">
        <v>0</v>
      </c>
      <c r="U2151" s="17">
        <v>1</v>
      </c>
      <c r="V2151" s="16">
        <v>1</v>
      </c>
      <c r="W2151" s="27">
        <v>0</v>
      </c>
      <c r="X2151" s="16">
        <v>1.5</v>
      </c>
      <c r="Y2151" s="13">
        <v>0</v>
      </c>
      <c r="Z2151" s="16">
        <v>0</v>
      </c>
      <c r="AA2151" s="16">
        <v>1</v>
      </c>
      <c r="AB2151" s="16">
        <v>0</v>
      </c>
      <c r="AC2151" s="27">
        <v>0</v>
      </c>
      <c r="AD2151" s="16">
        <v>0</v>
      </c>
      <c r="AE2151" s="16">
        <v>0</v>
      </c>
      <c r="AF2151" s="16">
        <v>8</v>
      </c>
      <c r="AG2151" s="16">
        <v>2</v>
      </c>
      <c r="AH2151" s="16" t="s">
        <v>564</v>
      </c>
      <c r="AI2151" s="13">
        <v>0</v>
      </c>
      <c r="AJ2151" s="13">
        <v>0</v>
      </c>
      <c r="AK2151" s="13">
        <v>0</v>
      </c>
      <c r="AL2151" s="16">
        <v>0</v>
      </c>
      <c r="AM2151" s="34">
        <v>0</v>
      </c>
      <c r="AN2151" s="16">
        <v>0</v>
      </c>
      <c r="AO2151" s="16">
        <v>0</v>
      </c>
      <c r="AP2151" s="16">
        <v>0.5</v>
      </c>
      <c r="AQ2151" s="16">
        <v>999000</v>
      </c>
      <c r="AR2151" s="16">
        <v>0</v>
      </c>
      <c r="AS2151" s="16">
        <v>0</v>
      </c>
      <c r="AT2151" s="13">
        <v>0</v>
      </c>
      <c r="AU2151" s="37" t="s">
        <v>198</v>
      </c>
      <c r="AV2151" s="37"/>
      <c r="AW2151" s="16" t="s">
        <v>287</v>
      </c>
      <c r="AX2151" s="27">
        <v>0</v>
      </c>
      <c r="AY2151" s="27">
        <v>0</v>
      </c>
      <c r="AZ2151" s="27">
        <v>20000021</v>
      </c>
      <c r="BA2151" s="20" t="s">
        <v>200</v>
      </c>
      <c r="BB2151" s="7">
        <v>0</v>
      </c>
      <c r="BC2151" s="82">
        <v>0</v>
      </c>
      <c r="BD2151" s="82">
        <v>0</v>
      </c>
      <c r="BE2151" s="45" t="s">
        <v>322</v>
      </c>
      <c r="BF2151" s="45" t="s">
        <v>323</v>
      </c>
      <c r="BG2151" s="16">
        <v>0</v>
      </c>
      <c r="BH2151" s="16">
        <v>0</v>
      </c>
      <c r="BI2151" s="19">
        <v>0</v>
      </c>
      <c r="BJ2151" s="16">
        <v>0</v>
      </c>
      <c r="BK2151" s="16">
        <v>0</v>
      </c>
      <c r="BL2151" s="34">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90010405</v>
      </c>
      <c r="D2152" s="20" t="s">
        <v>567</v>
      </c>
      <c r="E2152" s="20" t="s">
        <v>568</v>
      </c>
      <c r="F2152" s="19">
        <v>1</v>
      </c>
      <c r="G2152" s="19">
        <v>0</v>
      </c>
      <c r="H2152" s="19">
        <v>0</v>
      </c>
      <c r="I2152" s="28">
        <v>0</v>
      </c>
      <c r="J2152" s="19">
        <v>1</v>
      </c>
      <c r="K2152" s="19">
        <v>0</v>
      </c>
      <c r="L2152" s="19">
        <v>0</v>
      </c>
      <c r="M2152" s="19">
        <v>0</v>
      </c>
      <c r="N2152" s="19">
        <v>0</v>
      </c>
      <c r="O2152" s="16">
        <v>2</v>
      </c>
      <c r="P2152" s="19">
        <v>2</v>
      </c>
      <c r="Q2152" s="19">
        <v>0.6</v>
      </c>
      <c r="R2152" s="19">
        <v>0</v>
      </c>
      <c r="S2152" s="13">
        <v>0</v>
      </c>
      <c r="T2152" s="28">
        <v>0</v>
      </c>
      <c r="U2152" s="17">
        <v>1</v>
      </c>
      <c r="V2152" s="19">
        <v>2</v>
      </c>
      <c r="W2152" s="19">
        <v>0</v>
      </c>
      <c r="X2152" s="19">
        <v>0</v>
      </c>
      <c r="Y2152" s="13">
        <v>0</v>
      </c>
      <c r="Z2152" s="19">
        <v>0</v>
      </c>
      <c r="AA2152" s="19">
        <v>0</v>
      </c>
      <c r="AB2152" s="19">
        <v>0</v>
      </c>
      <c r="AC2152" s="19">
        <v>0</v>
      </c>
      <c r="AD2152" s="19">
        <v>0</v>
      </c>
      <c r="AE2152" s="19">
        <v>0</v>
      </c>
      <c r="AF2152" s="17">
        <v>99999</v>
      </c>
      <c r="AG2152" s="19">
        <v>0</v>
      </c>
      <c r="AH2152" s="19">
        <v>0</v>
      </c>
      <c r="AI2152" s="13">
        <v>2</v>
      </c>
      <c r="AJ2152" s="13">
        <v>0</v>
      </c>
      <c r="AK2152" s="13">
        <v>0</v>
      </c>
      <c r="AL2152" s="13">
        <v>0</v>
      </c>
      <c r="AM2152" s="19">
        <v>0</v>
      </c>
      <c r="AN2152" s="19">
        <v>0</v>
      </c>
      <c r="AO2152" s="19">
        <v>0</v>
      </c>
      <c r="AP2152" s="19">
        <v>0</v>
      </c>
      <c r="AQ2152" s="19">
        <v>1000</v>
      </c>
      <c r="AR2152" s="19">
        <v>0</v>
      </c>
      <c r="AS2152" s="19">
        <v>0</v>
      </c>
      <c r="AT2152" s="13">
        <v>90104002</v>
      </c>
      <c r="AU2152" s="19" t="s">
        <v>198</v>
      </c>
      <c r="AV2152" s="76"/>
      <c r="AW2152" s="16" t="s">
        <v>287</v>
      </c>
      <c r="AX2152" s="19" t="s">
        <v>348</v>
      </c>
      <c r="AY2152" s="19">
        <v>0</v>
      </c>
      <c r="AZ2152" s="19">
        <v>0</v>
      </c>
      <c r="BA2152" s="20" t="s">
        <v>200</v>
      </c>
      <c r="BB2152" s="20" t="s">
        <v>198</v>
      </c>
      <c r="BC2152" s="28">
        <v>0</v>
      </c>
      <c r="BD2152" s="28">
        <v>0</v>
      </c>
      <c r="BE2152" s="89" t="s">
        <v>675</v>
      </c>
      <c r="BF2152" s="89" t="s">
        <v>676</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90010406</v>
      </c>
      <c r="D2153" s="20" t="s">
        <v>4931</v>
      </c>
      <c r="E2153" s="20" t="s">
        <v>4932</v>
      </c>
      <c r="F2153" s="19">
        <v>1</v>
      </c>
      <c r="G2153" s="19">
        <v>60010500</v>
      </c>
      <c r="H2153" s="19">
        <v>0</v>
      </c>
      <c r="I2153" s="28">
        <v>0</v>
      </c>
      <c r="J2153" s="19">
        <v>1</v>
      </c>
      <c r="K2153" s="19">
        <v>0</v>
      </c>
      <c r="L2153" s="19">
        <v>0</v>
      </c>
      <c r="M2153" s="19">
        <v>0</v>
      </c>
      <c r="N2153" s="19">
        <v>0</v>
      </c>
      <c r="O2153" s="16">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9">
        <v>20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90103001</v>
      </c>
      <c r="AU2153" s="19" t="s">
        <v>198</v>
      </c>
      <c r="AV2153" s="76"/>
      <c r="AW2153" s="16" t="s">
        <v>287</v>
      </c>
      <c r="AX2153" s="19" t="s">
        <v>348</v>
      </c>
      <c r="AY2153" s="19">
        <v>0</v>
      </c>
      <c r="AZ2153" s="19">
        <v>40000003</v>
      </c>
      <c r="BA2153" s="20" t="s">
        <v>200</v>
      </c>
      <c r="BB2153" s="20" t="s">
        <v>198</v>
      </c>
      <c r="BC2153" s="28">
        <v>0</v>
      </c>
      <c r="BD2153" s="28">
        <v>0</v>
      </c>
      <c r="BE2153" s="89" t="s">
        <v>4933</v>
      </c>
      <c r="BF2153" s="89" t="s">
        <v>4934</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90010501</v>
      </c>
      <c r="D2154" s="20" t="s">
        <v>573</v>
      </c>
      <c r="E2154" s="20" t="s">
        <v>574</v>
      </c>
      <c r="F2154" s="19">
        <v>1</v>
      </c>
      <c r="G2154" s="19">
        <v>60010300</v>
      </c>
      <c r="H2154" s="19">
        <v>0</v>
      </c>
      <c r="I2154" s="28">
        <v>0</v>
      </c>
      <c r="J2154" s="19">
        <v>1</v>
      </c>
      <c r="K2154" s="19">
        <v>0</v>
      </c>
      <c r="L2154" s="19">
        <v>0</v>
      </c>
      <c r="M2154" s="19">
        <v>0</v>
      </c>
      <c r="N2154" s="19">
        <v>0</v>
      </c>
      <c r="O2154" s="17">
        <v>2</v>
      </c>
      <c r="P2154" s="19">
        <v>1</v>
      </c>
      <c r="Q2154" s="19">
        <v>0.5</v>
      </c>
      <c r="R2154" s="19">
        <v>0</v>
      </c>
      <c r="S2154" s="13">
        <v>0</v>
      </c>
      <c r="T2154" s="28">
        <v>0</v>
      </c>
      <c r="U2154" s="17">
        <v>1</v>
      </c>
      <c r="V2154" s="19">
        <v>2</v>
      </c>
      <c r="W2154" s="19">
        <v>0</v>
      </c>
      <c r="X2154" s="19">
        <v>0.5</v>
      </c>
      <c r="Y2154" s="13">
        <v>0</v>
      </c>
      <c r="Z2154" s="19">
        <v>0</v>
      </c>
      <c r="AA2154" s="19">
        <v>0</v>
      </c>
      <c r="AB2154" s="19">
        <v>0</v>
      </c>
      <c r="AC2154" s="19">
        <v>0</v>
      </c>
      <c r="AD2154" s="19">
        <v>0</v>
      </c>
      <c r="AE2154" s="19">
        <v>0</v>
      </c>
      <c r="AF2154" s="19">
        <v>15</v>
      </c>
      <c r="AG2154" s="19">
        <v>1</v>
      </c>
      <c r="AH2154" s="19">
        <v>3</v>
      </c>
      <c r="AI2154" s="13">
        <v>1</v>
      </c>
      <c r="AJ2154" s="13">
        <v>0</v>
      </c>
      <c r="AK2154" s="13">
        <v>0</v>
      </c>
      <c r="AL2154" s="13">
        <v>1.5</v>
      </c>
      <c r="AM2154" s="19">
        <v>0</v>
      </c>
      <c r="AN2154" s="19">
        <v>0</v>
      </c>
      <c r="AO2154" s="19">
        <v>0</v>
      </c>
      <c r="AP2154" s="19">
        <v>1</v>
      </c>
      <c r="AQ2154" s="19">
        <v>360000</v>
      </c>
      <c r="AR2154" s="19">
        <v>0.5</v>
      </c>
      <c r="AS2154" s="19">
        <v>0</v>
      </c>
      <c r="AT2154" s="13">
        <v>0</v>
      </c>
      <c r="AU2154" s="19" t="s">
        <v>575</v>
      </c>
      <c r="AV2154" s="19"/>
      <c r="AW2154" s="20" t="s">
        <v>199</v>
      </c>
      <c r="AX2154" s="19" t="s">
        <v>545</v>
      </c>
      <c r="AY2154" s="19">
        <v>10002001</v>
      </c>
      <c r="AZ2154" s="19">
        <v>70106001</v>
      </c>
      <c r="BA2154" s="20" t="s">
        <v>315</v>
      </c>
      <c r="BB2154" s="20" t="s">
        <v>576</v>
      </c>
      <c r="BC2154" s="28">
        <v>0</v>
      </c>
      <c r="BD2154" s="28">
        <v>0</v>
      </c>
      <c r="BE2154" s="89" t="s">
        <v>577</v>
      </c>
      <c r="BF2154" s="89" t="s">
        <v>578</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90010502</v>
      </c>
      <c r="D2155" s="18" t="s">
        <v>579</v>
      </c>
      <c r="E2155" s="18" t="s">
        <v>580</v>
      </c>
      <c r="F2155" s="19">
        <v>1</v>
      </c>
      <c r="G2155" s="17">
        <v>60010100</v>
      </c>
      <c r="H2155" s="19">
        <v>0</v>
      </c>
      <c r="I2155" s="28">
        <v>0</v>
      </c>
      <c r="J2155" s="19">
        <v>1</v>
      </c>
      <c r="K2155" s="19">
        <v>0</v>
      </c>
      <c r="L2155" s="19">
        <v>0</v>
      </c>
      <c r="M2155" s="17">
        <v>0</v>
      </c>
      <c r="N2155" s="17">
        <v>0</v>
      </c>
      <c r="O2155" s="17">
        <v>2</v>
      </c>
      <c r="P2155" s="17">
        <v>1</v>
      </c>
      <c r="Q2155" s="17">
        <v>0.3</v>
      </c>
      <c r="R2155" s="17">
        <v>0</v>
      </c>
      <c r="S2155" s="13">
        <v>0</v>
      </c>
      <c r="T2155" s="17">
        <v>0</v>
      </c>
      <c r="U2155" s="17">
        <v>1</v>
      </c>
      <c r="V2155" s="17">
        <v>2</v>
      </c>
      <c r="W2155" s="17">
        <v>0</v>
      </c>
      <c r="X2155" s="17">
        <v>3</v>
      </c>
      <c r="Y2155" s="13">
        <v>0</v>
      </c>
      <c r="Z2155" s="17">
        <v>0</v>
      </c>
      <c r="AA2155" s="17">
        <v>0</v>
      </c>
      <c r="AB2155" s="17">
        <v>0</v>
      </c>
      <c r="AC2155" s="17">
        <v>0</v>
      </c>
      <c r="AD2155" s="17">
        <v>0</v>
      </c>
      <c r="AE2155" s="17">
        <v>0</v>
      </c>
      <c r="AF2155" s="17">
        <v>12</v>
      </c>
      <c r="AG2155" s="17">
        <v>1</v>
      </c>
      <c r="AH2155" s="17">
        <v>3</v>
      </c>
      <c r="AI2155" s="13">
        <v>6</v>
      </c>
      <c r="AJ2155" s="13">
        <v>1</v>
      </c>
      <c r="AK2155" s="13">
        <v>0</v>
      </c>
      <c r="AL2155" s="13">
        <v>1.5</v>
      </c>
      <c r="AM2155" s="17">
        <v>0</v>
      </c>
      <c r="AN2155" s="17">
        <v>0</v>
      </c>
      <c r="AO2155" s="17">
        <v>0</v>
      </c>
      <c r="AP2155" s="17">
        <v>3</v>
      </c>
      <c r="AQ2155" s="17">
        <v>5000</v>
      </c>
      <c r="AR2155" s="17">
        <v>2</v>
      </c>
      <c r="AS2155" s="17">
        <v>0</v>
      </c>
      <c r="AT2155" s="13">
        <v>0</v>
      </c>
      <c r="AU2155" s="17" t="s">
        <v>198</v>
      </c>
      <c r="AV2155" s="17"/>
      <c r="AW2155" s="20" t="s">
        <v>199</v>
      </c>
      <c r="AX2155" s="17" t="s">
        <v>534</v>
      </c>
      <c r="AY2155" s="19">
        <v>10000007</v>
      </c>
      <c r="AZ2155" s="19">
        <v>90010502</v>
      </c>
      <c r="BA2155" s="18" t="s">
        <v>200</v>
      </c>
      <c r="BB2155" s="17" t="s">
        <v>4935</v>
      </c>
      <c r="BC2155" s="28">
        <v>0</v>
      </c>
      <c r="BD2155" s="28">
        <v>0</v>
      </c>
      <c r="BE2155" s="46" t="s">
        <v>582</v>
      </c>
      <c r="BF2155" s="46" t="s">
        <v>583</v>
      </c>
      <c r="BG2155" s="17">
        <v>0</v>
      </c>
      <c r="BH2155" s="17">
        <v>0</v>
      </c>
      <c r="BI2155" s="17">
        <v>0</v>
      </c>
      <c r="BJ2155" s="17">
        <v>0</v>
      </c>
      <c r="BK2155" s="17">
        <v>0</v>
      </c>
      <c r="BL2155" s="17">
        <v>0</v>
      </c>
      <c r="BM2155" s="16">
        <v>0</v>
      </c>
      <c r="BN2155" s="13">
        <v>0</v>
      </c>
      <c r="BO2155" s="13">
        <v>0</v>
      </c>
      <c r="BP2155" s="13">
        <v>0</v>
      </c>
      <c r="BQ2155" s="13">
        <v>0</v>
      </c>
      <c r="BR2155" s="13">
        <v>0</v>
      </c>
      <c r="BS2155" s="13">
        <v>0</v>
      </c>
      <c r="BT2155" s="13">
        <v>0</v>
      </c>
      <c r="BU2155" s="49">
        <v>0</v>
      </c>
      <c r="BV2155" s="49"/>
      <c r="BW2155" s="49"/>
    </row>
    <row r="2156" spans="3:75" ht="19.5" customHeight="1">
      <c r="C2156" s="19">
        <v>90010503</v>
      </c>
      <c r="D2156" s="20" t="s">
        <v>584</v>
      </c>
      <c r="E2156" s="20" t="s">
        <v>585</v>
      </c>
      <c r="F2156" s="19">
        <v>1</v>
      </c>
      <c r="G2156" s="19">
        <v>60010300</v>
      </c>
      <c r="H2156" s="19">
        <v>0</v>
      </c>
      <c r="I2156" s="28">
        <v>0</v>
      </c>
      <c r="J2156" s="19">
        <v>1</v>
      </c>
      <c r="K2156" s="19">
        <v>0</v>
      </c>
      <c r="L2156" s="19">
        <v>0</v>
      </c>
      <c r="M2156" s="19">
        <v>0</v>
      </c>
      <c r="N2156" s="19">
        <v>0</v>
      </c>
      <c r="O2156" s="17">
        <v>2</v>
      </c>
      <c r="P2156" s="19">
        <v>1</v>
      </c>
      <c r="Q2156" s="19">
        <v>0.5</v>
      </c>
      <c r="R2156" s="19">
        <v>0</v>
      </c>
      <c r="S2156" s="13">
        <v>0</v>
      </c>
      <c r="T2156" s="28">
        <v>0</v>
      </c>
      <c r="U2156" s="17">
        <v>1</v>
      </c>
      <c r="V2156" s="19">
        <v>2</v>
      </c>
      <c r="W2156" s="19">
        <v>0</v>
      </c>
      <c r="X2156" s="19">
        <v>3</v>
      </c>
      <c r="Y2156" s="13">
        <v>0</v>
      </c>
      <c r="Z2156" s="19">
        <v>0</v>
      </c>
      <c r="AA2156" s="19">
        <v>0</v>
      </c>
      <c r="AB2156" s="19">
        <v>0</v>
      </c>
      <c r="AC2156" s="19">
        <v>0</v>
      </c>
      <c r="AD2156" s="19">
        <v>0</v>
      </c>
      <c r="AE2156" s="19">
        <v>0</v>
      </c>
      <c r="AF2156" s="19">
        <v>9</v>
      </c>
      <c r="AG2156" s="19">
        <v>1</v>
      </c>
      <c r="AH2156" s="19">
        <v>2</v>
      </c>
      <c r="AI2156" s="13">
        <v>2</v>
      </c>
      <c r="AJ2156" s="13">
        <v>2</v>
      </c>
      <c r="AK2156" s="13">
        <v>0</v>
      </c>
      <c r="AL2156" s="13">
        <v>3</v>
      </c>
      <c r="AM2156" s="19">
        <v>0</v>
      </c>
      <c r="AN2156" s="19">
        <v>0</v>
      </c>
      <c r="AO2156" s="19">
        <v>0</v>
      </c>
      <c r="AP2156" s="19">
        <v>2</v>
      </c>
      <c r="AQ2156" s="19">
        <v>30000</v>
      </c>
      <c r="AR2156" s="19">
        <v>2</v>
      </c>
      <c r="AS2156" s="19">
        <v>4</v>
      </c>
      <c r="AT2156" s="13">
        <v>0</v>
      </c>
      <c r="AU2156" s="19" t="s">
        <v>198</v>
      </c>
      <c r="AV2156" s="19"/>
      <c r="AW2156" s="20" t="s">
        <v>199</v>
      </c>
      <c r="AX2156" s="19" t="s">
        <v>545</v>
      </c>
      <c r="AY2156" s="19">
        <v>10003002</v>
      </c>
      <c r="AZ2156" s="19">
        <v>70106005</v>
      </c>
      <c r="BA2156" s="20" t="s">
        <v>586</v>
      </c>
      <c r="BB2156" s="20">
        <v>0</v>
      </c>
      <c r="BC2156" s="28">
        <v>0</v>
      </c>
      <c r="BD2156" s="28">
        <v>0</v>
      </c>
      <c r="BE2156" s="89" t="s">
        <v>577</v>
      </c>
      <c r="BF2156" s="89" t="s">
        <v>578</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20.100000000000001" customHeight="1">
      <c r="C2157" s="19">
        <v>90010504</v>
      </c>
      <c r="D2157" s="20" t="s">
        <v>567</v>
      </c>
      <c r="E2157" s="20" t="s">
        <v>568</v>
      </c>
      <c r="F2157" s="19">
        <v>1</v>
      </c>
      <c r="G2157" s="19">
        <v>60010500</v>
      </c>
      <c r="H2157" s="19">
        <v>0</v>
      </c>
      <c r="I2157" s="28">
        <v>0</v>
      </c>
      <c r="J2157" s="19">
        <v>1</v>
      </c>
      <c r="K2157" s="19">
        <v>0</v>
      </c>
      <c r="L2157" s="19">
        <v>0</v>
      </c>
      <c r="M2157" s="19">
        <v>0</v>
      </c>
      <c r="N2157" s="19">
        <v>0</v>
      </c>
      <c r="O2157" s="17">
        <v>2</v>
      </c>
      <c r="P2157" s="19">
        <v>2</v>
      </c>
      <c r="Q2157" s="19">
        <v>0.6</v>
      </c>
      <c r="R2157" s="19">
        <v>0</v>
      </c>
      <c r="S2157" s="13">
        <v>0</v>
      </c>
      <c r="T2157" s="28">
        <v>0</v>
      </c>
      <c r="U2157" s="17">
        <v>1</v>
      </c>
      <c r="V2157" s="19">
        <v>2</v>
      </c>
      <c r="W2157" s="19">
        <v>0</v>
      </c>
      <c r="X2157" s="19">
        <v>0</v>
      </c>
      <c r="Y2157" s="13">
        <v>0</v>
      </c>
      <c r="Z2157" s="19">
        <v>0</v>
      </c>
      <c r="AA2157" s="19">
        <v>0</v>
      </c>
      <c r="AB2157" s="19">
        <v>0</v>
      </c>
      <c r="AC2157" s="19">
        <v>0</v>
      </c>
      <c r="AD2157" s="19">
        <v>0</v>
      </c>
      <c r="AE2157" s="19">
        <v>0</v>
      </c>
      <c r="AF2157" s="17">
        <v>30</v>
      </c>
      <c r="AG2157" s="19">
        <v>0</v>
      </c>
      <c r="AH2157" s="19">
        <v>0</v>
      </c>
      <c r="AI2157" s="13">
        <v>2</v>
      </c>
      <c r="AJ2157" s="13">
        <v>0</v>
      </c>
      <c r="AK2157" s="13">
        <v>0</v>
      </c>
      <c r="AL2157" s="13">
        <v>0</v>
      </c>
      <c r="AM2157" s="19">
        <v>0</v>
      </c>
      <c r="AN2157" s="19">
        <v>0</v>
      </c>
      <c r="AO2157" s="19">
        <v>0</v>
      </c>
      <c r="AP2157" s="19">
        <v>0</v>
      </c>
      <c r="AQ2157" s="19">
        <v>1000</v>
      </c>
      <c r="AR2157" s="19">
        <v>0</v>
      </c>
      <c r="AS2157" s="19">
        <v>0</v>
      </c>
      <c r="AT2157" s="13">
        <v>90104002</v>
      </c>
      <c r="AU2157" s="19" t="s">
        <v>198</v>
      </c>
      <c r="AV2157" s="19"/>
      <c r="AW2157" s="20" t="s">
        <v>199</v>
      </c>
      <c r="AX2157" s="19" t="s">
        <v>348</v>
      </c>
      <c r="AY2157" s="19">
        <v>0</v>
      </c>
      <c r="AZ2157" s="19">
        <v>0</v>
      </c>
      <c r="BA2157" s="20" t="s">
        <v>200</v>
      </c>
      <c r="BB2157" s="20" t="s">
        <v>198</v>
      </c>
      <c r="BC2157" s="28">
        <v>0</v>
      </c>
      <c r="BD2157" s="28">
        <v>0</v>
      </c>
      <c r="BE2157" s="89" t="s">
        <v>587</v>
      </c>
      <c r="BF2157" s="89" t="s">
        <v>588</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20.100000000000001" customHeight="1">
      <c r="C2158" s="19">
        <v>90010505</v>
      </c>
      <c r="D2158" s="18" t="s">
        <v>589</v>
      </c>
      <c r="E2158" s="18" t="s">
        <v>590</v>
      </c>
      <c r="F2158" s="19">
        <v>1</v>
      </c>
      <c r="G2158" s="17">
        <v>60010300</v>
      </c>
      <c r="H2158" s="19">
        <v>0</v>
      </c>
      <c r="I2158" s="28">
        <v>0</v>
      </c>
      <c r="J2158" s="19">
        <v>1</v>
      </c>
      <c r="K2158" s="19">
        <v>0</v>
      </c>
      <c r="L2158" s="19">
        <v>0</v>
      </c>
      <c r="M2158" s="17">
        <v>0</v>
      </c>
      <c r="N2158" s="17">
        <v>0</v>
      </c>
      <c r="O2158" s="17">
        <v>2</v>
      </c>
      <c r="P2158" s="17">
        <v>1</v>
      </c>
      <c r="Q2158" s="17">
        <v>0.6</v>
      </c>
      <c r="R2158" s="17">
        <v>0</v>
      </c>
      <c r="S2158" s="13">
        <v>0</v>
      </c>
      <c r="T2158" s="17">
        <v>0</v>
      </c>
      <c r="U2158" s="17">
        <v>1</v>
      </c>
      <c r="V2158" s="17">
        <v>2</v>
      </c>
      <c r="W2158" s="17">
        <v>0</v>
      </c>
      <c r="X2158" s="17">
        <v>0</v>
      </c>
      <c r="Y2158" s="13">
        <v>0</v>
      </c>
      <c r="Z2158" s="17">
        <v>0</v>
      </c>
      <c r="AA2158" s="17">
        <v>0</v>
      </c>
      <c r="AB2158" s="17">
        <v>0</v>
      </c>
      <c r="AC2158" s="17">
        <v>0</v>
      </c>
      <c r="AD2158" s="17">
        <v>0</v>
      </c>
      <c r="AE2158" s="17">
        <v>0</v>
      </c>
      <c r="AF2158" s="17">
        <v>20</v>
      </c>
      <c r="AG2158" s="17">
        <v>0</v>
      </c>
      <c r="AH2158" s="17">
        <v>0</v>
      </c>
      <c r="AI2158" s="13">
        <v>2</v>
      </c>
      <c r="AJ2158" s="13">
        <v>2</v>
      </c>
      <c r="AK2158" s="13">
        <v>0</v>
      </c>
      <c r="AL2158" s="13">
        <v>1.5</v>
      </c>
      <c r="AM2158" s="17">
        <v>0</v>
      </c>
      <c r="AN2158" s="17">
        <v>0</v>
      </c>
      <c r="AO2158" s="17">
        <v>0</v>
      </c>
      <c r="AP2158" s="17">
        <v>1</v>
      </c>
      <c r="AQ2158" s="17">
        <v>3000</v>
      </c>
      <c r="AR2158" s="17">
        <v>0.5</v>
      </c>
      <c r="AS2158" s="17">
        <v>0</v>
      </c>
      <c r="AT2158" s="13">
        <v>0</v>
      </c>
      <c r="AU2158" s="17" t="s">
        <v>198</v>
      </c>
      <c r="AV2158" s="17"/>
      <c r="AW2158" s="20" t="s">
        <v>199</v>
      </c>
      <c r="AX2158" s="17" t="s">
        <v>545</v>
      </c>
      <c r="AY2158" s="19">
        <v>0</v>
      </c>
      <c r="AZ2158" s="19">
        <v>0</v>
      </c>
      <c r="BA2158" s="18" t="s">
        <v>528</v>
      </c>
      <c r="BB2158" s="17" t="s">
        <v>591</v>
      </c>
      <c r="BC2158" s="28">
        <v>0</v>
      </c>
      <c r="BD2158" s="28">
        <v>0</v>
      </c>
      <c r="BE2158" s="46" t="s">
        <v>592</v>
      </c>
      <c r="BF2158" s="46" t="s">
        <v>593</v>
      </c>
      <c r="BG2158" s="17">
        <v>0</v>
      </c>
      <c r="BH2158" s="17">
        <v>0</v>
      </c>
      <c r="BI2158" s="17">
        <v>0</v>
      </c>
      <c r="BJ2158" s="17">
        <v>0</v>
      </c>
      <c r="BK2158" s="17">
        <v>0</v>
      </c>
      <c r="BL2158" s="17">
        <v>0</v>
      </c>
      <c r="BM2158" s="16">
        <v>0</v>
      </c>
      <c r="BN2158" s="13">
        <v>0</v>
      </c>
      <c r="BO2158" s="13">
        <v>0</v>
      </c>
      <c r="BP2158" s="13">
        <v>0</v>
      </c>
      <c r="BQ2158" s="13">
        <v>0</v>
      </c>
      <c r="BR2158" s="13">
        <v>0</v>
      </c>
      <c r="BS2158" s="13">
        <v>0</v>
      </c>
      <c r="BT2158" s="13">
        <v>0</v>
      </c>
      <c r="BU2158" s="49">
        <v>0</v>
      </c>
      <c r="BV2158" s="49"/>
      <c r="BW2158" s="49"/>
    </row>
    <row r="2159" spans="3:75" ht="20.100000000000001" customHeight="1">
      <c r="C2159" s="19">
        <v>90010901</v>
      </c>
      <c r="D2159" s="285" t="s">
        <v>4936</v>
      </c>
      <c r="E2159" s="285" t="s">
        <v>4937</v>
      </c>
      <c r="F2159" s="17">
        <v>1</v>
      </c>
      <c r="G2159" s="17">
        <v>62021401</v>
      </c>
      <c r="H2159" s="19">
        <f>C2160</f>
        <v>90010902</v>
      </c>
      <c r="I2159" s="28">
        <v>0</v>
      </c>
      <c r="J2159" s="17">
        <v>27</v>
      </c>
      <c r="K2159" s="17">
        <v>2</v>
      </c>
      <c r="L2159" s="17">
        <v>0</v>
      </c>
      <c r="M2159" s="19">
        <v>0</v>
      </c>
      <c r="N2159" s="19">
        <v>0</v>
      </c>
      <c r="O2159" s="19">
        <v>2</v>
      </c>
      <c r="P2159" s="19">
        <v>2</v>
      </c>
      <c r="Q2159" s="19">
        <v>0.95</v>
      </c>
      <c r="R2159" s="19">
        <v>0</v>
      </c>
      <c r="S2159" s="13">
        <v>0</v>
      </c>
      <c r="T2159" s="28">
        <v>0</v>
      </c>
      <c r="U2159" s="17">
        <v>1</v>
      </c>
      <c r="V2159" s="19">
        <v>2</v>
      </c>
      <c r="W2159" s="19">
        <v>0</v>
      </c>
      <c r="X2159" s="19">
        <v>1.2</v>
      </c>
      <c r="Y2159" s="13">
        <v>0</v>
      </c>
      <c r="Z2159" s="19">
        <v>500</v>
      </c>
      <c r="AA2159" s="19">
        <v>0</v>
      </c>
      <c r="AB2159" s="19">
        <v>0</v>
      </c>
      <c r="AC2159" s="19">
        <v>0</v>
      </c>
      <c r="AD2159" s="19">
        <v>0</v>
      </c>
      <c r="AE2159" s="19">
        <v>0</v>
      </c>
      <c r="AF2159" s="19">
        <v>6</v>
      </c>
      <c r="AG2159" s="19">
        <v>1</v>
      </c>
      <c r="AH2159" s="19">
        <v>3</v>
      </c>
      <c r="AI2159" s="13">
        <v>2</v>
      </c>
      <c r="AJ2159" s="13">
        <v>1</v>
      </c>
      <c r="AK2159" s="13">
        <v>0</v>
      </c>
      <c r="AL2159" s="13">
        <v>7</v>
      </c>
      <c r="AM2159" s="19">
        <v>0</v>
      </c>
      <c r="AN2159" s="19">
        <v>0</v>
      </c>
      <c r="AO2159" s="19">
        <v>6</v>
      </c>
      <c r="AP2159" s="19">
        <v>0.25</v>
      </c>
      <c r="AQ2159" s="19">
        <v>6000</v>
      </c>
      <c r="AR2159" s="19">
        <v>0</v>
      </c>
      <c r="AS2159" s="19">
        <v>0</v>
      </c>
      <c r="AT2159" s="13">
        <v>0</v>
      </c>
      <c r="AU2159" s="19">
        <v>92014001</v>
      </c>
      <c r="AV2159" s="19"/>
      <c r="AW2159" s="20" t="s">
        <v>369</v>
      </c>
      <c r="AX2159" s="19" t="s">
        <v>370</v>
      </c>
      <c r="AY2159" s="19">
        <v>10002001</v>
      </c>
      <c r="AZ2159" s="19">
        <v>21101040</v>
      </c>
      <c r="BA2159" s="20" t="s">
        <v>315</v>
      </c>
      <c r="BB2159" s="20" t="s">
        <v>1733</v>
      </c>
      <c r="BC2159" s="28">
        <v>0</v>
      </c>
      <c r="BD2159" s="28">
        <v>0</v>
      </c>
      <c r="BE2159" s="186" t="str">
        <f t="shared" ref="BE2159" si="148">"对目标区域持续造成伤害,在此范围内的敌方目标每秒造成2次"&amp;X2159*100&amp;"%攻击伤害+"&amp;Z2159&amp;"点固定伤害,目标移动速度降低75%,持续6秒,当在施法过程中进行移动会中断此技能施放"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9" s="186" t="s">
        <v>4938</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spans="3:75" ht="19.5" customHeight="1">
      <c r="C2160" s="17">
        <v>90010902</v>
      </c>
      <c r="D2160" s="285" t="s">
        <v>4939</v>
      </c>
      <c r="E2160" s="285" t="s">
        <v>4940</v>
      </c>
      <c r="F2160" s="17">
        <v>1</v>
      </c>
      <c r="G2160" s="19">
        <v>62021301</v>
      </c>
      <c r="H2160" s="17">
        <v>62021203</v>
      </c>
      <c r="I2160" s="28">
        <v>0</v>
      </c>
      <c r="J2160" s="17">
        <v>32</v>
      </c>
      <c r="K2160" s="17">
        <v>2</v>
      </c>
      <c r="L2160" s="17">
        <v>0</v>
      </c>
      <c r="M2160" s="19">
        <v>0</v>
      </c>
      <c r="N2160" s="19">
        <v>0</v>
      </c>
      <c r="O2160" s="19">
        <v>2</v>
      </c>
      <c r="P2160" s="19">
        <v>2</v>
      </c>
      <c r="Q2160" s="19">
        <v>0.95</v>
      </c>
      <c r="R2160" s="19">
        <v>0</v>
      </c>
      <c r="S2160" s="13">
        <v>0</v>
      </c>
      <c r="T2160" s="28">
        <v>0</v>
      </c>
      <c r="U2160" s="17">
        <v>1</v>
      </c>
      <c r="V2160" s="19">
        <v>2</v>
      </c>
      <c r="W2160" s="19">
        <v>0</v>
      </c>
      <c r="X2160" s="19">
        <v>2.5</v>
      </c>
      <c r="Y2160" s="13">
        <v>0</v>
      </c>
      <c r="Z2160" s="19">
        <v>1500</v>
      </c>
      <c r="AA2160" s="19">
        <v>0</v>
      </c>
      <c r="AB2160" s="19">
        <v>0</v>
      </c>
      <c r="AC2160" s="19">
        <v>0</v>
      </c>
      <c r="AD2160" s="19">
        <v>0</v>
      </c>
      <c r="AE2160" s="19">
        <v>0</v>
      </c>
      <c r="AF2160" s="19">
        <v>12</v>
      </c>
      <c r="AG2160" s="19">
        <v>1</v>
      </c>
      <c r="AH2160" s="19">
        <v>3</v>
      </c>
      <c r="AI2160" s="13">
        <v>2</v>
      </c>
      <c r="AJ2160" s="13">
        <v>2</v>
      </c>
      <c r="AK2160" s="13">
        <v>0</v>
      </c>
      <c r="AL2160" s="13">
        <v>4</v>
      </c>
      <c r="AM2160" s="19">
        <v>0</v>
      </c>
      <c r="AN2160" s="19">
        <v>3</v>
      </c>
      <c r="AO2160" s="19">
        <v>0</v>
      </c>
      <c r="AP2160" s="19">
        <v>0.25</v>
      </c>
      <c r="AQ2160" s="19">
        <v>2000</v>
      </c>
      <c r="AR2160" s="19">
        <v>0</v>
      </c>
      <c r="AS2160" s="19">
        <v>10</v>
      </c>
      <c r="AT2160" s="13">
        <v>0</v>
      </c>
      <c r="AU2160" s="19">
        <v>92002001</v>
      </c>
      <c r="AV2160" s="19"/>
      <c r="AW2160" s="20" t="s">
        <v>199</v>
      </c>
      <c r="AX2160" s="19" t="s">
        <v>545</v>
      </c>
      <c r="AY2160" s="19">
        <v>10003002</v>
      </c>
      <c r="AZ2160" s="19">
        <v>21101030</v>
      </c>
      <c r="BA2160" s="20" t="s">
        <v>586</v>
      </c>
      <c r="BB2160" s="20">
        <v>0</v>
      </c>
      <c r="BC2160" s="28">
        <v>0</v>
      </c>
      <c r="BD2160" s="28">
        <v>0</v>
      </c>
      <c r="BE2160" s="186" t="str">
        <f t="shared" ref="BE2160" si="149">"立即对指定前方区域释放冲击波,冲击波对触碰的怪物造成"&amp;X2160*100&amp;"%攻击伤害+"&amp;Z2160&amp;"点固定伤害"</f>
        <v>立即对指定前方区域释放冲击波,冲击波对触碰的怪物造成250%攻击伤害+1500点固定伤害</v>
      </c>
      <c r="BF2160" s="186" t="s">
        <v>1760</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9">
        <v>90010903</v>
      </c>
      <c r="D2161" s="285" t="s">
        <v>4941</v>
      </c>
      <c r="E2161" s="285" t="s">
        <v>4942</v>
      </c>
      <c r="F2161" s="17">
        <v>1</v>
      </c>
      <c r="G2161" s="19">
        <v>62021301</v>
      </c>
      <c r="H2161" s="17">
        <v>62021203</v>
      </c>
      <c r="I2161" s="28">
        <v>0</v>
      </c>
      <c r="J2161" s="17">
        <v>32</v>
      </c>
      <c r="K2161" s="17">
        <v>2</v>
      </c>
      <c r="L2161" s="17">
        <v>0</v>
      </c>
      <c r="M2161" s="19">
        <v>0</v>
      </c>
      <c r="N2161" s="19">
        <v>0</v>
      </c>
      <c r="O2161" s="19">
        <v>2</v>
      </c>
      <c r="P2161" s="19">
        <v>2</v>
      </c>
      <c r="Q2161" s="19">
        <v>0.95</v>
      </c>
      <c r="R2161" s="19">
        <v>0</v>
      </c>
      <c r="S2161" s="13">
        <v>0</v>
      </c>
      <c r="T2161" s="28">
        <v>0</v>
      </c>
      <c r="U2161" s="17">
        <v>1</v>
      </c>
      <c r="V2161" s="19">
        <v>2</v>
      </c>
      <c r="W2161" s="19">
        <v>0</v>
      </c>
      <c r="X2161" s="19">
        <v>2.5</v>
      </c>
      <c r="Y2161" s="13">
        <v>0</v>
      </c>
      <c r="Z2161" s="19">
        <v>1500</v>
      </c>
      <c r="AA2161" s="19">
        <v>0</v>
      </c>
      <c r="AB2161" s="19">
        <v>0</v>
      </c>
      <c r="AC2161" s="19">
        <v>0</v>
      </c>
      <c r="AD2161" s="19">
        <v>0</v>
      </c>
      <c r="AE2161" s="19">
        <v>0</v>
      </c>
      <c r="AF2161" s="19">
        <v>12</v>
      </c>
      <c r="AG2161" s="19">
        <v>1</v>
      </c>
      <c r="AH2161" s="19">
        <v>3</v>
      </c>
      <c r="AI2161" s="13">
        <v>2</v>
      </c>
      <c r="AJ2161" s="13">
        <v>2</v>
      </c>
      <c r="AK2161" s="13">
        <v>0</v>
      </c>
      <c r="AL2161" s="13">
        <v>4</v>
      </c>
      <c r="AM2161" s="19">
        <v>0</v>
      </c>
      <c r="AN2161" s="19">
        <v>3</v>
      </c>
      <c r="AO2161" s="19">
        <v>0</v>
      </c>
      <c r="AP2161" s="19">
        <v>0.25</v>
      </c>
      <c r="AQ2161" s="19">
        <v>2000</v>
      </c>
      <c r="AR2161" s="19">
        <v>0</v>
      </c>
      <c r="AS2161" s="19">
        <v>10</v>
      </c>
      <c r="AT2161" s="13">
        <v>0</v>
      </c>
      <c r="AU2161" s="19">
        <v>92002001</v>
      </c>
      <c r="AV2161" s="19"/>
      <c r="AW2161" s="20" t="s">
        <v>199</v>
      </c>
      <c r="AX2161" s="19" t="s">
        <v>545</v>
      </c>
      <c r="AY2161" s="19">
        <v>10003002</v>
      </c>
      <c r="AZ2161" s="19">
        <v>21101030</v>
      </c>
      <c r="BA2161" s="20" t="s">
        <v>586</v>
      </c>
      <c r="BB2161" s="20">
        <v>0</v>
      </c>
      <c r="BC2161" s="28">
        <v>0</v>
      </c>
      <c r="BD2161" s="28">
        <v>0</v>
      </c>
      <c r="BE2161" s="186" t="str">
        <f t="shared" ref="BE2161" si="150">"立即对指定前方区域释放冲击波,冲击波对触碰的怪物造成"&amp;X2161*100&amp;"%攻击伤害+"&amp;Z2161&amp;"点固定伤害"</f>
        <v>立即对指定前方区域释放冲击波,冲击波对触碰的怪物造成250%攻击伤害+1500点固定伤害</v>
      </c>
      <c r="BF2161" s="186" t="s">
        <v>1760</v>
      </c>
      <c r="BG2161" s="19">
        <v>0</v>
      </c>
      <c r="BH2161" s="17">
        <v>0</v>
      </c>
      <c r="BI2161" s="19">
        <v>0</v>
      </c>
      <c r="BJ2161" s="19">
        <v>0</v>
      </c>
      <c r="BK2161" s="19">
        <v>0</v>
      </c>
      <c r="BL2161" s="19">
        <v>0</v>
      </c>
      <c r="BM2161" s="16">
        <v>0</v>
      </c>
      <c r="BN2161" s="13">
        <v>0</v>
      </c>
      <c r="BO2161" s="13">
        <v>0</v>
      </c>
      <c r="BP2161" s="13">
        <v>0</v>
      </c>
      <c r="BQ2161" s="13">
        <v>0</v>
      </c>
      <c r="BR2161" s="13">
        <v>0</v>
      </c>
      <c r="BS2161" s="13">
        <v>0</v>
      </c>
      <c r="BT2161" s="13">
        <v>0</v>
      </c>
      <c r="BU2161" s="49">
        <v>0</v>
      </c>
      <c r="BV2161" s="49"/>
      <c r="BW2161" s="49"/>
    </row>
    <row r="2162" spans="3:75" ht="19.5" customHeight="1">
      <c r="C2162" s="17">
        <v>90010904</v>
      </c>
      <c r="D2162" s="20" t="s">
        <v>4943</v>
      </c>
      <c r="E2162" s="20" t="s">
        <v>4944</v>
      </c>
      <c r="F2162" s="19">
        <v>1</v>
      </c>
      <c r="G2162" s="19">
        <v>60010300</v>
      </c>
      <c r="H2162" s="19">
        <v>0</v>
      </c>
      <c r="I2162" s="28">
        <v>0</v>
      </c>
      <c r="J2162" s="19">
        <v>1</v>
      </c>
      <c r="K2162" s="19">
        <v>0</v>
      </c>
      <c r="L2162" s="19">
        <v>0</v>
      </c>
      <c r="M2162" s="19">
        <v>0</v>
      </c>
      <c r="N2162" s="19">
        <v>0</v>
      </c>
      <c r="O2162" s="17">
        <v>1</v>
      </c>
      <c r="P2162" s="19">
        <v>0</v>
      </c>
      <c r="Q2162" s="19">
        <v>0</v>
      </c>
      <c r="R2162" s="19">
        <v>0</v>
      </c>
      <c r="S2162" s="13">
        <v>0</v>
      </c>
      <c r="T2162" s="28">
        <v>0</v>
      </c>
      <c r="U2162" s="17">
        <v>1</v>
      </c>
      <c r="V2162" s="19">
        <v>2</v>
      </c>
      <c r="W2162" s="19">
        <v>0</v>
      </c>
      <c r="X2162" s="19">
        <v>3</v>
      </c>
      <c r="Y2162" s="13">
        <v>0</v>
      </c>
      <c r="Z2162" s="19">
        <v>0</v>
      </c>
      <c r="AA2162" s="19">
        <v>0</v>
      </c>
      <c r="AB2162" s="19">
        <v>0</v>
      </c>
      <c r="AC2162" s="19">
        <v>0</v>
      </c>
      <c r="AD2162" s="19">
        <v>0</v>
      </c>
      <c r="AE2162" s="19">
        <v>0</v>
      </c>
      <c r="AF2162" s="19">
        <v>9</v>
      </c>
      <c r="AG2162" s="19">
        <v>1</v>
      </c>
      <c r="AH2162" s="19">
        <v>2</v>
      </c>
      <c r="AI2162" s="13">
        <v>2</v>
      </c>
      <c r="AJ2162" s="13">
        <v>2</v>
      </c>
      <c r="AK2162" s="13">
        <v>0</v>
      </c>
      <c r="AL2162" s="13">
        <v>3</v>
      </c>
      <c r="AM2162" s="19">
        <v>0</v>
      </c>
      <c r="AN2162" s="19">
        <v>0</v>
      </c>
      <c r="AO2162" s="19">
        <v>0</v>
      </c>
      <c r="AP2162" s="19">
        <v>0.5</v>
      </c>
      <c r="AQ2162" s="19">
        <v>2000</v>
      </c>
      <c r="AR2162" s="19">
        <v>0</v>
      </c>
      <c r="AS2162" s="19">
        <v>20</v>
      </c>
      <c r="AT2162" s="13">
        <v>0</v>
      </c>
      <c r="AU2162" s="19" t="s">
        <v>198</v>
      </c>
      <c r="AV2162" s="19"/>
      <c r="AW2162" s="20" t="s">
        <v>199</v>
      </c>
      <c r="AX2162" s="19" t="s">
        <v>545</v>
      </c>
      <c r="AY2162" s="19">
        <v>10003002</v>
      </c>
      <c r="AZ2162" s="19">
        <v>70106005</v>
      </c>
      <c r="BA2162" s="20" t="s">
        <v>1876</v>
      </c>
      <c r="BB2162" s="20">
        <v>0</v>
      </c>
      <c r="BC2162" s="28">
        <v>0</v>
      </c>
      <c r="BD2162" s="28">
        <v>0</v>
      </c>
      <c r="BE2162" s="89" t="s">
        <v>4945</v>
      </c>
      <c r="BF2162" s="89" t="s">
        <v>4946</v>
      </c>
      <c r="BG2162" s="19">
        <v>0</v>
      </c>
      <c r="BH2162" s="17">
        <v>0</v>
      </c>
      <c r="BI2162" s="19">
        <v>0</v>
      </c>
      <c r="BJ2162" s="19">
        <v>0</v>
      </c>
      <c r="BK2162" s="19">
        <v>0</v>
      </c>
      <c r="BL2162" s="19">
        <v>0</v>
      </c>
      <c r="BM2162" s="16">
        <v>0</v>
      </c>
      <c r="BN2162" s="13">
        <v>0</v>
      </c>
      <c r="BO2162" s="13">
        <v>0</v>
      </c>
      <c r="BP2162" s="13">
        <v>0</v>
      </c>
      <c r="BQ2162" s="13">
        <v>0</v>
      </c>
      <c r="BR2162" s="13">
        <v>0</v>
      </c>
      <c r="BS2162" s="13">
        <v>0</v>
      </c>
      <c r="BT2162" s="13">
        <v>0</v>
      </c>
      <c r="BU2162" s="49">
        <v>0</v>
      </c>
      <c r="BV2162" s="49"/>
      <c r="BW2162" s="49"/>
    </row>
    <row r="2163" spans="3:75" ht="19.5" customHeight="1">
      <c r="C2163" s="19">
        <v>90010905</v>
      </c>
      <c r="D2163" s="20" t="s">
        <v>4947</v>
      </c>
      <c r="E2163" s="20" t="s">
        <v>4948</v>
      </c>
      <c r="F2163" s="19">
        <v>1</v>
      </c>
      <c r="G2163" s="19">
        <v>60010300</v>
      </c>
      <c r="H2163" s="19">
        <v>0</v>
      </c>
      <c r="I2163" s="28">
        <v>0</v>
      </c>
      <c r="J2163" s="19">
        <v>1</v>
      </c>
      <c r="K2163" s="19">
        <v>0</v>
      </c>
      <c r="L2163" s="19">
        <v>0</v>
      </c>
      <c r="M2163" s="19">
        <v>0</v>
      </c>
      <c r="N2163" s="19">
        <v>0</v>
      </c>
      <c r="O2163" s="17">
        <v>1</v>
      </c>
      <c r="P2163" s="19">
        <v>0</v>
      </c>
      <c r="Q2163" s="19">
        <v>0</v>
      </c>
      <c r="R2163" s="19">
        <v>0</v>
      </c>
      <c r="S2163" s="13">
        <v>0</v>
      </c>
      <c r="T2163" s="28">
        <v>0</v>
      </c>
      <c r="U2163" s="17">
        <v>1</v>
      </c>
      <c r="V2163" s="19">
        <v>2</v>
      </c>
      <c r="W2163" s="19">
        <v>0</v>
      </c>
      <c r="X2163" s="19">
        <v>3</v>
      </c>
      <c r="Y2163" s="13">
        <v>0</v>
      </c>
      <c r="Z2163" s="19">
        <v>0</v>
      </c>
      <c r="AA2163" s="19">
        <v>0</v>
      </c>
      <c r="AB2163" s="19">
        <v>0</v>
      </c>
      <c r="AC2163" s="19">
        <v>0</v>
      </c>
      <c r="AD2163" s="19">
        <v>0</v>
      </c>
      <c r="AE2163" s="19">
        <v>0</v>
      </c>
      <c r="AF2163" s="19">
        <v>9</v>
      </c>
      <c r="AG2163" s="19">
        <v>1</v>
      </c>
      <c r="AH2163" s="19">
        <v>2</v>
      </c>
      <c r="AI2163" s="13">
        <v>2</v>
      </c>
      <c r="AJ2163" s="13">
        <v>1</v>
      </c>
      <c r="AK2163" s="13">
        <v>0</v>
      </c>
      <c r="AL2163" s="13">
        <v>5</v>
      </c>
      <c r="AM2163" s="19">
        <v>0</v>
      </c>
      <c r="AN2163" s="19">
        <v>0</v>
      </c>
      <c r="AO2163" s="19">
        <v>0</v>
      </c>
      <c r="AP2163" s="19">
        <v>0.5</v>
      </c>
      <c r="AQ2163" s="19">
        <v>2000</v>
      </c>
      <c r="AR2163" s="19">
        <v>0</v>
      </c>
      <c r="AS2163" s="19">
        <v>20</v>
      </c>
      <c r="AT2163" s="13">
        <v>0</v>
      </c>
      <c r="AU2163" s="19" t="s">
        <v>198</v>
      </c>
      <c r="AV2163" s="19"/>
      <c r="AW2163" s="20" t="s">
        <v>199</v>
      </c>
      <c r="AX2163" s="19" t="s">
        <v>545</v>
      </c>
      <c r="AY2163" s="19">
        <v>0</v>
      </c>
      <c r="AZ2163" s="19">
        <v>70106005</v>
      </c>
      <c r="BA2163" s="20" t="s">
        <v>2016</v>
      </c>
      <c r="BB2163" s="384" t="s">
        <v>4949</v>
      </c>
      <c r="BC2163" s="28">
        <v>0</v>
      </c>
      <c r="BD2163" s="28">
        <v>0</v>
      </c>
      <c r="BE2163" s="89" t="s">
        <v>4950</v>
      </c>
      <c r="BF2163" s="89" t="s">
        <v>4951</v>
      </c>
      <c r="BG2163" s="19">
        <v>0</v>
      </c>
      <c r="BH2163" s="17">
        <v>0</v>
      </c>
      <c r="BI2163" s="19">
        <v>0</v>
      </c>
      <c r="BJ2163" s="19">
        <v>0</v>
      </c>
      <c r="BK2163" s="19">
        <v>0</v>
      </c>
      <c r="BL2163" s="19">
        <v>0</v>
      </c>
      <c r="BM2163" s="16">
        <v>0</v>
      </c>
      <c r="BN2163" s="13">
        <v>0</v>
      </c>
      <c r="BO2163" s="13">
        <v>0</v>
      </c>
      <c r="BP2163" s="13">
        <v>0</v>
      </c>
      <c r="BQ2163" s="13">
        <v>0</v>
      </c>
      <c r="BR2163" s="13">
        <v>0</v>
      </c>
      <c r="BS2163" s="13">
        <v>0</v>
      </c>
      <c r="BT2163" s="13">
        <v>0</v>
      </c>
      <c r="BU2163" s="49">
        <v>0</v>
      </c>
      <c r="BV2163" s="49"/>
      <c r="BW2163" s="49"/>
    </row>
    <row r="2164" spans="3:75" ht="19.5" customHeight="1">
      <c r="C2164" s="17">
        <v>90010906</v>
      </c>
      <c r="D2164" s="18" t="s">
        <v>4952</v>
      </c>
      <c r="E2164" s="18" t="s">
        <v>4953</v>
      </c>
      <c r="F2164" s="17">
        <v>1</v>
      </c>
      <c r="G2164" s="17">
        <v>62011201</v>
      </c>
      <c r="H2164" s="17">
        <v>0</v>
      </c>
      <c r="I2164" s="28">
        <v>0</v>
      </c>
      <c r="J2164" s="17">
        <v>5</v>
      </c>
      <c r="K2164" s="17">
        <v>3</v>
      </c>
      <c r="L2164" s="17">
        <v>0</v>
      </c>
      <c r="M2164" s="17">
        <v>0</v>
      </c>
      <c r="N2164" s="17">
        <v>0</v>
      </c>
      <c r="O2164" s="17">
        <v>1</v>
      </c>
      <c r="P2164" s="17">
        <v>0</v>
      </c>
      <c r="Q2164" s="17">
        <v>0</v>
      </c>
      <c r="R2164" s="17">
        <v>0</v>
      </c>
      <c r="S2164" s="13">
        <v>0</v>
      </c>
      <c r="T2164" s="17">
        <v>0</v>
      </c>
      <c r="U2164" s="17">
        <v>1</v>
      </c>
      <c r="V2164" s="17">
        <v>2</v>
      </c>
      <c r="W2164" s="17">
        <v>0</v>
      </c>
      <c r="X2164" s="17">
        <v>1.5</v>
      </c>
      <c r="Y2164" s="13">
        <v>0</v>
      </c>
      <c r="Z2164" s="17">
        <v>10</v>
      </c>
      <c r="AA2164" s="17">
        <v>1</v>
      </c>
      <c r="AB2164" s="17">
        <v>0</v>
      </c>
      <c r="AC2164" s="17">
        <v>0</v>
      </c>
      <c r="AD2164" s="17">
        <v>0</v>
      </c>
      <c r="AE2164" s="17">
        <v>0</v>
      </c>
      <c r="AF2164" s="17">
        <v>5</v>
      </c>
      <c r="AG2164" s="17">
        <v>1</v>
      </c>
      <c r="AH2164" s="17">
        <v>2</v>
      </c>
      <c r="AI2164" s="13">
        <v>7</v>
      </c>
      <c r="AJ2164" s="13">
        <v>0</v>
      </c>
      <c r="AK2164" s="13">
        <v>0</v>
      </c>
      <c r="AL2164" s="13">
        <v>7</v>
      </c>
      <c r="AM2164" s="17">
        <v>0</v>
      </c>
      <c r="AN2164" s="17">
        <v>0</v>
      </c>
      <c r="AO2164" s="17">
        <v>0</v>
      </c>
      <c r="AP2164" s="17">
        <v>0.5</v>
      </c>
      <c r="AQ2164" s="17">
        <v>3000</v>
      </c>
      <c r="AR2164" s="17">
        <v>0</v>
      </c>
      <c r="AS2164" s="17">
        <v>0</v>
      </c>
      <c r="AT2164" s="13">
        <v>0</v>
      </c>
      <c r="AU2164" s="17" t="s">
        <v>198</v>
      </c>
      <c r="AV2164" s="17"/>
      <c r="AW2164" s="18" t="s">
        <v>617</v>
      </c>
      <c r="AX2164" s="17" t="s">
        <v>534</v>
      </c>
      <c r="AY2164" s="19">
        <v>10000007</v>
      </c>
      <c r="AZ2164" s="19">
        <v>21000020</v>
      </c>
      <c r="BA2164" s="18" t="s">
        <v>4798</v>
      </c>
      <c r="BB2164" s="17">
        <v>0</v>
      </c>
      <c r="BC2164" s="28">
        <v>0</v>
      </c>
      <c r="BD2164" s="28">
        <v>0</v>
      </c>
      <c r="BE2164" s="186" t="s">
        <v>4905</v>
      </c>
      <c r="BF2164" s="186" t="s">
        <v>4906</v>
      </c>
      <c r="BG2164" s="17">
        <v>0</v>
      </c>
      <c r="BH2164" s="17">
        <v>0</v>
      </c>
      <c r="BI2164" s="17">
        <v>0</v>
      </c>
      <c r="BJ2164" s="17">
        <v>0</v>
      </c>
      <c r="BK2164" s="17">
        <v>0</v>
      </c>
      <c r="BL2164" s="17">
        <v>0</v>
      </c>
      <c r="BM2164" s="16">
        <v>0</v>
      </c>
      <c r="BN2164" s="13">
        <v>0</v>
      </c>
      <c r="BO2164" s="13">
        <v>0</v>
      </c>
      <c r="BP2164" s="13">
        <v>0</v>
      </c>
      <c r="BQ2164" s="13">
        <v>0</v>
      </c>
      <c r="BR2164" s="13">
        <v>0</v>
      </c>
      <c r="BS2164" s="13">
        <v>0</v>
      </c>
      <c r="BT2164" s="13">
        <v>0</v>
      </c>
      <c r="BU2164" s="49">
        <v>0</v>
      </c>
      <c r="BV2164" s="49"/>
      <c r="BW2164" s="49"/>
    </row>
    <row r="2165" spans="3:75" ht="19.5" customHeight="1">
      <c r="C2165" s="17">
        <v>90010907</v>
      </c>
      <c r="D2165" s="18" t="s">
        <v>4954</v>
      </c>
      <c r="E2165" s="18" t="s">
        <v>4955</v>
      </c>
      <c r="F2165" s="17">
        <v>1</v>
      </c>
      <c r="G2165" s="17">
        <v>62011201</v>
      </c>
      <c r="H2165" s="17">
        <v>0</v>
      </c>
      <c r="I2165" s="28">
        <v>0</v>
      </c>
      <c r="J2165" s="17">
        <v>5</v>
      </c>
      <c r="K2165" s="17">
        <v>3</v>
      </c>
      <c r="L2165" s="17">
        <v>0</v>
      </c>
      <c r="M2165" s="17">
        <v>0</v>
      </c>
      <c r="N2165" s="17">
        <v>0</v>
      </c>
      <c r="O2165" s="17">
        <v>1</v>
      </c>
      <c r="P2165" s="17">
        <v>0</v>
      </c>
      <c r="Q2165" s="17">
        <v>0</v>
      </c>
      <c r="R2165" s="17">
        <v>0</v>
      </c>
      <c r="S2165" s="13">
        <v>0</v>
      </c>
      <c r="T2165" s="17">
        <v>0</v>
      </c>
      <c r="U2165" s="17">
        <v>1</v>
      </c>
      <c r="V2165" s="17">
        <v>2</v>
      </c>
      <c r="W2165" s="17">
        <v>0</v>
      </c>
      <c r="X2165" s="17">
        <v>1.5</v>
      </c>
      <c r="Y2165" s="13">
        <v>0</v>
      </c>
      <c r="Z2165" s="17">
        <v>10</v>
      </c>
      <c r="AA2165" s="17">
        <v>1</v>
      </c>
      <c r="AB2165" s="17">
        <v>0</v>
      </c>
      <c r="AC2165" s="17">
        <v>0</v>
      </c>
      <c r="AD2165" s="17">
        <v>0</v>
      </c>
      <c r="AE2165" s="17">
        <v>0</v>
      </c>
      <c r="AF2165" s="17">
        <v>5</v>
      </c>
      <c r="AG2165" s="17">
        <v>1</v>
      </c>
      <c r="AH2165" s="17">
        <v>3</v>
      </c>
      <c r="AI2165" s="13">
        <v>2</v>
      </c>
      <c r="AJ2165" s="13">
        <v>1</v>
      </c>
      <c r="AK2165" s="13">
        <v>0</v>
      </c>
      <c r="AL2165" s="13">
        <v>7</v>
      </c>
      <c r="AM2165" s="17">
        <v>0</v>
      </c>
      <c r="AN2165" s="17">
        <v>0</v>
      </c>
      <c r="AO2165" s="17">
        <v>0</v>
      </c>
      <c r="AP2165" s="17">
        <v>0.5</v>
      </c>
      <c r="AQ2165" s="17">
        <v>3000</v>
      </c>
      <c r="AR2165" s="17">
        <v>0</v>
      </c>
      <c r="AS2165" s="17">
        <v>0</v>
      </c>
      <c r="AT2165" s="13">
        <v>0</v>
      </c>
      <c r="AU2165" s="17" t="s">
        <v>198</v>
      </c>
      <c r="AV2165" s="17"/>
      <c r="AW2165" s="18" t="s">
        <v>617</v>
      </c>
      <c r="AX2165" s="17" t="s">
        <v>534</v>
      </c>
      <c r="AY2165" s="19">
        <v>10000007</v>
      </c>
      <c r="AZ2165" s="19">
        <v>21000020</v>
      </c>
      <c r="BA2165" s="18" t="s">
        <v>1042</v>
      </c>
      <c r="BB2165" s="17">
        <v>0</v>
      </c>
      <c r="BC2165" s="28">
        <v>0</v>
      </c>
      <c r="BD2165" s="28">
        <v>0</v>
      </c>
      <c r="BE2165" s="186" t="s">
        <v>4905</v>
      </c>
      <c r="BF2165" s="186" t="s">
        <v>4906</v>
      </c>
      <c r="BG2165" s="17">
        <v>0</v>
      </c>
      <c r="BH2165" s="17">
        <v>0</v>
      </c>
      <c r="BI2165" s="17">
        <v>0</v>
      </c>
      <c r="BJ2165" s="17">
        <v>0</v>
      </c>
      <c r="BK2165" s="17">
        <v>0</v>
      </c>
      <c r="BL2165" s="17">
        <v>0</v>
      </c>
      <c r="BM2165" s="16">
        <v>0</v>
      </c>
      <c r="BN2165" s="13">
        <v>0</v>
      </c>
      <c r="BO2165" s="13">
        <v>0</v>
      </c>
      <c r="BP2165" s="13">
        <v>0</v>
      </c>
      <c r="BQ2165" s="13">
        <v>0</v>
      </c>
      <c r="BR2165" s="13">
        <v>0</v>
      </c>
      <c r="BS2165" s="13">
        <v>0</v>
      </c>
      <c r="BT2165" s="13">
        <v>0</v>
      </c>
      <c r="BU2165" s="49">
        <v>0</v>
      </c>
      <c r="BV2165" s="49"/>
      <c r="BW2165" s="49"/>
    </row>
    <row r="2166" spans="3:75" ht="20.100000000000001" customHeight="1">
      <c r="C2166" s="62">
        <v>90010908</v>
      </c>
      <c r="D2166" s="65" t="s">
        <v>4956</v>
      </c>
      <c r="E2166" s="65" t="s">
        <v>4957</v>
      </c>
      <c r="F2166" s="66">
        <v>1</v>
      </c>
      <c r="G2166" s="95">
        <v>0</v>
      </c>
      <c r="H2166" s="66">
        <v>0</v>
      </c>
      <c r="I2166" s="68">
        <v>0</v>
      </c>
      <c r="J2166" s="66">
        <v>1</v>
      </c>
      <c r="K2166" s="66">
        <v>0</v>
      </c>
      <c r="L2166" s="66">
        <v>0</v>
      </c>
      <c r="M2166" s="66">
        <v>0</v>
      </c>
      <c r="N2166" s="66">
        <v>0</v>
      </c>
      <c r="O2166" s="66">
        <v>1</v>
      </c>
      <c r="P2166" s="66">
        <v>0</v>
      </c>
      <c r="Q2166" s="66">
        <v>0</v>
      </c>
      <c r="R2166" s="66">
        <v>0</v>
      </c>
      <c r="S2166" s="70">
        <v>0</v>
      </c>
      <c r="T2166" s="68">
        <v>0</v>
      </c>
      <c r="U2166" s="62">
        <v>1</v>
      </c>
      <c r="V2166" s="66">
        <v>1</v>
      </c>
      <c r="W2166" s="66">
        <v>0</v>
      </c>
      <c r="X2166" s="66">
        <v>1.5</v>
      </c>
      <c r="Y2166" s="13">
        <v>0</v>
      </c>
      <c r="Z2166" s="66">
        <v>0</v>
      </c>
      <c r="AA2166" s="66">
        <v>0</v>
      </c>
      <c r="AB2166" s="66">
        <v>0</v>
      </c>
      <c r="AC2166" s="66">
        <v>0</v>
      </c>
      <c r="AD2166" s="66">
        <v>1</v>
      </c>
      <c r="AE2166" s="66">
        <v>0</v>
      </c>
      <c r="AF2166" s="66">
        <v>5</v>
      </c>
      <c r="AG2166" s="66">
        <v>1</v>
      </c>
      <c r="AH2166" s="66">
        <v>3</v>
      </c>
      <c r="AI2166" s="70">
        <v>2</v>
      </c>
      <c r="AJ2166" s="70">
        <v>1</v>
      </c>
      <c r="AK2166" s="70">
        <v>0</v>
      </c>
      <c r="AL2166" s="70">
        <v>6</v>
      </c>
      <c r="AM2166" s="66">
        <v>0</v>
      </c>
      <c r="AN2166" s="66">
        <v>0</v>
      </c>
      <c r="AO2166" s="66">
        <v>0</v>
      </c>
      <c r="AP2166" s="66">
        <v>0</v>
      </c>
      <c r="AQ2166" s="66">
        <v>5000</v>
      </c>
      <c r="AR2166" s="66">
        <v>0.2</v>
      </c>
      <c r="AS2166" s="66">
        <v>0</v>
      </c>
      <c r="AT2166" s="70">
        <v>0</v>
      </c>
      <c r="AU2166" s="66" t="s">
        <v>198</v>
      </c>
      <c r="AV2166" s="66"/>
      <c r="AW2166" s="65" t="s">
        <v>198</v>
      </c>
      <c r="AX2166" s="66" t="s">
        <v>1585</v>
      </c>
      <c r="AY2166" s="66">
        <v>10000006</v>
      </c>
      <c r="AZ2166" s="127">
        <v>60000004</v>
      </c>
      <c r="BA2166" s="65" t="s">
        <v>1586</v>
      </c>
      <c r="BB2166" s="65" t="s">
        <v>198</v>
      </c>
      <c r="BC2166" s="68">
        <v>0</v>
      </c>
      <c r="BD2166" s="68">
        <v>0</v>
      </c>
      <c r="BE2166" s="94"/>
      <c r="BF2166" s="94"/>
      <c r="BG2166" s="66">
        <v>0</v>
      </c>
      <c r="BH2166" s="62">
        <v>0</v>
      </c>
      <c r="BI2166" s="66">
        <v>0</v>
      </c>
      <c r="BJ2166" s="66">
        <v>0</v>
      </c>
      <c r="BK2166" s="66">
        <v>0</v>
      </c>
      <c r="BL2166" s="66">
        <v>0</v>
      </c>
      <c r="BM2166" s="95">
        <v>0</v>
      </c>
      <c r="BN2166" s="70">
        <v>1</v>
      </c>
      <c r="BO2166" s="70">
        <v>0</v>
      </c>
      <c r="BP2166" s="70">
        <v>0</v>
      </c>
      <c r="BQ2166" s="70">
        <v>0</v>
      </c>
      <c r="BR2166" s="70">
        <v>0</v>
      </c>
      <c r="BS2166" s="70">
        <v>0</v>
      </c>
      <c r="BT2166" s="13">
        <v>0</v>
      </c>
      <c r="BU2166" s="49">
        <v>0</v>
      </c>
      <c r="BV2166" s="49"/>
      <c r="BW2166" s="49"/>
    </row>
    <row r="2167" spans="3:75" ht="20.100000000000001" customHeight="1">
      <c r="C2167" s="17">
        <v>90010909</v>
      </c>
      <c r="D2167" s="18" t="s">
        <v>4958</v>
      </c>
      <c r="E2167" s="18" t="s">
        <v>4959</v>
      </c>
      <c r="F2167" s="17">
        <v>0</v>
      </c>
      <c r="G2167" s="17">
        <v>61011301</v>
      </c>
      <c r="H2167" s="17">
        <v>0</v>
      </c>
      <c r="I2167" s="28">
        <v>0</v>
      </c>
      <c r="J2167" s="17">
        <v>10</v>
      </c>
      <c r="K2167" s="17">
        <v>3</v>
      </c>
      <c r="L2167" s="17">
        <v>0</v>
      </c>
      <c r="M2167" s="17">
        <v>0</v>
      </c>
      <c r="N2167" s="17">
        <v>0</v>
      </c>
      <c r="O2167" s="17">
        <v>2</v>
      </c>
      <c r="P2167" s="17">
        <v>1</v>
      </c>
      <c r="Q2167" s="17">
        <v>0.1</v>
      </c>
      <c r="R2167" s="17">
        <v>0</v>
      </c>
      <c r="S2167" s="13">
        <v>3</v>
      </c>
      <c r="T2167" s="17">
        <v>0</v>
      </c>
      <c r="U2167" s="17">
        <v>1</v>
      </c>
      <c r="V2167" s="17">
        <v>2</v>
      </c>
      <c r="W2167" s="17">
        <v>0</v>
      </c>
      <c r="X2167" s="17">
        <v>3</v>
      </c>
      <c r="Y2167" s="13">
        <v>0</v>
      </c>
      <c r="Z2167" s="17">
        <v>350</v>
      </c>
      <c r="AA2167" s="17">
        <v>1</v>
      </c>
      <c r="AB2167" s="17">
        <v>0</v>
      </c>
      <c r="AC2167" s="17">
        <v>0</v>
      </c>
      <c r="AD2167" s="17">
        <v>0</v>
      </c>
      <c r="AE2167" s="17">
        <v>0</v>
      </c>
      <c r="AF2167" s="17">
        <v>9</v>
      </c>
      <c r="AG2167" s="17">
        <v>1</v>
      </c>
      <c r="AH2167" s="17">
        <v>3</v>
      </c>
      <c r="AI2167" s="13">
        <v>2</v>
      </c>
      <c r="AJ2167" s="13">
        <v>1</v>
      </c>
      <c r="AK2167" s="13">
        <v>0</v>
      </c>
      <c r="AL2167" s="13">
        <v>6</v>
      </c>
      <c r="AM2167" s="17">
        <v>0</v>
      </c>
      <c r="AN2167" s="17">
        <v>0</v>
      </c>
      <c r="AO2167" s="17">
        <v>0</v>
      </c>
      <c r="AP2167" s="17">
        <v>1</v>
      </c>
      <c r="AQ2167" s="17">
        <v>3000</v>
      </c>
      <c r="AR2167" s="17">
        <v>4</v>
      </c>
      <c r="AS2167" s="17">
        <v>0</v>
      </c>
      <c r="AT2167" s="13">
        <v>0</v>
      </c>
      <c r="AU2167" s="17" t="s">
        <v>198</v>
      </c>
      <c r="AV2167" s="17"/>
      <c r="AW2167" s="18" t="s">
        <v>762</v>
      </c>
      <c r="AX2167" s="17" t="s">
        <v>215</v>
      </c>
      <c r="AY2167" s="19">
        <v>10000015</v>
      </c>
      <c r="AZ2167" s="19">
        <v>21000030</v>
      </c>
      <c r="BA2167" s="18" t="s">
        <v>771</v>
      </c>
      <c r="BB2167" s="17">
        <v>0</v>
      </c>
      <c r="BC2167" s="28">
        <v>0</v>
      </c>
      <c r="BD2167" s="28">
        <v>0</v>
      </c>
      <c r="BE2167" s="172" t="str">
        <f>"&lt;color=#D3FD3A&gt;冲锋击(剑类武器技能):\n&lt;/color&gt;"&amp;BE2191&amp;"\n\n&lt;color=#D3FD3A&gt;跳跃击(刀类武器技能):\n&lt;/color&gt;"&amp;BE2173</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7" s="172" t="s">
        <v>4960</v>
      </c>
      <c r="BG2167" s="17">
        <v>0</v>
      </c>
      <c r="BH2167" s="17">
        <v>0</v>
      </c>
      <c r="BI2167" s="17">
        <v>0</v>
      </c>
      <c r="BJ2167" s="17">
        <v>0</v>
      </c>
      <c r="BK2167" s="17">
        <v>0</v>
      </c>
      <c r="BL2167" s="17">
        <v>0</v>
      </c>
      <c r="BM2167" s="16">
        <v>0</v>
      </c>
      <c r="BN2167" s="13">
        <v>0</v>
      </c>
      <c r="BO2167" s="13">
        <v>0</v>
      </c>
      <c r="BP2167" s="13">
        <v>0</v>
      </c>
      <c r="BQ2167" s="13">
        <v>0</v>
      </c>
      <c r="BR2167" s="13">
        <v>0</v>
      </c>
      <c r="BS2167" s="13">
        <v>0</v>
      </c>
      <c r="BT2167" s="13">
        <v>0</v>
      </c>
      <c r="BU2167" s="49">
        <v>0</v>
      </c>
      <c r="BV2167" s="49"/>
      <c r="BW2167" s="49"/>
    </row>
    <row r="2168" spans="3:75" ht="19.5" customHeight="1">
      <c r="C2168" s="17">
        <v>90010910</v>
      </c>
      <c r="D2168" s="20" t="s">
        <v>4961</v>
      </c>
      <c r="E2168" s="20" t="s">
        <v>4962</v>
      </c>
      <c r="F2168" s="19">
        <v>1</v>
      </c>
      <c r="G2168" s="19">
        <v>60010300</v>
      </c>
      <c r="H2168" s="19">
        <v>0</v>
      </c>
      <c r="I2168" s="28">
        <v>0</v>
      </c>
      <c r="J2168" s="19">
        <v>1</v>
      </c>
      <c r="K2168" s="19">
        <v>0</v>
      </c>
      <c r="L2168" s="19">
        <v>0</v>
      </c>
      <c r="M2168" s="19">
        <v>0</v>
      </c>
      <c r="N2168" s="19">
        <v>0</v>
      </c>
      <c r="O2168" s="17">
        <v>1</v>
      </c>
      <c r="P2168" s="19">
        <v>0</v>
      </c>
      <c r="Q2168" s="19">
        <v>0</v>
      </c>
      <c r="R2168" s="19">
        <v>0</v>
      </c>
      <c r="S2168" s="13">
        <v>0</v>
      </c>
      <c r="T2168" s="28">
        <v>0</v>
      </c>
      <c r="U2168" s="17">
        <v>1</v>
      </c>
      <c r="V2168" s="19">
        <v>2</v>
      </c>
      <c r="W2168" s="19">
        <v>0</v>
      </c>
      <c r="X2168" s="19">
        <v>3</v>
      </c>
      <c r="Y2168" s="13">
        <v>0</v>
      </c>
      <c r="Z2168" s="19">
        <v>0</v>
      </c>
      <c r="AA2168" s="19">
        <v>0</v>
      </c>
      <c r="AB2168" s="19">
        <v>0</v>
      </c>
      <c r="AC2168" s="19">
        <v>0</v>
      </c>
      <c r="AD2168" s="19">
        <v>0</v>
      </c>
      <c r="AE2168" s="19">
        <v>0</v>
      </c>
      <c r="AF2168" s="19">
        <v>9</v>
      </c>
      <c r="AG2168" s="19">
        <v>1</v>
      </c>
      <c r="AH2168" s="19">
        <v>2</v>
      </c>
      <c r="AI2168" s="13">
        <v>2</v>
      </c>
      <c r="AJ2168" s="13">
        <v>1</v>
      </c>
      <c r="AK2168" s="13">
        <v>0</v>
      </c>
      <c r="AL2168" s="13">
        <v>5</v>
      </c>
      <c r="AM2168" s="19">
        <v>0</v>
      </c>
      <c r="AN2168" s="19">
        <v>0</v>
      </c>
      <c r="AO2168" s="19">
        <v>0</v>
      </c>
      <c r="AP2168" s="19">
        <v>0.5</v>
      </c>
      <c r="AQ2168" s="19">
        <v>2000</v>
      </c>
      <c r="AR2168" s="19">
        <v>0</v>
      </c>
      <c r="AS2168" s="19">
        <v>20</v>
      </c>
      <c r="AT2168" s="13">
        <v>0</v>
      </c>
      <c r="AU2168" s="19" t="s">
        <v>198</v>
      </c>
      <c r="AV2168" s="19"/>
      <c r="AW2168" s="20" t="s">
        <v>199</v>
      </c>
      <c r="AX2168" s="19" t="s">
        <v>545</v>
      </c>
      <c r="AY2168" s="19">
        <v>0</v>
      </c>
      <c r="AZ2168" s="19">
        <v>70106005</v>
      </c>
      <c r="BA2168" s="20" t="s">
        <v>2016</v>
      </c>
      <c r="BB2168" s="384" t="s">
        <v>2017</v>
      </c>
      <c r="BC2168" s="28">
        <v>0</v>
      </c>
      <c r="BD2168" s="28">
        <v>0</v>
      </c>
      <c r="BE2168" s="89" t="s">
        <v>4950</v>
      </c>
      <c r="BF2168" s="89" t="s">
        <v>4951</v>
      </c>
      <c r="BG2168" s="19">
        <v>0</v>
      </c>
      <c r="BH2168" s="385" t="s">
        <v>4963</v>
      </c>
      <c r="BI2168" s="19">
        <v>0</v>
      </c>
      <c r="BJ2168" s="19">
        <v>0</v>
      </c>
      <c r="BK2168" s="19">
        <v>0</v>
      </c>
      <c r="BL2168" s="19">
        <v>0</v>
      </c>
      <c r="BM2168" s="16">
        <v>0</v>
      </c>
      <c r="BN2168" s="13">
        <v>0</v>
      </c>
      <c r="BO2168" s="13">
        <v>0</v>
      </c>
      <c r="BP2168" s="13">
        <v>0</v>
      </c>
      <c r="BQ2168" s="13">
        <v>0</v>
      </c>
      <c r="BR2168" s="13">
        <v>0</v>
      </c>
      <c r="BS2168" s="13">
        <v>0</v>
      </c>
      <c r="BT2168" s="13">
        <v>0</v>
      </c>
      <c r="BU2168" s="49">
        <v>0</v>
      </c>
      <c r="BV2168" s="49"/>
      <c r="BW2168" s="49"/>
    </row>
    <row r="2169" spans="3:75" ht="20.100000000000001" customHeight="1">
      <c r="C2169" s="102">
        <v>90010911</v>
      </c>
      <c r="D2169" s="101" t="s">
        <v>4964</v>
      </c>
      <c r="E2169" s="101" t="s">
        <v>4965</v>
      </c>
      <c r="F2169" s="102">
        <v>1</v>
      </c>
      <c r="G2169" s="103">
        <v>60010100</v>
      </c>
      <c r="H2169" s="102">
        <v>0</v>
      </c>
      <c r="I2169" s="107">
        <v>0</v>
      </c>
      <c r="J2169" s="102">
        <v>1</v>
      </c>
      <c r="K2169" s="102">
        <v>0</v>
      </c>
      <c r="L2169" s="102">
        <v>0</v>
      </c>
      <c r="M2169" s="103">
        <v>0</v>
      </c>
      <c r="N2169" s="103">
        <v>0</v>
      </c>
      <c r="O2169" s="103">
        <v>2</v>
      </c>
      <c r="P2169" s="103">
        <v>10</v>
      </c>
      <c r="Q2169" s="103">
        <v>0.5</v>
      </c>
      <c r="R2169" s="103">
        <v>0</v>
      </c>
      <c r="S2169" s="108">
        <v>1</v>
      </c>
      <c r="T2169" s="103">
        <v>0</v>
      </c>
      <c r="U2169" s="103">
        <v>1</v>
      </c>
      <c r="V2169" s="103">
        <v>1</v>
      </c>
      <c r="W2169" s="103">
        <v>0</v>
      </c>
      <c r="X2169" s="103">
        <v>0</v>
      </c>
      <c r="Y2169" s="13">
        <v>0</v>
      </c>
      <c r="Z2169" s="103">
        <v>0</v>
      </c>
      <c r="AA2169" s="103">
        <v>0</v>
      </c>
      <c r="AB2169" s="103">
        <v>0</v>
      </c>
      <c r="AC2169" s="103">
        <v>0</v>
      </c>
      <c r="AD2169" s="103">
        <v>0</v>
      </c>
      <c r="AE2169" s="103">
        <v>1</v>
      </c>
      <c r="AF2169" s="103">
        <v>15</v>
      </c>
      <c r="AG2169" s="103">
        <v>1</v>
      </c>
      <c r="AH2169" s="103">
        <v>2</v>
      </c>
      <c r="AI2169" s="108">
        <v>1</v>
      </c>
      <c r="AJ2169" s="108">
        <v>0</v>
      </c>
      <c r="AK2169" s="108">
        <v>0</v>
      </c>
      <c r="AL2169" s="108">
        <v>0</v>
      </c>
      <c r="AM2169" s="103">
        <v>0</v>
      </c>
      <c r="AN2169" s="103">
        <v>0</v>
      </c>
      <c r="AO2169" s="103">
        <v>0</v>
      </c>
      <c r="AP2169" s="103">
        <v>0</v>
      </c>
      <c r="AQ2169" s="103">
        <v>2000</v>
      </c>
      <c r="AR2169" s="103">
        <v>0</v>
      </c>
      <c r="AS2169" s="103">
        <v>0</v>
      </c>
      <c r="AT2169" s="108">
        <v>90104051</v>
      </c>
      <c r="AU2169" s="116">
        <v>0</v>
      </c>
      <c r="AV2169" s="116"/>
      <c r="AW2169" s="104" t="s">
        <v>287</v>
      </c>
      <c r="AX2169" s="103">
        <v>0</v>
      </c>
      <c r="AY2169" s="102">
        <v>0</v>
      </c>
      <c r="AZ2169" s="102">
        <v>0</v>
      </c>
      <c r="BA2169" s="101" t="s">
        <v>528</v>
      </c>
      <c r="BB2169" s="103" t="s">
        <v>4966</v>
      </c>
      <c r="BC2169" s="107">
        <v>0</v>
      </c>
      <c r="BD2169" s="107">
        <v>0</v>
      </c>
      <c r="BE2169" s="121" t="s">
        <v>916</v>
      </c>
      <c r="BF2169" s="121" t="s">
        <v>917</v>
      </c>
      <c r="BG2169" s="103">
        <v>0</v>
      </c>
      <c r="BH2169" s="103">
        <v>0</v>
      </c>
      <c r="BI2169" s="103">
        <v>0</v>
      </c>
      <c r="BJ2169" s="103">
        <v>0</v>
      </c>
      <c r="BK2169" s="103">
        <v>0</v>
      </c>
      <c r="BL2169" s="103">
        <v>0</v>
      </c>
      <c r="BM2169" s="99">
        <v>0</v>
      </c>
      <c r="BN2169" s="108">
        <v>0</v>
      </c>
      <c r="BO2169" s="108">
        <v>0</v>
      </c>
      <c r="BP2169" s="108">
        <v>0</v>
      </c>
      <c r="BQ2169" s="108">
        <v>0</v>
      </c>
      <c r="BR2169" s="108">
        <v>0</v>
      </c>
      <c r="BS2169" s="108">
        <v>0</v>
      </c>
      <c r="BT2169" s="13">
        <v>0</v>
      </c>
      <c r="BU2169" s="49">
        <v>0</v>
      </c>
      <c r="BV2169" s="49"/>
      <c r="BW2169" s="49"/>
    </row>
    <row r="2170" spans="3:75" ht="20.100000000000001" customHeight="1">
      <c r="C2170" s="102">
        <v>90010912</v>
      </c>
      <c r="D2170" s="101" t="s">
        <v>562</v>
      </c>
      <c r="E2170" s="101" t="s">
        <v>563</v>
      </c>
      <c r="F2170" s="103">
        <v>1</v>
      </c>
      <c r="G2170" s="103">
        <v>61012201</v>
      </c>
      <c r="H2170" s="103">
        <v>0</v>
      </c>
      <c r="I2170" s="107">
        <v>0</v>
      </c>
      <c r="J2170" s="103">
        <v>3</v>
      </c>
      <c r="K2170" s="103">
        <v>0</v>
      </c>
      <c r="L2170" s="103">
        <v>0</v>
      </c>
      <c r="M2170" s="103">
        <v>0</v>
      </c>
      <c r="N2170" s="103">
        <v>0</v>
      </c>
      <c r="O2170" s="103">
        <v>2</v>
      </c>
      <c r="P2170" s="103">
        <v>2</v>
      </c>
      <c r="Q2170" s="103">
        <v>1</v>
      </c>
      <c r="R2170" s="103">
        <v>0</v>
      </c>
      <c r="S2170" s="108">
        <v>0</v>
      </c>
      <c r="T2170" s="103">
        <v>0</v>
      </c>
      <c r="U2170" s="103">
        <v>1</v>
      </c>
      <c r="V2170" s="103">
        <v>2</v>
      </c>
      <c r="W2170" s="103">
        <v>0</v>
      </c>
      <c r="X2170" s="103">
        <v>1.5</v>
      </c>
      <c r="Y2170" s="13">
        <v>0</v>
      </c>
      <c r="Z2170" s="103">
        <v>300</v>
      </c>
      <c r="AA2170" s="103">
        <v>1</v>
      </c>
      <c r="AB2170" s="103">
        <v>0</v>
      </c>
      <c r="AC2170" s="103">
        <v>0</v>
      </c>
      <c r="AD2170" s="103">
        <v>0</v>
      </c>
      <c r="AE2170" s="103">
        <v>0</v>
      </c>
      <c r="AF2170" s="103">
        <v>15</v>
      </c>
      <c r="AG2170" s="103">
        <v>1</v>
      </c>
      <c r="AH2170" s="103">
        <v>4</v>
      </c>
      <c r="AI2170" s="108">
        <v>2</v>
      </c>
      <c r="AJ2170" s="108">
        <v>0</v>
      </c>
      <c r="AK2170" s="108">
        <v>0</v>
      </c>
      <c r="AL2170" s="108">
        <v>0</v>
      </c>
      <c r="AM2170" s="103">
        <v>0</v>
      </c>
      <c r="AN2170" s="103">
        <v>0</v>
      </c>
      <c r="AO2170" s="103">
        <v>0</v>
      </c>
      <c r="AP2170" s="103">
        <v>0</v>
      </c>
      <c r="AQ2170" s="103">
        <v>60000</v>
      </c>
      <c r="AR2170" s="103">
        <v>0.1</v>
      </c>
      <c r="AS2170" s="103">
        <v>0</v>
      </c>
      <c r="AT2170" s="108">
        <v>0</v>
      </c>
      <c r="AU2170" s="354" t="s">
        <v>4967</v>
      </c>
      <c r="AV2170" s="103"/>
      <c r="AW2170" s="101" t="s">
        <v>762</v>
      </c>
      <c r="AX2170" s="103" t="s">
        <v>534</v>
      </c>
      <c r="AY2170" s="102">
        <v>10000001</v>
      </c>
      <c r="AZ2170" s="102">
        <v>62001701</v>
      </c>
      <c r="BA2170" s="101" t="s">
        <v>1165</v>
      </c>
      <c r="BB2170" s="103">
        <v>0</v>
      </c>
      <c r="BC2170" s="107">
        <v>0</v>
      </c>
      <c r="BD2170" s="107">
        <v>0</v>
      </c>
      <c r="BE2170" s="139" t="str">
        <f t="shared" ref="BE2170" si="151">"每秒对周围的怪物造成"&amp;X2170*100&amp;"%攻击伤害+"&amp;Z2170&amp;"点固定伤害.持续4秒并使自身免疫怪物攻击"</f>
        <v>每秒对周围的怪物造成150%攻击伤害+300点固定伤害.持续4秒并使自身免疫怪物攻击</v>
      </c>
      <c r="BF2170" s="139" t="s">
        <v>4968</v>
      </c>
      <c r="BG2170" s="103">
        <v>0</v>
      </c>
      <c r="BH2170" s="103">
        <v>0</v>
      </c>
      <c r="BI2170" s="103">
        <v>0</v>
      </c>
      <c r="BJ2170" s="103">
        <v>0</v>
      </c>
      <c r="BK2170" s="103">
        <v>0</v>
      </c>
      <c r="BL2170" s="103">
        <v>0</v>
      </c>
      <c r="BM2170" s="99">
        <v>0</v>
      </c>
      <c r="BN2170" s="108">
        <v>0</v>
      </c>
      <c r="BO2170" s="108">
        <v>0</v>
      </c>
      <c r="BP2170" s="108">
        <v>0</v>
      </c>
      <c r="BQ2170" s="108">
        <v>0</v>
      </c>
      <c r="BR2170" s="108">
        <v>0</v>
      </c>
      <c r="BS2170" s="108">
        <v>1</v>
      </c>
      <c r="BT2170" s="13">
        <v>0</v>
      </c>
      <c r="BU2170" s="49">
        <v>0</v>
      </c>
      <c r="BV2170" s="49"/>
      <c r="BW2170" s="49"/>
    </row>
    <row r="2171" spans="3:75" ht="20.100000000000001" customHeight="1">
      <c r="C2171" s="294">
        <v>90020002</v>
      </c>
      <c r="D2171" s="295" t="s">
        <v>4969</v>
      </c>
      <c r="E2171" s="295" t="s">
        <v>4970</v>
      </c>
      <c r="F2171" s="294">
        <v>1</v>
      </c>
      <c r="G2171" s="294">
        <v>80003005</v>
      </c>
      <c r="H2171" s="294">
        <v>0</v>
      </c>
      <c r="I2171" s="298">
        <v>0</v>
      </c>
      <c r="J2171" s="294">
        <v>1</v>
      </c>
      <c r="K2171" s="294">
        <v>0</v>
      </c>
      <c r="L2171" s="294">
        <v>0</v>
      </c>
      <c r="M2171" s="294">
        <v>0</v>
      </c>
      <c r="N2171" s="294">
        <v>0</v>
      </c>
      <c r="O2171" s="294">
        <v>1</v>
      </c>
      <c r="P2171" s="294">
        <v>0</v>
      </c>
      <c r="Q2171" s="294">
        <v>0</v>
      </c>
      <c r="R2171" s="294">
        <v>0</v>
      </c>
      <c r="S2171" s="299">
        <v>0</v>
      </c>
      <c r="T2171" s="298">
        <v>0</v>
      </c>
      <c r="U2171" s="300">
        <v>1</v>
      </c>
      <c r="V2171" s="294">
        <v>1</v>
      </c>
      <c r="W2171" s="294">
        <v>0</v>
      </c>
      <c r="X2171" s="294">
        <v>1.5</v>
      </c>
      <c r="Y2171" s="13">
        <v>0</v>
      </c>
      <c r="Z2171" s="294">
        <v>0</v>
      </c>
      <c r="AA2171" s="294">
        <v>0</v>
      </c>
      <c r="AB2171" s="294">
        <v>0</v>
      </c>
      <c r="AC2171" s="294">
        <v>0</v>
      </c>
      <c r="AD2171" s="294">
        <v>1</v>
      </c>
      <c r="AE2171" s="294">
        <v>1</v>
      </c>
      <c r="AF2171" s="294">
        <v>5</v>
      </c>
      <c r="AG2171" s="294">
        <v>1</v>
      </c>
      <c r="AH2171" s="294">
        <v>3</v>
      </c>
      <c r="AI2171" s="299">
        <v>2</v>
      </c>
      <c r="AJ2171" s="299">
        <v>1</v>
      </c>
      <c r="AK2171" s="299">
        <v>0</v>
      </c>
      <c r="AL2171" s="299">
        <v>6</v>
      </c>
      <c r="AM2171" s="294">
        <v>0</v>
      </c>
      <c r="AN2171" s="294">
        <v>0</v>
      </c>
      <c r="AO2171" s="294">
        <v>0</v>
      </c>
      <c r="AP2171" s="294">
        <v>0</v>
      </c>
      <c r="AQ2171" s="294">
        <v>5000</v>
      </c>
      <c r="AR2171" s="294">
        <v>0.2</v>
      </c>
      <c r="AS2171" s="294">
        <v>0</v>
      </c>
      <c r="AT2171" s="299">
        <v>0</v>
      </c>
      <c r="AU2171" s="294">
        <v>0</v>
      </c>
      <c r="AV2171" s="294"/>
      <c r="AW2171" s="295" t="s">
        <v>198</v>
      </c>
      <c r="AX2171" s="294" t="s">
        <v>1585</v>
      </c>
      <c r="AY2171" s="294">
        <v>10000006</v>
      </c>
      <c r="AZ2171" s="303">
        <v>91000307</v>
      </c>
      <c r="BA2171" s="295" t="s">
        <v>4971</v>
      </c>
      <c r="BB2171" s="295" t="s">
        <v>4972</v>
      </c>
      <c r="BC2171" s="298">
        <v>0</v>
      </c>
      <c r="BD2171" s="298">
        <v>0</v>
      </c>
      <c r="BE2171" s="304" t="s">
        <v>4973</v>
      </c>
      <c r="BF2171" s="304" t="s">
        <v>4974</v>
      </c>
      <c r="BG2171" s="294">
        <v>0</v>
      </c>
      <c r="BH2171" s="300">
        <v>0</v>
      </c>
      <c r="BI2171" s="294">
        <v>0</v>
      </c>
      <c r="BJ2171" s="294">
        <v>0</v>
      </c>
      <c r="BK2171" s="294">
        <v>0</v>
      </c>
      <c r="BL2171" s="294">
        <v>0</v>
      </c>
      <c r="BM2171" s="306">
        <v>0</v>
      </c>
      <c r="BN2171" s="299">
        <v>1</v>
      </c>
      <c r="BO2171" s="299">
        <v>0</v>
      </c>
      <c r="BP2171" s="299">
        <v>0</v>
      </c>
      <c r="BQ2171" s="299">
        <v>0</v>
      </c>
      <c r="BR2171" s="299">
        <v>0</v>
      </c>
      <c r="BS2171" s="299">
        <v>1</v>
      </c>
      <c r="BT2171" s="13">
        <v>0</v>
      </c>
      <c r="BU2171" s="49">
        <v>0</v>
      </c>
      <c r="BV2171" s="49"/>
      <c r="BW2171" s="49"/>
    </row>
    <row r="2172" spans="3:75" ht="20.100000000000001" customHeight="1">
      <c r="C2172" s="294">
        <v>90020003</v>
      </c>
      <c r="D2172" s="295" t="s">
        <v>4975</v>
      </c>
      <c r="E2172" s="295" t="s">
        <v>4976</v>
      </c>
      <c r="F2172" s="294">
        <v>1</v>
      </c>
      <c r="G2172" s="294">
        <v>80003005</v>
      </c>
      <c r="H2172" s="294">
        <v>0</v>
      </c>
      <c r="I2172" s="298">
        <v>0</v>
      </c>
      <c r="J2172" s="294">
        <v>1</v>
      </c>
      <c r="K2172" s="294">
        <v>0</v>
      </c>
      <c r="L2172" s="294">
        <v>0</v>
      </c>
      <c r="M2172" s="294">
        <v>0</v>
      </c>
      <c r="N2172" s="294">
        <v>0</v>
      </c>
      <c r="O2172" s="294">
        <v>1</v>
      </c>
      <c r="P2172" s="294">
        <v>0</v>
      </c>
      <c r="Q2172" s="294">
        <v>0</v>
      </c>
      <c r="R2172" s="294">
        <v>0</v>
      </c>
      <c r="S2172" s="299">
        <v>0</v>
      </c>
      <c r="T2172" s="298">
        <v>0</v>
      </c>
      <c r="U2172" s="300">
        <v>1</v>
      </c>
      <c r="V2172" s="294">
        <v>1</v>
      </c>
      <c r="W2172" s="294">
        <v>0</v>
      </c>
      <c r="X2172" s="294">
        <v>1.5</v>
      </c>
      <c r="Y2172" s="13">
        <v>0</v>
      </c>
      <c r="Z2172" s="294">
        <v>0</v>
      </c>
      <c r="AA2172" s="294">
        <v>0</v>
      </c>
      <c r="AB2172" s="294">
        <v>0</v>
      </c>
      <c r="AC2172" s="294">
        <v>0</v>
      </c>
      <c r="AD2172" s="294">
        <v>1</v>
      </c>
      <c r="AE2172" s="294">
        <v>1</v>
      </c>
      <c r="AF2172" s="294">
        <v>5</v>
      </c>
      <c r="AG2172" s="294">
        <v>1</v>
      </c>
      <c r="AH2172" s="294">
        <v>10</v>
      </c>
      <c r="AI2172" s="299">
        <v>2</v>
      </c>
      <c r="AJ2172" s="299">
        <v>1</v>
      </c>
      <c r="AK2172" s="299">
        <v>0</v>
      </c>
      <c r="AL2172" s="299">
        <v>6</v>
      </c>
      <c r="AM2172" s="294">
        <v>0</v>
      </c>
      <c r="AN2172" s="294">
        <v>0</v>
      </c>
      <c r="AO2172" s="294">
        <v>0</v>
      </c>
      <c r="AP2172" s="294">
        <v>0</v>
      </c>
      <c r="AQ2172" s="294">
        <v>5000</v>
      </c>
      <c r="AR2172" s="294">
        <v>1</v>
      </c>
      <c r="AS2172" s="294">
        <v>0</v>
      </c>
      <c r="AT2172" s="299">
        <v>0</v>
      </c>
      <c r="AU2172" s="294">
        <v>0</v>
      </c>
      <c r="AV2172" s="294"/>
      <c r="AW2172" s="295" t="s">
        <v>198</v>
      </c>
      <c r="AX2172" s="294" t="s">
        <v>1585</v>
      </c>
      <c r="AY2172" s="294">
        <v>10000006</v>
      </c>
      <c r="AZ2172" s="303">
        <v>91000315</v>
      </c>
      <c r="BA2172" s="295" t="s">
        <v>4977</v>
      </c>
      <c r="BB2172" s="295" t="s">
        <v>198</v>
      </c>
      <c r="BC2172" s="298">
        <v>0</v>
      </c>
      <c r="BD2172" s="298">
        <v>0</v>
      </c>
      <c r="BE2172" s="304" t="s">
        <v>4978</v>
      </c>
      <c r="BF2172" s="304" t="s">
        <v>4979</v>
      </c>
      <c r="BG2172" s="294">
        <v>0</v>
      </c>
      <c r="BH2172" s="300">
        <v>0</v>
      </c>
      <c r="BI2172" s="294">
        <v>0</v>
      </c>
      <c r="BJ2172" s="294">
        <v>0</v>
      </c>
      <c r="BK2172" s="294">
        <v>0</v>
      </c>
      <c r="BL2172" s="294">
        <v>0</v>
      </c>
      <c r="BM2172" s="306">
        <v>0</v>
      </c>
      <c r="BN2172" s="299">
        <v>1</v>
      </c>
      <c r="BO2172" s="299">
        <v>0</v>
      </c>
      <c r="BP2172" s="299">
        <v>0</v>
      </c>
      <c r="BQ2172" s="299">
        <v>0</v>
      </c>
      <c r="BR2172" s="299">
        <v>0</v>
      </c>
      <c r="BS2172" s="299">
        <v>1</v>
      </c>
      <c r="BT2172" s="13">
        <v>0</v>
      </c>
      <c r="BU2172" s="49">
        <v>0</v>
      </c>
      <c r="BV2172" s="49"/>
      <c r="BW2172" s="49"/>
    </row>
    <row r="2173" spans="3:75" ht="20.100000000000001" customHeight="1">
      <c r="C2173" s="294">
        <v>90020004</v>
      </c>
      <c r="D2173" s="20" t="s">
        <v>4980</v>
      </c>
      <c r="E2173" s="20" t="s">
        <v>4981</v>
      </c>
      <c r="F2173" s="17">
        <v>1</v>
      </c>
      <c r="G2173" s="17">
        <v>60010300</v>
      </c>
      <c r="H2173" s="17">
        <v>0</v>
      </c>
      <c r="I2173" s="28">
        <v>0</v>
      </c>
      <c r="J2173" s="17">
        <v>1</v>
      </c>
      <c r="K2173" s="17">
        <v>0</v>
      </c>
      <c r="L2173" s="17">
        <v>0</v>
      </c>
      <c r="M2173" s="17">
        <v>0</v>
      </c>
      <c r="N2173" s="17">
        <v>0</v>
      </c>
      <c r="O2173" s="17">
        <v>2</v>
      </c>
      <c r="P2173" s="17">
        <v>1</v>
      </c>
      <c r="Q2173" s="17">
        <v>1</v>
      </c>
      <c r="R2173" s="17">
        <v>0</v>
      </c>
      <c r="S2173" s="13">
        <v>0</v>
      </c>
      <c r="T2173" s="17">
        <v>0</v>
      </c>
      <c r="U2173" s="17">
        <v>0</v>
      </c>
      <c r="V2173" s="17">
        <v>1</v>
      </c>
      <c r="W2173" s="17">
        <v>0</v>
      </c>
      <c r="X2173" s="17">
        <v>1</v>
      </c>
      <c r="Y2173" s="13">
        <v>0</v>
      </c>
      <c r="Z2173" s="19">
        <v>0</v>
      </c>
      <c r="AA2173" s="17">
        <v>0</v>
      </c>
      <c r="AB2173" s="17">
        <v>0</v>
      </c>
      <c r="AC2173" s="17">
        <v>0</v>
      </c>
      <c r="AD2173" s="17">
        <v>1</v>
      </c>
      <c r="AE2173" s="17">
        <v>0</v>
      </c>
      <c r="AF2173" s="17">
        <v>5</v>
      </c>
      <c r="AG2173" s="17">
        <v>2</v>
      </c>
      <c r="AH2173" s="17" t="s">
        <v>231</v>
      </c>
      <c r="AI2173" s="13">
        <v>2</v>
      </c>
      <c r="AJ2173" s="13">
        <v>0</v>
      </c>
      <c r="AK2173" s="13">
        <v>0</v>
      </c>
      <c r="AL2173" s="13">
        <v>3</v>
      </c>
      <c r="AM2173" s="17">
        <v>0</v>
      </c>
      <c r="AN2173" s="17">
        <v>0</v>
      </c>
      <c r="AO2173" s="22">
        <v>0</v>
      </c>
      <c r="AP2173" s="17">
        <v>1.25</v>
      </c>
      <c r="AQ2173" s="17">
        <v>3000</v>
      </c>
      <c r="AR2173" s="17">
        <v>0.4</v>
      </c>
      <c r="AS2173" s="17">
        <v>0</v>
      </c>
      <c r="AT2173" s="13">
        <v>0</v>
      </c>
      <c r="AU2173" s="17" t="s">
        <v>198</v>
      </c>
      <c r="AV2173" s="17"/>
      <c r="AW2173" s="18" t="s">
        <v>232</v>
      </c>
      <c r="AX2173" s="17" t="s">
        <v>233</v>
      </c>
      <c r="AY2173" s="19">
        <v>12000001</v>
      </c>
      <c r="AZ2173" s="27">
        <v>20100010</v>
      </c>
      <c r="BA2173" s="18" t="s">
        <v>4982</v>
      </c>
      <c r="BB2173" s="17" t="s">
        <v>4983</v>
      </c>
      <c r="BC2173" s="28">
        <v>0</v>
      </c>
      <c r="BD2173" s="28">
        <v>0</v>
      </c>
      <c r="BE2173" s="46"/>
      <c r="BF2173" s="46"/>
      <c r="BG2173" s="17">
        <v>0</v>
      </c>
      <c r="BH2173" s="17">
        <v>0</v>
      </c>
      <c r="BI2173" s="17">
        <v>0</v>
      </c>
      <c r="BJ2173" s="17">
        <v>0</v>
      </c>
      <c r="BK2173" s="17">
        <v>0</v>
      </c>
      <c r="BL2173" s="17">
        <v>0</v>
      </c>
      <c r="BM2173" s="17">
        <v>0</v>
      </c>
      <c r="BN2173" s="13">
        <v>0</v>
      </c>
      <c r="BO2173" s="13">
        <v>0</v>
      </c>
      <c r="BP2173" s="13">
        <v>0</v>
      </c>
      <c r="BQ2173" s="13">
        <v>0</v>
      </c>
      <c r="BR2173" s="13">
        <v>0</v>
      </c>
      <c r="BS2173" s="13">
        <v>0</v>
      </c>
      <c r="BT2173" s="13">
        <v>0</v>
      </c>
      <c r="BU2173" s="49">
        <v>0</v>
      </c>
      <c r="BV2173" s="49"/>
      <c r="BW2173" s="49"/>
    </row>
    <row r="2174" spans="3:75" ht="20.100000000000001" customHeight="1">
      <c r="C2174" s="294">
        <v>90020005</v>
      </c>
      <c r="D2174" s="20" t="s">
        <v>4984</v>
      </c>
      <c r="E2174" s="20" t="s">
        <v>4985</v>
      </c>
      <c r="F2174" s="17">
        <v>1</v>
      </c>
      <c r="G2174" s="17">
        <v>60010300</v>
      </c>
      <c r="H2174" s="17">
        <v>0</v>
      </c>
      <c r="I2174" s="28">
        <v>0</v>
      </c>
      <c r="J2174" s="17">
        <v>1</v>
      </c>
      <c r="K2174" s="17">
        <v>0</v>
      </c>
      <c r="L2174" s="17">
        <v>0</v>
      </c>
      <c r="M2174" s="17">
        <v>0</v>
      </c>
      <c r="N2174" s="17">
        <v>0</v>
      </c>
      <c r="O2174" s="17">
        <v>1</v>
      </c>
      <c r="P2174" s="17">
        <v>0</v>
      </c>
      <c r="Q2174" s="17">
        <v>0</v>
      </c>
      <c r="R2174" s="17">
        <v>0</v>
      </c>
      <c r="S2174" s="13">
        <v>0</v>
      </c>
      <c r="T2174" s="17">
        <v>0</v>
      </c>
      <c r="U2174" s="17">
        <v>0</v>
      </c>
      <c r="V2174" s="17">
        <v>1</v>
      </c>
      <c r="W2174" s="17">
        <v>0</v>
      </c>
      <c r="X2174" s="17">
        <v>1</v>
      </c>
      <c r="Y2174" s="13">
        <v>0</v>
      </c>
      <c r="Z2174" s="19">
        <v>0</v>
      </c>
      <c r="AA2174" s="17">
        <v>0</v>
      </c>
      <c r="AB2174" s="17">
        <v>0</v>
      </c>
      <c r="AC2174" s="17">
        <v>0</v>
      </c>
      <c r="AD2174" s="17">
        <v>1</v>
      </c>
      <c r="AE2174" s="17">
        <v>0</v>
      </c>
      <c r="AF2174" s="17">
        <v>5</v>
      </c>
      <c r="AG2174" s="17">
        <v>2</v>
      </c>
      <c r="AH2174" s="17" t="s">
        <v>231</v>
      </c>
      <c r="AI2174" s="13">
        <v>2</v>
      </c>
      <c r="AJ2174" s="13">
        <v>0</v>
      </c>
      <c r="AK2174" s="13">
        <v>0</v>
      </c>
      <c r="AL2174" s="13">
        <v>3</v>
      </c>
      <c r="AM2174" s="17">
        <v>0</v>
      </c>
      <c r="AN2174" s="17">
        <v>0</v>
      </c>
      <c r="AO2174" s="22">
        <v>0</v>
      </c>
      <c r="AP2174" s="17">
        <v>1.25</v>
      </c>
      <c r="AQ2174" s="17">
        <v>3000</v>
      </c>
      <c r="AR2174" s="17">
        <v>0.4</v>
      </c>
      <c r="AS2174" s="17">
        <v>0</v>
      </c>
      <c r="AT2174" s="13">
        <v>99004003</v>
      </c>
      <c r="AU2174" s="17" t="s">
        <v>198</v>
      </c>
      <c r="AV2174" s="17"/>
      <c r="AW2174" s="18" t="s">
        <v>232</v>
      </c>
      <c r="AX2174" s="17" t="s">
        <v>233</v>
      </c>
      <c r="AY2174" s="19">
        <v>0</v>
      </c>
      <c r="AZ2174" s="27">
        <v>0</v>
      </c>
      <c r="BA2174" s="18" t="s">
        <v>200</v>
      </c>
      <c r="BB2174" s="17">
        <v>0</v>
      </c>
      <c r="BC2174" s="28">
        <v>0</v>
      </c>
      <c r="BD2174" s="28">
        <v>0</v>
      </c>
      <c r="BE2174" s="46"/>
      <c r="BF2174" s="46"/>
      <c r="BG2174" s="17">
        <v>0</v>
      </c>
      <c r="BH2174" s="17">
        <v>0</v>
      </c>
      <c r="BI2174" s="17">
        <v>0</v>
      </c>
      <c r="BJ2174" s="17">
        <v>0</v>
      </c>
      <c r="BK2174" s="17">
        <v>0</v>
      </c>
      <c r="BL2174" s="17">
        <v>0</v>
      </c>
      <c r="BM2174" s="17">
        <v>0</v>
      </c>
      <c r="BN2174" s="13">
        <v>0</v>
      </c>
      <c r="BO2174" s="13">
        <v>0</v>
      </c>
      <c r="BP2174" s="13">
        <v>0</v>
      </c>
      <c r="BQ2174" s="13">
        <v>0</v>
      </c>
      <c r="BR2174" s="13">
        <v>0</v>
      </c>
      <c r="BS2174" s="13">
        <v>0</v>
      </c>
      <c r="BT2174" s="13">
        <v>0</v>
      </c>
      <c r="BU2174" s="49">
        <v>0</v>
      </c>
      <c r="BV2174" s="49"/>
      <c r="BW2174" s="49"/>
    </row>
    <row r="2175" spans="3:75" ht="20.100000000000001" customHeight="1">
      <c r="C2175" s="296">
        <v>77001101</v>
      </c>
      <c r="D2175" s="297" t="s">
        <v>731</v>
      </c>
      <c r="E2175" s="297" t="s">
        <v>674</v>
      </c>
      <c r="F2175" s="95">
        <v>1</v>
      </c>
      <c r="G2175" s="62">
        <v>0</v>
      </c>
      <c r="H2175" s="95">
        <v>0</v>
      </c>
      <c r="I2175" s="95">
        <v>0</v>
      </c>
      <c r="J2175" s="95">
        <v>1</v>
      </c>
      <c r="K2175" s="95">
        <v>0</v>
      </c>
      <c r="L2175" s="127">
        <v>0</v>
      </c>
      <c r="M2175" s="127">
        <v>0</v>
      </c>
      <c r="N2175" s="95">
        <v>0</v>
      </c>
      <c r="O2175" s="95">
        <v>2</v>
      </c>
      <c r="P2175" s="95">
        <v>2</v>
      </c>
      <c r="Q2175" s="95">
        <v>0.6</v>
      </c>
      <c r="R2175" s="95">
        <v>0</v>
      </c>
      <c r="S2175" s="70">
        <v>0</v>
      </c>
      <c r="T2175" s="95">
        <v>0</v>
      </c>
      <c r="U2175" s="62">
        <v>1</v>
      </c>
      <c r="V2175" s="95">
        <v>1</v>
      </c>
      <c r="W2175" s="127">
        <v>0</v>
      </c>
      <c r="X2175" s="95">
        <v>3</v>
      </c>
      <c r="Y2175" s="13">
        <v>0</v>
      </c>
      <c r="Z2175" s="95">
        <v>0</v>
      </c>
      <c r="AA2175" s="95">
        <v>0</v>
      </c>
      <c r="AB2175" s="95">
        <v>0</v>
      </c>
      <c r="AC2175" s="127">
        <v>0</v>
      </c>
      <c r="AD2175" s="95">
        <v>0</v>
      </c>
      <c r="AE2175" s="95">
        <v>0</v>
      </c>
      <c r="AF2175" s="95">
        <v>20</v>
      </c>
      <c r="AG2175" s="95">
        <v>1</v>
      </c>
      <c r="AH2175" s="95">
        <v>5</v>
      </c>
      <c r="AI2175" s="128">
        <v>0</v>
      </c>
      <c r="AJ2175" s="128">
        <v>1</v>
      </c>
      <c r="AK2175" s="70">
        <v>0</v>
      </c>
      <c r="AL2175" s="95">
        <v>2.5</v>
      </c>
      <c r="AM2175" s="129">
        <v>0</v>
      </c>
      <c r="AN2175" s="95">
        <v>1</v>
      </c>
      <c r="AO2175" s="95">
        <v>0</v>
      </c>
      <c r="AP2175" s="95">
        <v>1</v>
      </c>
      <c r="AQ2175" s="95">
        <v>3000</v>
      </c>
      <c r="AR2175" s="95">
        <v>1</v>
      </c>
      <c r="AS2175" s="95">
        <v>0</v>
      </c>
      <c r="AT2175" s="356" t="s">
        <v>4986</v>
      </c>
      <c r="AU2175" s="348" t="s">
        <v>4987</v>
      </c>
      <c r="AV2175" s="81"/>
      <c r="AW2175" s="61" t="s">
        <v>287</v>
      </c>
      <c r="AX2175" s="127">
        <v>0</v>
      </c>
      <c r="AY2175" s="127">
        <v>0</v>
      </c>
      <c r="AZ2175" s="127">
        <v>77001101</v>
      </c>
      <c r="BA2175" s="65" t="s">
        <v>200</v>
      </c>
      <c r="BB2175" s="62">
        <v>0</v>
      </c>
      <c r="BC2175" s="68">
        <v>0</v>
      </c>
      <c r="BD2175" s="68">
        <v>0</v>
      </c>
      <c r="BE2175" s="305" t="s">
        <v>4988</v>
      </c>
      <c r="BF2175" s="305" t="s">
        <v>4989</v>
      </c>
      <c r="BG2175" s="95">
        <v>0</v>
      </c>
      <c r="BH2175" s="95">
        <v>0</v>
      </c>
      <c r="BI2175" s="66">
        <v>0</v>
      </c>
      <c r="BJ2175" s="95">
        <v>0</v>
      </c>
      <c r="BK2175" s="95">
        <v>0</v>
      </c>
      <c r="BL2175" s="129">
        <v>0</v>
      </c>
      <c r="BM2175" s="95">
        <v>0</v>
      </c>
      <c r="BN2175" s="70">
        <v>0</v>
      </c>
      <c r="BO2175" s="70">
        <v>0</v>
      </c>
      <c r="BP2175" s="70">
        <v>0</v>
      </c>
      <c r="BQ2175" s="70">
        <v>0</v>
      </c>
      <c r="BR2175" s="70">
        <v>0</v>
      </c>
      <c r="BS2175" s="70">
        <v>0</v>
      </c>
      <c r="BT2175" s="70">
        <v>0</v>
      </c>
      <c r="BU2175" s="49">
        <v>0</v>
      </c>
      <c r="BV2175" s="49"/>
      <c r="BW2175" s="49"/>
    </row>
    <row r="2176" spans="3:75" ht="20.100000000000001" customHeight="1">
      <c r="C2176" s="296">
        <v>77001102</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1.5</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1</v>
      </c>
      <c r="AQ2176" s="62">
        <v>2000</v>
      </c>
      <c r="AR2176" s="62">
        <v>1</v>
      </c>
      <c r="AS2176" s="62">
        <v>0</v>
      </c>
      <c r="AT2176" s="70">
        <v>0</v>
      </c>
      <c r="AU2176" s="348" t="s">
        <v>4987</v>
      </c>
      <c r="AV2176" s="81"/>
      <c r="AW2176" s="65" t="s">
        <v>199</v>
      </c>
      <c r="AX2176" s="62" t="s">
        <v>545</v>
      </c>
      <c r="AY2176" s="66">
        <v>10001007</v>
      </c>
      <c r="AZ2176" s="66">
        <v>77001104</v>
      </c>
      <c r="BA2176" s="61" t="s">
        <v>200</v>
      </c>
      <c r="BB2176" s="62">
        <v>0</v>
      </c>
      <c r="BC2176" s="68">
        <v>0</v>
      </c>
      <c r="BD2176" s="68">
        <v>0</v>
      </c>
      <c r="BE2176" s="92" t="s">
        <v>4990</v>
      </c>
      <c r="BF2176" s="92" t="s">
        <v>4991</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spans="3:75" ht="20.100000000000001" customHeight="1">
      <c r="C2177" s="296">
        <v>77001103</v>
      </c>
      <c r="D2177" s="61" t="s">
        <v>736</v>
      </c>
      <c r="E2177" s="149" t="s">
        <v>737</v>
      </c>
      <c r="F2177" s="95">
        <v>1</v>
      </c>
      <c r="G2177" s="95">
        <v>0</v>
      </c>
      <c r="H2177" s="66">
        <v>0</v>
      </c>
      <c r="I2177" s="68">
        <v>0</v>
      </c>
      <c r="J2177" s="66">
        <v>1</v>
      </c>
      <c r="K2177" s="66">
        <v>0</v>
      </c>
      <c r="L2177" s="66">
        <v>0</v>
      </c>
      <c r="M2177" s="62">
        <v>0</v>
      </c>
      <c r="N2177" s="62">
        <v>0</v>
      </c>
      <c r="O2177" s="62">
        <v>2</v>
      </c>
      <c r="P2177" s="62">
        <v>1</v>
      </c>
      <c r="Q2177" s="62">
        <v>0.2</v>
      </c>
      <c r="R2177" s="62">
        <v>0</v>
      </c>
      <c r="S2177" s="70">
        <v>0</v>
      </c>
      <c r="T2177" s="62">
        <v>0</v>
      </c>
      <c r="U2177" s="62">
        <v>1</v>
      </c>
      <c r="V2177" s="62">
        <v>2</v>
      </c>
      <c r="W2177" s="62">
        <v>0</v>
      </c>
      <c r="X2177" s="62">
        <v>0.8</v>
      </c>
      <c r="Y2177" s="13">
        <v>0</v>
      </c>
      <c r="Z2177" s="62">
        <v>0</v>
      </c>
      <c r="AA2177" s="62">
        <v>0</v>
      </c>
      <c r="AB2177" s="62">
        <v>0</v>
      </c>
      <c r="AC2177" s="62">
        <v>0</v>
      </c>
      <c r="AD2177" s="62">
        <v>0</v>
      </c>
      <c r="AE2177" s="62">
        <v>0</v>
      </c>
      <c r="AF2177" s="62">
        <v>0</v>
      </c>
      <c r="AG2177" s="62">
        <v>1</v>
      </c>
      <c r="AH2177" s="62">
        <v>3</v>
      </c>
      <c r="AI2177" s="70">
        <v>0</v>
      </c>
      <c r="AJ2177" s="70">
        <v>1</v>
      </c>
      <c r="AK2177" s="70">
        <v>0</v>
      </c>
      <c r="AL2177" s="70">
        <v>1.5</v>
      </c>
      <c r="AM2177" s="62">
        <v>0</v>
      </c>
      <c r="AN2177" s="62">
        <v>0</v>
      </c>
      <c r="AO2177" s="62">
        <v>0</v>
      </c>
      <c r="AP2177" s="62">
        <v>0.3</v>
      </c>
      <c r="AQ2177" s="62">
        <v>2000</v>
      </c>
      <c r="AR2177" s="62">
        <v>0.3</v>
      </c>
      <c r="AS2177" s="62">
        <v>0</v>
      </c>
      <c r="AT2177" s="70">
        <v>0</v>
      </c>
      <c r="AU2177" s="348" t="s">
        <v>4992</v>
      </c>
      <c r="AV2177" s="81"/>
      <c r="AW2177" s="65" t="s">
        <v>199</v>
      </c>
      <c r="AX2177" s="62" t="s">
        <v>545</v>
      </c>
      <c r="AY2177" s="66">
        <v>10001007</v>
      </c>
      <c r="AZ2177" s="66">
        <v>77001103</v>
      </c>
      <c r="BA2177" s="61" t="s">
        <v>200</v>
      </c>
      <c r="BB2177" s="62">
        <v>0</v>
      </c>
      <c r="BC2177" s="68">
        <v>0</v>
      </c>
      <c r="BD2177" s="68">
        <v>0</v>
      </c>
      <c r="BE2177" s="92" t="s">
        <v>4993</v>
      </c>
      <c r="BF2177" s="92" t="s">
        <v>4994</v>
      </c>
      <c r="BG2177" s="62">
        <v>0</v>
      </c>
      <c r="BH2177" s="62">
        <v>0</v>
      </c>
      <c r="BI2177" s="62">
        <v>0</v>
      </c>
      <c r="BJ2177" s="62">
        <v>0</v>
      </c>
      <c r="BK2177" s="62">
        <v>0</v>
      </c>
      <c r="BL2177" s="62">
        <v>0</v>
      </c>
      <c r="BM2177" s="95">
        <v>0</v>
      </c>
      <c r="BN2177" s="70">
        <v>0</v>
      </c>
      <c r="BO2177" s="70">
        <v>0</v>
      </c>
      <c r="BP2177" s="70">
        <v>0</v>
      </c>
      <c r="BQ2177" s="70">
        <v>0</v>
      </c>
      <c r="BR2177" s="70">
        <v>0</v>
      </c>
      <c r="BS2177" s="70">
        <v>0</v>
      </c>
      <c r="BT2177" s="70">
        <v>77001104</v>
      </c>
      <c r="BU2177" s="49">
        <v>0</v>
      </c>
      <c r="BV2177" s="49"/>
      <c r="BW2177" s="49"/>
    </row>
    <row r="2178" spans="3:75" ht="20.100000000000001" customHeight="1">
      <c r="C2178" s="296">
        <v>77001104</v>
      </c>
      <c r="D2178" s="61" t="s">
        <v>736</v>
      </c>
      <c r="E2178" s="149" t="s">
        <v>737</v>
      </c>
      <c r="F2178" s="95">
        <v>1</v>
      </c>
      <c r="G2178" s="95">
        <v>0</v>
      </c>
      <c r="H2178" s="66">
        <v>0</v>
      </c>
      <c r="I2178" s="68">
        <v>0</v>
      </c>
      <c r="J2178" s="66">
        <v>1</v>
      </c>
      <c r="K2178" s="66">
        <v>0</v>
      </c>
      <c r="L2178" s="66">
        <v>0</v>
      </c>
      <c r="M2178" s="62">
        <v>0</v>
      </c>
      <c r="N2178" s="62">
        <v>0</v>
      </c>
      <c r="O2178" s="62">
        <v>2</v>
      </c>
      <c r="P2178" s="62">
        <v>1</v>
      </c>
      <c r="Q2178" s="62">
        <v>0.2</v>
      </c>
      <c r="R2178" s="62">
        <v>0</v>
      </c>
      <c r="S2178" s="70">
        <v>0</v>
      </c>
      <c r="T2178" s="62">
        <v>0</v>
      </c>
      <c r="U2178" s="62">
        <v>1</v>
      </c>
      <c r="V2178" s="62">
        <v>2</v>
      </c>
      <c r="W2178" s="62">
        <v>0</v>
      </c>
      <c r="X2178" s="62">
        <v>0.8</v>
      </c>
      <c r="Y2178" s="13">
        <v>0</v>
      </c>
      <c r="Z2178" s="62">
        <v>0</v>
      </c>
      <c r="AA2178" s="62">
        <v>0</v>
      </c>
      <c r="AB2178" s="62">
        <v>0</v>
      </c>
      <c r="AC2178" s="62">
        <v>0</v>
      </c>
      <c r="AD2178" s="62">
        <v>0</v>
      </c>
      <c r="AE2178" s="62">
        <v>0</v>
      </c>
      <c r="AF2178" s="62">
        <v>0</v>
      </c>
      <c r="AG2178" s="62">
        <v>1</v>
      </c>
      <c r="AH2178" s="62">
        <v>3</v>
      </c>
      <c r="AI2178" s="70">
        <v>0</v>
      </c>
      <c r="AJ2178" s="70">
        <v>1</v>
      </c>
      <c r="AK2178" s="70">
        <v>0</v>
      </c>
      <c r="AL2178" s="70">
        <v>1.5</v>
      </c>
      <c r="AM2178" s="62">
        <v>0</v>
      </c>
      <c r="AN2178" s="62">
        <v>0</v>
      </c>
      <c r="AO2178" s="62">
        <v>0</v>
      </c>
      <c r="AP2178" s="62">
        <v>0</v>
      </c>
      <c r="AQ2178" s="62">
        <v>2000</v>
      </c>
      <c r="AR2178" s="62">
        <v>0.3</v>
      </c>
      <c r="AS2178" s="62">
        <v>0</v>
      </c>
      <c r="AT2178" s="70">
        <v>0</v>
      </c>
      <c r="AU2178" s="348" t="s">
        <v>4992</v>
      </c>
      <c r="AV2178" s="81"/>
      <c r="AW2178" s="65" t="s">
        <v>198</v>
      </c>
      <c r="AX2178" s="62" t="s">
        <v>545</v>
      </c>
      <c r="AY2178" s="66">
        <v>10001007</v>
      </c>
      <c r="AZ2178" s="66">
        <v>77001103</v>
      </c>
      <c r="BA2178" s="61" t="s">
        <v>200</v>
      </c>
      <c r="BB2178" s="62">
        <v>0</v>
      </c>
      <c r="BC2178" s="68">
        <v>0</v>
      </c>
      <c r="BD2178" s="68">
        <v>0</v>
      </c>
      <c r="BE2178" s="92" t="s">
        <v>4995</v>
      </c>
      <c r="BF2178" s="92" t="s">
        <v>4996</v>
      </c>
      <c r="BG2178" s="62">
        <v>0</v>
      </c>
      <c r="BH2178" s="62">
        <v>0</v>
      </c>
      <c r="BI2178" s="62">
        <v>0</v>
      </c>
      <c r="BJ2178" s="62">
        <v>0</v>
      </c>
      <c r="BK2178" s="62">
        <v>0</v>
      </c>
      <c r="BL2178" s="62">
        <v>0</v>
      </c>
      <c r="BM2178" s="95">
        <v>0</v>
      </c>
      <c r="BN2178" s="70">
        <v>0</v>
      </c>
      <c r="BO2178" s="70">
        <v>0</v>
      </c>
      <c r="BP2178" s="70">
        <v>0</v>
      </c>
      <c r="BQ2178" s="70">
        <v>0</v>
      </c>
      <c r="BR2178" s="70">
        <v>0</v>
      </c>
      <c r="BS2178" s="70">
        <v>0</v>
      </c>
      <c r="BT2178" s="70">
        <v>77001105</v>
      </c>
      <c r="BU2178" s="49">
        <v>0</v>
      </c>
      <c r="BV2178" s="49"/>
      <c r="BW2178" s="49"/>
    </row>
    <row r="2179" spans="3:75" ht="20.100000000000001" customHeight="1">
      <c r="C2179" s="296">
        <v>77001105</v>
      </c>
      <c r="D2179" s="61" t="s">
        <v>736</v>
      </c>
      <c r="E2179" s="149" t="s">
        <v>737</v>
      </c>
      <c r="F2179" s="95">
        <v>1</v>
      </c>
      <c r="G2179" s="95">
        <v>0</v>
      </c>
      <c r="H2179" s="66">
        <v>0</v>
      </c>
      <c r="I2179" s="68">
        <v>0</v>
      </c>
      <c r="J2179" s="66">
        <v>1</v>
      </c>
      <c r="K2179" s="66">
        <v>0</v>
      </c>
      <c r="L2179" s="66">
        <v>0</v>
      </c>
      <c r="M2179" s="62">
        <v>0</v>
      </c>
      <c r="N2179" s="62">
        <v>0</v>
      </c>
      <c r="O2179" s="62">
        <v>2</v>
      </c>
      <c r="P2179" s="62">
        <v>1</v>
      </c>
      <c r="Q2179" s="62">
        <v>0.2</v>
      </c>
      <c r="R2179" s="62">
        <v>0</v>
      </c>
      <c r="S2179" s="70">
        <v>0</v>
      </c>
      <c r="T2179" s="62">
        <v>0</v>
      </c>
      <c r="U2179" s="62">
        <v>1</v>
      </c>
      <c r="V2179" s="62">
        <v>2</v>
      </c>
      <c r="W2179" s="62">
        <v>0</v>
      </c>
      <c r="X2179" s="62">
        <v>0.8</v>
      </c>
      <c r="Y2179" s="13">
        <v>0</v>
      </c>
      <c r="Z2179" s="62">
        <v>0</v>
      </c>
      <c r="AA2179" s="62">
        <v>0</v>
      </c>
      <c r="AB2179" s="62">
        <v>0</v>
      </c>
      <c r="AC2179" s="62">
        <v>0</v>
      </c>
      <c r="AD2179" s="62">
        <v>0</v>
      </c>
      <c r="AE2179" s="62">
        <v>0</v>
      </c>
      <c r="AF2179" s="62">
        <v>0</v>
      </c>
      <c r="AG2179" s="62">
        <v>1</v>
      </c>
      <c r="AH2179" s="62">
        <v>3</v>
      </c>
      <c r="AI2179" s="70">
        <v>0</v>
      </c>
      <c r="AJ2179" s="70">
        <v>1</v>
      </c>
      <c r="AK2179" s="70">
        <v>0</v>
      </c>
      <c r="AL2179" s="70">
        <v>1.5</v>
      </c>
      <c r="AM2179" s="62">
        <v>0</v>
      </c>
      <c r="AN2179" s="62">
        <v>0</v>
      </c>
      <c r="AO2179" s="62">
        <v>0</v>
      </c>
      <c r="AP2179" s="62">
        <v>0.3</v>
      </c>
      <c r="AQ2179" s="62">
        <v>2000</v>
      </c>
      <c r="AR2179" s="62">
        <v>0.3</v>
      </c>
      <c r="AS2179" s="62">
        <v>0</v>
      </c>
      <c r="AT2179" s="70">
        <v>0</v>
      </c>
      <c r="AU2179" s="348" t="s">
        <v>4992</v>
      </c>
      <c r="AV2179" s="81"/>
      <c r="AW2179" s="65" t="s">
        <v>198</v>
      </c>
      <c r="AX2179" s="62" t="s">
        <v>545</v>
      </c>
      <c r="AY2179" s="66">
        <v>10001007</v>
      </c>
      <c r="AZ2179" s="66">
        <v>77001103</v>
      </c>
      <c r="BA2179" s="61" t="s">
        <v>200</v>
      </c>
      <c r="BB2179" s="62">
        <v>0</v>
      </c>
      <c r="BC2179" s="68">
        <v>0</v>
      </c>
      <c r="BD2179" s="68">
        <v>0</v>
      </c>
      <c r="BE2179" s="92" t="s">
        <v>4995</v>
      </c>
      <c r="BF2179" s="92" t="s">
        <v>4996</v>
      </c>
      <c r="BG2179" s="62">
        <v>0</v>
      </c>
      <c r="BH2179" s="62">
        <v>0</v>
      </c>
      <c r="BI2179" s="62">
        <v>0</v>
      </c>
      <c r="BJ2179" s="62">
        <v>0</v>
      </c>
      <c r="BK2179" s="62">
        <v>0</v>
      </c>
      <c r="BL2179" s="62">
        <v>0</v>
      </c>
      <c r="BM2179" s="95">
        <v>0</v>
      </c>
      <c r="BN2179" s="70">
        <v>0</v>
      </c>
      <c r="BO2179" s="70">
        <v>0</v>
      </c>
      <c r="BP2179" s="70">
        <v>0</v>
      </c>
      <c r="BQ2179" s="70">
        <v>0</v>
      </c>
      <c r="BR2179" s="70">
        <v>0</v>
      </c>
      <c r="BS2179" s="70">
        <v>0</v>
      </c>
      <c r="BT2179" s="70">
        <v>77001106</v>
      </c>
      <c r="BU2179" s="49">
        <v>0</v>
      </c>
      <c r="BV2179" s="49"/>
      <c r="BW2179" s="49"/>
    </row>
    <row r="2180" spans="3:75" ht="19.5" customHeight="1">
      <c r="C2180" s="296">
        <v>77001106</v>
      </c>
      <c r="D2180" s="61" t="s">
        <v>598</v>
      </c>
      <c r="E2180" s="149" t="s">
        <v>1162</v>
      </c>
      <c r="F2180" s="95">
        <v>1</v>
      </c>
      <c r="G2180" s="95">
        <v>0</v>
      </c>
      <c r="H2180" s="66">
        <v>0</v>
      </c>
      <c r="I2180" s="68">
        <v>0</v>
      </c>
      <c r="J2180" s="66">
        <v>1</v>
      </c>
      <c r="K2180" s="66">
        <v>0</v>
      </c>
      <c r="L2180" s="66">
        <v>0</v>
      </c>
      <c r="M2180" s="62">
        <v>0</v>
      </c>
      <c r="N2180" s="62">
        <v>0</v>
      </c>
      <c r="O2180" s="62">
        <v>2</v>
      </c>
      <c r="P2180" s="62">
        <v>16</v>
      </c>
      <c r="Q2180" s="62">
        <v>5</v>
      </c>
      <c r="R2180" s="62">
        <v>0</v>
      </c>
      <c r="S2180" s="70">
        <v>0</v>
      </c>
      <c r="T2180" s="62">
        <v>0</v>
      </c>
      <c r="U2180" s="62">
        <v>1</v>
      </c>
      <c r="V2180" s="62">
        <v>2</v>
      </c>
      <c r="W2180" s="62">
        <v>0</v>
      </c>
      <c r="X2180" s="62">
        <v>2</v>
      </c>
      <c r="Y2180" s="13">
        <v>0</v>
      </c>
      <c r="Z2180" s="62">
        <v>0</v>
      </c>
      <c r="AA2180" s="62">
        <v>0</v>
      </c>
      <c r="AB2180" s="62">
        <v>0</v>
      </c>
      <c r="AC2180" s="62">
        <v>0</v>
      </c>
      <c r="AD2180" s="62">
        <v>0</v>
      </c>
      <c r="AE2180" s="62">
        <v>0</v>
      </c>
      <c r="AF2180" s="62">
        <v>0</v>
      </c>
      <c r="AG2180" s="62">
        <v>2</v>
      </c>
      <c r="AH2180" s="62" t="s">
        <v>213</v>
      </c>
      <c r="AI2180" s="70">
        <v>0</v>
      </c>
      <c r="AJ2180" s="70">
        <v>2</v>
      </c>
      <c r="AK2180" s="70">
        <v>0</v>
      </c>
      <c r="AL2180" s="70">
        <v>1.5</v>
      </c>
      <c r="AM2180" s="62">
        <v>0</v>
      </c>
      <c r="AN2180" s="62">
        <v>0</v>
      </c>
      <c r="AO2180" s="62">
        <v>0</v>
      </c>
      <c r="AP2180" s="62">
        <v>0.5</v>
      </c>
      <c r="AQ2180" s="62">
        <v>2000</v>
      </c>
      <c r="AR2180" s="62">
        <v>0.5</v>
      </c>
      <c r="AS2180" s="62">
        <v>0</v>
      </c>
      <c r="AT2180" s="70">
        <v>0</v>
      </c>
      <c r="AU2180" s="348" t="s">
        <v>4987</v>
      </c>
      <c r="AV2180" s="81"/>
      <c r="AW2180" s="65" t="s">
        <v>198</v>
      </c>
      <c r="AX2180" s="62" t="s">
        <v>545</v>
      </c>
      <c r="AY2180" s="66">
        <v>10001007</v>
      </c>
      <c r="AZ2180" s="66">
        <v>77001105</v>
      </c>
      <c r="BA2180" s="61" t="s">
        <v>200</v>
      </c>
      <c r="BB2180" s="62">
        <v>0</v>
      </c>
      <c r="BC2180" s="68">
        <v>0</v>
      </c>
      <c r="BD2180" s="68">
        <v>0</v>
      </c>
      <c r="BE2180" s="92" t="s">
        <v>4995</v>
      </c>
      <c r="BF2180" s="92" t="s">
        <v>4996</v>
      </c>
      <c r="BG2180" s="62">
        <v>0</v>
      </c>
      <c r="BH2180" s="62">
        <v>0</v>
      </c>
      <c r="BI2180" s="62">
        <v>0</v>
      </c>
      <c r="BJ2180" s="62">
        <v>0</v>
      </c>
      <c r="BK2180" s="62">
        <v>0</v>
      </c>
      <c r="BL2180" s="62">
        <v>0</v>
      </c>
      <c r="BM2180" s="95">
        <v>0</v>
      </c>
      <c r="BN2180" s="70">
        <v>0</v>
      </c>
      <c r="BO2180" s="70">
        <v>0</v>
      </c>
      <c r="BP2180" s="70">
        <v>0</v>
      </c>
      <c r="BQ2180" s="70">
        <v>0</v>
      </c>
      <c r="BR2180" s="70">
        <v>0</v>
      </c>
      <c r="BS2180" s="70">
        <v>0</v>
      </c>
      <c r="BT2180" s="70">
        <v>0</v>
      </c>
      <c r="BU2180" s="49">
        <v>0</v>
      </c>
      <c r="BV2180" s="49"/>
      <c r="BW2180" s="49"/>
    </row>
    <row r="2181" spans="3:75" ht="19.5" customHeight="1">
      <c r="C2181" s="307">
        <v>77001201</v>
      </c>
      <c r="D2181" s="308" t="s">
        <v>4997</v>
      </c>
      <c r="E2181" s="308" t="s">
        <v>4998</v>
      </c>
      <c r="F2181" s="307">
        <v>1</v>
      </c>
      <c r="G2181" s="309">
        <v>0</v>
      </c>
      <c r="H2181" s="307">
        <v>0</v>
      </c>
      <c r="I2181" s="313">
        <v>0</v>
      </c>
      <c r="J2181" s="307">
        <v>1</v>
      </c>
      <c r="K2181" s="307">
        <v>0</v>
      </c>
      <c r="L2181" s="307">
        <v>0</v>
      </c>
      <c r="M2181" s="309">
        <v>0</v>
      </c>
      <c r="N2181" s="309">
        <v>0</v>
      </c>
      <c r="O2181" s="309">
        <v>2</v>
      </c>
      <c r="P2181" s="309">
        <v>3</v>
      </c>
      <c r="Q2181" s="309">
        <v>0.15</v>
      </c>
      <c r="R2181" s="309">
        <v>0</v>
      </c>
      <c r="S2181" s="314">
        <v>0</v>
      </c>
      <c r="T2181" s="309">
        <v>0</v>
      </c>
      <c r="U2181" s="309">
        <v>1</v>
      </c>
      <c r="V2181" s="309">
        <v>1</v>
      </c>
      <c r="W2181" s="309">
        <v>0</v>
      </c>
      <c r="X2181" s="309">
        <v>2</v>
      </c>
      <c r="Y2181" s="13">
        <v>0</v>
      </c>
      <c r="Z2181" s="309">
        <v>0</v>
      </c>
      <c r="AA2181" s="309">
        <v>1</v>
      </c>
      <c r="AB2181" s="309">
        <v>0</v>
      </c>
      <c r="AC2181" s="309">
        <v>0</v>
      </c>
      <c r="AD2181" s="309">
        <v>0</v>
      </c>
      <c r="AE2181" s="309">
        <v>1</v>
      </c>
      <c r="AF2181" s="309">
        <v>15</v>
      </c>
      <c r="AG2181" s="309">
        <v>1</v>
      </c>
      <c r="AH2181" s="309">
        <v>4</v>
      </c>
      <c r="AI2181" s="314">
        <v>0</v>
      </c>
      <c r="AJ2181" s="314">
        <v>1</v>
      </c>
      <c r="AK2181" s="314">
        <v>0</v>
      </c>
      <c r="AL2181" s="314">
        <v>3</v>
      </c>
      <c r="AM2181" s="309">
        <v>0</v>
      </c>
      <c r="AN2181" s="309">
        <v>0</v>
      </c>
      <c r="AO2181" s="309">
        <v>0</v>
      </c>
      <c r="AP2181" s="309">
        <v>1.2</v>
      </c>
      <c r="AQ2181" s="309">
        <v>2000</v>
      </c>
      <c r="AR2181" s="309">
        <v>1.2</v>
      </c>
      <c r="AS2181" s="309">
        <v>0</v>
      </c>
      <c r="AT2181" s="314">
        <v>97002003</v>
      </c>
      <c r="AU2181" s="309">
        <v>0</v>
      </c>
      <c r="AV2181" s="309"/>
      <c r="AW2181" s="317" t="s">
        <v>199</v>
      </c>
      <c r="AX2181" s="309" t="s">
        <v>534</v>
      </c>
      <c r="AY2181" s="307">
        <v>0</v>
      </c>
      <c r="AZ2181" s="307">
        <v>77001201</v>
      </c>
      <c r="BA2181" s="308" t="s">
        <v>200</v>
      </c>
      <c r="BB2181" s="309">
        <v>0</v>
      </c>
      <c r="BC2181" s="313">
        <v>0</v>
      </c>
      <c r="BD2181" s="313">
        <v>0</v>
      </c>
      <c r="BE2181" s="320" t="s">
        <v>4999</v>
      </c>
      <c r="BF2181" s="320" t="s">
        <v>5000</v>
      </c>
      <c r="BG2181" s="309">
        <v>0</v>
      </c>
      <c r="BH2181" s="309">
        <v>0</v>
      </c>
      <c r="BI2181" s="309">
        <v>0</v>
      </c>
      <c r="BJ2181" s="309">
        <v>0</v>
      </c>
      <c r="BK2181" s="309">
        <v>0</v>
      </c>
      <c r="BL2181" s="309">
        <v>0</v>
      </c>
      <c r="BM2181" s="312">
        <v>0</v>
      </c>
      <c r="BN2181" s="314">
        <v>0</v>
      </c>
      <c r="BO2181" s="314">
        <v>0</v>
      </c>
      <c r="BP2181" s="314">
        <v>0</v>
      </c>
      <c r="BQ2181" s="314">
        <v>0</v>
      </c>
      <c r="BR2181" s="314">
        <v>0</v>
      </c>
      <c r="BS2181" s="314">
        <v>0</v>
      </c>
      <c r="BT2181" s="314">
        <v>0</v>
      </c>
      <c r="BU2181" s="49">
        <v>0</v>
      </c>
      <c r="BV2181" s="49"/>
      <c r="BW2181" s="49"/>
    </row>
    <row r="2182" spans="3:75" ht="19.5" customHeight="1">
      <c r="C2182" s="307">
        <v>77001202</v>
      </c>
      <c r="D2182" s="308" t="s">
        <v>5001</v>
      </c>
      <c r="E2182" s="308" t="s">
        <v>674</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0.5</v>
      </c>
      <c r="Y2182" s="13">
        <v>0</v>
      </c>
      <c r="Z2182" s="309">
        <v>0</v>
      </c>
      <c r="AA2182" s="309">
        <v>1</v>
      </c>
      <c r="AB2182" s="309">
        <v>0</v>
      </c>
      <c r="AC2182" s="309">
        <v>0</v>
      </c>
      <c r="AD2182" s="309">
        <v>0</v>
      </c>
      <c r="AE2182" s="309">
        <v>1</v>
      </c>
      <c r="AF2182" s="309">
        <v>0</v>
      </c>
      <c r="AG2182" s="309">
        <v>1</v>
      </c>
      <c r="AH2182" s="309">
        <v>5</v>
      </c>
      <c r="AI2182" s="314">
        <v>0</v>
      </c>
      <c r="AJ2182" s="314">
        <v>1</v>
      </c>
      <c r="AK2182" s="314">
        <v>0</v>
      </c>
      <c r="AL2182" s="314">
        <v>3</v>
      </c>
      <c r="AM2182" s="309">
        <v>0</v>
      </c>
      <c r="AN2182" s="309">
        <v>0</v>
      </c>
      <c r="AO2182" s="309">
        <v>0</v>
      </c>
      <c r="AP2182" s="309">
        <v>0</v>
      </c>
      <c r="AQ2182" s="309">
        <v>1000</v>
      </c>
      <c r="AR2182" s="309">
        <v>0.2</v>
      </c>
      <c r="AS2182" s="309">
        <v>0</v>
      </c>
      <c r="AT2182" s="314">
        <v>0</v>
      </c>
      <c r="AU2182" s="386" t="s">
        <v>5002</v>
      </c>
      <c r="AV2182" s="315"/>
      <c r="AW2182" s="317" t="s">
        <v>198</v>
      </c>
      <c r="AX2182" s="309" t="s">
        <v>534</v>
      </c>
      <c r="AY2182" s="307">
        <v>0</v>
      </c>
      <c r="AZ2182" s="307">
        <v>77001202</v>
      </c>
      <c r="BA2182" s="308" t="s">
        <v>200</v>
      </c>
      <c r="BB2182" s="309">
        <v>0</v>
      </c>
      <c r="BC2182" s="313">
        <v>0</v>
      </c>
      <c r="BD2182" s="313">
        <v>0</v>
      </c>
      <c r="BE2182" s="320" t="s">
        <v>5003</v>
      </c>
      <c r="BF2182" s="320" t="s">
        <v>5004</v>
      </c>
      <c r="BG2182" s="309">
        <v>0</v>
      </c>
      <c r="BH2182" s="309">
        <v>0</v>
      </c>
      <c r="BI2182" s="309">
        <v>0</v>
      </c>
      <c r="BJ2182" s="309">
        <v>0</v>
      </c>
      <c r="BK2182" s="309">
        <v>0</v>
      </c>
      <c r="BL2182" s="309">
        <v>0</v>
      </c>
      <c r="BM2182" s="312">
        <v>0</v>
      </c>
      <c r="BN2182" s="314">
        <v>0</v>
      </c>
      <c r="BO2182" s="314">
        <v>0</v>
      </c>
      <c r="BP2182" s="314">
        <v>0</v>
      </c>
      <c r="BQ2182" s="314">
        <v>0</v>
      </c>
      <c r="BR2182" s="314">
        <v>0</v>
      </c>
      <c r="BS2182" s="314">
        <v>1</v>
      </c>
      <c r="BT2182" s="314">
        <v>0</v>
      </c>
      <c r="BU2182" s="49">
        <v>0</v>
      </c>
      <c r="BV2182" s="49"/>
      <c r="BW2182" s="49"/>
    </row>
    <row r="2183" spans="3:75" ht="19.5" customHeight="1">
      <c r="C2183" s="307">
        <v>77001203</v>
      </c>
      <c r="D2183" s="308" t="s">
        <v>5005</v>
      </c>
      <c r="E2183" s="308" t="s">
        <v>5006</v>
      </c>
      <c r="F2183" s="307">
        <v>1</v>
      </c>
      <c r="G2183" s="309">
        <v>0</v>
      </c>
      <c r="H2183" s="307">
        <v>0</v>
      </c>
      <c r="I2183" s="313">
        <v>0</v>
      </c>
      <c r="J2183" s="307">
        <v>1</v>
      </c>
      <c r="K2183" s="307">
        <v>0</v>
      </c>
      <c r="L2183" s="307">
        <v>0</v>
      </c>
      <c r="M2183" s="309">
        <v>0</v>
      </c>
      <c r="N2183" s="309">
        <v>0</v>
      </c>
      <c r="O2183" s="309">
        <v>2</v>
      </c>
      <c r="P2183" s="309">
        <v>3</v>
      </c>
      <c r="Q2183" s="309">
        <v>0.1</v>
      </c>
      <c r="R2183" s="309">
        <v>0</v>
      </c>
      <c r="S2183" s="314">
        <v>0</v>
      </c>
      <c r="T2183" s="309">
        <v>0</v>
      </c>
      <c r="U2183" s="309">
        <v>1</v>
      </c>
      <c r="V2183" s="309">
        <v>1</v>
      </c>
      <c r="W2183" s="309">
        <v>0</v>
      </c>
      <c r="X2183" s="309">
        <v>3</v>
      </c>
      <c r="Y2183" s="13">
        <v>0</v>
      </c>
      <c r="Z2183" s="309">
        <v>0</v>
      </c>
      <c r="AA2183" s="309">
        <v>1</v>
      </c>
      <c r="AB2183" s="309">
        <v>0</v>
      </c>
      <c r="AC2183" s="309">
        <v>0</v>
      </c>
      <c r="AD2183" s="309">
        <v>0</v>
      </c>
      <c r="AE2183" s="309">
        <v>1</v>
      </c>
      <c r="AF2183" s="309">
        <v>5</v>
      </c>
      <c r="AG2183" s="309">
        <v>1</v>
      </c>
      <c r="AH2183" s="309">
        <v>6</v>
      </c>
      <c r="AI2183" s="314">
        <v>1</v>
      </c>
      <c r="AJ2183" s="314">
        <v>1</v>
      </c>
      <c r="AK2183" s="314">
        <v>0</v>
      </c>
      <c r="AL2183" s="314">
        <v>3</v>
      </c>
      <c r="AM2183" s="309">
        <v>0</v>
      </c>
      <c r="AN2183" s="309">
        <v>0</v>
      </c>
      <c r="AO2183" s="309">
        <v>0</v>
      </c>
      <c r="AP2183" s="309">
        <v>1.8</v>
      </c>
      <c r="AQ2183" s="309">
        <v>2000</v>
      </c>
      <c r="AR2183" s="309">
        <v>2</v>
      </c>
      <c r="AS2183" s="309">
        <v>0</v>
      </c>
      <c r="AT2183" s="314">
        <v>0</v>
      </c>
      <c r="AU2183" s="309">
        <v>97002001</v>
      </c>
      <c r="AV2183" s="309"/>
      <c r="AW2183" s="317" t="s">
        <v>199</v>
      </c>
      <c r="AX2183" s="309" t="s">
        <v>534</v>
      </c>
      <c r="AY2183" s="307">
        <v>0</v>
      </c>
      <c r="AZ2183" s="307">
        <v>77001203</v>
      </c>
      <c r="BA2183" s="308" t="s">
        <v>771</v>
      </c>
      <c r="BB2183" s="309">
        <v>0</v>
      </c>
      <c r="BC2183" s="313">
        <v>0</v>
      </c>
      <c r="BD2183" s="313">
        <v>0</v>
      </c>
      <c r="BE2183" s="320" t="s">
        <v>5007</v>
      </c>
      <c r="BF2183" s="320" t="s">
        <v>5008</v>
      </c>
      <c r="BG2183" s="309">
        <v>0</v>
      </c>
      <c r="BH2183" s="309">
        <v>0</v>
      </c>
      <c r="BI2183" s="309">
        <v>0</v>
      </c>
      <c r="BJ2183" s="309">
        <v>0</v>
      </c>
      <c r="BK2183" s="309">
        <v>0</v>
      </c>
      <c r="BL2183" s="309">
        <v>0</v>
      </c>
      <c r="BM2183" s="312">
        <v>0</v>
      </c>
      <c r="BN2183" s="314">
        <v>0</v>
      </c>
      <c r="BO2183" s="314">
        <v>0</v>
      </c>
      <c r="BP2183" s="314">
        <v>0</v>
      </c>
      <c r="BQ2183" s="314">
        <v>0</v>
      </c>
      <c r="BR2183" s="314">
        <v>0</v>
      </c>
      <c r="BS2183" s="314">
        <v>0</v>
      </c>
      <c r="BT2183" s="314">
        <v>77001208</v>
      </c>
      <c r="BU2183" s="49">
        <v>0</v>
      </c>
      <c r="BV2183" s="49"/>
      <c r="BW2183" s="49"/>
    </row>
    <row r="2184" spans="3:75" ht="20.100000000000001" customHeight="1">
      <c r="C2184" s="307">
        <v>77001204</v>
      </c>
      <c r="D2184" s="308" t="s">
        <v>5009</v>
      </c>
      <c r="E2184" s="308" t="s">
        <v>5010</v>
      </c>
      <c r="F2184" s="309">
        <v>1</v>
      </c>
      <c r="G2184" s="309">
        <v>0</v>
      </c>
      <c r="H2184" s="307">
        <v>0</v>
      </c>
      <c r="I2184" s="313">
        <v>0</v>
      </c>
      <c r="J2184" s="307">
        <v>1</v>
      </c>
      <c r="K2184" s="307">
        <v>0</v>
      </c>
      <c r="L2184" s="307">
        <v>0</v>
      </c>
      <c r="M2184" s="309">
        <v>0</v>
      </c>
      <c r="N2184" s="309">
        <v>0</v>
      </c>
      <c r="O2184" s="309">
        <v>2</v>
      </c>
      <c r="P2184" s="309">
        <v>1</v>
      </c>
      <c r="Q2184" s="309">
        <v>0.3</v>
      </c>
      <c r="R2184" s="309">
        <v>0</v>
      </c>
      <c r="S2184" s="314">
        <v>3</v>
      </c>
      <c r="T2184" s="309">
        <v>0</v>
      </c>
      <c r="U2184" s="309">
        <v>1</v>
      </c>
      <c r="V2184" s="309">
        <v>2</v>
      </c>
      <c r="W2184" s="309">
        <v>0</v>
      </c>
      <c r="X2184" s="309">
        <v>1</v>
      </c>
      <c r="Y2184" s="13">
        <v>0</v>
      </c>
      <c r="Z2184" s="309">
        <v>0</v>
      </c>
      <c r="AA2184" s="309">
        <v>0</v>
      </c>
      <c r="AB2184" s="309">
        <v>0</v>
      </c>
      <c r="AC2184" s="309">
        <v>0</v>
      </c>
      <c r="AD2184" s="309">
        <v>0</v>
      </c>
      <c r="AE2184" s="309">
        <v>0</v>
      </c>
      <c r="AF2184" s="309">
        <v>12</v>
      </c>
      <c r="AG2184" s="309">
        <v>1</v>
      </c>
      <c r="AH2184" s="309">
        <v>3</v>
      </c>
      <c r="AI2184" s="314">
        <v>6</v>
      </c>
      <c r="AJ2184" s="314">
        <v>1</v>
      </c>
      <c r="AK2184" s="314">
        <v>0</v>
      </c>
      <c r="AL2184" s="314">
        <v>1.5</v>
      </c>
      <c r="AM2184" s="309">
        <v>0</v>
      </c>
      <c r="AN2184" s="309">
        <v>0</v>
      </c>
      <c r="AO2184" s="309">
        <v>0</v>
      </c>
      <c r="AP2184" s="309">
        <v>0.5</v>
      </c>
      <c r="AQ2184" s="309">
        <v>5000</v>
      </c>
      <c r="AR2184" s="309">
        <v>1</v>
      </c>
      <c r="AS2184" s="309">
        <v>0</v>
      </c>
      <c r="AT2184" s="314">
        <v>0</v>
      </c>
      <c r="AU2184" s="309">
        <v>97002002</v>
      </c>
      <c r="AV2184" s="309"/>
      <c r="AW2184" s="317" t="s">
        <v>199</v>
      </c>
      <c r="AX2184" s="309" t="s">
        <v>534</v>
      </c>
      <c r="AY2184" s="307">
        <v>10000007</v>
      </c>
      <c r="AZ2184" s="387" t="s">
        <v>5011</v>
      </c>
      <c r="BA2184" s="308" t="s">
        <v>200</v>
      </c>
      <c r="BB2184" s="309" t="s">
        <v>5012</v>
      </c>
      <c r="BC2184" s="313">
        <v>0</v>
      </c>
      <c r="BD2184" s="313">
        <v>0</v>
      </c>
      <c r="BE2184" s="320" t="s">
        <v>5013</v>
      </c>
      <c r="BF2184" s="320" t="s">
        <v>5014</v>
      </c>
      <c r="BG2184" s="309">
        <v>0</v>
      </c>
      <c r="BH2184" s="309">
        <v>0</v>
      </c>
      <c r="BI2184" s="309">
        <v>0</v>
      </c>
      <c r="BJ2184" s="309">
        <v>0</v>
      </c>
      <c r="BK2184" s="309">
        <v>0</v>
      </c>
      <c r="BL2184" s="309">
        <v>0</v>
      </c>
      <c r="BM2184" s="312">
        <v>0</v>
      </c>
      <c r="BN2184" s="314">
        <v>0</v>
      </c>
      <c r="BO2184" s="314">
        <v>0</v>
      </c>
      <c r="BP2184" s="314">
        <v>0</v>
      </c>
      <c r="BQ2184" s="314">
        <v>0</v>
      </c>
      <c r="BR2184" s="314">
        <v>0</v>
      </c>
      <c r="BS2184" s="314">
        <v>0</v>
      </c>
      <c r="BT2184" s="314">
        <v>0</v>
      </c>
      <c r="BU2184" s="49">
        <v>0</v>
      </c>
      <c r="BV2184" s="49"/>
      <c r="BW2184" s="49"/>
    </row>
    <row r="2185" spans="3:75" ht="19.5" customHeight="1">
      <c r="C2185" s="307">
        <v>77001205</v>
      </c>
      <c r="D2185" s="308" t="s">
        <v>2271</v>
      </c>
      <c r="E2185" s="308" t="s">
        <v>2272</v>
      </c>
      <c r="F2185" s="307">
        <v>1</v>
      </c>
      <c r="G2185" s="309">
        <v>0</v>
      </c>
      <c r="H2185" s="307">
        <v>0</v>
      </c>
      <c r="I2185" s="313">
        <v>0</v>
      </c>
      <c r="J2185" s="307">
        <v>1</v>
      </c>
      <c r="K2185" s="307">
        <v>0</v>
      </c>
      <c r="L2185" s="307">
        <v>0</v>
      </c>
      <c r="M2185" s="309">
        <v>0</v>
      </c>
      <c r="N2185" s="309">
        <v>0</v>
      </c>
      <c r="O2185" s="309">
        <v>2</v>
      </c>
      <c r="P2185" s="309">
        <v>3</v>
      </c>
      <c r="Q2185" s="309">
        <v>0.15</v>
      </c>
      <c r="R2185" s="309">
        <v>0</v>
      </c>
      <c r="S2185" s="314">
        <v>0</v>
      </c>
      <c r="T2185" s="309">
        <v>0</v>
      </c>
      <c r="U2185" s="309">
        <v>1</v>
      </c>
      <c r="V2185" s="309">
        <v>1</v>
      </c>
      <c r="W2185" s="309">
        <v>0</v>
      </c>
      <c r="X2185" s="309">
        <v>0</v>
      </c>
      <c r="Y2185" s="13">
        <v>0</v>
      </c>
      <c r="Z2185" s="309">
        <v>0</v>
      </c>
      <c r="AA2185" s="309">
        <v>1</v>
      </c>
      <c r="AB2185" s="309">
        <v>0</v>
      </c>
      <c r="AC2185" s="309">
        <v>0</v>
      </c>
      <c r="AD2185" s="309">
        <v>0</v>
      </c>
      <c r="AE2185" s="309">
        <v>1</v>
      </c>
      <c r="AF2185" s="309">
        <v>0</v>
      </c>
      <c r="AG2185" s="309">
        <v>1</v>
      </c>
      <c r="AH2185" s="309">
        <v>5</v>
      </c>
      <c r="AI2185" s="314">
        <v>0</v>
      </c>
      <c r="AJ2185" s="314">
        <v>1</v>
      </c>
      <c r="AK2185" s="314">
        <v>0</v>
      </c>
      <c r="AL2185" s="314">
        <v>3</v>
      </c>
      <c r="AM2185" s="309">
        <v>0</v>
      </c>
      <c r="AN2185" s="309">
        <v>0</v>
      </c>
      <c r="AO2185" s="309">
        <v>0</v>
      </c>
      <c r="AP2185" s="309">
        <v>0</v>
      </c>
      <c r="AQ2185" s="309">
        <v>1000</v>
      </c>
      <c r="AR2185" s="309">
        <v>0</v>
      </c>
      <c r="AS2185" s="309">
        <v>0</v>
      </c>
      <c r="AT2185" s="314">
        <v>97002005</v>
      </c>
      <c r="AU2185" s="315">
        <v>0</v>
      </c>
      <c r="AV2185" s="315"/>
      <c r="AW2185" s="317" t="s">
        <v>198</v>
      </c>
      <c r="AX2185" s="309" t="s">
        <v>534</v>
      </c>
      <c r="AY2185" s="307">
        <v>0</v>
      </c>
      <c r="AZ2185" s="307">
        <v>0</v>
      </c>
      <c r="BA2185" s="308" t="s">
        <v>200</v>
      </c>
      <c r="BB2185" s="309">
        <v>0</v>
      </c>
      <c r="BC2185" s="313">
        <v>0</v>
      </c>
      <c r="BD2185" s="313">
        <v>0</v>
      </c>
      <c r="BE2185" s="320" t="s">
        <v>5003</v>
      </c>
      <c r="BF2185" s="320" t="s">
        <v>5004</v>
      </c>
      <c r="BG2185" s="309">
        <v>0</v>
      </c>
      <c r="BH2185" s="309">
        <v>0</v>
      </c>
      <c r="BI2185" s="309">
        <v>0</v>
      </c>
      <c r="BJ2185" s="309">
        <v>0</v>
      </c>
      <c r="BK2185" s="309">
        <v>0</v>
      </c>
      <c r="BL2185" s="309">
        <v>0</v>
      </c>
      <c r="BM2185" s="312">
        <v>0</v>
      </c>
      <c r="BN2185" s="314">
        <v>0</v>
      </c>
      <c r="BO2185" s="314">
        <v>0</v>
      </c>
      <c r="BP2185" s="314">
        <v>0</v>
      </c>
      <c r="BQ2185" s="314">
        <v>0</v>
      </c>
      <c r="BR2185" s="314">
        <v>0</v>
      </c>
      <c r="BS2185" s="314">
        <v>1</v>
      </c>
      <c r="BT2185" s="314">
        <v>0</v>
      </c>
      <c r="BU2185" s="49">
        <v>0</v>
      </c>
      <c r="BV2185" s="49"/>
      <c r="BW2185" s="49"/>
    </row>
    <row r="2186" spans="3:75" ht="19.5" customHeight="1">
      <c r="C2186" s="307">
        <v>77001206</v>
      </c>
      <c r="D2186" s="308" t="s">
        <v>5015</v>
      </c>
      <c r="E2186" s="308" t="s">
        <v>3150</v>
      </c>
      <c r="F2186" s="307">
        <v>1</v>
      </c>
      <c r="G2186" s="309">
        <v>0</v>
      </c>
      <c r="H2186" s="307">
        <v>0</v>
      </c>
      <c r="I2186" s="313">
        <v>0</v>
      </c>
      <c r="J2186" s="307">
        <v>1</v>
      </c>
      <c r="K2186" s="307">
        <v>0</v>
      </c>
      <c r="L2186" s="307">
        <v>0</v>
      </c>
      <c r="M2186" s="309">
        <v>0</v>
      </c>
      <c r="N2186" s="309">
        <v>0</v>
      </c>
      <c r="O2186" s="309">
        <v>2</v>
      </c>
      <c r="P2186" s="309" t="s">
        <v>5016</v>
      </c>
      <c r="Q2186" s="309" t="s">
        <v>5017</v>
      </c>
      <c r="R2186" s="309">
        <v>0</v>
      </c>
      <c r="S2186" s="314">
        <v>0</v>
      </c>
      <c r="T2186" s="309">
        <v>0</v>
      </c>
      <c r="U2186" s="309">
        <v>1</v>
      </c>
      <c r="V2186" s="309">
        <v>2</v>
      </c>
      <c r="W2186" s="309">
        <v>0</v>
      </c>
      <c r="X2186" s="309">
        <v>1.5</v>
      </c>
      <c r="Y2186" s="13">
        <v>0</v>
      </c>
      <c r="Z2186" s="309">
        <v>0</v>
      </c>
      <c r="AA2186" s="309">
        <v>0</v>
      </c>
      <c r="AB2186" s="309">
        <v>0</v>
      </c>
      <c r="AC2186" s="309">
        <v>0</v>
      </c>
      <c r="AD2186" s="309">
        <v>0</v>
      </c>
      <c r="AE2186" s="309">
        <v>1</v>
      </c>
      <c r="AF2186" s="309">
        <v>18</v>
      </c>
      <c r="AG2186" s="309">
        <v>1</v>
      </c>
      <c r="AH2186" s="309">
        <v>2</v>
      </c>
      <c r="AI2186" s="314">
        <v>0</v>
      </c>
      <c r="AJ2186" s="314">
        <v>2</v>
      </c>
      <c r="AK2186" s="314">
        <v>0</v>
      </c>
      <c r="AL2186" s="314">
        <v>2</v>
      </c>
      <c r="AM2186" s="309">
        <v>0</v>
      </c>
      <c r="AN2186" s="309">
        <v>0</v>
      </c>
      <c r="AO2186" s="309">
        <v>0</v>
      </c>
      <c r="AP2186" s="309">
        <v>1</v>
      </c>
      <c r="AQ2186" s="309">
        <v>12000</v>
      </c>
      <c r="AR2186" s="309">
        <v>1</v>
      </c>
      <c r="AS2186" s="309">
        <v>10</v>
      </c>
      <c r="AT2186" s="316">
        <v>0</v>
      </c>
      <c r="AU2186" s="386" t="s">
        <v>5018</v>
      </c>
      <c r="AV2186" s="315"/>
      <c r="AW2186" s="308" t="s">
        <v>199</v>
      </c>
      <c r="AX2186" s="309" t="s">
        <v>534</v>
      </c>
      <c r="AY2186" s="307">
        <v>10000007</v>
      </c>
      <c r="AZ2186" s="387" t="s">
        <v>5019</v>
      </c>
      <c r="BA2186" s="308" t="s">
        <v>586</v>
      </c>
      <c r="BB2186" s="309" t="s">
        <v>5020</v>
      </c>
      <c r="BC2186" s="313">
        <v>0</v>
      </c>
      <c r="BD2186" s="313">
        <v>0</v>
      </c>
      <c r="BE2186" s="320" t="s">
        <v>5021</v>
      </c>
      <c r="BF2186" s="320" t="s">
        <v>5022</v>
      </c>
      <c r="BG2186" s="309">
        <v>0</v>
      </c>
      <c r="BH2186" s="309">
        <v>0</v>
      </c>
      <c r="BI2186" s="309">
        <v>0</v>
      </c>
      <c r="BJ2186" s="309">
        <v>0</v>
      </c>
      <c r="BK2186" s="309">
        <v>0</v>
      </c>
      <c r="BL2186" s="309">
        <v>0</v>
      </c>
      <c r="BM2186" s="312">
        <v>0</v>
      </c>
      <c r="BN2186" s="314">
        <v>0</v>
      </c>
      <c r="BO2186" s="314">
        <v>0</v>
      </c>
      <c r="BP2186" s="314">
        <v>0</v>
      </c>
      <c r="BQ2186" s="314">
        <v>0</v>
      </c>
      <c r="BR2186" s="314">
        <v>0</v>
      </c>
      <c r="BS2186" s="314">
        <v>0</v>
      </c>
      <c r="BT2186" s="314">
        <v>0</v>
      </c>
      <c r="BU2186" s="49">
        <v>0</v>
      </c>
      <c r="BV2186" s="49"/>
      <c r="BW2186" s="49"/>
    </row>
    <row r="2187" spans="3:75" ht="19.5" customHeight="1">
      <c r="C2187" s="102">
        <v>77001301</v>
      </c>
      <c r="D2187" s="100" t="s">
        <v>1195</v>
      </c>
      <c r="E2187" s="100" t="s">
        <v>1196</v>
      </c>
      <c r="F2187" s="99">
        <v>1</v>
      </c>
      <c r="G2187" s="99">
        <v>0</v>
      </c>
      <c r="H2187" s="99">
        <v>0</v>
      </c>
      <c r="I2187" s="106">
        <v>0</v>
      </c>
      <c r="J2187" s="99">
        <v>1</v>
      </c>
      <c r="K2187" s="99">
        <v>0</v>
      </c>
      <c r="L2187" s="106">
        <v>0</v>
      </c>
      <c r="M2187" s="106">
        <v>0</v>
      </c>
      <c r="N2187" s="99">
        <v>0</v>
      </c>
      <c r="O2187" s="99">
        <v>2</v>
      </c>
      <c r="P2187" s="99">
        <v>2</v>
      </c>
      <c r="Q2187" s="99">
        <v>0.5</v>
      </c>
      <c r="R2187" s="99">
        <v>1</v>
      </c>
      <c r="S2187" s="108">
        <v>0</v>
      </c>
      <c r="T2187" s="99">
        <v>0</v>
      </c>
      <c r="U2187" s="103">
        <v>1</v>
      </c>
      <c r="V2187" s="99">
        <v>1</v>
      </c>
      <c r="W2187" s="106">
        <v>0</v>
      </c>
      <c r="X2187" s="99">
        <v>5</v>
      </c>
      <c r="Y2187" s="13">
        <v>0</v>
      </c>
      <c r="Z2187" s="99">
        <v>0</v>
      </c>
      <c r="AA2187" s="99">
        <v>0</v>
      </c>
      <c r="AB2187" s="99">
        <v>0</v>
      </c>
      <c r="AC2187" s="106">
        <v>0</v>
      </c>
      <c r="AD2187" s="99">
        <v>0</v>
      </c>
      <c r="AE2187" s="99">
        <v>0</v>
      </c>
      <c r="AF2187" s="99">
        <v>99999</v>
      </c>
      <c r="AG2187" s="99">
        <v>1</v>
      </c>
      <c r="AH2187" s="99">
        <v>5</v>
      </c>
      <c r="AI2187" s="109">
        <v>0</v>
      </c>
      <c r="AJ2187" s="109">
        <v>0</v>
      </c>
      <c r="AK2187" s="108">
        <v>0</v>
      </c>
      <c r="AL2187" s="99">
        <v>0</v>
      </c>
      <c r="AM2187" s="110">
        <v>0</v>
      </c>
      <c r="AN2187" s="99">
        <v>1.5</v>
      </c>
      <c r="AO2187" s="99">
        <v>0</v>
      </c>
      <c r="AP2187" s="99">
        <v>1</v>
      </c>
      <c r="AQ2187" s="99">
        <v>2000</v>
      </c>
      <c r="AR2187" s="99">
        <v>1</v>
      </c>
      <c r="AS2187" s="99">
        <v>0</v>
      </c>
      <c r="AT2187" s="349" t="s">
        <v>5023</v>
      </c>
      <c r="AU2187" s="99">
        <v>0</v>
      </c>
      <c r="AV2187" s="114"/>
      <c r="AW2187" s="104" t="s">
        <v>199</v>
      </c>
      <c r="AX2187" s="106">
        <v>0</v>
      </c>
      <c r="AY2187" s="106">
        <v>0</v>
      </c>
      <c r="AZ2187" s="106">
        <v>77001305</v>
      </c>
      <c r="BA2187" s="101" t="s">
        <v>528</v>
      </c>
      <c r="BB2187" s="99" t="s">
        <v>5024</v>
      </c>
      <c r="BC2187" s="117">
        <v>0</v>
      </c>
      <c r="BD2187" s="107">
        <v>0</v>
      </c>
      <c r="BE2187" s="120" t="s">
        <v>5025</v>
      </c>
      <c r="BF2187" s="120" t="s">
        <v>5026</v>
      </c>
      <c r="BG2187" s="99">
        <v>0</v>
      </c>
      <c r="BH2187" s="99">
        <v>0</v>
      </c>
      <c r="BI2187" s="102">
        <v>0</v>
      </c>
      <c r="BJ2187" s="99">
        <v>0</v>
      </c>
      <c r="BK2187" s="99">
        <v>0</v>
      </c>
      <c r="BL2187" s="110">
        <v>0</v>
      </c>
      <c r="BM2187" s="99">
        <v>0</v>
      </c>
      <c r="BN2187" s="108">
        <v>0</v>
      </c>
      <c r="BO2187" s="108">
        <v>0</v>
      </c>
      <c r="BP2187" s="108">
        <v>0</v>
      </c>
      <c r="BQ2187" s="108">
        <v>0</v>
      </c>
      <c r="BR2187" s="108">
        <v>0</v>
      </c>
      <c r="BS2187" s="108">
        <v>0</v>
      </c>
      <c r="BT2187" s="108">
        <v>0</v>
      </c>
      <c r="BU2187" s="49">
        <v>0</v>
      </c>
      <c r="BV2187" s="49"/>
      <c r="BW2187" s="49"/>
    </row>
    <row r="2188" spans="3:75" ht="19.5" hidden="1" customHeight="1">
      <c r="C2188" s="102">
        <v>77001302</v>
      </c>
      <c r="D2188" s="101" t="s">
        <v>804</v>
      </c>
      <c r="E2188" s="310" t="s">
        <v>805</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8</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52" t="s">
        <v>5027</v>
      </c>
      <c r="AU2188" s="353" t="s">
        <v>5028</v>
      </c>
      <c r="AV2188" s="116"/>
      <c r="AW2188" s="101" t="s">
        <v>256</v>
      </c>
      <c r="AX2188" s="103" t="s">
        <v>215</v>
      </c>
      <c r="AY2188" s="102">
        <v>10000011</v>
      </c>
      <c r="AZ2188" s="102">
        <v>77001301</v>
      </c>
      <c r="BA2188" s="101" t="s">
        <v>216</v>
      </c>
      <c r="BB2188" s="103">
        <v>0</v>
      </c>
      <c r="BC2188" s="107">
        <v>0</v>
      </c>
      <c r="BD2188" s="107">
        <v>0</v>
      </c>
      <c r="BE2188" s="121" t="s">
        <v>5029</v>
      </c>
      <c r="BF2188" s="121" t="s">
        <v>5030</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77001305</v>
      </c>
      <c r="BU2188" s="49">
        <v>0</v>
      </c>
      <c r="BV2188" s="49"/>
      <c r="BW2188" s="49"/>
    </row>
    <row r="2189" spans="3:75" ht="20.100000000000001" customHeight="1">
      <c r="C2189" s="102">
        <v>77001303</v>
      </c>
      <c r="D2189" s="101" t="s">
        <v>810</v>
      </c>
      <c r="E2189" s="310" t="s">
        <v>811</v>
      </c>
      <c r="F2189" s="99">
        <v>1</v>
      </c>
      <c r="G2189" s="99">
        <v>0</v>
      </c>
      <c r="H2189" s="103">
        <v>0</v>
      </c>
      <c r="I2189" s="107">
        <v>0</v>
      </c>
      <c r="J2189" s="102">
        <v>1</v>
      </c>
      <c r="K2189" s="102">
        <v>0</v>
      </c>
      <c r="L2189" s="102">
        <v>0</v>
      </c>
      <c r="M2189" s="103">
        <v>0</v>
      </c>
      <c r="N2189" s="103">
        <v>0</v>
      </c>
      <c r="O2189" s="103">
        <v>2</v>
      </c>
      <c r="P2189" s="103">
        <v>3</v>
      </c>
      <c r="Q2189" s="103">
        <v>0.2</v>
      </c>
      <c r="R2189" s="103">
        <v>0</v>
      </c>
      <c r="S2189" s="108">
        <v>0</v>
      </c>
      <c r="T2189" s="103">
        <v>0</v>
      </c>
      <c r="U2189" s="103">
        <v>1</v>
      </c>
      <c r="V2189" s="99">
        <v>1</v>
      </c>
      <c r="W2189" s="103">
        <v>0</v>
      </c>
      <c r="X2189" s="103">
        <v>3</v>
      </c>
      <c r="Y2189" s="13">
        <v>0</v>
      </c>
      <c r="Z2189" s="103">
        <v>0</v>
      </c>
      <c r="AA2189" s="103">
        <v>1</v>
      </c>
      <c r="AB2189" s="103">
        <v>0</v>
      </c>
      <c r="AC2189" s="103">
        <v>0</v>
      </c>
      <c r="AD2189" s="103">
        <v>0</v>
      </c>
      <c r="AE2189" s="103">
        <v>1</v>
      </c>
      <c r="AF2189" s="103">
        <v>5</v>
      </c>
      <c r="AG2189" s="103">
        <v>1</v>
      </c>
      <c r="AH2189" s="103">
        <v>6</v>
      </c>
      <c r="AI2189" s="108">
        <v>0</v>
      </c>
      <c r="AJ2189" s="108">
        <v>1</v>
      </c>
      <c r="AK2189" s="108">
        <v>0</v>
      </c>
      <c r="AL2189" s="108">
        <v>3</v>
      </c>
      <c r="AM2189" s="103">
        <v>0</v>
      </c>
      <c r="AN2189" s="103">
        <v>1</v>
      </c>
      <c r="AO2189" s="103">
        <v>0</v>
      </c>
      <c r="AP2189" s="103">
        <v>1</v>
      </c>
      <c r="AQ2189" s="103">
        <v>3000</v>
      </c>
      <c r="AR2189" s="103">
        <v>1</v>
      </c>
      <c r="AS2189" s="103">
        <v>0</v>
      </c>
      <c r="AT2189" s="108">
        <v>0</v>
      </c>
      <c r="AU2189" s="353" t="s">
        <v>5028</v>
      </c>
      <c r="AV2189" s="116"/>
      <c r="AW2189" s="101" t="s">
        <v>617</v>
      </c>
      <c r="AX2189" s="103" t="s">
        <v>215</v>
      </c>
      <c r="AY2189" s="102">
        <v>10000011</v>
      </c>
      <c r="AZ2189" s="102">
        <v>77001302</v>
      </c>
      <c r="BA2189" s="104" t="s">
        <v>200</v>
      </c>
      <c r="BB2189" s="103">
        <v>0</v>
      </c>
      <c r="BC2189" s="107">
        <v>0</v>
      </c>
      <c r="BD2189" s="107">
        <v>0</v>
      </c>
      <c r="BE2189" s="121" t="s">
        <v>812</v>
      </c>
      <c r="BF2189" s="121" t="s">
        <v>813</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spans="3:75" ht="20.100000000000001" customHeight="1">
      <c r="C2190" s="102">
        <v>77001304</v>
      </c>
      <c r="D2190" s="105" t="s">
        <v>814</v>
      </c>
      <c r="E2190" s="105" t="s">
        <v>815</v>
      </c>
      <c r="F2190" s="99">
        <v>1</v>
      </c>
      <c r="G2190" s="99">
        <v>0</v>
      </c>
      <c r="H2190" s="99">
        <v>0</v>
      </c>
      <c r="I2190" s="106">
        <v>0</v>
      </c>
      <c r="J2190" s="99">
        <v>0</v>
      </c>
      <c r="K2190" s="99">
        <v>0</v>
      </c>
      <c r="L2190" s="106">
        <v>0</v>
      </c>
      <c r="M2190" s="106">
        <v>0</v>
      </c>
      <c r="N2190" s="99">
        <v>0</v>
      </c>
      <c r="O2190" s="103">
        <v>2</v>
      </c>
      <c r="P2190" s="103">
        <v>2</v>
      </c>
      <c r="Q2190" s="99">
        <v>0.8</v>
      </c>
      <c r="R2190" s="99">
        <v>0</v>
      </c>
      <c r="S2190" s="108">
        <v>0</v>
      </c>
      <c r="T2190" s="99">
        <v>0</v>
      </c>
      <c r="U2190" s="103">
        <v>1</v>
      </c>
      <c r="V2190" s="99">
        <v>1</v>
      </c>
      <c r="W2190" s="106">
        <v>0</v>
      </c>
      <c r="X2190" s="99">
        <v>3</v>
      </c>
      <c r="Y2190" s="13">
        <v>0</v>
      </c>
      <c r="Z2190" s="99">
        <v>0</v>
      </c>
      <c r="AA2190" s="99">
        <v>0</v>
      </c>
      <c r="AB2190" s="99">
        <v>0</v>
      </c>
      <c r="AC2190" s="106">
        <v>0</v>
      </c>
      <c r="AD2190" s="99">
        <v>0</v>
      </c>
      <c r="AE2190" s="99">
        <v>0</v>
      </c>
      <c r="AF2190" s="99">
        <v>12</v>
      </c>
      <c r="AG2190" s="99">
        <v>1</v>
      </c>
      <c r="AH2190" s="103">
        <v>2</v>
      </c>
      <c r="AI2190" s="109">
        <v>0</v>
      </c>
      <c r="AJ2190" s="109">
        <v>2</v>
      </c>
      <c r="AK2190" s="108">
        <v>0</v>
      </c>
      <c r="AL2190" s="99">
        <v>1.5</v>
      </c>
      <c r="AM2190" s="110">
        <v>0</v>
      </c>
      <c r="AN2190" s="99">
        <v>0</v>
      </c>
      <c r="AO2190" s="99">
        <v>0</v>
      </c>
      <c r="AP2190" s="99">
        <v>2.5</v>
      </c>
      <c r="AQ2190" s="103">
        <v>8000</v>
      </c>
      <c r="AR2190" s="99">
        <v>1.5</v>
      </c>
      <c r="AS2190" s="99">
        <v>10</v>
      </c>
      <c r="AT2190" s="108">
        <v>0</v>
      </c>
      <c r="AU2190" s="353" t="s">
        <v>5031</v>
      </c>
      <c r="AV2190" s="116"/>
      <c r="AW2190" s="104" t="s">
        <v>287</v>
      </c>
      <c r="AX2190" s="106">
        <v>0</v>
      </c>
      <c r="AY2190" s="106">
        <v>0</v>
      </c>
      <c r="AZ2190" s="102">
        <v>77001303</v>
      </c>
      <c r="BA2190" s="104" t="s">
        <v>586</v>
      </c>
      <c r="BB2190" s="103" t="s">
        <v>816</v>
      </c>
      <c r="BC2190" s="107">
        <v>0</v>
      </c>
      <c r="BD2190" s="107">
        <v>0</v>
      </c>
      <c r="BE2190" s="121" t="s">
        <v>5032</v>
      </c>
      <c r="BF2190" s="124" t="s">
        <v>5033</v>
      </c>
      <c r="BG2190" s="99">
        <v>2</v>
      </c>
      <c r="BH2190" s="99">
        <v>0</v>
      </c>
      <c r="BI2190" s="102">
        <v>0</v>
      </c>
      <c r="BJ2190" s="99">
        <v>1</v>
      </c>
      <c r="BK2190" s="99">
        <v>2</v>
      </c>
      <c r="BL2190" s="110">
        <v>0</v>
      </c>
      <c r="BM2190" s="99">
        <v>0</v>
      </c>
      <c r="BN2190" s="108">
        <v>0</v>
      </c>
      <c r="BO2190" s="108">
        <v>0</v>
      </c>
      <c r="BP2190" s="108">
        <v>0</v>
      </c>
      <c r="BQ2190" s="108">
        <v>0</v>
      </c>
      <c r="BR2190" s="108">
        <v>0</v>
      </c>
      <c r="BS2190" s="108">
        <v>0</v>
      </c>
      <c r="BT2190" s="108">
        <v>0</v>
      </c>
      <c r="BU2190" s="49">
        <v>0</v>
      </c>
      <c r="BV2190" s="49"/>
      <c r="BW2190" s="49"/>
    </row>
    <row r="2191" spans="3:75" ht="20.100000000000001" customHeight="1">
      <c r="C2191" s="102">
        <v>77001305</v>
      </c>
      <c r="D2191" s="101" t="s">
        <v>760</v>
      </c>
      <c r="E2191" s="310" t="s">
        <v>761</v>
      </c>
      <c r="F2191" s="99">
        <v>1</v>
      </c>
      <c r="G2191" s="99">
        <v>0</v>
      </c>
      <c r="H2191" s="103">
        <v>0</v>
      </c>
      <c r="I2191" s="107">
        <v>0</v>
      </c>
      <c r="J2191" s="102">
        <v>1</v>
      </c>
      <c r="K2191" s="102">
        <v>0</v>
      </c>
      <c r="L2191" s="102">
        <v>0</v>
      </c>
      <c r="M2191" s="103">
        <v>0</v>
      </c>
      <c r="N2191" s="103">
        <v>0</v>
      </c>
      <c r="O2191" s="103">
        <v>2</v>
      </c>
      <c r="P2191" s="103">
        <v>1</v>
      </c>
      <c r="Q2191" s="103">
        <v>0.2</v>
      </c>
      <c r="R2191" s="103">
        <v>0</v>
      </c>
      <c r="S2191" s="108">
        <v>0</v>
      </c>
      <c r="T2191" s="103">
        <v>0</v>
      </c>
      <c r="U2191" s="103">
        <v>1</v>
      </c>
      <c r="V2191" s="99">
        <v>1</v>
      </c>
      <c r="W2191" s="103">
        <v>0</v>
      </c>
      <c r="X2191" s="103">
        <v>1</v>
      </c>
      <c r="Y2191" s="13">
        <v>0</v>
      </c>
      <c r="Z2191" s="103">
        <v>150</v>
      </c>
      <c r="AA2191" s="103">
        <v>1</v>
      </c>
      <c r="AB2191" s="103">
        <v>0</v>
      </c>
      <c r="AC2191" s="103">
        <v>0</v>
      </c>
      <c r="AD2191" s="103">
        <v>0</v>
      </c>
      <c r="AE2191" s="103">
        <v>1</v>
      </c>
      <c r="AF2191" s="103">
        <v>12</v>
      </c>
      <c r="AG2191" s="103">
        <v>2</v>
      </c>
      <c r="AH2191" s="103" t="s">
        <v>213</v>
      </c>
      <c r="AI2191" s="108">
        <v>0</v>
      </c>
      <c r="AJ2191" s="108">
        <v>2</v>
      </c>
      <c r="AK2191" s="108">
        <v>0</v>
      </c>
      <c r="AL2191" s="108">
        <v>1.5</v>
      </c>
      <c r="AM2191" s="103">
        <v>0</v>
      </c>
      <c r="AN2191" s="103">
        <v>0</v>
      </c>
      <c r="AO2191" s="103">
        <v>0</v>
      </c>
      <c r="AP2191" s="103">
        <v>1.5</v>
      </c>
      <c r="AQ2191" s="103">
        <v>1600</v>
      </c>
      <c r="AR2191" s="103">
        <v>1</v>
      </c>
      <c r="AS2191" s="103">
        <v>15</v>
      </c>
      <c r="AT2191" s="349" t="s">
        <v>5027</v>
      </c>
      <c r="AU2191" s="353" t="s">
        <v>5028</v>
      </c>
      <c r="AV2191" s="116"/>
      <c r="AW2191" s="101" t="s">
        <v>256</v>
      </c>
      <c r="AX2191" s="103" t="s">
        <v>215</v>
      </c>
      <c r="AY2191" s="102">
        <v>10000011</v>
      </c>
      <c r="AZ2191" s="102">
        <v>77001301</v>
      </c>
      <c r="BA2191" s="101" t="s">
        <v>216</v>
      </c>
      <c r="BB2191" s="103">
        <v>0</v>
      </c>
      <c r="BC2191" s="107">
        <v>0</v>
      </c>
      <c r="BD2191" s="107">
        <v>0</v>
      </c>
      <c r="BE2191" s="121" t="s">
        <v>5034</v>
      </c>
      <c r="BF2191" s="121" t="s">
        <v>5035</v>
      </c>
      <c r="BG2191" s="103">
        <v>0</v>
      </c>
      <c r="BH2191" s="103">
        <v>0</v>
      </c>
      <c r="BI2191" s="103">
        <v>0</v>
      </c>
      <c r="BJ2191" s="103">
        <v>0</v>
      </c>
      <c r="BK2191" s="103">
        <v>0</v>
      </c>
      <c r="BL2191" s="103">
        <v>0</v>
      </c>
      <c r="BM2191" s="99">
        <v>0</v>
      </c>
      <c r="BN2191" s="108">
        <v>0</v>
      </c>
      <c r="BO2191" s="108">
        <v>0</v>
      </c>
      <c r="BP2191" s="108">
        <v>0</v>
      </c>
      <c r="BQ2191" s="108">
        <v>0</v>
      </c>
      <c r="BR2191" s="108">
        <v>0</v>
      </c>
      <c r="BS2191" s="108">
        <v>0</v>
      </c>
      <c r="BT2191" s="108">
        <v>77001306</v>
      </c>
      <c r="BU2191" s="49">
        <v>0</v>
      </c>
      <c r="BV2191" s="49"/>
      <c r="BW2191" s="49"/>
    </row>
    <row r="2192" spans="3:75" ht="20.100000000000001" customHeight="1">
      <c r="C2192" s="102">
        <v>77001306</v>
      </c>
      <c r="D2192" s="101" t="s">
        <v>760</v>
      </c>
      <c r="E2192" s="310" t="s">
        <v>761</v>
      </c>
      <c r="F2192" s="99">
        <v>1</v>
      </c>
      <c r="G2192" s="99">
        <v>0</v>
      </c>
      <c r="H2192" s="103">
        <v>0</v>
      </c>
      <c r="I2192" s="107">
        <v>0</v>
      </c>
      <c r="J2192" s="102">
        <v>1</v>
      </c>
      <c r="K2192" s="102">
        <v>0</v>
      </c>
      <c r="L2192" s="102">
        <v>0</v>
      </c>
      <c r="M2192" s="103">
        <v>0</v>
      </c>
      <c r="N2192" s="103">
        <v>0</v>
      </c>
      <c r="O2192" s="103">
        <v>2</v>
      </c>
      <c r="P2192" s="103">
        <v>1</v>
      </c>
      <c r="Q2192" s="103">
        <v>0.2</v>
      </c>
      <c r="R2192" s="103">
        <v>0</v>
      </c>
      <c r="S2192" s="108">
        <v>0</v>
      </c>
      <c r="T2192" s="103">
        <v>0</v>
      </c>
      <c r="U2192" s="103">
        <v>1</v>
      </c>
      <c r="V2192" s="99">
        <v>1</v>
      </c>
      <c r="W2192" s="103">
        <v>0</v>
      </c>
      <c r="X2192" s="103">
        <v>1</v>
      </c>
      <c r="Y2192" s="13">
        <v>0</v>
      </c>
      <c r="Z2192" s="103">
        <v>150</v>
      </c>
      <c r="AA2192" s="103">
        <v>1</v>
      </c>
      <c r="AB2192" s="103">
        <v>0</v>
      </c>
      <c r="AC2192" s="103">
        <v>0</v>
      </c>
      <c r="AD2192" s="103">
        <v>0</v>
      </c>
      <c r="AE2192" s="103">
        <v>1</v>
      </c>
      <c r="AF2192" s="103">
        <v>12</v>
      </c>
      <c r="AG2192" s="103">
        <v>2</v>
      </c>
      <c r="AH2192" s="103" t="s">
        <v>213</v>
      </c>
      <c r="AI2192" s="108">
        <v>0</v>
      </c>
      <c r="AJ2192" s="108">
        <v>2</v>
      </c>
      <c r="AK2192" s="108">
        <v>0</v>
      </c>
      <c r="AL2192" s="108">
        <v>1.5</v>
      </c>
      <c r="AM2192" s="103">
        <v>0</v>
      </c>
      <c r="AN2192" s="103">
        <v>0</v>
      </c>
      <c r="AO2192" s="103">
        <v>0</v>
      </c>
      <c r="AP2192" s="103">
        <v>1.5</v>
      </c>
      <c r="AQ2192" s="103">
        <v>1600</v>
      </c>
      <c r="AR2192" s="103">
        <v>1</v>
      </c>
      <c r="AS2192" s="103">
        <v>15</v>
      </c>
      <c r="AT2192" s="349" t="s">
        <v>5027</v>
      </c>
      <c r="AU2192" s="353" t="s">
        <v>5028</v>
      </c>
      <c r="AV2192" s="116"/>
      <c r="AW2192" s="101" t="s">
        <v>256</v>
      </c>
      <c r="AX2192" s="103" t="s">
        <v>215</v>
      </c>
      <c r="AY2192" s="102">
        <v>10000011</v>
      </c>
      <c r="AZ2192" s="102">
        <v>77001301</v>
      </c>
      <c r="BA2192" s="101" t="s">
        <v>216</v>
      </c>
      <c r="BB2192" s="103">
        <v>0</v>
      </c>
      <c r="BC2192" s="107">
        <v>0</v>
      </c>
      <c r="BD2192" s="107">
        <v>0</v>
      </c>
      <c r="BE2192" s="121" t="s">
        <v>5034</v>
      </c>
      <c r="BF2192" s="121" t="s">
        <v>5035</v>
      </c>
      <c r="BG2192" s="103">
        <v>0</v>
      </c>
      <c r="BH2192" s="103">
        <v>0</v>
      </c>
      <c r="BI2192" s="103">
        <v>0</v>
      </c>
      <c r="BJ2192" s="103">
        <v>0</v>
      </c>
      <c r="BK2192" s="103">
        <v>0</v>
      </c>
      <c r="BL2192" s="103">
        <v>0</v>
      </c>
      <c r="BM2192" s="99">
        <v>0</v>
      </c>
      <c r="BN2192" s="108">
        <v>0</v>
      </c>
      <c r="BO2192" s="108">
        <v>0</v>
      </c>
      <c r="BP2192" s="108">
        <v>0</v>
      </c>
      <c r="BQ2192" s="108">
        <v>0</v>
      </c>
      <c r="BR2192" s="108">
        <v>0</v>
      </c>
      <c r="BS2192" s="108">
        <v>0</v>
      </c>
      <c r="BT2192" s="108">
        <v>77001304</v>
      </c>
      <c r="BU2192" s="49">
        <v>0</v>
      </c>
      <c r="BV2192" s="49"/>
      <c r="BW2192" s="49"/>
    </row>
    <row r="2193" spans="3:75" ht="20.100000000000001" customHeight="1">
      <c r="C2193" s="102">
        <v>77001307</v>
      </c>
      <c r="D2193" s="101" t="s">
        <v>5036</v>
      </c>
      <c r="E2193" s="310" t="s">
        <v>5037</v>
      </c>
      <c r="F2193" s="99">
        <v>1</v>
      </c>
      <c r="G2193" s="99">
        <v>0</v>
      </c>
      <c r="H2193" s="102">
        <v>0</v>
      </c>
      <c r="I2193" s="107">
        <v>0</v>
      </c>
      <c r="J2193" s="102">
        <v>1</v>
      </c>
      <c r="K2193" s="102">
        <v>0</v>
      </c>
      <c r="L2193" s="102">
        <v>0</v>
      </c>
      <c r="M2193" s="103">
        <v>0</v>
      </c>
      <c r="N2193" s="103">
        <v>0</v>
      </c>
      <c r="O2193" s="103">
        <v>2</v>
      </c>
      <c r="P2193" s="103">
        <v>16</v>
      </c>
      <c r="Q2193" s="103">
        <v>5</v>
      </c>
      <c r="R2193" s="103">
        <v>0</v>
      </c>
      <c r="S2193" s="108">
        <v>0</v>
      </c>
      <c r="T2193" s="103">
        <v>0</v>
      </c>
      <c r="U2193" s="103">
        <v>1</v>
      </c>
      <c r="V2193" s="99">
        <v>1</v>
      </c>
      <c r="W2193" s="103">
        <v>0</v>
      </c>
      <c r="X2193" s="103">
        <v>2</v>
      </c>
      <c r="Y2193" s="13">
        <v>0</v>
      </c>
      <c r="Z2193" s="103">
        <v>0</v>
      </c>
      <c r="AA2193" s="103">
        <v>0</v>
      </c>
      <c r="AB2193" s="103">
        <v>0</v>
      </c>
      <c r="AC2193" s="103">
        <v>0</v>
      </c>
      <c r="AD2193" s="103">
        <v>0</v>
      </c>
      <c r="AE2193" s="103">
        <v>0</v>
      </c>
      <c r="AF2193" s="103">
        <v>0</v>
      </c>
      <c r="AG2193" s="103">
        <v>2</v>
      </c>
      <c r="AH2193" s="103" t="s">
        <v>213</v>
      </c>
      <c r="AI2193" s="108">
        <v>0</v>
      </c>
      <c r="AJ2193" s="108">
        <v>2</v>
      </c>
      <c r="AK2193" s="108">
        <v>0</v>
      </c>
      <c r="AL2193" s="108">
        <v>1.5</v>
      </c>
      <c r="AM2193" s="103">
        <v>0</v>
      </c>
      <c r="AN2193" s="103">
        <v>0</v>
      </c>
      <c r="AO2193" s="103">
        <v>0</v>
      </c>
      <c r="AP2193" s="103">
        <v>1</v>
      </c>
      <c r="AQ2193" s="103">
        <v>2000</v>
      </c>
      <c r="AR2193" s="103">
        <v>1</v>
      </c>
      <c r="AS2193" s="103">
        <v>0</v>
      </c>
      <c r="AT2193" s="108">
        <v>0</v>
      </c>
      <c r="AU2193" s="353" t="s">
        <v>5028</v>
      </c>
      <c r="AV2193" s="116"/>
      <c r="AW2193" s="104" t="s">
        <v>198</v>
      </c>
      <c r="AX2193" s="103" t="s">
        <v>545</v>
      </c>
      <c r="AY2193" s="102">
        <v>10001007</v>
      </c>
      <c r="AZ2193" s="102">
        <v>77001304</v>
      </c>
      <c r="BA2193" s="101" t="s">
        <v>200</v>
      </c>
      <c r="BB2193" s="103">
        <v>0</v>
      </c>
      <c r="BC2193" s="107">
        <v>0</v>
      </c>
      <c r="BD2193" s="107">
        <v>0</v>
      </c>
      <c r="BE2193" s="121" t="s">
        <v>5038</v>
      </c>
      <c r="BF2193" s="121" t="s">
        <v>5039</v>
      </c>
      <c r="BG2193" s="103">
        <v>0</v>
      </c>
      <c r="BH2193" s="103">
        <v>0</v>
      </c>
      <c r="BI2193" s="103">
        <v>0</v>
      </c>
      <c r="BJ2193" s="103">
        <v>0</v>
      </c>
      <c r="BK2193" s="103">
        <v>0</v>
      </c>
      <c r="BL2193" s="103">
        <v>0</v>
      </c>
      <c r="BM2193" s="99">
        <v>0</v>
      </c>
      <c r="BN2193" s="108">
        <v>0</v>
      </c>
      <c r="BO2193" s="108">
        <v>0</v>
      </c>
      <c r="BP2193" s="108">
        <v>0</v>
      </c>
      <c r="BQ2193" s="108">
        <v>0</v>
      </c>
      <c r="BR2193" s="108">
        <v>0</v>
      </c>
      <c r="BS2193" s="108">
        <v>0</v>
      </c>
      <c r="BT2193" s="108">
        <v>0</v>
      </c>
      <c r="BU2193" s="49">
        <v>0</v>
      </c>
      <c r="BV2193" s="49"/>
      <c r="BW2193" s="49"/>
    </row>
    <row r="2194" spans="3:75" ht="19.5" customHeight="1">
      <c r="C2194" s="66">
        <v>77001401</v>
      </c>
      <c r="D2194" s="61" t="s">
        <v>5040</v>
      </c>
      <c r="E2194" s="61" t="s">
        <v>5041</v>
      </c>
      <c r="F2194" s="66">
        <v>1</v>
      </c>
      <c r="G2194" s="66">
        <v>0</v>
      </c>
      <c r="H2194" s="66">
        <v>0</v>
      </c>
      <c r="I2194" s="68">
        <v>0</v>
      </c>
      <c r="J2194" s="66">
        <v>1</v>
      </c>
      <c r="K2194" s="66">
        <v>0</v>
      </c>
      <c r="L2194" s="66">
        <v>0</v>
      </c>
      <c r="M2194" s="62">
        <v>0</v>
      </c>
      <c r="N2194" s="62">
        <v>0</v>
      </c>
      <c r="O2194" s="62">
        <v>2</v>
      </c>
      <c r="P2194" s="62">
        <v>16</v>
      </c>
      <c r="Q2194" s="62">
        <v>5</v>
      </c>
      <c r="R2194" s="62">
        <v>0</v>
      </c>
      <c r="S2194" s="70">
        <v>0</v>
      </c>
      <c r="T2194" s="62">
        <v>0</v>
      </c>
      <c r="U2194" s="62">
        <v>1</v>
      </c>
      <c r="V2194" s="62">
        <v>2</v>
      </c>
      <c r="W2194" s="62">
        <v>0</v>
      </c>
      <c r="X2194" s="62">
        <v>1</v>
      </c>
      <c r="Y2194" s="13">
        <v>0</v>
      </c>
      <c r="Z2194" s="62">
        <v>0</v>
      </c>
      <c r="AA2194" s="62">
        <v>1</v>
      </c>
      <c r="AB2194" s="62">
        <v>0</v>
      </c>
      <c r="AC2194" s="62">
        <v>0</v>
      </c>
      <c r="AD2194" s="62">
        <v>0</v>
      </c>
      <c r="AE2194" s="62">
        <v>1</v>
      </c>
      <c r="AF2194" s="62">
        <v>0</v>
      </c>
      <c r="AG2194" s="62">
        <v>1</v>
      </c>
      <c r="AH2194" s="62">
        <v>2</v>
      </c>
      <c r="AI2194" s="70">
        <v>0</v>
      </c>
      <c r="AJ2194" s="70">
        <v>2</v>
      </c>
      <c r="AK2194" s="70">
        <v>0</v>
      </c>
      <c r="AL2194" s="70">
        <v>4</v>
      </c>
      <c r="AM2194" s="62">
        <v>0</v>
      </c>
      <c r="AN2194" s="62">
        <v>1</v>
      </c>
      <c r="AO2194" s="62">
        <v>0</v>
      </c>
      <c r="AP2194" s="62">
        <v>0</v>
      </c>
      <c r="AQ2194" s="62">
        <v>9000</v>
      </c>
      <c r="AR2194" s="62">
        <v>0</v>
      </c>
      <c r="AS2194" s="62">
        <v>10</v>
      </c>
      <c r="AT2194" s="80">
        <v>0</v>
      </c>
      <c r="AU2194" s="348" t="s">
        <v>5042</v>
      </c>
      <c r="AV2194" s="81"/>
      <c r="AW2194" s="61" t="s">
        <v>287</v>
      </c>
      <c r="AX2194" s="62" t="s">
        <v>534</v>
      </c>
      <c r="AY2194" s="66">
        <v>10000007</v>
      </c>
      <c r="AZ2194" s="66">
        <v>77001401</v>
      </c>
      <c r="BA2194" s="61" t="s">
        <v>586</v>
      </c>
      <c r="BB2194" s="62" t="s">
        <v>5043</v>
      </c>
      <c r="BC2194" s="68">
        <v>0</v>
      </c>
      <c r="BD2194" s="68">
        <v>1</v>
      </c>
      <c r="BE2194" s="92" t="s">
        <v>5044</v>
      </c>
      <c r="BF2194" s="92" t="s">
        <v>5045</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spans="3:75" ht="19.5" customHeight="1">
      <c r="C2195" s="66">
        <v>77001402</v>
      </c>
      <c r="D2195" s="61" t="s">
        <v>5046</v>
      </c>
      <c r="E2195" s="61" t="s">
        <v>5047</v>
      </c>
      <c r="F2195" s="66">
        <v>1</v>
      </c>
      <c r="G2195" s="66">
        <v>0</v>
      </c>
      <c r="H2195" s="66">
        <v>0</v>
      </c>
      <c r="I2195" s="68">
        <v>0</v>
      </c>
      <c r="J2195" s="66">
        <v>1</v>
      </c>
      <c r="K2195" s="66">
        <v>0</v>
      </c>
      <c r="L2195" s="66">
        <v>0</v>
      </c>
      <c r="M2195" s="62">
        <v>0</v>
      </c>
      <c r="N2195" s="62">
        <v>0</v>
      </c>
      <c r="O2195" s="62">
        <v>2</v>
      </c>
      <c r="P2195" s="62">
        <v>3</v>
      </c>
      <c r="Q2195" s="62">
        <v>0.2</v>
      </c>
      <c r="R2195" s="62">
        <v>0</v>
      </c>
      <c r="S2195" s="70">
        <v>1</v>
      </c>
      <c r="T2195" s="62">
        <v>0</v>
      </c>
      <c r="U2195" s="62">
        <v>1</v>
      </c>
      <c r="V2195" s="62">
        <v>2</v>
      </c>
      <c r="W2195" s="62">
        <v>0</v>
      </c>
      <c r="X2195" s="62">
        <v>2</v>
      </c>
      <c r="Y2195" s="13">
        <v>0</v>
      </c>
      <c r="Z2195" s="62">
        <v>0</v>
      </c>
      <c r="AA2195" s="62">
        <v>1</v>
      </c>
      <c r="AB2195" s="62">
        <v>0</v>
      </c>
      <c r="AC2195" s="62">
        <v>0</v>
      </c>
      <c r="AD2195" s="62">
        <v>1</v>
      </c>
      <c r="AE2195" s="62">
        <v>1</v>
      </c>
      <c r="AF2195" s="62">
        <v>0</v>
      </c>
      <c r="AG2195" s="62">
        <v>1</v>
      </c>
      <c r="AH2195" s="62">
        <v>3</v>
      </c>
      <c r="AI2195" s="70">
        <v>1</v>
      </c>
      <c r="AJ2195" s="70">
        <v>1</v>
      </c>
      <c r="AK2195" s="70">
        <v>0</v>
      </c>
      <c r="AL2195" s="70">
        <v>3</v>
      </c>
      <c r="AM2195" s="62">
        <v>0</v>
      </c>
      <c r="AN2195" s="62">
        <v>0</v>
      </c>
      <c r="AO2195" s="62">
        <v>0</v>
      </c>
      <c r="AP2195" s="62">
        <v>0</v>
      </c>
      <c r="AQ2195" s="62">
        <v>500</v>
      </c>
      <c r="AR2195" s="62">
        <v>0.3</v>
      </c>
      <c r="AS2195" s="62">
        <v>0</v>
      </c>
      <c r="AT2195" s="356" t="s">
        <v>5048</v>
      </c>
      <c r="AU2195" s="348" t="s">
        <v>5049</v>
      </c>
      <c r="AV2195" s="81"/>
      <c r="AW2195" s="65" t="s">
        <v>198</v>
      </c>
      <c r="AX2195" s="62" t="s">
        <v>534</v>
      </c>
      <c r="AY2195" s="66">
        <v>0</v>
      </c>
      <c r="AZ2195" s="66">
        <v>77001403</v>
      </c>
      <c r="BA2195" s="61" t="s">
        <v>200</v>
      </c>
      <c r="BB2195" s="62">
        <v>0</v>
      </c>
      <c r="BC2195" s="68">
        <v>0</v>
      </c>
      <c r="BD2195" s="68">
        <v>0</v>
      </c>
      <c r="BE2195" s="92" t="s">
        <v>2224</v>
      </c>
      <c r="BF2195" s="92" t="s">
        <v>2225</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19.5" customHeight="1">
      <c r="C2196" s="66">
        <v>77001403</v>
      </c>
      <c r="D2196" s="61" t="s">
        <v>5046</v>
      </c>
      <c r="E2196" s="61" t="s">
        <v>5047</v>
      </c>
      <c r="F2196" s="66">
        <v>1</v>
      </c>
      <c r="G2196" s="66">
        <v>0</v>
      </c>
      <c r="H2196" s="66">
        <v>0</v>
      </c>
      <c r="I2196" s="68">
        <v>0</v>
      </c>
      <c r="J2196" s="66">
        <v>1</v>
      </c>
      <c r="K2196" s="66">
        <v>0</v>
      </c>
      <c r="L2196" s="66">
        <v>0</v>
      </c>
      <c r="M2196" s="62">
        <v>0</v>
      </c>
      <c r="N2196" s="62">
        <v>0</v>
      </c>
      <c r="O2196" s="62">
        <v>2</v>
      </c>
      <c r="P2196" s="62">
        <v>3</v>
      </c>
      <c r="Q2196" s="62">
        <v>0.2</v>
      </c>
      <c r="R2196" s="62">
        <v>0</v>
      </c>
      <c r="S2196" s="70">
        <v>1</v>
      </c>
      <c r="T2196" s="62">
        <v>0</v>
      </c>
      <c r="U2196" s="62">
        <v>1</v>
      </c>
      <c r="V2196" s="62">
        <v>2</v>
      </c>
      <c r="W2196" s="62">
        <v>0</v>
      </c>
      <c r="X2196" s="62">
        <v>2</v>
      </c>
      <c r="Y2196" s="13">
        <v>0</v>
      </c>
      <c r="Z2196" s="62">
        <v>0</v>
      </c>
      <c r="AA2196" s="62">
        <v>1</v>
      </c>
      <c r="AB2196" s="62">
        <v>0</v>
      </c>
      <c r="AC2196" s="62">
        <v>0</v>
      </c>
      <c r="AD2196" s="62">
        <v>1</v>
      </c>
      <c r="AE2196" s="62">
        <v>1</v>
      </c>
      <c r="AF2196" s="62">
        <v>0</v>
      </c>
      <c r="AG2196" s="62">
        <v>1</v>
      </c>
      <c r="AH2196" s="62">
        <v>3</v>
      </c>
      <c r="AI2196" s="70">
        <v>1</v>
      </c>
      <c r="AJ2196" s="70">
        <v>1</v>
      </c>
      <c r="AK2196" s="70">
        <v>0</v>
      </c>
      <c r="AL2196" s="70">
        <v>3</v>
      </c>
      <c r="AM2196" s="62">
        <v>0</v>
      </c>
      <c r="AN2196" s="62">
        <v>0</v>
      </c>
      <c r="AO2196" s="62">
        <v>0</v>
      </c>
      <c r="AP2196" s="62">
        <v>0</v>
      </c>
      <c r="AQ2196" s="62">
        <v>500</v>
      </c>
      <c r="AR2196" s="62">
        <v>0.3</v>
      </c>
      <c r="AS2196" s="62">
        <v>0</v>
      </c>
      <c r="AT2196" s="70">
        <v>0</v>
      </c>
      <c r="AU2196" s="348" t="s">
        <v>5049</v>
      </c>
      <c r="AV2196" s="81"/>
      <c r="AW2196" s="65" t="s">
        <v>198</v>
      </c>
      <c r="AX2196" s="62" t="s">
        <v>534</v>
      </c>
      <c r="AY2196" s="66">
        <v>0</v>
      </c>
      <c r="AZ2196" s="66">
        <v>77001403</v>
      </c>
      <c r="BA2196" s="61" t="s">
        <v>200</v>
      </c>
      <c r="BB2196" s="62">
        <v>0</v>
      </c>
      <c r="BC2196" s="68">
        <v>0</v>
      </c>
      <c r="BD2196" s="68">
        <v>0</v>
      </c>
      <c r="BE2196" s="92" t="s">
        <v>2224</v>
      </c>
      <c r="BF2196" s="92" t="s">
        <v>2225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spans="3:75" ht="19.5" customHeight="1">
      <c r="C2197" s="66">
        <v>77001404</v>
      </c>
      <c r="D2197" s="61" t="s">
        <v>5050</v>
      </c>
      <c r="E2197" s="61" t="s">
        <v>5051</v>
      </c>
      <c r="F2197" s="66">
        <v>1</v>
      </c>
      <c r="G2197" s="66">
        <v>0</v>
      </c>
      <c r="H2197" s="66">
        <v>0</v>
      </c>
      <c r="I2197" s="68">
        <v>0</v>
      </c>
      <c r="J2197" s="66">
        <v>1</v>
      </c>
      <c r="K2197" s="66">
        <v>0</v>
      </c>
      <c r="L2197" s="66">
        <v>0</v>
      </c>
      <c r="M2197" s="62">
        <v>0</v>
      </c>
      <c r="N2197" s="62">
        <v>0</v>
      </c>
      <c r="O2197" s="62">
        <v>2</v>
      </c>
      <c r="P2197" s="62">
        <v>10</v>
      </c>
      <c r="Q2197" s="62">
        <v>0.3</v>
      </c>
      <c r="R2197" s="62">
        <v>0</v>
      </c>
      <c r="S2197" s="70">
        <v>3</v>
      </c>
      <c r="T2197" s="62">
        <v>0</v>
      </c>
      <c r="U2197" s="62">
        <v>1</v>
      </c>
      <c r="V2197" s="62">
        <v>2</v>
      </c>
      <c r="W2197" s="62">
        <v>0</v>
      </c>
      <c r="X2197" s="62">
        <v>1</v>
      </c>
      <c r="Y2197" s="13">
        <v>0</v>
      </c>
      <c r="Z2197" s="62">
        <v>0</v>
      </c>
      <c r="AA2197" s="62">
        <v>1</v>
      </c>
      <c r="AB2197" s="62">
        <v>0</v>
      </c>
      <c r="AC2197" s="62">
        <v>0</v>
      </c>
      <c r="AD2197" s="62">
        <v>0</v>
      </c>
      <c r="AE2197" s="62">
        <v>1</v>
      </c>
      <c r="AF2197" s="62">
        <v>2</v>
      </c>
      <c r="AG2197" s="62">
        <v>1</v>
      </c>
      <c r="AH2197" s="62">
        <v>2</v>
      </c>
      <c r="AI2197" s="70">
        <v>0</v>
      </c>
      <c r="AJ2197" s="70">
        <v>2</v>
      </c>
      <c r="AK2197" s="70">
        <v>0</v>
      </c>
      <c r="AL2197" s="70">
        <v>1</v>
      </c>
      <c r="AM2197" s="62">
        <v>0</v>
      </c>
      <c r="AN2197" s="62">
        <v>1</v>
      </c>
      <c r="AO2197" s="62">
        <v>0</v>
      </c>
      <c r="AP2197" s="62">
        <v>0</v>
      </c>
      <c r="AQ2197" s="62">
        <v>5000</v>
      </c>
      <c r="AR2197" s="62">
        <v>0</v>
      </c>
      <c r="AS2197" s="62">
        <v>20</v>
      </c>
      <c r="AT2197" s="80">
        <v>0</v>
      </c>
      <c r="AU2197" s="348" t="s">
        <v>5052</v>
      </c>
      <c r="AV2197" s="81"/>
      <c r="AW2197" s="61" t="s">
        <v>256</v>
      </c>
      <c r="AX2197" s="62" t="s">
        <v>534</v>
      </c>
      <c r="AY2197" s="66">
        <v>10000007</v>
      </c>
      <c r="AZ2197" s="66">
        <v>77001402</v>
      </c>
      <c r="BA2197" s="61" t="s">
        <v>586</v>
      </c>
      <c r="BB2197" s="62" t="s">
        <v>5053</v>
      </c>
      <c r="BC2197" s="68">
        <v>0</v>
      </c>
      <c r="BD2197" s="68">
        <v>1</v>
      </c>
      <c r="BE2197" s="92" t="s">
        <v>5054</v>
      </c>
      <c r="BF2197" s="92" t="s">
        <v>5055</v>
      </c>
      <c r="BG2197" s="62">
        <v>0</v>
      </c>
      <c r="BH2197" s="62">
        <v>0</v>
      </c>
      <c r="BI2197" s="62">
        <v>0</v>
      </c>
      <c r="BJ2197" s="62">
        <v>0</v>
      </c>
      <c r="BK2197" s="62">
        <v>0</v>
      </c>
      <c r="BL2197" s="62">
        <v>0</v>
      </c>
      <c r="BM2197" s="95">
        <v>0</v>
      </c>
      <c r="BN2197" s="70">
        <v>0</v>
      </c>
      <c r="BO2197" s="70">
        <v>0</v>
      </c>
      <c r="BP2197" s="70">
        <v>0</v>
      </c>
      <c r="BQ2197" s="70">
        <v>0</v>
      </c>
      <c r="BR2197" s="70">
        <v>0</v>
      </c>
      <c r="BS2197" s="70">
        <v>1</v>
      </c>
      <c r="BT2197" s="70">
        <v>0</v>
      </c>
      <c r="BU2197" s="49">
        <v>0</v>
      </c>
      <c r="BV2197" s="49"/>
      <c r="BW2197" s="49"/>
    </row>
    <row r="2198" spans="3:75" ht="19.5" customHeight="1">
      <c r="C2198" s="66">
        <v>77001405</v>
      </c>
      <c r="D2198" s="61" t="s">
        <v>1045</v>
      </c>
      <c r="E2198" s="61" t="s">
        <v>1046</v>
      </c>
      <c r="F2198" s="66">
        <v>1</v>
      </c>
      <c r="G2198" s="66">
        <v>0</v>
      </c>
      <c r="H2198" s="66">
        <v>0</v>
      </c>
      <c r="I2198" s="68">
        <v>0</v>
      </c>
      <c r="J2198" s="66">
        <v>1</v>
      </c>
      <c r="K2198" s="66">
        <v>0</v>
      </c>
      <c r="L2198" s="66">
        <v>0</v>
      </c>
      <c r="M2198" s="62">
        <v>0</v>
      </c>
      <c r="N2198" s="62">
        <v>0</v>
      </c>
      <c r="O2198" s="62">
        <v>2</v>
      </c>
      <c r="P2198" s="62">
        <v>3</v>
      </c>
      <c r="Q2198" s="62">
        <v>0.1</v>
      </c>
      <c r="R2198" s="62">
        <v>0</v>
      </c>
      <c r="S2198" s="70">
        <v>0</v>
      </c>
      <c r="T2198" s="62">
        <v>0</v>
      </c>
      <c r="U2198" s="62">
        <v>1</v>
      </c>
      <c r="V2198" s="62">
        <v>2</v>
      </c>
      <c r="W2198" s="62">
        <v>0</v>
      </c>
      <c r="X2198" s="62">
        <v>1</v>
      </c>
      <c r="Y2198" s="13">
        <v>0</v>
      </c>
      <c r="Z2198" s="62">
        <v>0</v>
      </c>
      <c r="AA2198" s="62">
        <v>1</v>
      </c>
      <c r="AB2198" s="62">
        <v>0</v>
      </c>
      <c r="AC2198" s="62">
        <v>0</v>
      </c>
      <c r="AD2198" s="62">
        <v>1</v>
      </c>
      <c r="AE2198" s="62">
        <v>0</v>
      </c>
      <c r="AF2198" s="62">
        <v>0</v>
      </c>
      <c r="AG2198" s="62">
        <v>1</v>
      </c>
      <c r="AH2198" s="62">
        <v>3</v>
      </c>
      <c r="AI2198" s="70">
        <v>4</v>
      </c>
      <c r="AJ2198" s="70">
        <v>1</v>
      </c>
      <c r="AK2198" s="70">
        <v>0</v>
      </c>
      <c r="AL2198" s="70">
        <v>1.5</v>
      </c>
      <c r="AM2198" s="62">
        <v>0</v>
      </c>
      <c r="AN2198" s="62">
        <v>0</v>
      </c>
      <c r="AO2198" s="62">
        <v>0</v>
      </c>
      <c r="AP2198" s="62">
        <v>0</v>
      </c>
      <c r="AQ2198" s="62">
        <v>6000</v>
      </c>
      <c r="AR2198" s="62">
        <v>0.8</v>
      </c>
      <c r="AS2198" s="62">
        <v>0</v>
      </c>
      <c r="AT2198" s="70">
        <v>0</v>
      </c>
      <c r="AU2198" s="348" t="s">
        <v>5049</v>
      </c>
      <c r="AV2198" s="81"/>
      <c r="AW2198" s="65" t="s">
        <v>199</v>
      </c>
      <c r="AX2198" s="62" t="s">
        <v>534</v>
      </c>
      <c r="AY2198" s="66">
        <v>0</v>
      </c>
      <c r="AZ2198" s="66">
        <v>77001404</v>
      </c>
      <c r="BA2198" s="61" t="s">
        <v>200</v>
      </c>
      <c r="BB2198" s="62" t="s">
        <v>5056</v>
      </c>
      <c r="BC2198" s="68">
        <v>0</v>
      </c>
      <c r="BD2198" s="68">
        <v>0</v>
      </c>
      <c r="BE2198" s="92" t="s">
        <v>5057</v>
      </c>
      <c r="BF2198" s="92" t="s">
        <v>5058</v>
      </c>
      <c r="BG2198" s="62">
        <v>0</v>
      </c>
      <c r="BH2198" s="62">
        <v>0</v>
      </c>
      <c r="BI2198" s="62">
        <v>0</v>
      </c>
      <c r="BJ2198" s="62">
        <v>0</v>
      </c>
      <c r="BK2198" s="62">
        <v>0</v>
      </c>
      <c r="BL2198" s="62">
        <v>0</v>
      </c>
      <c r="BM2198" s="95">
        <v>0</v>
      </c>
      <c r="BN2198" s="70">
        <v>0</v>
      </c>
      <c r="BO2198" s="70">
        <v>0</v>
      </c>
      <c r="BP2198" s="70">
        <v>0</v>
      </c>
      <c r="BQ2198" s="70">
        <v>0</v>
      </c>
      <c r="BR2198" s="70">
        <v>0</v>
      </c>
      <c r="BS2198" s="70">
        <v>0</v>
      </c>
      <c r="BT2198" s="70">
        <v>0</v>
      </c>
      <c r="BU2198" s="49">
        <v>0</v>
      </c>
      <c r="BV2198" s="49"/>
      <c r="BW2198" s="49"/>
    </row>
    <row r="2199" spans="3:75" ht="20.100000000000001" customHeight="1">
      <c r="C2199" s="66">
        <v>77001406</v>
      </c>
      <c r="D2199" s="126" t="s">
        <v>1039</v>
      </c>
      <c r="E2199" s="126" t="s">
        <v>1040</v>
      </c>
      <c r="F2199" s="70">
        <v>1</v>
      </c>
      <c r="G2199" s="66">
        <v>0</v>
      </c>
      <c r="H2199" s="70">
        <v>0</v>
      </c>
      <c r="I2199" s="70">
        <v>0</v>
      </c>
      <c r="J2199" s="70">
        <v>1</v>
      </c>
      <c r="K2199" s="70">
        <v>0</v>
      </c>
      <c r="L2199" s="70">
        <v>0</v>
      </c>
      <c r="M2199" s="70">
        <v>0</v>
      </c>
      <c r="N2199" s="70">
        <v>0</v>
      </c>
      <c r="O2199" s="70">
        <v>2</v>
      </c>
      <c r="P2199" s="70">
        <v>2</v>
      </c>
      <c r="Q2199" s="70">
        <v>0.8</v>
      </c>
      <c r="R2199" s="70">
        <v>0</v>
      </c>
      <c r="S2199" s="70">
        <v>0</v>
      </c>
      <c r="T2199" s="70">
        <v>0</v>
      </c>
      <c r="U2199" s="70">
        <v>1</v>
      </c>
      <c r="V2199" s="70">
        <v>2</v>
      </c>
      <c r="W2199" s="70">
        <v>0</v>
      </c>
      <c r="X2199" s="70">
        <v>0</v>
      </c>
      <c r="Y2199" s="13">
        <v>0</v>
      </c>
      <c r="Z2199" s="70">
        <v>0</v>
      </c>
      <c r="AA2199" s="70">
        <v>1</v>
      </c>
      <c r="AB2199" s="70">
        <v>0</v>
      </c>
      <c r="AC2199" s="70">
        <v>0</v>
      </c>
      <c r="AD2199" s="70">
        <v>0</v>
      </c>
      <c r="AE2199" s="70">
        <v>0</v>
      </c>
      <c r="AF2199" s="70">
        <v>12</v>
      </c>
      <c r="AG2199" s="70">
        <v>1</v>
      </c>
      <c r="AH2199" s="70">
        <v>8</v>
      </c>
      <c r="AI2199" s="70">
        <v>0</v>
      </c>
      <c r="AJ2199" s="70">
        <v>1</v>
      </c>
      <c r="AK2199" s="70">
        <v>0</v>
      </c>
      <c r="AL2199" s="70">
        <v>4</v>
      </c>
      <c r="AM2199" s="70">
        <v>0</v>
      </c>
      <c r="AN2199" s="70">
        <v>0</v>
      </c>
      <c r="AO2199" s="70">
        <v>0</v>
      </c>
      <c r="AP2199" s="70">
        <v>0</v>
      </c>
      <c r="AQ2199" s="70">
        <v>2000</v>
      </c>
      <c r="AR2199" s="70">
        <v>1.5</v>
      </c>
      <c r="AS2199" s="70">
        <v>0</v>
      </c>
      <c r="AT2199" s="70">
        <v>0</v>
      </c>
      <c r="AU2199" s="70">
        <v>0</v>
      </c>
      <c r="AV2199" s="70"/>
      <c r="AW2199" s="126" t="s">
        <v>617</v>
      </c>
      <c r="AX2199" s="70" t="s">
        <v>1041</v>
      </c>
      <c r="AY2199" s="70">
        <v>0</v>
      </c>
      <c r="AZ2199" s="70">
        <v>77001405</v>
      </c>
      <c r="BA2199" s="126" t="s">
        <v>1042</v>
      </c>
      <c r="BB2199" s="70">
        <v>0</v>
      </c>
      <c r="BC2199" s="70">
        <v>0</v>
      </c>
      <c r="BD2199" s="70">
        <v>0</v>
      </c>
      <c r="BE2199" s="135" t="s">
        <v>1043</v>
      </c>
      <c r="BF2199" s="135" t="s">
        <v>1044</v>
      </c>
      <c r="BG2199" s="70">
        <v>0</v>
      </c>
      <c r="BH2199" s="70">
        <v>0</v>
      </c>
      <c r="BI2199" s="70">
        <v>0</v>
      </c>
      <c r="BJ2199" s="70">
        <v>0</v>
      </c>
      <c r="BK2199" s="70">
        <v>0</v>
      </c>
      <c r="BL2199" s="70">
        <v>0</v>
      </c>
      <c r="BM2199" s="136">
        <v>0</v>
      </c>
      <c r="BN2199" s="70">
        <v>0</v>
      </c>
      <c r="BO2199" s="70">
        <v>0</v>
      </c>
      <c r="BP2199" s="70">
        <v>1000</v>
      </c>
      <c r="BQ2199" s="70">
        <v>0</v>
      </c>
      <c r="BR2199" s="70">
        <v>0</v>
      </c>
      <c r="BS2199" s="70">
        <v>0</v>
      </c>
      <c r="BT2199" s="70">
        <v>0</v>
      </c>
      <c r="BU2199" s="49">
        <v>0</v>
      </c>
      <c r="BV2199" s="49"/>
      <c r="BW2199" s="49"/>
    </row>
    <row r="2200" spans="3:75" ht="19.5" customHeight="1">
      <c r="C2200" s="66">
        <v>77001407</v>
      </c>
      <c r="D2200" s="61" t="s">
        <v>5059</v>
      </c>
      <c r="E2200" s="61" t="s">
        <v>5060</v>
      </c>
      <c r="F2200" s="66">
        <v>1</v>
      </c>
      <c r="G2200" s="66">
        <v>0</v>
      </c>
      <c r="H2200" s="66">
        <v>0</v>
      </c>
      <c r="I2200" s="68">
        <v>0</v>
      </c>
      <c r="J2200" s="66">
        <v>1</v>
      </c>
      <c r="K2200" s="66">
        <v>0</v>
      </c>
      <c r="L2200" s="66">
        <v>0</v>
      </c>
      <c r="M2200" s="62">
        <v>0</v>
      </c>
      <c r="N2200" s="62">
        <v>0</v>
      </c>
      <c r="O2200" s="62">
        <v>2</v>
      </c>
      <c r="P2200" s="62">
        <v>10</v>
      </c>
      <c r="Q2200" s="62">
        <v>0.15</v>
      </c>
      <c r="R2200" s="62">
        <v>0</v>
      </c>
      <c r="S2200" s="70">
        <v>0</v>
      </c>
      <c r="T2200" s="62">
        <v>0</v>
      </c>
      <c r="U2200" s="62">
        <v>1</v>
      </c>
      <c r="V2200" s="62">
        <v>2</v>
      </c>
      <c r="W2200" s="62">
        <v>0</v>
      </c>
      <c r="X2200" s="62">
        <v>2</v>
      </c>
      <c r="Y2200" s="13">
        <v>0</v>
      </c>
      <c r="Z2200" s="62">
        <v>0</v>
      </c>
      <c r="AA2200" s="62">
        <v>1</v>
      </c>
      <c r="AB2200" s="62">
        <v>0</v>
      </c>
      <c r="AC2200" s="62">
        <v>0</v>
      </c>
      <c r="AD2200" s="62">
        <v>0</v>
      </c>
      <c r="AE2200" s="62">
        <v>1</v>
      </c>
      <c r="AF2200" s="62">
        <v>3</v>
      </c>
      <c r="AG2200" s="62">
        <v>1</v>
      </c>
      <c r="AH2200" s="62">
        <v>4</v>
      </c>
      <c r="AI2200" s="70">
        <v>1</v>
      </c>
      <c r="AJ2200" s="70">
        <v>1</v>
      </c>
      <c r="AK2200" s="70">
        <v>0</v>
      </c>
      <c r="AL2200" s="70">
        <v>3</v>
      </c>
      <c r="AM2200" s="62">
        <v>0</v>
      </c>
      <c r="AN2200" s="62">
        <v>1</v>
      </c>
      <c r="AO2200" s="62">
        <v>0</v>
      </c>
      <c r="AP2200" s="62">
        <v>1</v>
      </c>
      <c r="AQ2200" s="62">
        <v>3000</v>
      </c>
      <c r="AR2200" s="62">
        <v>1</v>
      </c>
      <c r="AS2200" s="62">
        <v>0</v>
      </c>
      <c r="AT2200" s="70">
        <v>0</v>
      </c>
      <c r="AU2200" s="348" t="s">
        <v>5052</v>
      </c>
      <c r="AV2200" s="81"/>
      <c r="AW2200" s="65" t="s">
        <v>287</v>
      </c>
      <c r="AX2200" s="62" t="s">
        <v>534</v>
      </c>
      <c r="AY2200" s="66">
        <v>0</v>
      </c>
      <c r="AZ2200" s="66">
        <v>77001407</v>
      </c>
      <c r="BA2200" s="61" t="s">
        <v>200</v>
      </c>
      <c r="BB2200" s="62">
        <v>0</v>
      </c>
      <c r="BC2200" s="68">
        <v>0</v>
      </c>
      <c r="BD2200" s="68">
        <v>0</v>
      </c>
      <c r="BE2200" s="92" t="s">
        <v>5061</v>
      </c>
      <c r="BF2200" s="92" t="s">
        <v>5062</v>
      </c>
      <c r="BG2200" s="62">
        <v>0</v>
      </c>
      <c r="BH2200" s="62">
        <v>0</v>
      </c>
      <c r="BI2200" s="62">
        <v>0</v>
      </c>
      <c r="BJ2200" s="62">
        <v>0</v>
      </c>
      <c r="BK2200" s="62">
        <v>0</v>
      </c>
      <c r="BL2200" s="62">
        <v>0</v>
      </c>
      <c r="BM2200" s="95">
        <v>0</v>
      </c>
      <c r="BN2200" s="70">
        <v>0</v>
      </c>
      <c r="BO2200" s="70">
        <v>0</v>
      </c>
      <c r="BP2200" s="70">
        <v>0</v>
      </c>
      <c r="BQ2200" s="70">
        <v>0</v>
      </c>
      <c r="BR2200" s="70">
        <v>0</v>
      </c>
      <c r="BS2200" s="70">
        <v>0</v>
      </c>
      <c r="BT2200" s="70">
        <v>0</v>
      </c>
      <c r="BU2200" s="49">
        <v>0</v>
      </c>
      <c r="BV2200" s="49"/>
      <c r="BW2200" s="49"/>
    </row>
    <row r="2201" spans="3:75" ht="19.5" customHeight="1">
      <c r="C2201" s="307">
        <v>77001501</v>
      </c>
      <c r="D2201" s="308" t="s">
        <v>5063</v>
      </c>
      <c r="E2201" s="308" t="s">
        <v>5064</v>
      </c>
      <c r="F2201" s="307">
        <v>1</v>
      </c>
      <c r="G2201" s="307">
        <v>0</v>
      </c>
      <c r="H2201" s="307">
        <v>0</v>
      </c>
      <c r="I2201" s="313">
        <v>0</v>
      </c>
      <c r="J2201" s="307">
        <v>1</v>
      </c>
      <c r="K2201" s="307">
        <v>0</v>
      </c>
      <c r="L2201" s="307">
        <v>0</v>
      </c>
      <c r="M2201" s="309">
        <v>0</v>
      </c>
      <c r="N2201" s="309">
        <v>0</v>
      </c>
      <c r="O2201" s="309">
        <v>2</v>
      </c>
      <c r="P2201" s="309">
        <v>2</v>
      </c>
      <c r="Q2201" s="309">
        <v>0.5</v>
      </c>
      <c r="R2201" s="309">
        <v>0</v>
      </c>
      <c r="S2201" s="314">
        <v>0</v>
      </c>
      <c r="T2201" s="309">
        <v>0</v>
      </c>
      <c r="U2201" s="309">
        <v>1</v>
      </c>
      <c r="V2201" s="309">
        <v>2</v>
      </c>
      <c r="W2201" s="309">
        <v>0</v>
      </c>
      <c r="X2201" s="309">
        <v>2</v>
      </c>
      <c r="Y2201" s="13">
        <v>0</v>
      </c>
      <c r="Z2201" s="309">
        <v>0</v>
      </c>
      <c r="AA2201" s="309">
        <v>1</v>
      </c>
      <c r="AB2201" s="309">
        <v>0</v>
      </c>
      <c r="AC2201" s="309">
        <v>0</v>
      </c>
      <c r="AD2201" s="309">
        <v>0</v>
      </c>
      <c r="AE2201" s="309">
        <v>1</v>
      </c>
      <c r="AF2201" s="309">
        <v>30</v>
      </c>
      <c r="AG2201" s="309">
        <v>1</v>
      </c>
      <c r="AH2201" s="309">
        <v>4</v>
      </c>
      <c r="AI2201" s="314">
        <v>0</v>
      </c>
      <c r="AJ2201" s="314">
        <v>1</v>
      </c>
      <c r="AK2201" s="314">
        <v>0</v>
      </c>
      <c r="AL2201" s="314">
        <v>3</v>
      </c>
      <c r="AM2201" s="309">
        <v>0</v>
      </c>
      <c r="AN2201" s="309">
        <v>1</v>
      </c>
      <c r="AO2201" s="309">
        <v>0</v>
      </c>
      <c r="AP2201" s="309">
        <v>1</v>
      </c>
      <c r="AQ2201" s="309">
        <v>3000</v>
      </c>
      <c r="AR2201" s="309">
        <v>1</v>
      </c>
      <c r="AS2201" s="309">
        <v>0</v>
      </c>
      <c r="AT2201" s="314">
        <v>97005001</v>
      </c>
      <c r="AU2201" s="386" t="s">
        <v>5065</v>
      </c>
      <c r="AV2201" s="315"/>
      <c r="AW2201" s="317" t="s">
        <v>287</v>
      </c>
      <c r="AX2201" s="309" t="s">
        <v>534</v>
      </c>
      <c r="AY2201" s="307">
        <v>0</v>
      </c>
      <c r="AZ2201" s="307">
        <v>77001501</v>
      </c>
      <c r="BA2201" s="308" t="s">
        <v>200</v>
      </c>
      <c r="BB2201" s="309">
        <v>0</v>
      </c>
      <c r="BC2201" s="313">
        <v>0</v>
      </c>
      <c r="BD2201" s="313">
        <v>0</v>
      </c>
      <c r="BE2201" s="320" t="s">
        <v>5066</v>
      </c>
      <c r="BF2201" s="320" t="s">
        <v>5067</v>
      </c>
      <c r="BG2201" s="309">
        <v>0</v>
      </c>
      <c r="BH2201" s="309">
        <v>0</v>
      </c>
      <c r="BI2201" s="309">
        <v>0</v>
      </c>
      <c r="BJ2201" s="309">
        <v>0</v>
      </c>
      <c r="BK2201" s="309">
        <v>0</v>
      </c>
      <c r="BL2201" s="309">
        <v>0</v>
      </c>
      <c r="BM2201" s="312">
        <v>0</v>
      </c>
      <c r="BN2201" s="314">
        <v>0</v>
      </c>
      <c r="BO2201" s="314">
        <v>0</v>
      </c>
      <c r="BP2201" s="314">
        <v>0</v>
      </c>
      <c r="BQ2201" s="314">
        <v>0</v>
      </c>
      <c r="BR2201" s="314">
        <v>0</v>
      </c>
      <c r="BS2201" s="314">
        <v>0</v>
      </c>
      <c r="BT2201" s="314">
        <v>0</v>
      </c>
      <c r="BU2201" s="49">
        <v>0</v>
      </c>
      <c r="BV2201" s="49"/>
      <c r="BW2201" s="49"/>
    </row>
    <row r="2202" spans="3:75" ht="20.100000000000001" customHeight="1">
      <c r="C2202" s="307">
        <v>77001502</v>
      </c>
      <c r="D2202" s="308" t="s">
        <v>5068</v>
      </c>
      <c r="E2202" s="308" t="s">
        <v>5069</v>
      </c>
      <c r="F2202" s="309">
        <v>1</v>
      </c>
      <c r="G2202" s="309">
        <v>0</v>
      </c>
      <c r="H2202" s="309">
        <v>0</v>
      </c>
      <c r="I2202" s="313">
        <v>0</v>
      </c>
      <c r="J2202" s="307">
        <v>1</v>
      </c>
      <c r="K2202" s="309">
        <v>0</v>
      </c>
      <c r="L2202" s="309">
        <v>0</v>
      </c>
      <c r="M2202" s="309">
        <v>0</v>
      </c>
      <c r="N2202" s="309">
        <v>0</v>
      </c>
      <c r="O2202" s="309">
        <v>2</v>
      </c>
      <c r="P2202" s="309">
        <v>3</v>
      </c>
      <c r="Q2202" s="309">
        <v>0.2</v>
      </c>
      <c r="R2202" s="309">
        <v>0</v>
      </c>
      <c r="S2202" s="314">
        <v>0</v>
      </c>
      <c r="T2202" s="309">
        <v>0</v>
      </c>
      <c r="U2202" s="309">
        <v>1</v>
      </c>
      <c r="V2202" s="309">
        <v>1</v>
      </c>
      <c r="W2202" s="309">
        <v>0</v>
      </c>
      <c r="X2202" s="309">
        <v>1</v>
      </c>
      <c r="Y2202" s="13">
        <v>0</v>
      </c>
      <c r="Z2202" s="309">
        <v>0</v>
      </c>
      <c r="AA2202" s="309">
        <v>1</v>
      </c>
      <c r="AB2202" s="309">
        <v>0</v>
      </c>
      <c r="AC2202" s="309">
        <v>0</v>
      </c>
      <c r="AD2202" s="309">
        <v>0</v>
      </c>
      <c r="AE2202" s="309">
        <v>1</v>
      </c>
      <c r="AF2202" s="309">
        <v>6</v>
      </c>
      <c r="AG2202" s="309">
        <v>1</v>
      </c>
      <c r="AH2202" s="309">
        <v>3</v>
      </c>
      <c r="AI2202" s="314">
        <v>0</v>
      </c>
      <c r="AJ2202" s="314">
        <v>1</v>
      </c>
      <c r="AK2202" s="314">
        <v>0</v>
      </c>
      <c r="AL2202" s="314">
        <v>2</v>
      </c>
      <c r="AM2202" s="309">
        <v>0</v>
      </c>
      <c r="AN2202" s="309">
        <v>0</v>
      </c>
      <c r="AO2202" s="309">
        <v>0</v>
      </c>
      <c r="AP2202" s="309">
        <v>1</v>
      </c>
      <c r="AQ2202" s="309">
        <v>1100</v>
      </c>
      <c r="AR2202" s="309">
        <v>1</v>
      </c>
      <c r="AS2202" s="309">
        <v>0</v>
      </c>
      <c r="AT2202" s="314">
        <v>0</v>
      </c>
      <c r="AU2202" s="309">
        <v>97005003</v>
      </c>
      <c r="AV2202" s="309"/>
      <c r="AW2202" s="308" t="s">
        <v>198</v>
      </c>
      <c r="AX2202" s="309" t="s">
        <v>534</v>
      </c>
      <c r="AY2202" s="307">
        <v>10000001</v>
      </c>
      <c r="AZ2202" s="307">
        <v>77001505</v>
      </c>
      <c r="BA2202" s="308" t="s">
        <v>771</v>
      </c>
      <c r="BB2202" s="309">
        <v>0</v>
      </c>
      <c r="BC2202" s="313">
        <v>0</v>
      </c>
      <c r="BD2202" s="313">
        <v>0</v>
      </c>
      <c r="BE2202" s="321" t="s">
        <v>5070</v>
      </c>
      <c r="BF2202" s="321" t="s">
        <v>5071</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77001508</v>
      </c>
      <c r="BU2202" s="49">
        <v>0</v>
      </c>
      <c r="BV2202" s="49"/>
      <c r="BW2202" s="49"/>
    </row>
    <row r="2203" spans="3:75" ht="19.5" customHeight="1">
      <c r="C2203" s="307">
        <v>77001503</v>
      </c>
      <c r="D2203" s="308" t="s">
        <v>5072</v>
      </c>
      <c r="E2203" s="308" t="s">
        <v>5073</v>
      </c>
      <c r="F2203" s="307">
        <v>1</v>
      </c>
      <c r="G2203" s="309">
        <v>0</v>
      </c>
      <c r="H2203" s="307">
        <v>0</v>
      </c>
      <c r="I2203" s="313">
        <v>0</v>
      </c>
      <c r="J2203" s="307">
        <v>1</v>
      </c>
      <c r="K2203" s="307">
        <v>0</v>
      </c>
      <c r="L2203" s="307">
        <v>0</v>
      </c>
      <c r="M2203" s="309">
        <v>0</v>
      </c>
      <c r="N2203" s="309">
        <v>0</v>
      </c>
      <c r="O2203" s="309">
        <v>2</v>
      </c>
      <c r="P2203" s="309">
        <v>1</v>
      </c>
      <c r="Q2203" s="309">
        <v>0.2</v>
      </c>
      <c r="R2203" s="309">
        <v>0</v>
      </c>
      <c r="S2203" s="314">
        <v>0</v>
      </c>
      <c r="T2203" s="309">
        <v>0</v>
      </c>
      <c r="U2203" s="309">
        <v>1</v>
      </c>
      <c r="V2203" s="309">
        <v>2</v>
      </c>
      <c r="W2203" s="309">
        <v>0</v>
      </c>
      <c r="X2203" s="309">
        <v>0.8</v>
      </c>
      <c r="Y2203" s="13">
        <v>0</v>
      </c>
      <c r="Z2203" s="309">
        <v>0</v>
      </c>
      <c r="AA2203" s="309">
        <v>1</v>
      </c>
      <c r="AB2203" s="309">
        <v>0</v>
      </c>
      <c r="AC2203" s="309">
        <v>0</v>
      </c>
      <c r="AD2203" s="309">
        <v>0</v>
      </c>
      <c r="AE2203" s="309">
        <v>0</v>
      </c>
      <c r="AF2203" s="309">
        <v>14</v>
      </c>
      <c r="AG2203" s="309">
        <v>1</v>
      </c>
      <c r="AH2203" s="309">
        <v>3</v>
      </c>
      <c r="AI2203" s="314">
        <v>1</v>
      </c>
      <c r="AJ2203" s="314">
        <v>0</v>
      </c>
      <c r="AK2203" s="314">
        <v>0</v>
      </c>
      <c r="AL2203" s="314">
        <v>0</v>
      </c>
      <c r="AM2203" s="309">
        <v>0</v>
      </c>
      <c r="AN2203" s="309">
        <v>0</v>
      </c>
      <c r="AO2203" s="309">
        <v>0</v>
      </c>
      <c r="AP2203" s="309">
        <v>0</v>
      </c>
      <c r="AQ2203" s="309">
        <v>999999</v>
      </c>
      <c r="AR2203" s="309">
        <v>0</v>
      </c>
      <c r="AS2203" s="309">
        <v>0</v>
      </c>
      <c r="AT2203" s="314">
        <v>97005004</v>
      </c>
      <c r="AU2203" s="309">
        <v>97005002</v>
      </c>
      <c r="AV2203" s="309"/>
      <c r="AW2203" s="317" t="s">
        <v>287</v>
      </c>
      <c r="AX2203" s="309" t="s">
        <v>534</v>
      </c>
      <c r="AY2203" s="307">
        <v>10000007</v>
      </c>
      <c r="AZ2203" s="307">
        <v>77001503</v>
      </c>
      <c r="BA2203" s="317" t="s">
        <v>315</v>
      </c>
      <c r="BB2203" s="317" t="s">
        <v>371</v>
      </c>
      <c r="BC2203" s="313">
        <v>0</v>
      </c>
      <c r="BD2203" s="313">
        <v>0</v>
      </c>
      <c r="BE2203" s="320" t="s">
        <v>5074</v>
      </c>
      <c r="BF2203" s="320" t="s">
        <v>5075</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0</v>
      </c>
      <c r="BU2203" s="49">
        <v>0</v>
      </c>
      <c r="BV2203" s="49"/>
      <c r="BW2203" s="49"/>
    </row>
    <row r="2204" spans="3:75" ht="20.100000000000001" customHeight="1">
      <c r="C2204" s="307">
        <v>77001504</v>
      </c>
      <c r="D2204" s="308" t="s">
        <v>5076</v>
      </c>
      <c r="E2204" s="311" t="s">
        <v>5077</v>
      </c>
      <c r="F2204" s="312">
        <v>1</v>
      </c>
      <c r="G2204" s="309">
        <v>0</v>
      </c>
      <c r="H2204" s="309">
        <v>0</v>
      </c>
      <c r="I2204" s="313">
        <v>0</v>
      </c>
      <c r="J2204" s="307">
        <v>1</v>
      </c>
      <c r="K2204" s="307">
        <v>0</v>
      </c>
      <c r="L2204" s="307">
        <v>0</v>
      </c>
      <c r="M2204" s="309">
        <v>0</v>
      </c>
      <c r="N2204" s="309">
        <v>0</v>
      </c>
      <c r="O2204" s="309">
        <v>2</v>
      </c>
      <c r="P2204" s="309">
        <v>1</v>
      </c>
      <c r="Q2204" s="309">
        <v>0.2</v>
      </c>
      <c r="R2204" s="309">
        <v>0</v>
      </c>
      <c r="S2204" s="314">
        <v>0</v>
      </c>
      <c r="T2204" s="309">
        <v>0</v>
      </c>
      <c r="U2204" s="309">
        <v>1</v>
      </c>
      <c r="V2204" s="312">
        <v>1</v>
      </c>
      <c r="W2204" s="309">
        <v>0</v>
      </c>
      <c r="X2204" s="309">
        <v>0</v>
      </c>
      <c r="Y2204" s="13">
        <v>0</v>
      </c>
      <c r="Z2204" s="309">
        <v>0</v>
      </c>
      <c r="AA2204" s="309">
        <v>1</v>
      </c>
      <c r="AB2204" s="309">
        <v>0</v>
      </c>
      <c r="AC2204" s="309">
        <v>0</v>
      </c>
      <c r="AD2204" s="309">
        <v>0</v>
      </c>
      <c r="AE2204" s="309">
        <v>1</v>
      </c>
      <c r="AF2204" s="309">
        <v>12</v>
      </c>
      <c r="AG2204" s="309">
        <v>2</v>
      </c>
      <c r="AH2204" s="309" t="s">
        <v>213</v>
      </c>
      <c r="AI2204" s="314">
        <v>0</v>
      </c>
      <c r="AJ2204" s="314">
        <v>2</v>
      </c>
      <c r="AK2204" s="314">
        <v>0</v>
      </c>
      <c r="AL2204" s="314">
        <v>1.5</v>
      </c>
      <c r="AM2204" s="309">
        <v>0</v>
      </c>
      <c r="AN2204" s="309">
        <v>0</v>
      </c>
      <c r="AO2204" s="309">
        <v>0</v>
      </c>
      <c r="AP2204" s="309">
        <v>0.5</v>
      </c>
      <c r="AQ2204" s="309">
        <v>500</v>
      </c>
      <c r="AR2204" s="309">
        <v>0</v>
      </c>
      <c r="AS2204" s="309">
        <v>18</v>
      </c>
      <c r="AT2204" s="314">
        <v>0</v>
      </c>
      <c r="AU2204" s="315">
        <v>0</v>
      </c>
      <c r="AV2204" s="315"/>
      <c r="AW2204" s="308" t="s">
        <v>287</v>
      </c>
      <c r="AX2204" s="309" t="s">
        <v>215</v>
      </c>
      <c r="AY2204" s="307">
        <v>0</v>
      </c>
      <c r="AZ2204" s="307">
        <v>0</v>
      </c>
      <c r="BA2204" s="308" t="s">
        <v>216</v>
      </c>
      <c r="BB2204" s="309">
        <v>0</v>
      </c>
      <c r="BC2204" s="313">
        <v>0</v>
      </c>
      <c r="BD2204" s="313">
        <v>0</v>
      </c>
      <c r="BE2204" s="320" t="s">
        <v>5078</v>
      </c>
      <c r="BF2204" s="320" t="s">
        <v>5079</v>
      </c>
      <c r="BG2204" s="309">
        <v>0</v>
      </c>
      <c r="BH2204" s="309">
        <v>0</v>
      </c>
      <c r="BI2204" s="309">
        <v>0</v>
      </c>
      <c r="BJ2204" s="309">
        <v>0</v>
      </c>
      <c r="BK2204" s="309">
        <v>0</v>
      </c>
      <c r="BL2204" s="309">
        <v>0</v>
      </c>
      <c r="BM2204" s="312">
        <v>0</v>
      </c>
      <c r="BN2204" s="314">
        <v>0</v>
      </c>
      <c r="BO2204" s="314">
        <v>0</v>
      </c>
      <c r="BP2204" s="314">
        <v>0</v>
      </c>
      <c r="BQ2204" s="314">
        <v>0</v>
      </c>
      <c r="BR2204" s="314">
        <v>0</v>
      </c>
      <c r="BS2204" s="314">
        <v>1</v>
      </c>
      <c r="BT2204" s="314">
        <v>77001505</v>
      </c>
      <c r="BU2204" s="49">
        <v>0</v>
      </c>
      <c r="BV2204" s="49"/>
      <c r="BW2204" s="49"/>
    </row>
    <row r="2205" spans="3:75" ht="19.5" customHeight="1">
      <c r="C2205" s="307">
        <v>77001505</v>
      </c>
      <c r="D2205" s="308" t="s">
        <v>5080</v>
      </c>
      <c r="E2205" s="308" t="s">
        <v>1266</v>
      </c>
      <c r="F2205" s="307">
        <v>1</v>
      </c>
      <c r="G2205" s="309">
        <v>0</v>
      </c>
      <c r="H2205" s="307">
        <v>0</v>
      </c>
      <c r="I2205" s="313">
        <v>0</v>
      </c>
      <c r="J2205" s="307">
        <v>1</v>
      </c>
      <c r="K2205" s="307">
        <v>0</v>
      </c>
      <c r="L2205" s="307">
        <v>0</v>
      </c>
      <c r="M2205" s="309">
        <v>0</v>
      </c>
      <c r="N2205" s="309">
        <v>0</v>
      </c>
      <c r="O2205" s="309">
        <v>2</v>
      </c>
      <c r="P2205" s="309">
        <v>16</v>
      </c>
      <c r="Q2205" s="309">
        <v>5</v>
      </c>
      <c r="R2205" s="309">
        <v>0</v>
      </c>
      <c r="S2205" s="314">
        <v>0</v>
      </c>
      <c r="T2205" s="309">
        <v>0</v>
      </c>
      <c r="U2205" s="309">
        <v>1</v>
      </c>
      <c r="V2205" s="309">
        <v>2</v>
      </c>
      <c r="W2205" s="309">
        <v>0</v>
      </c>
      <c r="X2205" s="309">
        <v>2</v>
      </c>
      <c r="Y2205" s="13">
        <v>0</v>
      </c>
      <c r="Z2205" s="309">
        <v>0</v>
      </c>
      <c r="AA2205" s="309">
        <v>0</v>
      </c>
      <c r="AB2205" s="309">
        <v>0</v>
      </c>
      <c r="AC2205" s="309">
        <v>0</v>
      </c>
      <c r="AD2205" s="309">
        <v>0</v>
      </c>
      <c r="AE2205" s="309">
        <v>1</v>
      </c>
      <c r="AF2205" s="309">
        <v>0</v>
      </c>
      <c r="AG2205" s="309">
        <v>1</v>
      </c>
      <c r="AH2205" s="309" t="s">
        <v>5081</v>
      </c>
      <c r="AI2205" s="314">
        <v>0</v>
      </c>
      <c r="AJ2205" s="314">
        <v>2</v>
      </c>
      <c r="AK2205" s="314">
        <v>0</v>
      </c>
      <c r="AL2205" s="314">
        <v>2</v>
      </c>
      <c r="AM2205" s="309">
        <v>0</v>
      </c>
      <c r="AN2205" s="309">
        <v>0</v>
      </c>
      <c r="AO2205" s="309">
        <v>0</v>
      </c>
      <c r="AP2205" s="309">
        <v>0.5</v>
      </c>
      <c r="AQ2205" s="309">
        <v>1000</v>
      </c>
      <c r="AR2205" s="309">
        <v>0.5</v>
      </c>
      <c r="AS2205" s="309">
        <v>0</v>
      </c>
      <c r="AT2205" s="316">
        <v>0</v>
      </c>
      <c r="AU2205" s="386" t="s">
        <v>5082</v>
      </c>
      <c r="AV2205" s="315"/>
      <c r="AW2205" s="308" t="s">
        <v>199</v>
      </c>
      <c r="AX2205" s="309" t="s">
        <v>534</v>
      </c>
      <c r="AY2205" s="307">
        <v>10000007</v>
      </c>
      <c r="AZ2205" s="387" t="s">
        <v>5083</v>
      </c>
      <c r="BA2205" s="308" t="s">
        <v>200</v>
      </c>
      <c r="BB2205" s="309">
        <v>0</v>
      </c>
      <c r="BC2205" s="313">
        <v>0</v>
      </c>
      <c r="BD2205" s="313">
        <v>1</v>
      </c>
      <c r="BE2205" s="320" t="s">
        <v>1306</v>
      </c>
      <c r="BF2205" s="320" t="s">
        <v>1307</v>
      </c>
      <c r="BG2205" s="309">
        <v>0</v>
      </c>
      <c r="BH2205" s="309">
        <v>0</v>
      </c>
      <c r="BI2205" s="309">
        <v>0</v>
      </c>
      <c r="BJ2205" s="309">
        <v>0</v>
      </c>
      <c r="BK2205" s="309">
        <v>0</v>
      </c>
      <c r="BL2205" s="309">
        <v>0</v>
      </c>
      <c r="BM2205" s="312">
        <v>0</v>
      </c>
      <c r="BN2205" s="314">
        <v>0</v>
      </c>
      <c r="BO2205" s="314">
        <v>0</v>
      </c>
      <c r="BP2205" s="314">
        <v>0</v>
      </c>
      <c r="BQ2205" s="314">
        <v>0</v>
      </c>
      <c r="BR2205" s="314">
        <v>0</v>
      </c>
      <c r="BS2205" s="314">
        <v>0</v>
      </c>
      <c r="BT2205" s="314">
        <v>77001508</v>
      </c>
      <c r="BU2205" s="49">
        <v>0</v>
      </c>
      <c r="BV2205" s="49"/>
      <c r="BW2205" s="49"/>
    </row>
    <row r="2206" spans="3:75" ht="19.5" customHeight="1">
      <c r="C2206" s="307">
        <v>77001506</v>
      </c>
      <c r="D2206" s="308" t="s">
        <v>5084</v>
      </c>
      <c r="E2206" s="308" t="s">
        <v>5085</v>
      </c>
      <c r="F2206" s="307">
        <v>1</v>
      </c>
      <c r="G2206" s="307">
        <v>0</v>
      </c>
      <c r="H2206" s="307">
        <v>0</v>
      </c>
      <c r="I2206" s="313">
        <v>0</v>
      </c>
      <c r="J2206" s="307">
        <v>1</v>
      </c>
      <c r="K2206" s="307">
        <v>0</v>
      </c>
      <c r="L2206" s="307">
        <v>0</v>
      </c>
      <c r="M2206" s="309">
        <v>0</v>
      </c>
      <c r="N2206" s="309">
        <v>0</v>
      </c>
      <c r="O2206" s="309">
        <v>2</v>
      </c>
      <c r="P2206" s="309">
        <v>2</v>
      </c>
      <c r="Q2206" s="309">
        <v>0.3</v>
      </c>
      <c r="R2206" s="309">
        <v>1</v>
      </c>
      <c r="S2206" s="314">
        <v>0</v>
      </c>
      <c r="T2206" s="309">
        <v>0</v>
      </c>
      <c r="U2206" s="309">
        <v>1</v>
      </c>
      <c r="V2206" s="309">
        <v>2</v>
      </c>
      <c r="W2206" s="309">
        <v>0</v>
      </c>
      <c r="X2206" s="309">
        <v>2.5</v>
      </c>
      <c r="Y2206" s="13">
        <v>0</v>
      </c>
      <c r="Z2206" s="309">
        <v>0</v>
      </c>
      <c r="AA2206" s="309">
        <v>1</v>
      </c>
      <c r="AB2206" s="309">
        <v>0</v>
      </c>
      <c r="AC2206" s="309">
        <v>0</v>
      </c>
      <c r="AD2206" s="309">
        <v>1</v>
      </c>
      <c r="AE2206" s="309">
        <v>0</v>
      </c>
      <c r="AF2206" s="309">
        <v>0</v>
      </c>
      <c r="AG2206" s="309">
        <v>1</v>
      </c>
      <c r="AH2206" s="309">
        <v>5</v>
      </c>
      <c r="AI2206" s="314">
        <v>0</v>
      </c>
      <c r="AJ2206" s="314">
        <v>1</v>
      </c>
      <c r="AK2206" s="314">
        <v>0</v>
      </c>
      <c r="AL2206" s="314">
        <v>1.5</v>
      </c>
      <c r="AM2206" s="309">
        <v>0</v>
      </c>
      <c r="AN2206" s="309">
        <v>0</v>
      </c>
      <c r="AO2206" s="309">
        <v>0</v>
      </c>
      <c r="AP2206" s="309">
        <v>1.5</v>
      </c>
      <c r="AQ2206" s="309">
        <v>2000</v>
      </c>
      <c r="AR2206" s="309">
        <v>1.5</v>
      </c>
      <c r="AS2206" s="309">
        <v>0</v>
      </c>
      <c r="AT2206" s="314">
        <v>97005007</v>
      </c>
      <c r="AU2206" s="386" t="s">
        <v>5082</v>
      </c>
      <c r="AV2206" s="315"/>
      <c r="AW2206" s="317" t="s">
        <v>617</v>
      </c>
      <c r="AX2206" s="309" t="s">
        <v>534</v>
      </c>
      <c r="AY2206" s="307">
        <v>0</v>
      </c>
      <c r="AZ2206" s="307">
        <v>77001506</v>
      </c>
      <c r="BA2206" s="308" t="s">
        <v>200</v>
      </c>
      <c r="BB2206" s="309">
        <v>0</v>
      </c>
      <c r="BC2206" s="313">
        <v>0</v>
      </c>
      <c r="BD2206" s="313">
        <v>0</v>
      </c>
      <c r="BE2206" s="320" t="s">
        <v>5086</v>
      </c>
      <c r="BF2206" s="320" t="s">
        <v>5087</v>
      </c>
      <c r="BG2206" s="309">
        <v>0</v>
      </c>
      <c r="BH2206" s="309">
        <v>0</v>
      </c>
      <c r="BI2206" s="309">
        <v>0</v>
      </c>
      <c r="BJ2206" s="309">
        <v>0</v>
      </c>
      <c r="BK2206" s="309">
        <v>0</v>
      </c>
      <c r="BL2206" s="309">
        <v>0</v>
      </c>
      <c r="BM2206" s="312">
        <v>0</v>
      </c>
      <c r="BN2206" s="314">
        <v>0</v>
      </c>
      <c r="BO2206" s="314">
        <v>0</v>
      </c>
      <c r="BP2206" s="314">
        <v>0</v>
      </c>
      <c r="BQ2206" s="314">
        <v>0</v>
      </c>
      <c r="BR2206" s="314">
        <v>0</v>
      </c>
      <c r="BS2206" s="314">
        <v>0</v>
      </c>
      <c r="BT2206" s="314">
        <v>0</v>
      </c>
      <c r="BU2206" s="49">
        <v>0</v>
      </c>
      <c r="BV2206" s="49"/>
      <c r="BW2206" s="49"/>
    </row>
    <row r="2207" spans="3:75" ht="19.5" customHeight="1">
      <c r="C2207" s="307">
        <v>77001507</v>
      </c>
      <c r="D2207" s="308" t="s">
        <v>5088</v>
      </c>
      <c r="E2207" s="308" t="s">
        <v>5089</v>
      </c>
      <c r="F2207" s="307">
        <v>1</v>
      </c>
      <c r="G2207" s="307">
        <v>0</v>
      </c>
      <c r="H2207" s="307">
        <v>0</v>
      </c>
      <c r="I2207" s="313">
        <v>0</v>
      </c>
      <c r="J2207" s="307">
        <v>1</v>
      </c>
      <c r="K2207" s="307">
        <v>0</v>
      </c>
      <c r="L2207" s="307">
        <v>0</v>
      </c>
      <c r="M2207" s="309">
        <v>0</v>
      </c>
      <c r="N2207" s="309">
        <v>0</v>
      </c>
      <c r="O2207" s="309">
        <v>2</v>
      </c>
      <c r="P2207" s="309">
        <v>3</v>
      </c>
      <c r="Q2207" s="309">
        <v>0.2</v>
      </c>
      <c r="R2207" s="309">
        <v>0</v>
      </c>
      <c r="S2207" s="314">
        <v>1</v>
      </c>
      <c r="T2207" s="309">
        <v>0</v>
      </c>
      <c r="U2207" s="309">
        <v>1</v>
      </c>
      <c r="V2207" s="309">
        <v>2</v>
      </c>
      <c r="W2207" s="309">
        <v>0</v>
      </c>
      <c r="X2207" s="309">
        <v>2</v>
      </c>
      <c r="Y2207" s="13">
        <v>0</v>
      </c>
      <c r="Z2207" s="309">
        <v>0</v>
      </c>
      <c r="AA2207" s="309">
        <v>1</v>
      </c>
      <c r="AB2207" s="309">
        <v>0</v>
      </c>
      <c r="AC2207" s="309">
        <v>0</v>
      </c>
      <c r="AD2207" s="309">
        <v>1</v>
      </c>
      <c r="AE2207" s="309">
        <v>1</v>
      </c>
      <c r="AF2207" s="309">
        <v>0</v>
      </c>
      <c r="AG2207" s="309">
        <v>1</v>
      </c>
      <c r="AH2207" s="309">
        <v>3</v>
      </c>
      <c r="AI2207" s="314">
        <v>0</v>
      </c>
      <c r="AJ2207" s="314">
        <v>1</v>
      </c>
      <c r="AK2207" s="314">
        <v>0</v>
      </c>
      <c r="AL2207" s="314">
        <v>3</v>
      </c>
      <c r="AM2207" s="309">
        <v>0</v>
      </c>
      <c r="AN2207" s="309">
        <v>0</v>
      </c>
      <c r="AO2207" s="309">
        <v>0</v>
      </c>
      <c r="AP2207" s="309">
        <v>0</v>
      </c>
      <c r="AQ2207" s="309">
        <v>500</v>
      </c>
      <c r="AR2207" s="309">
        <v>0.3</v>
      </c>
      <c r="AS2207" s="309">
        <v>0</v>
      </c>
      <c r="AT2207" s="314">
        <v>0</v>
      </c>
      <c r="AU2207" s="315">
        <v>0</v>
      </c>
      <c r="AV2207" s="315"/>
      <c r="AW2207" s="317" t="s">
        <v>198</v>
      </c>
      <c r="AX2207" s="309" t="s">
        <v>534</v>
      </c>
      <c r="AY2207" s="307">
        <v>0</v>
      </c>
      <c r="AZ2207" s="307">
        <v>77001507</v>
      </c>
      <c r="BA2207" s="308" t="s">
        <v>200</v>
      </c>
      <c r="BB2207" s="309">
        <v>0</v>
      </c>
      <c r="BC2207" s="313">
        <v>0</v>
      </c>
      <c r="BD2207" s="313">
        <v>0</v>
      </c>
      <c r="BE2207" s="320" t="s">
        <v>2224</v>
      </c>
      <c r="BF2207" s="320" t="s">
        <v>2225</v>
      </c>
      <c r="BG2207" s="309">
        <v>0</v>
      </c>
      <c r="BH2207" s="309">
        <v>0</v>
      </c>
      <c r="BI2207" s="309">
        <v>0</v>
      </c>
      <c r="BJ2207" s="309">
        <v>0</v>
      </c>
      <c r="BK2207" s="309">
        <v>0</v>
      </c>
      <c r="BL2207" s="309">
        <v>0</v>
      </c>
      <c r="BM2207" s="312">
        <v>0</v>
      </c>
      <c r="BN2207" s="314">
        <v>0</v>
      </c>
      <c r="BO2207" s="314">
        <v>0</v>
      </c>
      <c r="BP2207" s="314">
        <v>0</v>
      </c>
      <c r="BQ2207" s="314">
        <v>0</v>
      </c>
      <c r="BR2207" s="314">
        <v>0</v>
      </c>
      <c r="BS2207" s="314">
        <v>0</v>
      </c>
      <c r="BT2207" s="314">
        <v>0</v>
      </c>
      <c r="BU2207" s="49">
        <v>0</v>
      </c>
      <c r="BV2207" s="49"/>
      <c r="BW2207" s="49"/>
    </row>
    <row r="2208" spans="3:75" ht="19.5" customHeight="1">
      <c r="C2208" s="307">
        <v>77001508</v>
      </c>
      <c r="D2208" s="308" t="s">
        <v>562</v>
      </c>
      <c r="E2208" s="308" t="s">
        <v>563</v>
      </c>
      <c r="F2208" s="307">
        <v>1</v>
      </c>
      <c r="G2208" s="309">
        <v>0</v>
      </c>
      <c r="H2208" s="307">
        <v>0</v>
      </c>
      <c r="I2208" s="313">
        <v>0</v>
      </c>
      <c r="J2208" s="307">
        <v>1</v>
      </c>
      <c r="K2208" s="307">
        <v>0</v>
      </c>
      <c r="L2208" s="307">
        <v>0</v>
      </c>
      <c r="M2208" s="309">
        <v>0</v>
      </c>
      <c r="N2208" s="309">
        <v>0</v>
      </c>
      <c r="O2208" s="309">
        <v>2</v>
      </c>
      <c r="P2208" s="309">
        <v>1</v>
      </c>
      <c r="Q2208" s="309">
        <v>1</v>
      </c>
      <c r="R2208" s="309">
        <v>0</v>
      </c>
      <c r="S2208" s="314">
        <v>0</v>
      </c>
      <c r="T2208" s="309">
        <v>0</v>
      </c>
      <c r="U2208" s="309">
        <v>1</v>
      </c>
      <c r="V2208" s="309">
        <v>2</v>
      </c>
      <c r="W2208" s="309">
        <v>0</v>
      </c>
      <c r="X2208" s="309">
        <v>0.5</v>
      </c>
      <c r="Y2208" s="13">
        <v>0</v>
      </c>
      <c r="Z2208" s="309">
        <v>0</v>
      </c>
      <c r="AA2208" s="309">
        <v>1</v>
      </c>
      <c r="AB2208" s="309">
        <v>0</v>
      </c>
      <c r="AC2208" s="309">
        <v>0</v>
      </c>
      <c r="AD2208" s="309">
        <v>0</v>
      </c>
      <c r="AE2208" s="309">
        <v>0</v>
      </c>
      <c r="AF2208" s="309">
        <v>25</v>
      </c>
      <c r="AG2208" s="309">
        <v>1</v>
      </c>
      <c r="AH2208" s="309">
        <v>3</v>
      </c>
      <c r="AI2208" s="314">
        <v>0</v>
      </c>
      <c r="AJ2208" s="314">
        <v>0</v>
      </c>
      <c r="AK2208" s="314">
        <v>0</v>
      </c>
      <c r="AL2208" s="314">
        <v>0</v>
      </c>
      <c r="AM2208" s="309">
        <v>0</v>
      </c>
      <c r="AN2208" s="309">
        <v>0</v>
      </c>
      <c r="AO2208" s="309">
        <v>0</v>
      </c>
      <c r="AP2208" s="309">
        <v>0</v>
      </c>
      <c r="AQ2208" s="309">
        <v>300000</v>
      </c>
      <c r="AR2208" s="309">
        <v>0</v>
      </c>
      <c r="AS2208" s="309">
        <v>0</v>
      </c>
      <c r="AT2208" s="388" t="s">
        <v>5090</v>
      </c>
      <c r="AU2208" s="309">
        <v>97005002</v>
      </c>
      <c r="AV2208" s="309"/>
      <c r="AW2208" s="317" t="s">
        <v>198</v>
      </c>
      <c r="AX2208" s="309" t="s">
        <v>534</v>
      </c>
      <c r="AY2208" s="307">
        <v>10000007</v>
      </c>
      <c r="AZ2208" s="307">
        <v>77001503</v>
      </c>
      <c r="BA2208" s="317" t="s">
        <v>315</v>
      </c>
      <c r="BB2208" s="317" t="s">
        <v>371</v>
      </c>
      <c r="BC2208" s="313">
        <v>0</v>
      </c>
      <c r="BD2208" s="313">
        <v>0</v>
      </c>
      <c r="BE2208" s="320" t="s">
        <v>1226</v>
      </c>
      <c r="BF2208" s="320" t="s">
        <v>1227</v>
      </c>
      <c r="BG2208" s="309">
        <v>0</v>
      </c>
      <c r="BH2208" s="309">
        <v>0</v>
      </c>
      <c r="BI2208" s="309">
        <v>0</v>
      </c>
      <c r="BJ2208" s="309">
        <v>0</v>
      </c>
      <c r="BK2208" s="309">
        <v>0</v>
      </c>
      <c r="BL2208" s="309">
        <v>0</v>
      </c>
      <c r="BM2208" s="312">
        <v>0</v>
      </c>
      <c r="BN2208" s="314">
        <v>0</v>
      </c>
      <c r="BO2208" s="314">
        <v>0</v>
      </c>
      <c r="BP2208" s="314">
        <v>0</v>
      </c>
      <c r="BQ2208" s="314">
        <v>0</v>
      </c>
      <c r="BR2208" s="314">
        <v>0</v>
      </c>
      <c r="BS2208" s="314">
        <v>1</v>
      </c>
      <c r="BT2208" s="314">
        <v>0</v>
      </c>
      <c r="BU2208" s="49">
        <v>0</v>
      </c>
      <c r="BV2208" s="49"/>
      <c r="BW2208" s="49"/>
    </row>
    <row r="2209" spans="1:75" ht="20.100000000000001" customHeight="1">
      <c r="C2209" s="102">
        <v>77001601</v>
      </c>
      <c r="D2209" s="101" t="s">
        <v>5091</v>
      </c>
      <c r="E2209" s="101" t="s">
        <v>5092</v>
      </c>
      <c r="F2209" s="103">
        <v>1</v>
      </c>
      <c r="G2209" s="103">
        <v>0</v>
      </c>
      <c r="H2209" s="102">
        <v>0</v>
      </c>
      <c r="I2209" s="107">
        <v>0</v>
      </c>
      <c r="J2209" s="102">
        <v>1</v>
      </c>
      <c r="K2209" s="102">
        <v>0</v>
      </c>
      <c r="L2209" s="102">
        <v>0</v>
      </c>
      <c r="M2209" s="103">
        <v>0</v>
      </c>
      <c r="N2209" s="103">
        <v>0</v>
      </c>
      <c r="O2209" s="103">
        <v>2</v>
      </c>
      <c r="P2209" s="103">
        <v>16</v>
      </c>
      <c r="Q2209" s="103">
        <v>8</v>
      </c>
      <c r="R2209" s="103">
        <v>0</v>
      </c>
      <c r="S2209" s="108">
        <v>3</v>
      </c>
      <c r="T2209" s="103">
        <v>0</v>
      </c>
      <c r="U2209" s="103">
        <v>1</v>
      </c>
      <c r="V2209" s="103">
        <v>2</v>
      </c>
      <c r="W2209" s="103">
        <v>0</v>
      </c>
      <c r="X2209" s="103">
        <v>1.2</v>
      </c>
      <c r="Y2209" s="13">
        <v>0</v>
      </c>
      <c r="Z2209" s="103">
        <v>0</v>
      </c>
      <c r="AA2209" s="103">
        <v>0</v>
      </c>
      <c r="AB2209" s="103">
        <v>0</v>
      </c>
      <c r="AC2209" s="103">
        <v>0</v>
      </c>
      <c r="AD2209" s="103">
        <v>0</v>
      </c>
      <c r="AE2209" s="103">
        <v>0</v>
      </c>
      <c r="AF2209" s="103">
        <v>0</v>
      </c>
      <c r="AG2209" s="103">
        <v>1</v>
      </c>
      <c r="AH2209" s="103">
        <v>3</v>
      </c>
      <c r="AI2209" s="108">
        <v>6</v>
      </c>
      <c r="AJ2209" s="108">
        <v>1</v>
      </c>
      <c r="AK2209" s="108">
        <v>0</v>
      </c>
      <c r="AL2209" s="108">
        <v>1.5</v>
      </c>
      <c r="AM2209" s="103">
        <v>0</v>
      </c>
      <c r="AN2209" s="103">
        <v>0</v>
      </c>
      <c r="AO2209" s="103">
        <v>0</v>
      </c>
      <c r="AP2209" s="103">
        <v>1</v>
      </c>
      <c r="AQ2209" s="103">
        <v>5000</v>
      </c>
      <c r="AR2209" s="103">
        <v>1</v>
      </c>
      <c r="AS2209" s="103">
        <v>0</v>
      </c>
      <c r="AT2209" s="108">
        <v>0</v>
      </c>
      <c r="AU2209" s="353" t="s">
        <v>5093</v>
      </c>
      <c r="AV2209" s="116"/>
      <c r="AW2209" s="104" t="s">
        <v>256</v>
      </c>
      <c r="AX2209" s="103" t="s">
        <v>534</v>
      </c>
      <c r="AY2209" s="102">
        <v>10000007</v>
      </c>
      <c r="AZ2209" s="351" t="s">
        <v>5094</v>
      </c>
      <c r="BA2209" s="101" t="s">
        <v>200</v>
      </c>
      <c r="BB2209" s="103" t="s">
        <v>5095</v>
      </c>
      <c r="BC2209" s="107">
        <v>0</v>
      </c>
      <c r="BD2209" s="107">
        <v>0</v>
      </c>
      <c r="BE2209" s="121" t="s">
        <v>5096</v>
      </c>
      <c r="BF2209" s="121" t="s">
        <v>5097</v>
      </c>
      <c r="BG2209" s="103">
        <v>0</v>
      </c>
      <c r="BH2209" s="103">
        <v>0</v>
      </c>
      <c r="BI2209" s="103">
        <v>0</v>
      </c>
      <c r="BJ2209" s="103">
        <v>0</v>
      </c>
      <c r="BK2209" s="103">
        <v>0</v>
      </c>
      <c r="BL2209" s="103">
        <v>0</v>
      </c>
      <c r="BM2209" s="99">
        <v>0</v>
      </c>
      <c r="BN2209" s="108">
        <v>0</v>
      </c>
      <c r="BO2209" s="108">
        <v>0</v>
      </c>
      <c r="BP2209" s="108">
        <v>0</v>
      </c>
      <c r="BQ2209" s="108">
        <v>0</v>
      </c>
      <c r="BR2209" s="108">
        <v>0</v>
      </c>
      <c r="BS2209" s="108">
        <v>0</v>
      </c>
      <c r="BT2209" s="108">
        <v>0</v>
      </c>
      <c r="BU2209" s="49">
        <v>0</v>
      </c>
      <c r="BV2209" s="49"/>
      <c r="BW2209" s="49"/>
    </row>
    <row r="2210" spans="1:75" ht="20.100000000000001" customHeight="1">
      <c r="C2210" s="102">
        <v>77001602</v>
      </c>
      <c r="D2210" s="105" t="s">
        <v>814</v>
      </c>
      <c r="E2210" s="105" t="s">
        <v>815</v>
      </c>
      <c r="F2210" s="99">
        <v>1</v>
      </c>
      <c r="G2210" s="99">
        <v>0</v>
      </c>
      <c r="H2210" s="99">
        <v>0</v>
      </c>
      <c r="I2210" s="106">
        <v>0</v>
      </c>
      <c r="J2210" s="102">
        <v>1</v>
      </c>
      <c r="K2210" s="99">
        <v>0</v>
      </c>
      <c r="L2210" s="106">
        <v>0</v>
      </c>
      <c r="M2210" s="106">
        <v>0</v>
      </c>
      <c r="N2210" s="99">
        <v>0</v>
      </c>
      <c r="O2210" s="103">
        <v>2</v>
      </c>
      <c r="P2210" s="103">
        <v>2</v>
      </c>
      <c r="Q2210" s="99">
        <v>0.8</v>
      </c>
      <c r="R2210" s="99">
        <v>0</v>
      </c>
      <c r="S2210" s="108">
        <v>0</v>
      </c>
      <c r="T2210" s="99">
        <v>0</v>
      </c>
      <c r="U2210" s="103">
        <v>1</v>
      </c>
      <c r="V2210" s="99">
        <v>1</v>
      </c>
      <c r="W2210" s="106">
        <v>0</v>
      </c>
      <c r="X2210" s="99">
        <v>2</v>
      </c>
      <c r="Y2210" s="13">
        <v>0</v>
      </c>
      <c r="Z2210" s="99">
        <v>0</v>
      </c>
      <c r="AA2210" s="99">
        <v>0</v>
      </c>
      <c r="AB2210" s="99">
        <v>0</v>
      </c>
      <c r="AC2210" s="106">
        <v>0</v>
      </c>
      <c r="AD2210" s="99">
        <v>0</v>
      </c>
      <c r="AE2210" s="99">
        <v>0</v>
      </c>
      <c r="AF2210" s="99">
        <v>0</v>
      </c>
      <c r="AG2210" s="99">
        <v>1</v>
      </c>
      <c r="AH2210" s="103">
        <v>2</v>
      </c>
      <c r="AI2210" s="109">
        <v>0</v>
      </c>
      <c r="AJ2210" s="109">
        <v>2</v>
      </c>
      <c r="AK2210" s="108">
        <v>0</v>
      </c>
      <c r="AL2210" s="99">
        <v>1.5</v>
      </c>
      <c r="AM2210" s="110">
        <v>0</v>
      </c>
      <c r="AN2210" s="99">
        <v>0</v>
      </c>
      <c r="AO2210" s="99">
        <v>0</v>
      </c>
      <c r="AP2210" s="99">
        <v>0</v>
      </c>
      <c r="AQ2210" s="103">
        <v>7000</v>
      </c>
      <c r="AR2210" s="99">
        <v>0</v>
      </c>
      <c r="AS2210" s="99">
        <v>10</v>
      </c>
      <c r="AT2210" s="108">
        <v>0</v>
      </c>
      <c r="AU2210" s="103">
        <v>0</v>
      </c>
      <c r="AV2210" s="103"/>
      <c r="AW2210" s="104" t="s">
        <v>287</v>
      </c>
      <c r="AX2210" s="106">
        <v>0</v>
      </c>
      <c r="AY2210" s="106">
        <v>0</v>
      </c>
      <c r="AZ2210" s="102">
        <v>77001602</v>
      </c>
      <c r="BA2210" s="104" t="s">
        <v>586</v>
      </c>
      <c r="BB2210" s="103" t="s">
        <v>5098</v>
      </c>
      <c r="BC2210" s="107">
        <v>0</v>
      </c>
      <c r="BD2210" s="107">
        <v>0</v>
      </c>
      <c r="BE2210" s="121" t="s">
        <v>5099</v>
      </c>
      <c r="BF2210" s="124" t="s">
        <v>5100</v>
      </c>
      <c r="BG2210" s="99">
        <v>2</v>
      </c>
      <c r="BH2210" s="99">
        <v>0</v>
      </c>
      <c r="BI2210" s="102">
        <v>0</v>
      </c>
      <c r="BJ2210" s="99">
        <v>1</v>
      </c>
      <c r="BK2210" s="99">
        <v>2</v>
      </c>
      <c r="BL2210" s="110">
        <v>0</v>
      </c>
      <c r="BM2210" s="99">
        <v>0</v>
      </c>
      <c r="BN2210" s="108">
        <v>0</v>
      </c>
      <c r="BO2210" s="108">
        <v>0</v>
      </c>
      <c r="BP2210" s="108">
        <v>0</v>
      </c>
      <c r="BQ2210" s="108">
        <v>0</v>
      </c>
      <c r="BR2210" s="108">
        <v>0</v>
      </c>
      <c r="BS2210" s="108">
        <v>1</v>
      </c>
      <c r="BT2210" s="108">
        <v>0</v>
      </c>
      <c r="BU2210" s="49">
        <v>0</v>
      </c>
      <c r="BV2210" s="49"/>
      <c r="BW2210" s="49"/>
    </row>
    <row r="2211" spans="1:75" ht="19.5" customHeight="1">
      <c r="C2211" s="102">
        <v>77001603</v>
      </c>
      <c r="D2211" s="101" t="s">
        <v>5101</v>
      </c>
      <c r="E2211" s="101" t="s">
        <v>5102</v>
      </c>
      <c r="F2211" s="102">
        <v>1</v>
      </c>
      <c r="G2211" s="103">
        <v>0</v>
      </c>
      <c r="H2211" s="102">
        <v>0</v>
      </c>
      <c r="I2211" s="107">
        <v>0</v>
      </c>
      <c r="J2211" s="102">
        <v>1</v>
      </c>
      <c r="K2211" s="102">
        <v>0</v>
      </c>
      <c r="L2211" s="102">
        <v>0</v>
      </c>
      <c r="M2211" s="103">
        <v>0</v>
      </c>
      <c r="N2211" s="103">
        <v>0</v>
      </c>
      <c r="O2211" s="103">
        <v>2</v>
      </c>
      <c r="P2211" s="103">
        <v>2</v>
      </c>
      <c r="Q2211" s="103">
        <v>0.6</v>
      </c>
      <c r="R2211" s="103">
        <v>0</v>
      </c>
      <c r="S2211" s="108">
        <v>0</v>
      </c>
      <c r="T2211" s="103">
        <v>0</v>
      </c>
      <c r="U2211" s="103">
        <v>1</v>
      </c>
      <c r="V2211" s="103">
        <v>2</v>
      </c>
      <c r="W2211" s="103">
        <v>0</v>
      </c>
      <c r="X2211" s="103">
        <v>0.8</v>
      </c>
      <c r="Y2211" s="13">
        <v>0</v>
      </c>
      <c r="Z2211" s="103">
        <v>0</v>
      </c>
      <c r="AA2211" s="103">
        <v>1</v>
      </c>
      <c r="AB2211" s="103">
        <v>0</v>
      </c>
      <c r="AC2211" s="103">
        <v>0</v>
      </c>
      <c r="AD2211" s="103">
        <v>0</v>
      </c>
      <c r="AE2211" s="103">
        <v>0</v>
      </c>
      <c r="AF2211" s="103">
        <v>16</v>
      </c>
      <c r="AG2211" s="103">
        <v>1</v>
      </c>
      <c r="AH2211" s="103">
        <v>5</v>
      </c>
      <c r="AI2211" s="108">
        <v>0</v>
      </c>
      <c r="AJ2211" s="108">
        <v>0</v>
      </c>
      <c r="AK2211" s="108">
        <v>0</v>
      </c>
      <c r="AL2211" s="108">
        <v>0</v>
      </c>
      <c r="AM2211" s="103">
        <v>0</v>
      </c>
      <c r="AN2211" s="103">
        <v>0</v>
      </c>
      <c r="AO2211" s="103">
        <v>0</v>
      </c>
      <c r="AP2211" s="103">
        <v>0.8</v>
      </c>
      <c r="AQ2211" s="103">
        <v>15000</v>
      </c>
      <c r="AR2211" s="103">
        <v>0.8</v>
      </c>
      <c r="AS2211" s="103">
        <v>0</v>
      </c>
      <c r="AT2211" s="115">
        <v>0</v>
      </c>
      <c r="AU2211" s="353" t="s">
        <v>5103</v>
      </c>
      <c r="AV2211" s="116"/>
      <c r="AW2211" s="104" t="s">
        <v>199</v>
      </c>
      <c r="AX2211" s="103" t="s">
        <v>534</v>
      </c>
      <c r="AY2211" s="102">
        <v>10000007</v>
      </c>
      <c r="AZ2211" s="102">
        <v>77001603</v>
      </c>
      <c r="BA2211" s="104" t="s">
        <v>315</v>
      </c>
      <c r="BB2211" s="104" t="s">
        <v>371</v>
      </c>
      <c r="BC2211" s="107">
        <v>0</v>
      </c>
      <c r="BD2211" s="107">
        <v>0</v>
      </c>
      <c r="BE2211" s="121" t="s">
        <v>5104</v>
      </c>
      <c r="BF2211" s="121" t="s">
        <v>5105</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spans="1:75" ht="20.100000000000001" customHeight="1">
      <c r="C2212" s="102">
        <v>77001604</v>
      </c>
      <c r="D2212" s="101" t="s">
        <v>5106</v>
      </c>
      <c r="E2212" s="101" t="s">
        <v>5107</v>
      </c>
      <c r="F2212" s="103">
        <v>1</v>
      </c>
      <c r="G2212" s="103">
        <v>0</v>
      </c>
      <c r="H2212" s="103">
        <v>0</v>
      </c>
      <c r="I2212" s="107">
        <v>0</v>
      </c>
      <c r="J2212" s="102">
        <v>1</v>
      </c>
      <c r="K2212" s="103">
        <v>0</v>
      </c>
      <c r="L2212" s="103">
        <v>0</v>
      </c>
      <c r="M2212" s="103">
        <v>0</v>
      </c>
      <c r="N2212" s="103">
        <v>0</v>
      </c>
      <c r="O2212" s="103">
        <v>2</v>
      </c>
      <c r="P2212" s="103">
        <v>3</v>
      </c>
      <c r="Q2212" s="103">
        <v>0.2</v>
      </c>
      <c r="R2212" s="103">
        <v>0</v>
      </c>
      <c r="S2212" s="108">
        <v>0</v>
      </c>
      <c r="T2212" s="103">
        <v>0</v>
      </c>
      <c r="U2212" s="103">
        <v>1</v>
      </c>
      <c r="V2212" s="103">
        <v>1</v>
      </c>
      <c r="W2212" s="103">
        <v>0</v>
      </c>
      <c r="X2212" s="103">
        <v>1.5</v>
      </c>
      <c r="Y2212" s="13">
        <v>0</v>
      </c>
      <c r="Z2212" s="103">
        <v>0</v>
      </c>
      <c r="AA2212" s="103">
        <v>1</v>
      </c>
      <c r="AB2212" s="103">
        <v>0</v>
      </c>
      <c r="AC2212" s="103">
        <v>0</v>
      </c>
      <c r="AD2212" s="103">
        <v>0</v>
      </c>
      <c r="AE2212" s="103">
        <v>1</v>
      </c>
      <c r="AF2212" s="103">
        <v>8</v>
      </c>
      <c r="AG2212" s="103">
        <v>1</v>
      </c>
      <c r="AH2212" s="103">
        <v>4</v>
      </c>
      <c r="AI2212" s="108">
        <v>0</v>
      </c>
      <c r="AJ2212" s="108">
        <v>1</v>
      </c>
      <c r="AK2212" s="108">
        <v>0</v>
      </c>
      <c r="AL2212" s="108">
        <v>2</v>
      </c>
      <c r="AM2212" s="103">
        <v>0</v>
      </c>
      <c r="AN2212" s="103">
        <v>0</v>
      </c>
      <c r="AO2212" s="103">
        <v>0</v>
      </c>
      <c r="AP2212" s="103">
        <v>0.5</v>
      </c>
      <c r="AQ2212" s="103">
        <v>600</v>
      </c>
      <c r="AR2212" s="103">
        <v>0.5</v>
      </c>
      <c r="AS2212" s="103">
        <v>0</v>
      </c>
      <c r="AT2212" s="108">
        <v>0</v>
      </c>
      <c r="AU2212" s="103">
        <v>97006001</v>
      </c>
      <c r="AV2212" s="103"/>
      <c r="AW2212" s="101" t="s">
        <v>198</v>
      </c>
      <c r="AX2212" s="103" t="s">
        <v>534</v>
      </c>
      <c r="AY2212" s="102">
        <v>10000001</v>
      </c>
      <c r="AZ2212" s="102">
        <v>77001604</v>
      </c>
      <c r="BA2212" s="101" t="s">
        <v>771</v>
      </c>
      <c r="BB2212" s="103">
        <v>0</v>
      </c>
      <c r="BC2212" s="107">
        <v>0</v>
      </c>
      <c r="BD2212" s="107">
        <v>0</v>
      </c>
      <c r="BE2212" s="139" t="s">
        <v>5108</v>
      </c>
      <c r="BF2212" s="139" t="s">
        <v>5109</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77001603</v>
      </c>
      <c r="BU2212" s="49">
        <v>0</v>
      </c>
      <c r="BV2212" s="49"/>
      <c r="BW2212" s="49"/>
    </row>
    <row r="2213" spans="1:75" ht="20.100000000000001" customHeight="1">
      <c r="C2213" s="102">
        <v>77001605</v>
      </c>
      <c r="D2213" s="101" t="s">
        <v>5110</v>
      </c>
      <c r="E2213" s="310" t="s">
        <v>5111</v>
      </c>
      <c r="F2213" s="99">
        <v>1</v>
      </c>
      <c r="G2213" s="99">
        <v>0</v>
      </c>
      <c r="H2213" s="103">
        <v>0</v>
      </c>
      <c r="I2213" s="107">
        <v>0</v>
      </c>
      <c r="J2213" s="102">
        <v>1</v>
      </c>
      <c r="K2213" s="102">
        <v>0</v>
      </c>
      <c r="L2213" s="102">
        <v>0</v>
      </c>
      <c r="M2213" s="103">
        <v>0</v>
      </c>
      <c r="N2213" s="103">
        <v>0</v>
      </c>
      <c r="O2213" s="103">
        <v>2</v>
      </c>
      <c r="P2213" s="103">
        <v>16</v>
      </c>
      <c r="Q2213" s="103">
        <v>30</v>
      </c>
      <c r="R2213" s="103">
        <v>0</v>
      </c>
      <c r="S2213" s="108">
        <v>0</v>
      </c>
      <c r="T2213" s="103">
        <v>0</v>
      </c>
      <c r="U2213" s="103">
        <v>1</v>
      </c>
      <c r="V2213" s="99">
        <v>1</v>
      </c>
      <c r="W2213" s="103">
        <v>0</v>
      </c>
      <c r="X2213" s="103">
        <v>0</v>
      </c>
      <c r="Y2213" s="13">
        <v>0</v>
      </c>
      <c r="Z2213" s="103">
        <v>0</v>
      </c>
      <c r="AA2213" s="103">
        <v>1</v>
      </c>
      <c r="AB2213" s="103">
        <v>0</v>
      </c>
      <c r="AC2213" s="103">
        <v>0</v>
      </c>
      <c r="AD2213" s="103">
        <v>0</v>
      </c>
      <c r="AE2213" s="103">
        <v>1</v>
      </c>
      <c r="AF2213" s="103">
        <v>0</v>
      </c>
      <c r="AG2213" s="103">
        <v>1</v>
      </c>
      <c r="AH2213" s="103">
        <v>15</v>
      </c>
      <c r="AI2213" s="108">
        <v>0</v>
      </c>
      <c r="AJ2213" s="108">
        <v>1</v>
      </c>
      <c r="AK2213" s="108">
        <v>0</v>
      </c>
      <c r="AL2213" s="108">
        <v>1.5</v>
      </c>
      <c r="AM2213" s="103">
        <v>0</v>
      </c>
      <c r="AN2213" s="103">
        <v>0</v>
      </c>
      <c r="AO2213" s="103">
        <v>0</v>
      </c>
      <c r="AP2213" s="103">
        <v>1</v>
      </c>
      <c r="AQ2213" s="103">
        <v>3000</v>
      </c>
      <c r="AR2213" s="103">
        <v>0.5</v>
      </c>
      <c r="AS2213" s="103">
        <v>0</v>
      </c>
      <c r="AT2213" s="349" t="s">
        <v>5112</v>
      </c>
      <c r="AU2213" s="116">
        <v>0</v>
      </c>
      <c r="AV2213" s="116"/>
      <c r="AW2213" s="101" t="s">
        <v>287</v>
      </c>
      <c r="AX2213" s="103" t="s">
        <v>215</v>
      </c>
      <c r="AY2213" s="102">
        <v>0</v>
      </c>
      <c r="AZ2213" s="102">
        <v>0</v>
      </c>
      <c r="BA2213" s="101" t="s">
        <v>200</v>
      </c>
      <c r="BB2213" s="103">
        <v>0</v>
      </c>
      <c r="BC2213" s="107">
        <v>0</v>
      </c>
      <c r="BD2213" s="107">
        <v>0</v>
      </c>
      <c r="BE2213" s="121" t="s">
        <v>5113</v>
      </c>
      <c r="BF2213" s="121" t="s">
        <v>5114</v>
      </c>
      <c r="BG2213" s="103">
        <v>0</v>
      </c>
      <c r="BH2213" s="103">
        <v>0</v>
      </c>
      <c r="BI2213" s="103">
        <v>0</v>
      </c>
      <c r="BJ2213" s="103">
        <v>0</v>
      </c>
      <c r="BK2213" s="103">
        <v>0</v>
      </c>
      <c r="BL2213" s="103">
        <v>0</v>
      </c>
      <c r="BM2213" s="99">
        <v>0</v>
      </c>
      <c r="BN2213" s="108">
        <v>0</v>
      </c>
      <c r="BO2213" s="108">
        <v>0</v>
      </c>
      <c r="BP2213" s="108">
        <v>0</v>
      </c>
      <c r="BQ2213" s="108">
        <v>0</v>
      </c>
      <c r="BR2213" s="108">
        <v>0</v>
      </c>
      <c r="BS2213" s="108">
        <v>1</v>
      </c>
      <c r="BT2213" s="108">
        <v>0</v>
      </c>
      <c r="BU2213" s="49">
        <v>0</v>
      </c>
      <c r="BV2213" s="49"/>
      <c r="BW2213" s="49"/>
    </row>
    <row r="2214" spans="1:75" ht="20.100000000000001" customHeight="1">
      <c r="C2214" s="102">
        <v>77001606</v>
      </c>
      <c r="D2214" s="101" t="s">
        <v>5115</v>
      </c>
      <c r="E2214" s="101" t="s">
        <v>5116</v>
      </c>
      <c r="F2214" s="103">
        <v>1</v>
      </c>
      <c r="G2214" s="103">
        <v>0</v>
      </c>
      <c r="H2214" s="102">
        <v>0</v>
      </c>
      <c r="I2214" s="107">
        <v>0</v>
      </c>
      <c r="J2214" s="102">
        <v>1</v>
      </c>
      <c r="K2214" s="102">
        <v>0</v>
      </c>
      <c r="L2214" s="102">
        <v>0</v>
      </c>
      <c r="M2214" s="103">
        <v>0</v>
      </c>
      <c r="N2214" s="103">
        <v>0</v>
      </c>
      <c r="O2214" s="103">
        <v>2</v>
      </c>
      <c r="P2214" s="103">
        <v>1</v>
      </c>
      <c r="Q2214" s="103">
        <v>0.2</v>
      </c>
      <c r="R2214" s="103">
        <v>0</v>
      </c>
      <c r="S2214" s="108">
        <v>3</v>
      </c>
      <c r="T2214" s="103">
        <v>0</v>
      </c>
      <c r="U2214" s="103">
        <v>1</v>
      </c>
      <c r="V2214" s="103">
        <v>2</v>
      </c>
      <c r="W2214" s="103">
        <v>0</v>
      </c>
      <c r="X2214" s="103">
        <v>1</v>
      </c>
      <c r="Y2214" s="13">
        <v>0</v>
      </c>
      <c r="Z2214" s="103">
        <v>0</v>
      </c>
      <c r="AA2214" s="103">
        <v>0</v>
      </c>
      <c r="AB2214" s="103">
        <v>0</v>
      </c>
      <c r="AC2214" s="103">
        <v>0</v>
      </c>
      <c r="AD2214" s="103">
        <v>0</v>
      </c>
      <c r="AE2214" s="103">
        <v>0</v>
      </c>
      <c r="AF2214" s="103">
        <v>18</v>
      </c>
      <c r="AG2214" s="103">
        <v>1</v>
      </c>
      <c r="AH2214" s="103">
        <v>3</v>
      </c>
      <c r="AI2214" s="108">
        <v>6</v>
      </c>
      <c r="AJ2214" s="108">
        <v>1</v>
      </c>
      <c r="AK2214" s="108">
        <v>0</v>
      </c>
      <c r="AL2214" s="108">
        <v>1.5</v>
      </c>
      <c r="AM2214" s="103">
        <v>0</v>
      </c>
      <c r="AN2214" s="103">
        <v>0</v>
      </c>
      <c r="AO2214" s="103">
        <v>0</v>
      </c>
      <c r="AP2214" s="103">
        <v>1</v>
      </c>
      <c r="AQ2214" s="103">
        <v>5000</v>
      </c>
      <c r="AR2214" s="103">
        <v>1</v>
      </c>
      <c r="AS2214" s="103">
        <v>0</v>
      </c>
      <c r="AT2214" s="108">
        <v>0</v>
      </c>
      <c r="AU2214" s="353" t="s">
        <v>5117</v>
      </c>
      <c r="AV2214" s="116"/>
      <c r="AW2214" s="104" t="s">
        <v>199</v>
      </c>
      <c r="AX2214" s="103" t="s">
        <v>534</v>
      </c>
      <c r="AY2214" s="102">
        <v>10000007</v>
      </c>
      <c r="AZ2214" s="351" t="s">
        <v>5094</v>
      </c>
      <c r="BA2214" s="101" t="s">
        <v>200</v>
      </c>
      <c r="BB2214" s="103" t="s">
        <v>5118</v>
      </c>
      <c r="BC2214" s="107">
        <v>0</v>
      </c>
      <c r="BD2214" s="107">
        <v>0</v>
      </c>
      <c r="BE2214" s="121" t="s">
        <v>5119</v>
      </c>
      <c r="BF2214" s="121" t="s">
        <v>5120</v>
      </c>
      <c r="BG2214" s="103">
        <v>0</v>
      </c>
      <c r="BH2214" s="103">
        <v>0</v>
      </c>
      <c r="BI2214" s="103">
        <v>0</v>
      </c>
      <c r="BJ2214" s="103">
        <v>0</v>
      </c>
      <c r="BK2214" s="103">
        <v>0</v>
      </c>
      <c r="BL2214" s="103">
        <v>0</v>
      </c>
      <c r="BM2214" s="99">
        <v>0</v>
      </c>
      <c r="BN2214" s="108">
        <v>0</v>
      </c>
      <c r="BO2214" s="108">
        <v>0</v>
      </c>
      <c r="BP2214" s="108">
        <v>0</v>
      </c>
      <c r="BQ2214" s="108">
        <v>0</v>
      </c>
      <c r="BR2214" s="108">
        <v>0</v>
      </c>
      <c r="BS2214" s="108">
        <v>0</v>
      </c>
      <c r="BT2214" s="108">
        <v>0</v>
      </c>
      <c r="BU2214" s="49">
        <v>0</v>
      </c>
      <c r="BV2214" s="49"/>
      <c r="BW2214" s="49"/>
    </row>
    <row r="2215" spans="1:75" ht="20.100000000000001" customHeight="1">
      <c r="C2215" s="102">
        <v>77001607</v>
      </c>
      <c r="D2215" s="101" t="s">
        <v>5121</v>
      </c>
      <c r="E2215" s="101" t="s">
        <v>5122</v>
      </c>
      <c r="F2215" s="103">
        <v>1</v>
      </c>
      <c r="G2215" s="103">
        <v>0</v>
      </c>
      <c r="H2215" s="103">
        <v>0</v>
      </c>
      <c r="I2215" s="107">
        <v>0</v>
      </c>
      <c r="J2215" s="102">
        <v>1</v>
      </c>
      <c r="K2215" s="103">
        <v>0</v>
      </c>
      <c r="L2215" s="103">
        <v>0</v>
      </c>
      <c r="M2215" s="103">
        <v>0</v>
      </c>
      <c r="N2215" s="103">
        <v>0</v>
      </c>
      <c r="O2215" s="103">
        <v>2</v>
      </c>
      <c r="P2215" s="103">
        <v>3</v>
      </c>
      <c r="Q2215" s="103">
        <v>0.2</v>
      </c>
      <c r="R2215" s="103">
        <v>0</v>
      </c>
      <c r="S2215" s="108">
        <v>0</v>
      </c>
      <c r="T2215" s="103">
        <v>0</v>
      </c>
      <c r="U2215" s="103">
        <v>1</v>
      </c>
      <c r="V2215" s="103">
        <v>1</v>
      </c>
      <c r="W2215" s="103">
        <v>0</v>
      </c>
      <c r="X2215" s="103">
        <v>2</v>
      </c>
      <c r="Y2215" s="13">
        <v>0</v>
      </c>
      <c r="Z2215" s="103">
        <v>0</v>
      </c>
      <c r="AA2215" s="103">
        <v>1</v>
      </c>
      <c r="AB2215" s="103">
        <v>0</v>
      </c>
      <c r="AC2215" s="103">
        <v>0</v>
      </c>
      <c r="AD2215" s="103">
        <v>0</v>
      </c>
      <c r="AE2215" s="103">
        <v>1</v>
      </c>
      <c r="AF2215" s="103">
        <v>9</v>
      </c>
      <c r="AG2215" s="103">
        <v>1</v>
      </c>
      <c r="AH2215" s="103">
        <v>4</v>
      </c>
      <c r="AI2215" s="108">
        <v>0</v>
      </c>
      <c r="AJ2215" s="108">
        <v>1</v>
      </c>
      <c r="AK2215" s="108">
        <v>0</v>
      </c>
      <c r="AL2215" s="108">
        <v>2</v>
      </c>
      <c r="AM2215" s="103">
        <v>0</v>
      </c>
      <c r="AN2215" s="103">
        <v>0</v>
      </c>
      <c r="AO2215" s="103">
        <v>0</v>
      </c>
      <c r="AP2215" s="103">
        <v>0.5</v>
      </c>
      <c r="AQ2215" s="103">
        <v>600</v>
      </c>
      <c r="AR2215" s="103">
        <v>0.5</v>
      </c>
      <c r="AS2215" s="103">
        <v>0</v>
      </c>
      <c r="AT2215" s="108">
        <v>0</v>
      </c>
      <c r="AU2215" s="103">
        <v>97006001</v>
      </c>
      <c r="AV2215" s="103"/>
      <c r="AW2215" s="101" t="s">
        <v>198</v>
      </c>
      <c r="AX2215" s="103" t="s">
        <v>534</v>
      </c>
      <c r="AY2215" s="102">
        <v>10000001</v>
      </c>
      <c r="AZ2215" s="102">
        <v>77001604</v>
      </c>
      <c r="BA2215" s="101" t="s">
        <v>771</v>
      </c>
      <c r="BB2215" s="103">
        <v>0</v>
      </c>
      <c r="BC2215" s="107">
        <v>0</v>
      </c>
      <c r="BD2215" s="107">
        <v>0</v>
      </c>
      <c r="BE2215" s="139" t="s">
        <v>5123</v>
      </c>
      <c r="BF2215" s="139" t="s">
        <v>5124</v>
      </c>
      <c r="BG2215" s="103">
        <v>0</v>
      </c>
      <c r="BH2215" s="103">
        <v>0</v>
      </c>
      <c r="BI2215" s="103">
        <v>0</v>
      </c>
      <c r="BJ2215" s="103">
        <v>0</v>
      </c>
      <c r="BK2215" s="103">
        <v>0</v>
      </c>
      <c r="BL2215" s="103">
        <v>0</v>
      </c>
      <c r="BM2215" s="99">
        <v>0</v>
      </c>
      <c r="BN2215" s="108">
        <v>0</v>
      </c>
      <c r="BO2215" s="108">
        <v>0</v>
      </c>
      <c r="BP2215" s="108">
        <v>0</v>
      </c>
      <c r="BQ2215" s="108">
        <v>0</v>
      </c>
      <c r="BR2215" s="108">
        <v>0</v>
      </c>
      <c r="BS2215" s="108">
        <v>0</v>
      </c>
      <c r="BT2215" s="108">
        <v>0</v>
      </c>
      <c r="BU2215" s="49">
        <v>0</v>
      </c>
      <c r="BV2215" s="49"/>
      <c r="BW2215" s="49"/>
    </row>
    <row r="2216" spans="1:75" ht="19.5" customHeight="1">
      <c r="C2216" s="102">
        <v>77001608</v>
      </c>
      <c r="D2216" s="101" t="s">
        <v>5125</v>
      </c>
      <c r="E2216" s="101" t="s">
        <v>5126</v>
      </c>
      <c r="F2216" s="102">
        <v>1</v>
      </c>
      <c r="G2216" s="103">
        <v>0</v>
      </c>
      <c r="H2216" s="102">
        <v>0</v>
      </c>
      <c r="I2216" s="107">
        <v>0</v>
      </c>
      <c r="J2216" s="102">
        <v>1</v>
      </c>
      <c r="K2216" s="102">
        <v>0</v>
      </c>
      <c r="L2216" s="102">
        <v>0</v>
      </c>
      <c r="M2216" s="103">
        <v>0</v>
      </c>
      <c r="N2216" s="103">
        <v>0</v>
      </c>
      <c r="O2216" s="103">
        <v>2</v>
      </c>
      <c r="P2216" s="103">
        <v>2</v>
      </c>
      <c r="Q2216" s="103">
        <v>0.5</v>
      </c>
      <c r="R2216" s="103">
        <v>0</v>
      </c>
      <c r="S2216" s="108">
        <v>0</v>
      </c>
      <c r="T2216" s="103">
        <v>0</v>
      </c>
      <c r="U2216" s="103">
        <v>1</v>
      </c>
      <c r="V2216" s="103">
        <v>1</v>
      </c>
      <c r="W2216" s="103">
        <v>0</v>
      </c>
      <c r="X2216" s="103">
        <v>0</v>
      </c>
      <c r="Y2216" s="13">
        <v>0</v>
      </c>
      <c r="Z2216" s="103">
        <v>0</v>
      </c>
      <c r="AA2216" s="103">
        <v>0</v>
      </c>
      <c r="AB2216" s="103">
        <v>0</v>
      </c>
      <c r="AC2216" s="103">
        <v>0</v>
      </c>
      <c r="AD2216" s="103">
        <v>0</v>
      </c>
      <c r="AE2216" s="103">
        <v>1</v>
      </c>
      <c r="AF2216" s="103">
        <v>12</v>
      </c>
      <c r="AG2216" s="103">
        <v>1</v>
      </c>
      <c r="AH2216" s="103">
        <v>2</v>
      </c>
      <c r="AI2216" s="108">
        <v>0</v>
      </c>
      <c r="AJ2216" s="108">
        <v>1</v>
      </c>
      <c r="AK2216" s="108">
        <v>0</v>
      </c>
      <c r="AL2216" s="108">
        <v>3</v>
      </c>
      <c r="AM2216" s="103">
        <v>0</v>
      </c>
      <c r="AN2216" s="103">
        <v>0</v>
      </c>
      <c r="AO2216" s="103">
        <v>0</v>
      </c>
      <c r="AP2216" s="103">
        <v>0.3</v>
      </c>
      <c r="AQ2216" s="103">
        <v>300</v>
      </c>
      <c r="AR2216" s="103">
        <v>0</v>
      </c>
      <c r="AS2216" s="103">
        <v>0</v>
      </c>
      <c r="AT2216" s="108">
        <v>0</v>
      </c>
      <c r="AU2216" s="116">
        <v>0</v>
      </c>
      <c r="AV2216" s="116"/>
      <c r="AW2216" s="101" t="s">
        <v>198</v>
      </c>
      <c r="AX2216" s="103">
        <v>0</v>
      </c>
      <c r="AY2216" s="102">
        <v>0</v>
      </c>
      <c r="AZ2216" s="102">
        <v>0</v>
      </c>
      <c r="BA2216" s="101" t="s">
        <v>528</v>
      </c>
      <c r="BB2216" s="354" t="s">
        <v>5127</v>
      </c>
      <c r="BC2216" s="107">
        <v>0</v>
      </c>
      <c r="BD2216" s="107">
        <v>0</v>
      </c>
      <c r="BE2216" s="121" t="s">
        <v>5128</v>
      </c>
      <c r="BF2216" s="121" t="s">
        <v>5129</v>
      </c>
      <c r="BG2216" s="103">
        <v>0</v>
      </c>
      <c r="BH2216" s="103">
        <v>0</v>
      </c>
      <c r="BI2216" s="103">
        <v>0</v>
      </c>
      <c r="BJ2216" s="103">
        <v>0</v>
      </c>
      <c r="BK2216" s="103">
        <v>0</v>
      </c>
      <c r="BL2216" s="103">
        <v>0</v>
      </c>
      <c r="BM2216" s="99">
        <v>0</v>
      </c>
      <c r="BN2216" s="108">
        <v>0</v>
      </c>
      <c r="BO2216" s="108">
        <v>0</v>
      </c>
      <c r="BP2216" s="108">
        <v>0</v>
      </c>
      <c r="BQ2216" s="108">
        <v>0</v>
      </c>
      <c r="BR2216" s="108">
        <v>0</v>
      </c>
      <c r="BS2216" s="108">
        <v>1</v>
      </c>
      <c r="BT2216" s="108">
        <v>0</v>
      </c>
      <c r="BU2216" s="49">
        <v>0</v>
      </c>
      <c r="BV2216" s="49"/>
      <c r="BW2216" s="49"/>
    </row>
    <row r="2217" spans="1:75" s="2" customFormat="1" ht="19.5" customHeight="1">
      <c r="A2217" s="6"/>
      <c r="B2217" s="6"/>
      <c r="C2217" s="102">
        <v>77001609</v>
      </c>
      <c r="D2217" s="101" t="s">
        <v>5130</v>
      </c>
      <c r="E2217" s="101" t="s">
        <v>5131</v>
      </c>
      <c r="F2217" s="102">
        <v>1</v>
      </c>
      <c r="G2217" s="103">
        <v>0</v>
      </c>
      <c r="H2217" s="102">
        <v>0</v>
      </c>
      <c r="I2217" s="107">
        <v>0</v>
      </c>
      <c r="J2217" s="102">
        <v>1</v>
      </c>
      <c r="K2217" s="102">
        <v>0</v>
      </c>
      <c r="L2217" s="102">
        <v>0</v>
      </c>
      <c r="M2217" s="103">
        <v>0</v>
      </c>
      <c r="N2217" s="103">
        <v>0</v>
      </c>
      <c r="O2217" s="103">
        <v>2</v>
      </c>
      <c r="P2217" s="103">
        <v>2</v>
      </c>
      <c r="Q2217" s="103">
        <v>1</v>
      </c>
      <c r="R2217" s="103">
        <v>1</v>
      </c>
      <c r="S2217" s="108">
        <v>0</v>
      </c>
      <c r="T2217" s="103">
        <v>0</v>
      </c>
      <c r="U2217" s="103">
        <v>1</v>
      </c>
      <c r="V2217" s="103">
        <v>2</v>
      </c>
      <c r="W2217" s="103">
        <v>0</v>
      </c>
      <c r="X2217" s="103">
        <v>1</v>
      </c>
      <c r="Y2217" s="13">
        <v>0</v>
      </c>
      <c r="Z2217" s="103">
        <v>0</v>
      </c>
      <c r="AA2217" s="103">
        <v>0</v>
      </c>
      <c r="AB2217" s="103">
        <v>0</v>
      </c>
      <c r="AC2217" s="103">
        <v>0</v>
      </c>
      <c r="AD2217" s="103">
        <v>0</v>
      </c>
      <c r="AE2217" s="103">
        <v>1</v>
      </c>
      <c r="AF2217" s="103">
        <v>18</v>
      </c>
      <c r="AG2217" s="103">
        <v>1</v>
      </c>
      <c r="AH2217" s="103">
        <v>2</v>
      </c>
      <c r="AI2217" s="108">
        <v>0</v>
      </c>
      <c r="AJ2217" s="108">
        <v>2</v>
      </c>
      <c r="AK2217" s="108">
        <v>0</v>
      </c>
      <c r="AL2217" s="108">
        <v>2</v>
      </c>
      <c r="AM2217" s="103">
        <v>0</v>
      </c>
      <c r="AN2217" s="103">
        <v>0</v>
      </c>
      <c r="AO2217" s="103">
        <v>0</v>
      </c>
      <c r="AP2217" s="103">
        <v>0</v>
      </c>
      <c r="AQ2217" s="103">
        <v>5000</v>
      </c>
      <c r="AR2217" s="103">
        <v>0.5</v>
      </c>
      <c r="AS2217" s="103">
        <v>15</v>
      </c>
      <c r="AT2217" s="115">
        <v>0</v>
      </c>
      <c r="AU2217" s="353" t="s">
        <v>5117</v>
      </c>
      <c r="AV2217" s="116"/>
      <c r="AW2217" s="101" t="s">
        <v>198</v>
      </c>
      <c r="AX2217" s="103" t="s">
        <v>534</v>
      </c>
      <c r="AY2217" s="102">
        <v>10000007</v>
      </c>
      <c r="AZ2217" s="351" t="s">
        <v>5132</v>
      </c>
      <c r="BA2217" s="101" t="s">
        <v>586</v>
      </c>
      <c r="BB2217" s="103" t="s">
        <v>5020</v>
      </c>
      <c r="BC2217" s="107">
        <v>0</v>
      </c>
      <c r="BD2217" s="107">
        <v>0</v>
      </c>
      <c r="BE2217" s="121" t="s">
        <v>5133</v>
      </c>
      <c r="BF2217" s="121" t="s">
        <v>5134</v>
      </c>
      <c r="BG2217" s="103">
        <v>0</v>
      </c>
      <c r="BH2217" s="103">
        <v>0</v>
      </c>
      <c r="BI2217" s="103">
        <v>0</v>
      </c>
      <c r="BJ2217" s="103">
        <v>0</v>
      </c>
      <c r="BK2217" s="103">
        <v>0</v>
      </c>
      <c r="BL2217" s="103">
        <v>0</v>
      </c>
      <c r="BM2217" s="99">
        <v>0</v>
      </c>
      <c r="BN2217" s="108">
        <v>0</v>
      </c>
      <c r="BO2217" s="108">
        <v>0</v>
      </c>
      <c r="BP2217" s="108">
        <v>0</v>
      </c>
      <c r="BQ2217" s="108">
        <v>0</v>
      </c>
      <c r="BR2217" s="108">
        <v>0</v>
      </c>
      <c r="BS2217" s="108">
        <v>0</v>
      </c>
      <c r="BT2217" s="108">
        <v>0</v>
      </c>
      <c r="BU2217" s="108">
        <v>0</v>
      </c>
      <c r="BV2217" s="49"/>
      <c r="BW2217" s="49"/>
    </row>
    <row r="2218" spans="1:75" ht="20.100000000000001" customHeight="1">
      <c r="C2218" s="66">
        <v>77001701</v>
      </c>
      <c r="D2218" s="61" t="s">
        <v>5135</v>
      </c>
      <c r="E2218" s="149" t="s">
        <v>5136</v>
      </c>
      <c r="F2218" s="95">
        <v>1</v>
      </c>
      <c r="G2218" s="95">
        <v>0</v>
      </c>
      <c r="H2218" s="62">
        <v>0</v>
      </c>
      <c r="I2218" s="68">
        <v>0</v>
      </c>
      <c r="J2218" s="66">
        <v>1</v>
      </c>
      <c r="K2218" s="66">
        <v>0</v>
      </c>
      <c r="L2218" s="66">
        <v>0</v>
      </c>
      <c r="M2218" s="62">
        <v>0</v>
      </c>
      <c r="N2218" s="62">
        <v>0</v>
      </c>
      <c r="O2218" s="62">
        <v>2</v>
      </c>
      <c r="P2218" s="62">
        <v>1</v>
      </c>
      <c r="Q2218" s="62">
        <v>0.2</v>
      </c>
      <c r="R2218" s="62">
        <v>0</v>
      </c>
      <c r="S2218" s="70">
        <v>0</v>
      </c>
      <c r="T2218" s="62">
        <v>0</v>
      </c>
      <c r="U2218" s="62">
        <v>1</v>
      </c>
      <c r="V2218" s="95">
        <v>1</v>
      </c>
      <c r="W2218" s="62">
        <v>0</v>
      </c>
      <c r="X2218" s="62">
        <v>0</v>
      </c>
      <c r="Y2218" s="13">
        <v>0</v>
      </c>
      <c r="Z2218" s="62">
        <v>0</v>
      </c>
      <c r="AA2218" s="62">
        <v>1</v>
      </c>
      <c r="AB2218" s="62">
        <v>0</v>
      </c>
      <c r="AC2218" s="62">
        <v>0</v>
      </c>
      <c r="AD2218" s="62">
        <v>0</v>
      </c>
      <c r="AE2218" s="62">
        <v>1</v>
      </c>
      <c r="AF2218" s="62">
        <v>8</v>
      </c>
      <c r="AG2218" s="62">
        <v>2</v>
      </c>
      <c r="AH2218" s="62" t="s">
        <v>1036</v>
      </c>
      <c r="AI2218" s="70">
        <v>0</v>
      </c>
      <c r="AJ2218" s="70">
        <v>2</v>
      </c>
      <c r="AK2218" s="70">
        <v>0</v>
      </c>
      <c r="AL2218" s="70">
        <v>1.5</v>
      </c>
      <c r="AM2218" s="62">
        <v>0</v>
      </c>
      <c r="AN2218" s="62">
        <v>0</v>
      </c>
      <c r="AO2218" s="62">
        <v>0</v>
      </c>
      <c r="AP2218" s="62">
        <v>1.2</v>
      </c>
      <c r="AQ2218" s="62">
        <v>1200</v>
      </c>
      <c r="AR2218" s="62">
        <v>1</v>
      </c>
      <c r="AS2218" s="62">
        <v>15</v>
      </c>
      <c r="AT2218" s="356" t="s">
        <v>198</v>
      </c>
      <c r="AU2218" s="369" t="s">
        <v>5137</v>
      </c>
      <c r="AV2218" s="62"/>
      <c r="AW2218" s="61" t="s">
        <v>256</v>
      </c>
      <c r="AX2218" s="62" t="s">
        <v>215</v>
      </c>
      <c r="AY2218" s="66">
        <v>10000011</v>
      </c>
      <c r="AZ2218" s="66">
        <v>77001706</v>
      </c>
      <c r="BA2218" s="61" t="s">
        <v>216</v>
      </c>
      <c r="BB2218" s="62">
        <v>0</v>
      </c>
      <c r="BC2218" s="68">
        <v>0</v>
      </c>
      <c r="BD2218" s="68">
        <v>0</v>
      </c>
      <c r="BE2218" s="92" t="s">
        <v>5138</v>
      </c>
      <c r="BF2218" s="92" t="s">
        <v>5139</v>
      </c>
      <c r="BG2218" s="62">
        <v>0</v>
      </c>
      <c r="BH2218" s="62">
        <v>0</v>
      </c>
      <c r="BI2218" s="62">
        <v>0</v>
      </c>
      <c r="BJ2218" s="62">
        <v>0</v>
      </c>
      <c r="BK2218" s="62">
        <v>0</v>
      </c>
      <c r="BL2218" s="62">
        <v>0</v>
      </c>
      <c r="BM2218" s="95">
        <v>0</v>
      </c>
      <c r="BN2218" s="70">
        <v>0</v>
      </c>
      <c r="BO2218" s="70">
        <v>0</v>
      </c>
      <c r="BP2218" s="70">
        <v>0</v>
      </c>
      <c r="BQ2218" s="70">
        <v>0</v>
      </c>
      <c r="BR2218" s="70">
        <v>0</v>
      </c>
      <c r="BS2218" s="70">
        <v>0</v>
      </c>
      <c r="BT2218" s="70">
        <v>77001702</v>
      </c>
      <c r="BU2218" s="49">
        <v>0</v>
      </c>
      <c r="BV2218" s="49"/>
      <c r="BW2218" s="49"/>
    </row>
    <row r="2219" spans="1:75" ht="20.100000000000001" customHeight="1">
      <c r="C2219" s="66">
        <v>77001702</v>
      </c>
      <c r="D2219" s="61" t="s">
        <v>1265</v>
      </c>
      <c r="E2219" s="61" t="s">
        <v>1266</v>
      </c>
      <c r="F2219" s="62">
        <v>1</v>
      </c>
      <c r="G2219" s="62">
        <v>0</v>
      </c>
      <c r="H2219" s="62">
        <v>0</v>
      </c>
      <c r="I2219" s="68">
        <v>0</v>
      </c>
      <c r="J2219" s="66">
        <v>1</v>
      </c>
      <c r="K2219" s="62">
        <v>0</v>
      </c>
      <c r="L2219" s="62">
        <v>0</v>
      </c>
      <c r="M2219" s="62">
        <v>0</v>
      </c>
      <c r="N2219" s="62">
        <v>0</v>
      </c>
      <c r="O2219" s="62">
        <v>2</v>
      </c>
      <c r="P2219" s="62">
        <v>3</v>
      </c>
      <c r="Q2219" s="62">
        <v>0.2</v>
      </c>
      <c r="R2219" s="62">
        <v>0</v>
      </c>
      <c r="S2219" s="70">
        <v>0</v>
      </c>
      <c r="T2219" s="62">
        <v>0</v>
      </c>
      <c r="U2219" s="62">
        <v>1</v>
      </c>
      <c r="V2219" s="62">
        <v>1</v>
      </c>
      <c r="W2219" s="62">
        <v>0</v>
      </c>
      <c r="X2219" s="62">
        <v>1.5</v>
      </c>
      <c r="Y2219" s="13">
        <v>0</v>
      </c>
      <c r="Z2219" s="62">
        <v>0</v>
      </c>
      <c r="AA2219" s="62">
        <v>1</v>
      </c>
      <c r="AB2219" s="62">
        <v>0</v>
      </c>
      <c r="AC2219" s="62">
        <v>0</v>
      </c>
      <c r="AD2219" s="62">
        <v>0</v>
      </c>
      <c r="AE2219" s="62">
        <v>1</v>
      </c>
      <c r="AF2219" s="62">
        <v>6</v>
      </c>
      <c r="AG2219" s="62">
        <v>1</v>
      </c>
      <c r="AH2219" s="62">
        <v>4</v>
      </c>
      <c r="AI2219" s="70">
        <v>0</v>
      </c>
      <c r="AJ2219" s="70">
        <v>1</v>
      </c>
      <c r="AK2219" s="70">
        <v>0</v>
      </c>
      <c r="AL2219" s="70">
        <v>2</v>
      </c>
      <c r="AM2219" s="62">
        <v>0</v>
      </c>
      <c r="AN2219" s="62">
        <v>0</v>
      </c>
      <c r="AO2219" s="62">
        <v>0</v>
      </c>
      <c r="AP2219" s="62">
        <v>0.6</v>
      </c>
      <c r="AQ2219" s="62">
        <v>700</v>
      </c>
      <c r="AR2219" s="62">
        <v>0.6</v>
      </c>
      <c r="AS2219" s="62">
        <v>0</v>
      </c>
      <c r="AT2219" s="70">
        <v>0</v>
      </c>
      <c r="AU2219" s="369" t="s">
        <v>5137</v>
      </c>
      <c r="AV2219" s="62"/>
      <c r="AW2219" s="61" t="s">
        <v>198</v>
      </c>
      <c r="AX2219" s="62" t="s">
        <v>534</v>
      </c>
      <c r="AY2219" s="66">
        <v>10000001</v>
      </c>
      <c r="AZ2219" s="66">
        <v>77001701</v>
      </c>
      <c r="BA2219" s="61" t="s">
        <v>771</v>
      </c>
      <c r="BB2219" s="62">
        <v>0</v>
      </c>
      <c r="BC2219" s="68">
        <v>0</v>
      </c>
      <c r="BD2219" s="68">
        <v>0</v>
      </c>
      <c r="BE2219" s="123" t="s">
        <v>5140</v>
      </c>
      <c r="BF2219" s="123" t="s">
        <v>5141</v>
      </c>
      <c r="BG2219" s="62">
        <v>0</v>
      </c>
      <c r="BH2219" s="62">
        <v>0</v>
      </c>
      <c r="BI2219" s="62">
        <v>0</v>
      </c>
      <c r="BJ2219" s="62">
        <v>0</v>
      </c>
      <c r="BK2219" s="62">
        <v>0</v>
      </c>
      <c r="BL2219" s="62">
        <v>0</v>
      </c>
      <c r="BM2219" s="95">
        <v>0</v>
      </c>
      <c r="BN2219" s="70">
        <v>0</v>
      </c>
      <c r="BO2219" s="70">
        <v>0</v>
      </c>
      <c r="BP2219" s="70">
        <v>0</v>
      </c>
      <c r="BQ2219" s="70">
        <v>0</v>
      </c>
      <c r="BR2219" s="70">
        <v>0</v>
      </c>
      <c r="BS2219" s="70">
        <v>0</v>
      </c>
      <c r="BT2219" s="70">
        <v>77001706</v>
      </c>
      <c r="BU2219" s="49">
        <v>0</v>
      </c>
      <c r="BV2219" s="49"/>
      <c r="BW2219" s="49"/>
    </row>
    <row r="2220" spans="1:75" ht="20.100000000000001" customHeight="1">
      <c r="C2220" s="66">
        <v>77001703</v>
      </c>
      <c r="D2220" s="61" t="s">
        <v>5135</v>
      </c>
      <c r="E2220" s="61" t="s">
        <v>5136</v>
      </c>
      <c r="F2220" s="62">
        <v>1</v>
      </c>
      <c r="G2220" s="62">
        <v>0</v>
      </c>
      <c r="H2220" s="62">
        <v>0</v>
      </c>
      <c r="I2220" s="68">
        <v>0</v>
      </c>
      <c r="J2220" s="66">
        <v>1</v>
      </c>
      <c r="K2220" s="62">
        <v>0</v>
      </c>
      <c r="L2220" s="62">
        <v>0</v>
      </c>
      <c r="M2220" s="62">
        <v>0</v>
      </c>
      <c r="N2220" s="62">
        <v>0</v>
      </c>
      <c r="O2220" s="62">
        <v>2</v>
      </c>
      <c r="P2220" s="62">
        <v>3</v>
      </c>
      <c r="Q2220" s="62">
        <v>0.3</v>
      </c>
      <c r="R2220" s="62">
        <v>0</v>
      </c>
      <c r="S2220" s="70">
        <v>0</v>
      </c>
      <c r="T2220" s="62">
        <v>0</v>
      </c>
      <c r="U2220" s="62">
        <v>1</v>
      </c>
      <c r="V2220" s="62">
        <v>2</v>
      </c>
      <c r="W2220" s="62">
        <v>0</v>
      </c>
      <c r="X2220" s="62">
        <v>0</v>
      </c>
      <c r="Y2220" s="13">
        <v>0</v>
      </c>
      <c r="Z2220" s="62">
        <v>0</v>
      </c>
      <c r="AA2220" s="62">
        <v>1</v>
      </c>
      <c r="AB2220" s="62">
        <v>0</v>
      </c>
      <c r="AC2220" s="62">
        <v>0</v>
      </c>
      <c r="AD2220" s="62">
        <v>0</v>
      </c>
      <c r="AE2220" s="62">
        <v>0</v>
      </c>
      <c r="AF2220" s="62">
        <v>21</v>
      </c>
      <c r="AG2220" s="62">
        <v>1</v>
      </c>
      <c r="AH2220" s="62">
        <v>1</v>
      </c>
      <c r="AI2220" s="70">
        <v>0</v>
      </c>
      <c r="AJ2220" s="70">
        <v>1</v>
      </c>
      <c r="AK2220" s="70">
        <v>0</v>
      </c>
      <c r="AL2220" s="70">
        <v>1.5</v>
      </c>
      <c r="AM2220" s="62">
        <v>0</v>
      </c>
      <c r="AN2220" s="62">
        <v>0</v>
      </c>
      <c r="AO2220" s="62">
        <v>0</v>
      </c>
      <c r="AP2220" s="62">
        <v>0</v>
      </c>
      <c r="AQ2220" s="62">
        <v>300</v>
      </c>
      <c r="AR2220" s="62">
        <v>0</v>
      </c>
      <c r="AS2220" s="62">
        <v>0</v>
      </c>
      <c r="AT2220" s="356" t="s">
        <v>5142</v>
      </c>
      <c r="AU2220" s="62">
        <v>0</v>
      </c>
      <c r="AV2220" s="62"/>
      <c r="AW2220" s="61" t="s">
        <v>199</v>
      </c>
      <c r="AX2220" s="62" t="s">
        <v>534</v>
      </c>
      <c r="AY2220" s="66">
        <v>0</v>
      </c>
      <c r="AZ2220" s="66">
        <v>0</v>
      </c>
      <c r="BA2220" s="61" t="s">
        <v>771</v>
      </c>
      <c r="BB2220" s="62">
        <v>0</v>
      </c>
      <c r="BC2220" s="68">
        <v>0</v>
      </c>
      <c r="BD2220" s="68">
        <v>0</v>
      </c>
      <c r="BE2220" s="123" t="s">
        <v>5143</v>
      </c>
      <c r="BF2220" s="123" t="s">
        <v>5144</v>
      </c>
      <c r="BG2220" s="62">
        <v>0</v>
      </c>
      <c r="BH2220" s="62">
        <v>0</v>
      </c>
      <c r="BI2220" s="62">
        <v>0</v>
      </c>
      <c r="BJ2220" s="62">
        <v>0</v>
      </c>
      <c r="BK2220" s="62">
        <v>0</v>
      </c>
      <c r="BL2220" s="62">
        <v>0</v>
      </c>
      <c r="BM2220" s="95">
        <v>0</v>
      </c>
      <c r="BN2220" s="70">
        <v>0</v>
      </c>
      <c r="BO2220" s="70">
        <v>0</v>
      </c>
      <c r="BP2220" s="70">
        <v>0</v>
      </c>
      <c r="BQ2220" s="70">
        <v>0</v>
      </c>
      <c r="BR2220" s="70">
        <v>0</v>
      </c>
      <c r="BS2220" s="70">
        <v>1</v>
      </c>
      <c r="BT2220" s="70">
        <v>0</v>
      </c>
      <c r="BU2220" s="49">
        <v>0</v>
      </c>
      <c r="BV2220" s="49"/>
      <c r="BW2220" s="49"/>
    </row>
    <row r="2221" spans="1:75" ht="19.5" customHeight="1">
      <c r="C2221" s="66">
        <v>77001704</v>
      </c>
      <c r="D2221" s="61" t="s">
        <v>1265</v>
      </c>
      <c r="E2221" s="61" t="s">
        <v>1266</v>
      </c>
      <c r="F2221" s="62">
        <v>1</v>
      </c>
      <c r="G2221" s="62">
        <v>0</v>
      </c>
      <c r="H2221" s="62">
        <v>0</v>
      </c>
      <c r="I2221" s="68">
        <v>0</v>
      </c>
      <c r="J2221" s="66">
        <v>1</v>
      </c>
      <c r="K2221" s="66">
        <v>0</v>
      </c>
      <c r="L2221" s="66">
        <v>0</v>
      </c>
      <c r="M2221" s="62">
        <v>0</v>
      </c>
      <c r="N2221" s="62">
        <v>0</v>
      </c>
      <c r="O2221" s="62">
        <v>2</v>
      </c>
      <c r="P2221" s="62">
        <v>3</v>
      </c>
      <c r="Q2221" s="62">
        <v>0.2</v>
      </c>
      <c r="R2221" s="62">
        <v>0</v>
      </c>
      <c r="S2221" s="70">
        <v>0</v>
      </c>
      <c r="T2221" s="62">
        <v>0</v>
      </c>
      <c r="U2221" s="62">
        <v>1</v>
      </c>
      <c r="V2221" s="62">
        <v>1</v>
      </c>
      <c r="W2221" s="62">
        <v>0</v>
      </c>
      <c r="X2221" s="62">
        <v>0</v>
      </c>
      <c r="Y2221" s="13">
        <v>0</v>
      </c>
      <c r="Z2221" s="62">
        <v>0</v>
      </c>
      <c r="AA2221" s="62">
        <v>1</v>
      </c>
      <c r="AB2221" s="62">
        <v>0</v>
      </c>
      <c r="AC2221" s="62">
        <v>0</v>
      </c>
      <c r="AD2221" s="62">
        <v>0</v>
      </c>
      <c r="AE2221" s="62">
        <v>1</v>
      </c>
      <c r="AF2221" s="62">
        <v>8</v>
      </c>
      <c r="AG2221" s="62">
        <v>2</v>
      </c>
      <c r="AH2221" s="62" t="s">
        <v>213</v>
      </c>
      <c r="AI2221" s="70">
        <v>0</v>
      </c>
      <c r="AJ2221" s="70">
        <v>2</v>
      </c>
      <c r="AK2221" s="70">
        <v>0</v>
      </c>
      <c r="AL2221" s="70">
        <v>1.5</v>
      </c>
      <c r="AM2221" s="62">
        <v>0</v>
      </c>
      <c r="AN2221" s="62">
        <v>0</v>
      </c>
      <c r="AO2221" s="62">
        <v>0</v>
      </c>
      <c r="AP2221" s="62">
        <v>0.3</v>
      </c>
      <c r="AQ2221" s="62">
        <v>300</v>
      </c>
      <c r="AR2221" s="62">
        <v>0</v>
      </c>
      <c r="AS2221" s="62">
        <v>15</v>
      </c>
      <c r="AT2221" s="70">
        <v>0</v>
      </c>
      <c r="AU2221" s="81">
        <v>0</v>
      </c>
      <c r="AV2221" s="81"/>
      <c r="AW2221" s="61" t="s">
        <v>198</v>
      </c>
      <c r="AX2221" s="62" t="s">
        <v>215</v>
      </c>
      <c r="AY2221" s="66">
        <v>0</v>
      </c>
      <c r="AZ2221" s="66">
        <v>0</v>
      </c>
      <c r="BA2221" s="318" t="s">
        <v>216</v>
      </c>
      <c r="BB2221" s="62">
        <v>1</v>
      </c>
      <c r="BC2221" s="68">
        <v>0</v>
      </c>
      <c r="BD2221" s="68">
        <v>0</v>
      </c>
      <c r="BE2221" s="92" t="s">
        <v>5145</v>
      </c>
      <c r="BF2221" s="92" t="s">
        <v>5146</v>
      </c>
      <c r="BG2221" s="62">
        <v>0</v>
      </c>
      <c r="BH2221" s="62">
        <v>0</v>
      </c>
      <c r="BI2221" s="62">
        <v>0</v>
      </c>
      <c r="BJ2221" s="62">
        <v>0</v>
      </c>
      <c r="BK2221" s="62">
        <v>0</v>
      </c>
      <c r="BL2221" s="62">
        <v>0</v>
      </c>
      <c r="BM2221" s="95">
        <v>0</v>
      </c>
      <c r="BN2221" s="70">
        <v>0</v>
      </c>
      <c r="BO2221" s="70">
        <v>0</v>
      </c>
      <c r="BP2221" s="70">
        <v>0</v>
      </c>
      <c r="BQ2221" s="70">
        <v>0</v>
      </c>
      <c r="BR2221" s="70">
        <v>0</v>
      </c>
      <c r="BS2221" s="70">
        <v>1</v>
      </c>
      <c r="BT2221" s="70">
        <v>77001705</v>
      </c>
      <c r="BU2221" s="49">
        <v>0</v>
      </c>
      <c r="BV2221" s="49"/>
      <c r="BW2221" s="49"/>
    </row>
    <row r="2222" spans="1:75" ht="19.5" customHeight="1">
      <c r="C2222" s="66">
        <v>77001705</v>
      </c>
      <c r="D2222" s="65" t="s">
        <v>1265</v>
      </c>
      <c r="E2222" s="65" t="s">
        <v>1266</v>
      </c>
      <c r="F2222" s="62">
        <v>1</v>
      </c>
      <c r="G2222" s="62">
        <v>0</v>
      </c>
      <c r="H2222" s="66">
        <v>0</v>
      </c>
      <c r="I2222" s="68">
        <v>0</v>
      </c>
      <c r="J2222" s="62">
        <v>1</v>
      </c>
      <c r="K2222" s="62">
        <v>0</v>
      </c>
      <c r="L2222" s="62">
        <v>0</v>
      </c>
      <c r="M2222" s="66">
        <v>0</v>
      </c>
      <c r="N2222" s="66">
        <v>0</v>
      </c>
      <c r="O2222" s="66">
        <v>2</v>
      </c>
      <c r="P2222" s="66">
        <v>1</v>
      </c>
      <c r="Q2222" s="66">
        <v>1</v>
      </c>
      <c r="R2222" s="66">
        <v>0</v>
      </c>
      <c r="S2222" s="70">
        <v>0</v>
      </c>
      <c r="T2222" s="68">
        <v>0</v>
      </c>
      <c r="U2222" s="62">
        <v>1</v>
      </c>
      <c r="V2222" s="66">
        <v>1</v>
      </c>
      <c r="W2222" s="66">
        <v>0</v>
      </c>
      <c r="X2222" s="66">
        <v>1.5</v>
      </c>
      <c r="Y2222" s="13">
        <v>0</v>
      </c>
      <c r="Z2222" s="66">
        <v>0</v>
      </c>
      <c r="AA2222" s="66">
        <v>1</v>
      </c>
      <c r="AB2222" s="66">
        <v>0</v>
      </c>
      <c r="AC2222" s="66">
        <v>0</v>
      </c>
      <c r="AD2222" s="66">
        <v>0</v>
      </c>
      <c r="AE2222" s="66">
        <v>0</v>
      </c>
      <c r="AF2222" s="66">
        <v>0</v>
      </c>
      <c r="AG2222" s="66">
        <v>1</v>
      </c>
      <c r="AH2222" s="79">
        <v>4</v>
      </c>
      <c r="AI2222" s="70">
        <v>0</v>
      </c>
      <c r="AJ2222" s="70">
        <v>1</v>
      </c>
      <c r="AK2222" s="70">
        <v>0</v>
      </c>
      <c r="AL2222" s="70">
        <v>5</v>
      </c>
      <c r="AM2222" s="66">
        <v>0</v>
      </c>
      <c r="AN2222" s="66">
        <v>1</v>
      </c>
      <c r="AO2222" s="66">
        <v>0</v>
      </c>
      <c r="AP2222" s="66">
        <v>0.6</v>
      </c>
      <c r="AQ2222" s="66">
        <v>2000</v>
      </c>
      <c r="AR2222" s="66">
        <v>0.6</v>
      </c>
      <c r="AS2222" s="66">
        <v>0</v>
      </c>
      <c r="AT2222" s="70">
        <v>0</v>
      </c>
      <c r="AU2222" s="346" t="s">
        <v>5137</v>
      </c>
      <c r="AV2222" s="66"/>
      <c r="AW2222" s="65" t="s">
        <v>287</v>
      </c>
      <c r="AX2222" s="66" t="s">
        <v>545</v>
      </c>
      <c r="AY2222" s="66">
        <v>10001005</v>
      </c>
      <c r="AZ2222" s="66">
        <v>77001701</v>
      </c>
      <c r="BA2222" s="65" t="s">
        <v>200</v>
      </c>
      <c r="BB2222" s="65">
        <v>0</v>
      </c>
      <c r="BC2222" s="68">
        <v>0</v>
      </c>
      <c r="BD2222" s="68">
        <v>0</v>
      </c>
      <c r="BE2222" s="209" t="s">
        <v>1269</v>
      </c>
      <c r="BF2222" s="209" t="s">
        <v>1270</v>
      </c>
      <c r="BG2222" s="66">
        <v>0</v>
      </c>
      <c r="BH2222" s="62">
        <v>0</v>
      </c>
      <c r="BI2222" s="66">
        <v>0</v>
      </c>
      <c r="BJ2222" s="66">
        <v>0</v>
      </c>
      <c r="BK2222" s="66">
        <v>0</v>
      </c>
      <c r="BL2222" s="66">
        <v>0</v>
      </c>
      <c r="BM2222" s="95">
        <v>0</v>
      </c>
      <c r="BN2222" s="70">
        <v>0</v>
      </c>
      <c r="BO2222" s="70">
        <v>0</v>
      </c>
      <c r="BP2222" s="70">
        <v>0</v>
      </c>
      <c r="BQ2222" s="70">
        <v>0</v>
      </c>
      <c r="BR2222" s="70">
        <v>0</v>
      </c>
      <c r="BS2222" s="70">
        <v>0</v>
      </c>
      <c r="BT2222" s="70">
        <v>0</v>
      </c>
      <c r="BU2222" s="49">
        <v>0</v>
      </c>
      <c r="BV2222" s="49"/>
      <c r="BW2222" s="49"/>
    </row>
    <row r="2223" spans="1:75" ht="20.100000000000001" customHeight="1">
      <c r="C2223" s="66">
        <v>77001706</v>
      </c>
      <c r="D2223" s="65" t="s">
        <v>1265</v>
      </c>
      <c r="E2223" s="65" t="s">
        <v>1266</v>
      </c>
      <c r="F2223" s="62">
        <v>1</v>
      </c>
      <c r="G2223" s="62">
        <v>0</v>
      </c>
      <c r="H2223" s="66">
        <v>0</v>
      </c>
      <c r="I2223" s="68">
        <v>0</v>
      </c>
      <c r="J2223" s="62">
        <v>1</v>
      </c>
      <c r="K2223" s="62">
        <v>0</v>
      </c>
      <c r="L2223" s="62">
        <v>0</v>
      </c>
      <c r="M2223" s="66">
        <v>0</v>
      </c>
      <c r="N2223" s="66">
        <v>0</v>
      </c>
      <c r="O2223" s="66">
        <v>2</v>
      </c>
      <c r="P2223" s="66">
        <v>16</v>
      </c>
      <c r="Q2223" s="66">
        <v>10</v>
      </c>
      <c r="R2223" s="66">
        <v>0</v>
      </c>
      <c r="S2223" s="70">
        <v>0</v>
      </c>
      <c r="T2223" s="68">
        <v>0</v>
      </c>
      <c r="U2223" s="62">
        <v>1</v>
      </c>
      <c r="V2223" s="66">
        <v>2</v>
      </c>
      <c r="W2223" s="66">
        <v>0</v>
      </c>
      <c r="X2223" s="66">
        <v>2.6</v>
      </c>
      <c r="Y2223" s="13">
        <v>0</v>
      </c>
      <c r="Z2223" s="66">
        <v>0</v>
      </c>
      <c r="AA2223" s="66">
        <v>1</v>
      </c>
      <c r="AB2223" s="66">
        <v>0</v>
      </c>
      <c r="AC2223" s="66">
        <v>0</v>
      </c>
      <c r="AD2223" s="66">
        <v>0</v>
      </c>
      <c r="AE2223" s="66">
        <v>0</v>
      </c>
      <c r="AF2223" s="66">
        <v>0</v>
      </c>
      <c r="AG2223" s="66">
        <v>2</v>
      </c>
      <c r="AH2223" s="66" t="s">
        <v>213</v>
      </c>
      <c r="AI2223" s="70">
        <v>0</v>
      </c>
      <c r="AJ2223" s="70">
        <v>2</v>
      </c>
      <c r="AK2223" s="70">
        <v>0</v>
      </c>
      <c r="AL2223" s="70">
        <v>3</v>
      </c>
      <c r="AM2223" s="66">
        <v>0</v>
      </c>
      <c r="AN2223" s="66">
        <v>0</v>
      </c>
      <c r="AO2223" s="66">
        <v>0</v>
      </c>
      <c r="AP2223" s="66">
        <v>1</v>
      </c>
      <c r="AQ2223" s="66">
        <v>2000</v>
      </c>
      <c r="AR2223" s="66">
        <v>1</v>
      </c>
      <c r="AS2223" s="66">
        <v>0</v>
      </c>
      <c r="AT2223" s="70">
        <v>0</v>
      </c>
      <c r="AU2223" s="66">
        <v>97007001</v>
      </c>
      <c r="AV2223" s="66"/>
      <c r="AW2223" s="65" t="s">
        <v>287</v>
      </c>
      <c r="AX2223" s="66" t="s">
        <v>534</v>
      </c>
      <c r="AY2223" s="66">
        <v>10000015</v>
      </c>
      <c r="AZ2223" s="66">
        <v>77001702</v>
      </c>
      <c r="BA2223" s="61" t="s">
        <v>200</v>
      </c>
      <c r="BB2223" s="65">
        <v>0</v>
      </c>
      <c r="BC2223" s="68">
        <v>0</v>
      </c>
      <c r="BD2223" s="68">
        <v>0</v>
      </c>
      <c r="BE2223" s="209" t="s">
        <v>2369</v>
      </c>
      <c r="BF2223" s="209" t="s">
        <v>2370</v>
      </c>
      <c r="BG2223" s="66">
        <v>0</v>
      </c>
      <c r="BH2223" s="62">
        <v>0</v>
      </c>
      <c r="BI2223" s="66">
        <v>0</v>
      </c>
      <c r="BJ2223" s="66">
        <v>0</v>
      </c>
      <c r="BK2223" s="66">
        <v>0</v>
      </c>
      <c r="BL2223" s="66">
        <v>0</v>
      </c>
      <c r="BM2223" s="95">
        <v>0</v>
      </c>
      <c r="BN2223" s="70">
        <v>1</v>
      </c>
      <c r="BO2223" s="70">
        <v>0</v>
      </c>
      <c r="BP2223" s="70">
        <v>0</v>
      </c>
      <c r="BQ2223" s="70">
        <v>0</v>
      </c>
      <c r="BR2223" s="70">
        <v>0</v>
      </c>
      <c r="BS2223" s="70">
        <v>0</v>
      </c>
      <c r="BT2223" s="70">
        <v>0</v>
      </c>
      <c r="BU2223" s="49">
        <v>0</v>
      </c>
      <c r="BV2223" s="49"/>
      <c r="BW2223" s="49"/>
    </row>
    <row r="2224" spans="1:75" ht="20.100000000000001" customHeight="1">
      <c r="C2224" s="66">
        <v>77001707</v>
      </c>
      <c r="D2224" s="61" t="s">
        <v>5147</v>
      </c>
      <c r="E2224" s="149" t="s">
        <v>5148</v>
      </c>
      <c r="F2224" s="95">
        <v>1</v>
      </c>
      <c r="G2224" s="62">
        <v>0</v>
      </c>
      <c r="H2224" s="62">
        <v>0</v>
      </c>
      <c r="I2224" s="68">
        <v>0</v>
      </c>
      <c r="J2224" s="66">
        <v>1</v>
      </c>
      <c r="K2224" s="66">
        <v>0</v>
      </c>
      <c r="L2224" s="66">
        <v>0</v>
      </c>
      <c r="M2224" s="62">
        <v>0</v>
      </c>
      <c r="N2224" s="62">
        <v>0</v>
      </c>
      <c r="O2224" s="62">
        <v>2</v>
      </c>
      <c r="P2224" s="62">
        <v>2</v>
      </c>
      <c r="Q2224" s="62">
        <v>0.5</v>
      </c>
      <c r="R2224" s="62">
        <v>0</v>
      </c>
      <c r="S2224" s="70">
        <v>0</v>
      </c>
      <c r="T2224" s="62">
        <v>0</v>
      </c>
      <c r="U2224" s="62">
        <v>1</v>
      </c>
      <c r="V2224" s="95">
        <v>1</v>
      </c>
      <c r="W2224" s="62">
        <v>0</v>
      </c>
      <c r="X2224" s="62">
        <v>3</v>
      </c>
      <c r="Y2224" s="13">
        <v>0</v>
      </c>
      <c r="Z2224" s="62">
        <v>0</v>
      </c>
      <c r="AA2224" s="62">
        <v>1</v>
      </c>
      <c r="AB2224" s="62">
        <v>0</v>
      </c>
      <c r="AC2224" s="62">
        <v>0</v>
      </c>
      <c r="AD2224" s="62">
        <v>0</v>
      </c>
      <c r="AE2224" s="62">
        <v>1</v>
      </c>
      <c r="AF2224" s="62">
        <v>30</v>
      </c>
      <c r="AG2224" s="62">
        <v>1</v>
      </c>
      <c r="AH2224" s="62">
        <v>6</v>
      </c>
      <c r="AI2224" s="70">
        <v>0</v>
      </c>
      <c r="AJ2224" s="70">
        <v>1</v>
      </c>
      <c r="AK2224" s="70">
        <v>0</v>
      </c>
      <c r="AL2224" s="70">
        <v>3</v>
      </c>
      <c r="AM2224" s="62">
        <v>0</v>
      </c>
      <c r="AN2224" s="62">
        <v>1</v>
      </c>
      <c r="AO2224" s="62">
        <v>0</v>
      </c>
      <c r="AP2224" s="62">
        <v>1</v>
      </c>
      <c r="AQ2224" s="62">
        <v>3000</v>
      </c>
      <c r="AR2224" s="62">
        <v>1</v>
      </c>
      <c r="AS2224" s="62">
        <v>0</v>
      </c>
      <c r="AT2224" s="356" t="s">
        <v>5149</v>
      </c>
      <c r="AU2224" s="348" t="s">
        <v>5137</v>
      </c>
      <c r="AV2224" s="81"/>
      <c r="AW2224" s="61" t="s">
        <v>617</v>
      </c>
      <c r="AX2224" s="62" t="s">
        <v>215</v>
      </c>
      <c r="AY2224" s="66">
        <v>10000011</v>
      </c>
      <c r="AZ2224" s="66">
        <v>77001703</v>
      </c>
      <c r="BA2224" s="65" t="s">
        <v>200</v>
      </c>
      <c r="BB2224" s="62">
        <v>0</v>
      </c>
      <c r="BC2224" s="68">
        <v>0</v>
      </c>
      <c r="BD2224" s="68">
        <v>0</v>
      </c>
      <c r="BE2224" s="92" t="s">
        <v>5150</v>
      </c>
      <c r="BF2224" s="92" t="s">
        <v>5151</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spans="3:75" ht="19.5" customHeight="1">
      <c r="C2225" s="66">
        <v>77001708</v>
      </c>
      <c r="D2225" s="61" t="s">
        <v>5152</v>
      </c>
      <c r="E2225" s="61" t="s">
        <v>5153</v>
      </c>
      <c r="F2225" s="66">
        <v>1</v>
      </c>
      <c r="G2225" s="62">
        <v>0</v>
      </c>
      <c r="H2225" s="66">
        <v>0</v>
      </c>
      <c r="I2225" s="68">
        <v>0</v>
      </c>
      <c r="J2225" s="66">
        <v>1</v>
      </c>
      <c r="K2225" s="66">
        <v>0</v>
      </c>
      <c r="L2225" s="66">
        <v>0</v>
      </c>
      <c r="M2225" s="62">
        <v>0</v>
      </c>
      <c r="N2225" s="62">
        <v>0</v>
      </c>
      <c r="O2225" s="62">
        <v>2</v>
      </c>
      <c r="P2225" s="62">
        <v>3</v>
      </c>
      <c r="Q2225" s="62">
        <v>0.4</v>
      </c>
      <c r="R2225" s="62">
        <v>0</v>
      </c>
      <c r="S2225" s="70">
        <v>0</v>
      </c>
      <c r="T2225" s="62">
        <v>0</v>
      </c>
      <c r="U2225" s="62">
        <v>1</v>
      </c>
      <c r="V2225" s="62">
        <v>1</v>
      </c>
      <c r="W2225" s="62">
        <v>0</v>
      </c>
      <c r="X2225" s="62">
        <v>0</v>
      </c>
      <c r="Y2225" s="13">
        <v>0</v>
      </c>
      <c r="Z2225" s="62">
        <v>0</v>
      </c>
      <c r="AA2225" s="62">
        <v>0</v>
      </c>
      <c r="AB2225" s="62">
        <v>0</v>
      </c>
      <c r="AC2225" s="62">
        <v>0</v>
      </c>
      <c r="AD2225" s="62">
        <v>0</v>
      </c>
      <c r="AE2225" s="62">
        <v>1</v>
      </c>
      <c r="AF2225" s="62">
        <v>0</v>
      </c>
      <c r="AG2225" s="62">
        <v>1</v>
      </c>
      <c r="AH2225" s="62">
        <v>2</v>
      </c>
      <c r="AI2225" s="70">
        <v>0</v>
      </c>
      <c r="AJ2225" s="70">
        <v>1</v>
      </c>
      <c r="AK2225" s="70">
        <v>0</v>
      </c>
      <c r="AL2225" s="70">
        <v>3</v>
      </c>
      <c r="AM2225" s="62">
        <v>0</v>
      </c>
      <c r="AN2225" s="62">
        <v>0</v>
      </c>
      <c r="AO2225" s="62">
        <v>0</v>
      </c>
      <c r="AP2225" s="62">
        <v>0.3</v>
      </c>
      <c r="AQ2225" s="62">
        <v>300</v>
      </c>
      <c r="AR2225" s="62">
        <v>0</v>
      </c>
      <c r="AS2225" s="62">
        <v>0</v>
      </c>
      <c r="AT2225" s="70">
        <v>0</v>
      </c>
      <c r="AU2225" s="81">
        <v>0</v>
      </c>
      <c r="AV2225" s="81"/>
      <c r="AW2225" s="61" t="s">
        <v>198</v>
      </c>
      <c r="AX2225" s="62">
        <v>0</v>
      </c>
      <c r="AY2225" s="66">
        <v>0</v>
      </c>
      <c r="AZ2225" s="66">
        <v>0</v>
      </c>
      <c r="BA2225" s="61" t="s">
        <v>528</v>
      </c>
      <c r="BB2225" s="369" t="s">
        <v>5154</v>
      </c>
      <c r="BC2225" s="68">
        <v>0</v>
      </c>
      <c r="BD2225" s="68">
        <v>0</v>
      </c>
      <c r="BE2225" s="92" t="s">
        <v>5155</v>
      </c>
      <c r="BF2225" s="92" t="s">
        <v>5156</v>
      </c>
      <c r="BG2225" s="62">
        <v>0</v>
      </c>
      <c r="BH2225" s="62">
        <v>0</v>
      </c>
      <c r="BI2225" s="62">
        <v>0</v>
      </c>
      <c r="BJ2225" s="62">
        <v>0</v>
      </c>
      <c r="BK2225" s="62">
        <v>0</v>
      </c>
      <c r="BL2225" s="62">
        <v>0</v>
      </c>
      <c r="BM2225" s="95">
        <v>0</v>
      </c>
      <c r="BN2225" s="70">
        <v>0</v>
      </c>
      <c r="BO2225" s="70">
        <v>0</v>
      </c>
      <c r="BP2225" s="70">
        <v>0</v>
      </c>
      <c r="BQ2225" s="70">
        <v>0</v>
      </c>
      <c r="BR2225" s="70">
        <v>0</v>
      </c>
      <c r="BS2225" s="70">
        <v>1</v>
      </c>
      <c r="BT2225" s="70">
        <v>0</v>
      </c>
      <c r="BU2225" s="49">
        <v>0</v>
      </c>
      <c r="BV2225" s="49"/>
      <c r="BW2225" s="49"/>
    </row>
    <row r="2226" spans="3:75" ht="19.5" customHeight="1">
      <c r="C2226" s="66">
        <v>77001709</v>
      </c>
      <c r="D2226" s="61" t="s">
        <v>5157</v>
      </c>
      <c r="E2226" s="61" t="s">
        <v>5158</v>
      </c>
      <c r="F2226" s="66">
        <v>1</v>
      </c>
      <c r="G2226" s="66">
        <v>0</v>
      </c>
      <c r="H2226" s="66">
        <v>0</v>
      </c>
      <c r="I2226" s="68">
        <v>0</v>
      </c>
      <c r="J2226" s="66">
        <v>1</v>
      </c>
      <c r="K2226" s="66">
        <v>0</v>
      </c>
      <c r="L2226" s="66">
        <v>0</v>
      </c>
      <c r="M2226" s="62">
        <v>0</v>
      </c>
      <c r="N2226" s="62">
        <v>0</v>
      </c>
      <c r="O2226" s="62">
        <v>2</v>
      </c>
      <c r="P2226" s="62">
        <v>2</v>
      </c>
      <c r="Q2226" s="62">
        <v>0.7</v>
      </c>
      <c r="R2226" s="62">
        <v>0</v>
      </c>
      <c r="S2226" s="70">
        <v>0</v>
      </c>
      <c r="T2226" s="62">
        <v>0</v>
      </c>
      <c r="U2226" s="62">
        <v>1</v>
      </c>
      <c r="V2226" s="62">
        <v>2</v>
      </c>
      <c r="W2226" s="62">
        <v>0</v>
      </c>
      <c r="X2226" s="62">
        <v>1.5</v>
      </c>
      <c r="Y2226" s="13">
        <v>0</v>
      </c>
      <c r="Z2226" s="62">
        <v>0</v>
      </c>
      <c r="AA2226" s="62">
        <v>1</v>
      </c>
      <c r="AB2226" s="62">
        <v>0</v>
      </c>
      <c r="AC2226" s="62">
        <v>0</v>
      </c>
      <c r="AD2226" s="62">
        <v>1</v>
      </c>
      <c r="AE2226" s="62">
        <v>0</v>
      </c>
      <c r="AF2226" s="62">
        <v>9</v>
      </c>
      <c r="AG2226" s="62">
        <v>1</v>
      </c>
      <c r="AH2226" s="62">
        <v>3</v>
      </c>
      <c r="AI2226" s="70">
        <v>4</v>
      </c>
      <c r="AJ2226" s="70">
        <v>1</v>
      </c>
      <c r="AK2226" s="70">
        <v>0</v>
      </c>
      <c r="AL2226" s="70">
        <v>1.5</v>
      </c>
      <c r="AM2226" s="62">
        <v>0</v>
      </c>
      <c r="AN2226" s="62">
        <v>0</v>
      </c>
      <c r="AO2226" s="62">
        <v>0</v>
      </c>
      <c r="AP2226" s="62">
        <v>0</v>
      </c>
      <c r="AQ2226" s="62">
        <v>6000</v>
      </c>
      <c r="AR2226" s="62">
        <v>1</v>
      </c>
      <c r="AS2226" s="62">
        <v>0</v>
      </c>
      <c r="AT2226" s="70">
        <v>0</v>
      </c>
      <c r="AU2226" s="348" t="s">
        <v>5159</v>
      </c>
      <c r="AV2226" s="81"/>
      <c r="AW2226" s="65" t="s">
        <v>199</v>
      </c>
      <c r="AX2226" s="62" t="s">
        <v>534</v>
      </c>
      <c r="AY2226" s="66">
        <v>0</v>
      </c>
      <c r="AZ2226" s="346" t="s">
        <v>5160</v>
      </c>
      <c r="BA2226" s="61" t="s">
        <v>200</v>
      </c>
      <c r="BB2226" s="62" t="s">
        <v>5161</v>
      </c>
      <c r="BC2226" s="68">
        <v>0</v>
      </c>
      <c r="BD2226" s="68">
        <v>0</v>
      </c>
      <c r="BE2226" s="92" t="s">
        <v>5162</v>
      </c>
      <c r="BF2226" s="92" t="s">
        <v>5163</v>
      </c>
      <c r="BG2226" s="62">
        <v>0</v>
      </c>
      <c r="BH2226" s="62">
        <v>0</v>
      </c>
      <c r="BI2226" s="62">
        <v>0</v>
      </c>
      <c r="BJ2226" s="62">
        <v>0</v>
      </c>
      <c r="BK2226" s="62">
        <v>0</v>
      </c>
      <c r="BL2226" s="62">
        <v>0</v>
      </c>
      <c r="BM2226" s="95">
        <v>0</v>
      </c>
      <c r="BN2226" s="70">
        <v>0</v>
      </c>
      <c r="BO2226" s="70">
        <v>0</v>
      </c>
      <c r="BP2226" s="70">
        <v>0</v>
      </c>
      <c r="BQ2226" s="70">
        <v>0</v>
      </c>
      <c r="BR2226" s="70">
        <v>0</v>
      </c>
      <c r="BS2226" s="70">
        <v>0</v>
      </c>
      <c r="BT2226" s="70">
        <v>0</v>
      </c>
      <c r="BU2226" s="49">
        <v>0</v>
      </c>
      <c r="BV2226" s="49"/>
      <c r="BW2226" s="49"/>
    </row>
    <row r="2227" spans="3:75" ht="20.100000000000001" customHeight="1">
      <c r="C2227" s="66">
        <v>77001710</v>
      </c>
      <c r="D2227" s="61" t="s">
        <v>1265</v>
      </c>
      <c r="E2227" s="61" t="s">
        <v>1266</v>
      </c>
      <c r="F2227" s="62">
        <v>1</v>
      </c>
      <c r="G2227" s="62">
        <v>0</v>
      </c>
      <c r="H2227" s="62">
        <v>0</v>
      </c>
      <c r="I2227" s="68">
        <v>0</v>
      </c>
      <c r="J2227" s="66">
        <v>1</v>
      </c>
      <c r="K2227" s="62">
        <v>0</v>
      </c>
      <c r="L2227" s="62">
        <v>0</v>
      </c>
      <c r="M2227" s="62">
        <v>0</v>
      </c>
      <c r="N2227" s="62">
        <v>0</v>
      </c>
      <c r="O2227" s="62">
        <v>2</v>
      </c>
      <c r="P2227" s="62">
        <v>3</v>
      </c>
      <c r="Q2227" s="62">
        <v>0.2</v>
      </c>
      <c r="R2227" s="62">
        <v>0</v>
      </c>
      <c r="S2227" s="70">
        <v>0</v>
      </c>
      <c r="T2227" s="62">
        <v>0</v>
      </c>
      <c r="U2227" s="62">
        <v>1</v>
      </c>
      <c r="V2227" s="62">
        <v>1</v>
      </c>
      <c r="W2227" s="62">
        <v>0</v>
      </c>
      <c r="X2227" s="62">
        <v>2</v>
      </c>
      <c r="Y2227" s="13">
        <v>0</v>
      </c>
      <c r="Z2227" s="62">
        <v>0</v>
      </c>
      <c r="AA2227" s="62">
        <v>1</v>
      </c>
      <c r="AB2227" s="62">
        <v>0</v>
      </c>
      <c r="AC2227" s="62">
        <v>0</v>
      </c>
      <c r="AD2227" s="62">
        <v>0</v>
      </c>
      <c r="AE2227" s="62">
        <v>1</v>
      </c>
      <c r="AF2227" s="62">
        <v>6</v>
      </c>
      <c r="AG2227" s="62">
        <v>1</v>
      </c>
      <c r="AH2227" s="62">
        <v>4</v>
      </c>
      <c r="AI2227" s="70">
        <v>0</v>
      </c>
      <c r="AJ2227" s="70">
        <v>1</v>
      </c>
      <c r="AK2227" s="70">
        <v>0</v>
      </c>
      <c r="AL2227" s="70">
        <v>2</v>
      </c>
      <c r="AM2227" s="62">
        <v>0</v>
      </c>
      <c r="AN2227" s="62">
        <v>0</v>
      </c>
      <c r="AO2227" s="62">
        <v>0</v>
      </c>
      <c r="AP2227" s="62">
        <v>0.6</v>
      </c>
      <c r="AQ2227" s="62">
        <v>600</v>
      </c>
      <c r="AR2227" s="62">
        <v>0.6</v>
      </c>
      <c r="AS2227" s="62">
        <v>0</v>
      </c>
      <c r="AT2227" s="70">
        <v>97007009</v>
      </c>
      <c r="AU2227" s="62">
        <v>97007001</v>
      </c>
      <c r="AV2227" s="62"/>
      <c r="AW2227" s="61" t="s">
        <v>198</v>
      </c>
      <c r="AX2227" s="62" t="s">
        <v>534</v>
      </c>
      <c r="AY2227" s="66">
        <v>10000001</v>
      </c>
      <c r="AZ2227" s="66">
        <v>77001701</v>
      </c>
      <c r="BA2227" s="61" t="s">
        <v>771</v>
      </c>
      <c r="BB2227" s="62">
        <v>0</v>
      </c>
      <c r="BC2227" s="68">
        <v>0</v>
      </c>
      <c r="BD2227" s="68">
        <v>0</v>
      </c>
      <c r="BE2227" s="123" t="s">
        <v>5164</v>
      </c>
      <c r="BF2227" s="123" t="s">
        <v>5165</v>
      </c>
      <c r="BG2227" s="62">
        <v>0</v>
      </c>
      <c r="BH2227" s="62">
        <v>0</v>
      </c>
      <c r="BI2227" s="62">
        <v>0</v>
      </c>
      <c r="BJ2227" s="62">
        <v>0</v>
      </c>
      <c r="BK2227" s="62">
        <v>0</v>
      </c>
      <c r="BL2227" s="62">
        <v>0</v>
      </c>
      <c r="BM2227" s="95">
        <v>0</v>
      </c>
      <c r="BN2227" s="70">
        <v>0</v>
      </c>
      <c r="BO2227" s="70">
        <v>0</v>
      </c>
      <c r="BP2227" s="70">
        <v>0</v>
      </c>
      <c r="BQ2227" s="70">
        <v>0</v>
      </c>
      <c r="BR2227" s="70">
        <v>0</v>
      </c>
      <c r="BS2227" s="70">
        <v>0</v>
      </c>
      <c r="BT2227" s="70">
        <v>77001709</v>
      </c>
      <c r="BU2227" s="49">
        <v>0</v>
      </c>
      <c r="BV2227" s="49"/>
      <c r="BW2227" s="49"/>
    </row>
    <row r="2228" spans="3:75" ht="19.5" customHeight="1">
      <c r="C2228" s="66">
        <v>77001711</v>
      </c>
      <c r="D2228" s="61" t="s">
        <v>5157</v>
      </c>
      <c r="E2228" s="61" t="s">
        <v>5158</v>
      </c>
      <c r="F2228" s="66">
        <v>1</v>
      </c>
      <c r="G2228" s="66">
        <v>0</v>
      </c>
      <c r="H2228" s="66">
        <v>0</v>
      </c>
      <c r="I2228" s="68">
        <v>0</v>
      </c>
      <c r="J2228" s="66">
        <v>1</v>
      </c>
      <c r="K2228" s="66">
        <v>0</v>
      </c>
      <c r="L2228" s="66">
        <v>0</v>
      </c>
      <c r="M2228" s="62">
        <v>0</v>
      </c>
      <c r="N2228" s="62">
        <v>0</v>
      </c>
      <c r="O2228" s="62">
        <v>2</v>
      </c>
      <c r="P2228" s="62">
        <v>2</v>
      </c>
      <c r="Q2228" s="62">
        <v>0.7</v>
      </c>
      <c r="R2228" s="62">
        <v>0</v>
      </c>
      <c r="S2228" s="70">
        <v>0</v>
      </c>
      <c r="T2228" s="62">
        <v>0</v>
      </c>
      <c r="U2228" s="62">
        <v>1</v>
      </c>
      <c r="V2228" s="62">
        <v>2</v>
      </c>
      <c r="W2228" s="62">
        <v>0</v>
      </c>
      <c r="X2228" s="62">
        <v>1.5</v>
      </c>
      <c r="Y2228" s="13">
        <v>0</v>
      </c>
      <c r="Z2228" s="62">
        <v>0</v>
      </c>
      <c r="AA2228" s="62">
        <v>1</v>
      </c>
      <c r="AB2228" s="62">
        <v>0</v>
      </c>
      <c r="AC2228" s="62">
        <v>0</v>
      </c>
      <c r="AD2228" s="62">
        <v>1</v>
      </c>
      <c r="AE2228" s="62">
        <v>0</v>
      </c>
      <c r="AF2228" s="62">
        <v>9</v>
      </c>
      <c r="AG2228" s="62">
        <v>1</v>
      </c>
      <c r="AH2228" s="62">
        <v>3</v>
      </c>
      <c r="AI2228" s="70">
        <v>4</v>
      </c>
      <c r="AJ2228" s="70">
        <v>1</v>
      </c>
      <c r="AK2228" s="70">
        <v>0</v>
      </c>
      <c r="AL2228" s="70">
        <v>1.5</v>
      </c>
      <c r="AM2228" s="62">
        <v>0</v>
      </c>
      <c r="AN2228" s="62">
        <v>0</v>
      </c>
      <c r="AO2228" s="62">
        <v>0</v>
      </c>
      <c r="AP2228" s="62">
        <v>0</v>
      </c>
      <c r="AQ2228" s="62">
        <v>6000</v>
      </c>
      <c r="AR2228" s="62">
        <v>1</v>
      </c>
      <c r="AS2228" s="62">
        <v>0</v>
      </c>
      <c r="AT2228" s="70">
        <v>0</v>
      </c>
      <c r="AU2228" s="348" t="s">
        <v>5159</v>
      </c>
      <c r="AV2228" s="81"/>
      <c r="AW2228" s="65" t="s">
        <v>199</v>
      </c>
      <c r="AX2228" s="62" t="s">
        <v>534</v>
      </c>
      <c r="AY2228" s="66">
        <v>0</v>
      </c>
      <c r="AZ2228" s="346" t="s">
        <v>5160</v>
      </c>
      <c r="BA2228" s="61" t="s">
        <v>200</v>
      </c>
      <c r="BB2228" s="62" t="s">
        <v>5166</v>
      </c>
      <c r="BC2228" s="68">
        <v>0</v>
      </c>
      <c r="BD2228" s="68">
        <v>0</v>
      </c>
      <c r="BE2228" s="92" t="s">
        <v>5167</v>
      </c>
      <c r="BF2228" s="92" t="s">
        <v>5168</v>
      </c>
      <c r="BG2228" s="62">
        <v>0</v>
      </c>
      <c r="BH2228" s="62">
        <v>0</v>
      </c>
      <c r="BI2228" s="62">
        <v>0</v>
      </c>
      <c r="BJ2228" s="62">
        <v>0</v>
      </c>
      <c r="BK2228" s="62">
        <v>0</v>
      </c>
      <c r="BL2228" s="62">
        <v>0</v>
      </c>
      <c r="BM2228" s="95">
        <v>0</v>
      </c>
      <c r="BN2228" s="70">
        <v>0</v>
      </c>
      <c r="BO2228" s="70">
        <v>0</v>
      </c>
      <c r="BP2228" s="70">
        <v>0</v>
      </c>
      <c r="BQ2228" s="70">
        <v>0</v>
      </c>
      <c r="BR2228" s="70">
        <v>0</v>
      </c>
      <c r="BS2228" s="70">
        <v>0</v>
      </c>
      <c r="BT2228" s="70">
        <v>0</v>
      </c>
      <c r="BU2228" s="49">
        <v>0</v>
      </c>
      <c r="BV2228" s="49"/>
      <c r="BW2228" s="49"/>
    </row>
    <row r="2229" spans="3:75" ht="18.75" customHeight="1">
      <c r="C2229" s="307">
        <v>77001801</v>
      </c>
      <c r="D2229" s="308" t="s">
        <v>5169</v>
      </c>
      <c r="E2229" s="308" t="s">
        <v>5170</v>
      </c>
      <c r="F2229" s="307">
        <v>1</v>
      </c>
      <c r="G2229" s="309">
        <v>0</v>
      </c>
      <c r="H2229" s="307">
        <v>0</v>
      </c>
      <c r="I2229" s="313">
        <v>0</v>
      </c>
      <c r="J2229" s="307">
        <v>1</v>
      </c>
      <c r="K2229" s="307">
        <v>0</v>
      </c>
      <c r="L2229" s="307">
        <v>0</v>
      </c>
      <c r="M2229" s="309">
        <v>0</v>
      </c>
      <c r="N2229" s="309">
        <v>0</v>
      </c>
      <c r="O2229" s="309">
        <v>2</v>
      </c>
      <c r="P2229" s="309">
        <v>2</v>
      </c>
      <c r="Q2229" s="309">
        <v>0.99</v>
      </c>
      <c r="R2229" s="309">
        <v>0</v>
      </c>
      <c r="S2229" s="314">
        <v>0</v>
      </c>
      <c r="T2229" s="309">
        <v>0</v>
      </c>
      <c r="U2229" s="309">
        <v>1</v>
      </c>
      <c r="V2229" s="309">
        <v>2</v>
      </c>
      <c r="W2229" s="309">
        <v>0</v>
      </c>
      <c r="X2229" s="309">
        <v>1.5</v>
      </c>
      <c r="Y2229" s="13">
        <v>0</v>
      </c>
      <c r="Z2229" s="309">
        <v>0</v>
      </c>
      <c r="AA2229" s="309">
        <v>1</v>
      </c>
      <c r="AB2229" s="309">
        <v>0</v>
      </c>
      <c r="AC2229" s="309">
        <v>0</v>
      </c>
      <c r="AD2229" s="309">
        <v>1</v>
      </c>
      <c r="AE2229" s="309">
        <v>0</v>
      </c>
      <c r="AF2229" s="309">
        <v>8</v>
      </c>
      <c r="AG2229" s="309">
        <v>1</v>
      </c>
      <c r="AH2229" s="309">
        <v>3</v>
      </c>
      <c r="AI2229" s="314">
        <v>3</v>
      </c>
      <c r="AJ2229" s="314">
        <v>1</v>
      </c>
      <c r="AK2229" s="314">
        <v>0</v>
      </c>
      <c r="AL2229" s="314">
        <v>1.5</v>
      </c>
      <c r="AM2229" s="309">
        <v>0</v>
      </c>
      <c r="AN2229" s="309">
        <v>0</v>
      </c>
      <c r="AO2229" s="309">
        <v>0</v>
      </c>
      <c r="AP2229" s="309">
        <v>0.8</v>
      </c>
      <c r="AQ2229" s="309">
        <v>6000</v>
      </c>
      <c r="AR2229" s="309">
        <v>0.8</v>
      </c>
      <c r="AS2229" s="309">
        <v>0</v>
      </c>
      <c r="AT2229" s="314">
        <v>0</v>
      </c>
      <c r="AU2229" s="386" t="s">
        <v>5171</v>
      </c>
      <c r="AV2229" s="315"/>
      <c r="AW2229" s="317" t="s">
        <v>199</v>
      </c>
      <c r="AX2229" s="309" t="s">
        <v>534</v>
      </c>
      <c r="AY2229" s="307">
        <v>0</v>
      </c>
      <c r="AZ2229" s="307">
        <v>77001801</v>
      </c>
      <c r="BA2229" s="308" t="s">
        <v>200</v>
      </c>
      <c r="BB2229" s="309" t="s">
        <v>5172</v>
      </c>
      <c r="BC2229" s="313">
        <v>0</v>
      </c>
      <c r="BD2229" s="313">
        <v>0</v>
      </c>
      <c r="BE2229" s="320" t="s">
        <v>5173</v>
      </c>
      <c r="BF2229" s="320" t="s">
        <v>5174</v>
      </c>
      <c r="BG2229" s="309">
        <v>0</v>
      </c>
      <c r="BH2229" s="309">
        <v>0</v>
      </c>
      <c r="BI2229" s="309">
        <v>0</v>
      </c>
      <c r="BJ2229" s="309">
        <v>0</v>
      </c>
      <c r="BK2229" s="309">
        <v>0</v>
      </c>
      <c r="BL2229" s="309">
        <v>0</v>
      </c>
      <c r="BM2229" s="312">
        <v>0</v>
      </c>
      <c r="BN2229" s="314">
        <v>0</v>
      </c>
      <c r="BO2229" s="314">
        <v>0</v>
      </c>
      <c r="BP2229" s="314">
        <v>0</v>
      </c>
      <c r="BQ2229" s="314">
        <v>0</v>
      </c>
      <c r="BR2229" s="314">
        <v>0</v>
      </c>
      <c r="BS2229" s="314">
        <v>0</v>
      </c>
      <c r="BT2229" s="314">
        <v>0</v>
      </c>
      <c r="BU2229" s="49">
        <v>0</v>
      </c>
      <c r="BV2229" s="49"/>
      <c r="BW2229" s="49"/>
    </row>
    <row r="2230" spans="3:75" ht="19.5" customHeight="1">
      <c r="C2230" s="307">
        <v>77001802</v>
      </c>
      <c r="D2230" s="308" t="s">
        <v>5175</v>
      </c>
      <c r="E2230" s="308" t="s">
        <v>5176</v>
      </c>
      <c r="F2230" s="307">
        <v>1</v>
      </c>
      <c r="G2230" s="309">
        <v>0</v>
      </c>
      <c r="H2230" s="307">
        <v>0</v>
      </c>
      <c r="I2230" s="313">
        <v>0</v>
      </c>
      <c r="J2230" s="307">
        <v>1</v>
      </c>
      <c r="K2230" s="307">
        <v>0</v>
      </c>
      <c r="L2230" s="307">
        <v>0</v>
      </c>
      <c r="M2230" s="309">
        <v>0</v>
      </c>
      <c r="N2230" s="309">
        <v>0</v>
      </c>
      <c r="O2230" s="312">
        <v>2</v>
      </c>
      <c r="P2230" s="309">
        <v>2</v>
      </c>
      <c r="Q2230" s="309">
        <v>0.7</v>
      </c>
      <c r="R2230" s="309">
        <v>0</v>
      </c>
      <c r="S2230" s="314">
        <v>0</v>
      </c>
      <c r="T2230" s="309">
        <v>0</v>
      </c>
      <c r="U2230" s="309">
        <v>1</v>
      </c>
      <c r="V2230" s="309">
        <v>1</v>
      </c>
      <c r="W2230" s="309">
        <v>0</v>
      </c>
      <c r="X2230" s="309">
        <v>0</v>
      </c>
      <c r="Y2230" s="13">
        <v>0</v>
      </c>
      <c r="Z2230" s="309">
        <v>0</v>
      </c>
      <c r="AA2230" s="309">
        <v>0</v>
      </c>
      <c r="AB2230" s="309">
        <v>0</v>
      </c>
      <c r="AC2230" s="309">
        <v>0</v>
      </c>
      <c r="AD2230" s="312">
        <v>0</v>
      </c>
      <c r="AE2230" s="309">
        <v>1</v>
      </c>
      <c r="AF2230" s="309">
        <v>20</v>
      </c>
      <c r="AG2230" s="309">
        <v>1</v>
      </c>
      <c r="AH2230" s="309">
        <v>2</v>
      </c>
      <c r="AI2230" s="314">
        <v>0</v>
      </c>
      <c r="AJ2230" s="314">
        <v>1</v>
      </c>
      <c r="AK2230" s="314">
        <v>0</v>
      </c>
      <c r="AL2230" s="314">
        <v>0</v>
      </c>
      <c r="AM2230" s="309">
        <v>0</v>
      </c>
      <c r="AN2230" s="309">
        <v>0</v>
      </c>
      <c r="AO2230" s="309">
        <v>0</v>
      </c>
      <c r="AP2230" s="309">
        <v>0</v>
      </c>
      <c r="AQ2230" s="309">
        <v>1000</v>
      </c>
      <c r="AR2230" s="309">
        <v>0</v>
      </c>
      <c r="AS2230" s="309">
        <v>0</v>
      </c>
      <c r="AT2230" s="314">
        <v>0</v>
      </c>
      <c r="AU2230" s="309">
        <v>0</v>
      </c>
      <c r="AV2230" s="309"/>
      <c r="AW2230" s="317" t="s">
        <v>287</v>
      </c>
      <c r="AX2230" s="309" t="s">
        <v>545</v>
      </c>
      <c r="AY2230" s="307">
        <v>0</v>
      </c>
      <c r="AZ2230" s="307">
        <v>0</v>
      </c>
      <c r="BA2230" s="308" t="s">
        <v>528</v>
      </c>
      <c r="BB2230" s="309" t="s">
        <v>5177</v>
      </c>
      <c r="BC2230" s="313">
        <v>0</v>
      </c>
      <c r="BD2230" s="313">
        <v>0</v>
      </c>
      <c r="BE2230" s="320" t="s">
        <v>5178</v>
      </c>
      <c r="BF2230" s="320" t="s">
        <v>5179</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77001803</v>
      </c>
      <c r="D2231" s="308" t="s">
        <v>5180</v>
      </c>
      <c r="E2231" s="308" t="s">
        <v>5181</v>
      </c>
      <c r="F2231" s="307">
        <v>1</v>
      </c>
      <c r="G2231" s="309">
        <v>0</v>
      </c>
      <c r="H2231" s="307">
        <v>0</v>
      </c>
      <c r="I2231" s="313">
        <v>0</v>
      </c>
      <c r="J2231" s="307">
        <v>1</v>
      </c>
      <c r="K2231" s="307">
        <v>0</v>
      </c>
      <c r="L2231" s="307">
        <v>0</v>
      </c>
      <c r="M2231" s="309">
        <v>0</v>
      </c>
      <c r="N2231" s="309">
        <v>0</v>
      </c>
      <c r="O2231" s="309">
        <v>2</v>
      </c>
      <c r="P2231" s="309" t="s">
        <v>5016</v>
      </c>
      <c r="Q2231" s="309" t="s">
        <v>5017</v>
      </c>
      <c r="R2231" s="309">
        <v>0</v>
      </c>
      <c r="S2231" s="314">
        <v>0</v>
      </c>
      <c r="T2231" s="309">
        <v>0</v>
      </c>
      <c r="U2231" s="309">
        <v>1</v>
      </c>
      <c r="V2231" s="309">
        <v>2</v>
      </c>
      <c r="W2231" s="309">
        <v>0</v>
      </c>
      <c r="X2231" s="309">
        <v>2</v>
      </c>
      <c r="Y2231" s="13">
        <v>0</v>
      </c>
      <c r="Z2231" s="309">
        <v>0</v>
      </c>
      <c r="AA2231" s="309">
        <v>0</v>
      </c>
      <c r="AB2231" s="309">
        <v>0</v>
      </c>
      <c r="AC2231" s="309">
        <v>0</v>
      </c>
      <c r="AD2231" s="309">
        <v>0</v>
      </c>
      <c r="AE2231" s="309">
        <v>1</v>
      </c>
      <c r="AF2231" s="309">
        <v>24</v>
      </c>
      <c r="AG2231" s="309">
        <v>1</v>
      </c>
      <c r="AH2231" s="309">
        <v>2</v>
      </c>
      <c r="AI2231" s="314">
        <v>0</v>
      </c>
      <c r="AJ2231" s="314">
        <v>2</v>
      </c>
      <c r="AK2231" s="314">
        <v>0</v>
      </c>
      <c r="AL2231" s="314">
        <v>2</v>
      </c>
      <c r="AM2231" s="309">
        <v>0</v>
      </c>
      <c r="AN2231" s="309">
        <v>0</v>
      </c>
      <c r="AO2231" s="309">
        <v>0</v>
      </c>
      <c r="AP2231" s="309">
        <v>3</v>
      </c>
      <c r="AQ2231" s="309">
        <v>12000</v>
      </c>
      <c r="AR2231" s="309">
        <v>1</v>
      </c>
      <c r="AS2231" s="309">
        <v>2</v>
      </c>
      <c r="AT2231" s="388" t="s">
        <v>5182</v>
      </c>
      <c r="AU2231" s="386" t="s">
        <v>5183</v>
      </c>
      <c r="AV2231" s="315"/>
      <c r="AW2231" s="308" t="s">
        <v>199</v>
      </c>
      <c r="AX2231" s="309" t="s">
        <v>534</v>
      </c>
      <c r="AY2231" s="307">
        <v>10000007</v>
      </c>
      <c r="AZ2231" s="387" t="s">
        <v>5184</v>
      </c>
      <c r="BA2231" s="308" t="s">
        <v>586</v>
      </c>
      <c r="BB2231" s="309" t="s">
        <v>5185</v>
      </c>
      <c r="BC2231" s="313">
        <v>0</v>
      </c>
      <c r="BD2231" s="313">
        <v>0</v>
      </c>
      <c r="BE2231" s="320" t="s">
        <v>5186</v>
      </c>
      <c r="BF2231" s="320" t="s">
        <v>5187</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77001804</v>
      </c>
      <c r="D2232" s="308" t="s">
        <v>5188</v>
      </c>
      <c r="E2232" s="308" t="s">
        <v>5189</v>
      </c>
      <c r="F2232" s="307">
        <v>1</v>
      </c>
      <c r="G2232" s="309">
        <v>0</v>
      </c>
      <c r="H2232" s="307">
        <v>0</v>
      </c>
      <c r="I2232" s="313">
        <v>0</v>
      </c>
      <c r="J2232" s="307">
        <v>1</v>
      </c>
      <c r="K2232" s="307">
        <v>0</v>
      </c>
      <c r="L2232" s="307">
        <v>0</v>
      </c>
      <c r="M2232" s="309">
        <v>0</v>
      </c>
      <c r="N2232" s="309">
        <v>0</v>
      </c>
      <c r="O2232" s="309">
        <v>2</v>
      </c>
      <c r="P2232" s="309">
        <v>2</v>
      </c>
      <c r="Q2232" s="309">
        <v>0.5</v>
      </c>
      <c r="R2232" s="309">
        <v>1</v>
      </c>
      <c r="S2232" s="314">
        <v>1</v>
      </c>
      <c r="T2232" s="309">
        <v>0</v>
      </c>
      <c r="U2232" s="309">
        <v>1</v>
      </c>
      <c r="V2232" s="309">
        <v>2</v>
      </c>
      <c r="W2232" s="309">
        <v>0</v>
      </c>
      <c r="X2232" s="309">
        <v>2.5</v>
      </c>
      <c r="Y2232" s="13">
        <v>0</v>
      </c>
      <c r="Z2232" s="309">
        <v>0</v>
      </c>
      <c r="AA2232" s="309">
        <v>1</v>
      </c>
      <c r="AB2232" s="309">
        <v>0</v>
      </c>
      <c r="AC2232" s="309">
        <v>0</v>
      </c>
      <c r="AD2232" s="309">
        <v>0</v>
      </c>
      <c r="AE2232" s="309">
        <v>1</v>
      </c>
      <c r="AF2232" s="309">
        <v>0</v>
      </c>
      <c r="AG2232" s="309">
        <v>1</v>
      </c>
      <c r="AH2232" s="309">
        <v>4</v>
      </c>
      <c r="AI2232" s="314">
        <v>1</v>
      </c>
      <c r="AJ2232" s="314">
        <v>1</v>
      </c>
      <c r="AK2232" s="314">
        <v>0</v>
      </c>
      <c r="AL2232" s="314">
        <v>3</v>
      </c>
      <c r="AM2232" s="309">
        <v>0</v>
      </c>
      <c r="AN2232" s="309">
        <v>0</v>
      </c>
      <c r="AO2232" s="309">
        <v>0</v>
      </c>
      <c r="AP2232" s="309">
        <v>0</v>
      </c>
      <c r="AQ2232" s="309">
        <v>3000</v>
      </c>
      <c r="AR2232" s="309">
        <v>1</v>
      </c>
      <c r="AS2232" s="309">
        <v>0</v>
      </c>
      <c r="AT2232" s="314">
        <v>0</v>
      </c>
      <c r="AU2232" s="386" t="s">
        <v>5190</v>
      </c>
      <c r="AV2232" s="315"/>
      <c r="AW2232" s="317" t="s">
        <v>287</v>
      </c>
      <c r="AX2232" s="309" t="s">
        <v>534</v>
      </c>
      <c r="AY2232" s="307">
        <v>0</v>
      </c>
      <c r="AZ2232" s="307">
        <v>77001803</v>
      </c>
      <c r="BA2232" s="308" t="s">
        <v>200</v>
      </c>
      <c r="BB2232" s="309">
        <v>0</v>
      </c>
      <c r="BC2232" s="313">
        <v>0</v>
      </c>
      <c r="BD2232" s="313">
        <v>0</v>
      </c>
      <c r="BE2232" s="320" t="s">
        <v>5191</v>
      </c>
      <c r="BF2232" s="320" t="s">
        <v>5192</v>
      </c>
      <c r="BG2232" s="309">
        <v>0</v>
      </c>
      <c r="BH2232" s="309">
        <v>0</v>
      </c>
      <c r="BI2232" s="309">
        <v>0</v>
      </c>
      <c r="BJ2232" s="309">
        <v>0</v>
      </c>
      <c r="BK2232" s="309">
        <v>0</v>
      </c>
      <c r="BL2232" s="309">
        <v>0</v>
      </c>
      <c r="BM2232" s="312">
        <v>0</v>
      </c>
      <c r="BN2232" s="314">
        <v>0</v>
      </c>
      <c r="BO2232" s="314">
        <v>0</v>
      </c>
      <c r="BP2232" s="314">
        <v>0</v>
      </c>
      <c r="BQ2232" s="314">
        <v>0</v>
      </c>
      <c r="BR2232" s="314">
        <v>0</v>
      </c>
      <c r="BS2232" s="314">
        <v>0</v>
      </c>
      <c r="BT2232" s="314">
        <v>77001806</v>
      </c>
      <c r="BU2232" s="49">
        <v>0</v>
      </c>
      <c r="BV2232" s="49"/>
      <c r="BW2232" s="49"/>
    </row>
    <row r="2233" spans="3:75" ht="19.5" customHeight="1">
      <c r="C2233" s="307">
        <v>77001805</v>
      </c>
      <c r="D2233" s="308" t="s">
        <v>5180</v>
      </c>
      <c r="E2233" s="308" t="s">
        <v>5181</v>
      </c>
      <c r="F2233" s="307">
        <v>1</v>
      </c>
      <c r="G2233" s="309">
        <v>0</v>
      </c>
      <c r="H2233" s="307">
        <v>0</v>
      </c>
      <c r="I2233" s="313">
        <v>0</v>
      </c>
      <c r="J2233" s="307">
        <v>1</v>
      </c>
      <c r="K2233" s="307">
        <v>0</v>
      </c>
      <c r="L2233" s="307">
        <v>0</v>
      </c>
      <c r="M2233" s="309">
        <v>0</v>
      </c>
      <c r="N2233" s="309">
        <v>0</v>
      </c>
      <c r="O2233" s="309">
        <v>2</v>
      </c>
      <c r="P2233" s="309">
        <v>1</v>
      </c>
      <c r="Q2233" s="309">
        <v>1</v>
      </c>
      <c r="R2233" s="309">
        <v>1</v>
      </c>
      <c r="S2233" s="314">
        <v>0</v>
      </c>
      <c r="T2233" s="309">
        <v>0</v>
      </c>
      <c r="U2233" s="309">
        <v>1</v>
      </c>
      <c r="V2233" s="309">
        <v>2</v>
      </c>
      <c r="W2233" s="309">
        <v>0</v>
      </c>
      <c r="X2233" s="309">
        <v>1.5</v>
      </c>
      <c r="Y2233" s="13">
        <v>0</v>
      </c>
      <c r="Z2233" s="309">
        <v>0</v>
      </c>
      <c r="AA2233" s="309">
        <v>0</v>
      </c>
      <c r="AB2233" s="309">
        <v>0</v>
      </c>
      <c r="AC2233" s="309">
        <v>0</v>
      </c>
      <c r="AD2233" s="309">
        <v>0</v>
      </c>
      <c r="AE2233" s="309">
        <v>1</v>
      </c>
      <c r="AF2233" s="309">
        <v>35</v>
      </c>
      <c r="AG2233" s="309">
        <v>1</v>
      </c>
      <c r="AH2233" s="309">
        <v>2</v>
      </c>
      <c r="AI2233" s="314">
        <v>0</v>
      </c>
      <c r="AJ2233" s="314">
        <v>2</v>
      </c>
      <c r="AK2233" s="314">
        <v>0</v>
      </c>
      <c r="AL2233" s="314">
        <v>2</v>
      </c>
      <c r="AM2233" s="309">
        <v>0</v>
      </c>
      <c r="AN2233" s="309">
        <v>0</v>
      </c>
      <c r="AO2233" s="309">
        <v>0</v>
      </c>
      <c r="AP2233" s="309">
        <v>0</v>
      </c>
      <c r="AQ2233" s="309">
        <v>12000</v>
      </c>
      <c r="AR2233" s="309">
        <v>1</v>
      </c>
      <c r="AS2233" s="309">
        <v>2</v>
      </c>
      <c r="AT2233" s="316">
        <v>0</v>
      </c>
      <c r="AU2233" s="386" t="s">
        <v>5193</v>
      </c>
      <c r="AV2233" s="315"/>
      <c r="AW2233" s="308" t="s">
        <v>199</v>
      </c>
      <c r="AX2233" s="309" t="s">
        <v>534</v>
      </c>
      <c r="AY2233" s="307">
        <v>10000007</v>
      </c>
      <c r="AZ2233" s="387" t="s">
        <v>5184</v>
      </c>
      <c r="BA2233" s="308" t="s">
        <v>586</v>
      </c>
      <c r="BB2233" s="309" t="s">
        <v>5194</v>
      </c>
      <c r="BC2233" s="313">
        <v>0</v>
      </c>
      <c r="BD2233" s="313">
        <v>0</v>
      </c>
      <c r="BE2233" s="320" t="s">
        <v>5195</v>
      </c>
      <c r="BF2233" s="320" t="s">
        <v>5196</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0</v>
      </c>
      <c r="BU2233" s="49">
        <v>0</v>
      </c>
      <c r="BV2233" s="49"/>
      <c r="BW2233" s="49"/>
    </row>
    <row r="2234" spans="3:75" ht="19.5" customHeight="1">
      <c r="C2234" s="307">
        <v>77001806</v>
      </c>
      <c r="D2234" s="308" t="s">
        <v>5197</v>
      </c>
      <c r="E2234" s="308" t="s">
        <v>5198</v>
      </c>
      <c r="F2234" s="307">
        <v>1</v>
      </c>
      <c r="G2234" s="309">
        <v>0</v>
      </c>
      <c r="H2234" s="307">
        <v>0</v>
      </c>
      <c r="I2234" s="313">
        <v>0</v>
      </c>
      <c r="J2234" s="307">
        <v>1</v>
      </c>
      <c r="K2234" s="307">
        <v>0</v>
      </c>
      <c r="L2234" s="307">
        <v>0</v>
      </c>
      <c r="M2234" s="309">
        <v>0</v>
      </c>
      <c r="N2234" s="309">
        <v>0</v>
      </c>
      <c r="O2234" s="312">
        <v>2</v>
      </c>
      <c r="P2234" s="309">
        <v>2</v>
      </c>
      <c r="Q2234" s="309">
        <v>0.7</v>
      </c>
      <c r="R2234" s="309">
        <v>0</v>
      </c>
      <c r="S2234" s="314">
        <v>0</v>
      </c>
      <c r="T2234" s="309">
        <v>0</v>
      </c>
      <c r="U2234" s="309">
        <v>1</v>
      </c>
      <c r="V2234" s="309">
        <v>1</v>
      </c>
      <c r="W2234" s="309">
        <v>0</v>
      </c>
      <c r="X2234" s="309">
        <v>0</v>
      </c>
      <c r="Y2234" s="13">
        <v>0</v>
      </c>
      <c r="Z2234" s="309">
        <v>0</v>
      </c>
      <c r="AA2234" s="309">
        <v>0</v>
      </c>
      <c r="AB2234" s="309">
        <v>0</v>
      </c>
      <c r="AC2234" s="309">
        <v>0</v>
      </c>
      <c r="AD2234" s="312">
        <v>0</v>
      </c>
      <c r="AE2234" s="309">
        <v>1</v>
      </c>
      <c r="AF2234" s="309">
        <v>40</v>
      </c>
      <c r="AG2234" s="309">
        <v>1</v>
      </c>
      <c r="AH2234" s="309">
        <v>2</v>
      </c>
      <c r="AI2234" s="314">
        <v>0</v>
      </c>
      <c r="AJ2234" s="314">
        <v>1</v>
      </c>
      <c r="AK2234" s="314">
        <v>0</v>
      </c>
      <c r="AL2234" s="314">
        <v>0</v>
      </c>
      <c r="AM2234" s="309">
        <v>0</v>
      </c>
      <c r="AN2234" s="309">
        <v>0</v>
      </c>
      <c r="AO2234" s="309">
        <v>0</v>
      </c>
      <c r="AP2234" s="309">
        <v>0</v>
      </c>
      <c r="AQ2234" s="309">
        <v>1000</v>
      </c>
      <c r="AR2234" s="309">
        <v>0</v>
      </c>
      <c r="AS2234" s="309">
        <v>0</v>
      </c>
      <c r="AT2234" s="314">
        <v>0</v>
      </c>
      <c r="AU2234" s="309" t="s">
        <v>198</v>
      </c>
      <c r="AV2234" s="309"/>
      <c r="AW2234" s="317" t="s">
        <v>287</v>
      </c>
      <c r="AX2234" s="309" t="s">
        <v>545</v>
      </c>
      <c r="AY2234" s="307">
        <v>0</v>
      </c>
      <c r="AZ2234" s="307">
        <v>0</v>
      </c>
      <c r="BA2234" s="308" t="s">
        <v>528</v>
      </c>
      <c r="BB2234" s="309" t="s">
        <v>5199</v>
      </c>
      <c r="BC2234" s="313">
        <v>0</v>
      </c>
      <c r="BD2234" s="313">
        <v>0</v>
      </c>
      <c r="BE2234" s="320" t="s">
        <v>5200</v>
      </c>
      <c r="BF2234" s="320" t="s">
        <v>5201</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307">
        <v>77001807</v>
      </c>
      <c r="D2235" s="308" t="s">
        <v>5202</v>
      </c>
      <c r="E2235" s="308" t="s">
        <v>5203</v>
      </c>
      <c r="F2235" s="309">
        <v>1</v>
      </c>
      <c r="G2235" s="309">
        <v>0</v>
      </c>
      <c r="H2235" s="309">
        <v>0</v>
      </c>
      <c r="I2235" s="313">
        <v>0</v>
      </c>
      <c r="J2235" s="307">
        <v>1</v>
      </c>
      <c r="K2235" s="307">
        <v>0</v>
      </c>
      <c r="L2235" s="307">
        <v>0</v>
      </c>
      <c r="M2235" s="309">
        <v>0</v>
      </c>
      <c r="N2235" s="309">
        <v>0</v>
      </c>
      <c r="O2235" s="309">
        <v>2</v>
      </c>
      <c r="P2235" s="309" t="s">
        <v>5204</v>
      </c>
      <c r="Q2235" s="309" t="s">
        <v>5205</v>
      </c>
      <c r="R2235" s="309">
        <v>0</v>
      </c>
      <c r="S2235" s="314">
        <v>0</v>
      </c>
      <c r="T2235" s="309">
        <v>0</v>
      </c>
      <c r="U2235" s="309">
        <v>1</v>
      </c>
      <c r="V2235" s="309">
        <v>1</v>
      </c>
      <c r="W2235" s="309">
        <v>0</v>
      </c>
      <c r="X2235" s="309">
        <v>0</v>
      </c>
      <c r="Y2235" s="13">
        <v>0</v>
      </c>
      <c r="Z2235" s="309">
        <v>0</v>
      </c>
      <c r="AA2235" s="309">
        <v>0</v>
      </c>
      <c r="AB2235" s="309">
        <v>0</v>
      </c>
      <c r="AC2235" s="309">
        <v>0</v>
      </c>
      <c r="AD2235" s="309">
        <v>0</v>
      </c>
      <c r="AE2235" s="309">
        <v>1</v>
      </c>
      <c r="AF2235" s="309">
        <v>0</v>
      </c>
      <c r="AG2235" s="309">
        <v>2</v>
      </c>
      <c r="AH2235" s="309" t="s">
        <v>213</v>
      </c>
      <c r="AI2235" s="314">
        <v>0</v>
      </c>
      <c r="AJ2235" s="314">
        <v>2</v>
      </c>
      <c r="AK2235" s="314">
        <v>0</v>
      </c>
      <c r="AL2235" s="314">
        <v>1.5</v>
      </c>
      <c r="AM2235" s="309">
        <v>0</v>
      </c>
      <c r="AN2235" s="309">
        <v>0</v>
      </c>
      <c r="AO2235" s="309">
        <v>0</v>
      </c>
      <c r="AP2235" s="309">
        <v>0.3</v>
      </c>
      <c r="AQ2235" s="309">
        <v>300</v>
      </c>
      <c r="AR2235" s="309">
        <v>0</v>
      </c>
      <c r="AS2235" s="309">
        <v>15</v>
      </c>
      <c r="AT2235" s="314">
        <v>0</v>
      </c>
      <c r="AU2235" s="315">
        <v>0</v>
      </c>
      <c r="AV2235" s="315"/>
      <c r="AW2235" s="308" t="s">
        <v>199</v>
      </c>
      <c r="AX2235" s="309" t="s">
        <v>215</v>
      </c>
      <c r="AY2235" s="307">
        <v>0</v>
      </c>
      <c r="AZ2235" s="307">
        <v>0</v>
      </c>
      <c r="BA2235" s="319" t="s">
        <v>216</v>
      </c>
      <c r="BB2235" s="309">
        <v>1</v>
      </c>
      <c r="BC2235" s="313">
        <v>0</v>
      </c>
      <c r="BD2235" s="313">
        <v>0</v>
      </c>
      <c r="BE2235" s="320" t="s">
        <v>5206</v>
      </c>
      <c r="BF2235" s="320" t="s">
        <v>5207</v>
      </c>
      <c r="BG2235" s="309">
        <v>0</v>
      </c>
      <c r="BH2235" s="309">
        <v>0</v>
      </c>
      <c r="BI2235" s="309">
        <v>0</v>
      </c>
      <c r="BJ2235" s="309">
        <v>0</v>
      </c>
      <c r="BK2235" s="309">
        <v>0</v>
      </c>
      <c r="BL2235" s="309">
        <v>0</v>
      </c>
      <c r="BM2235" s="312">
        <v>0</v>
      </c>
      <c r="BN2235" s="314">
        <v>0</v>
      </c>
      <c r="BO2235" s="314">
        <v>0</v>
      </c>
      <c r="BP2235" s="314">
        <v>0</v>
      </c>
      <c r="BQ2235" s="314">
        <v>0</v>
      </c>
      <c r="BR2235" s="314">
        <v>0</v>
      </c>
      <c r="BS2235" s="314">
        <v>1</v>
      </c>
      <c r="BT2235" s="314">
        <v>77001808</v>
      </c>
      <c r="BU2235" s="49">
        <v>0</v>
      </c>
      <c r="BV2235" s="49"/>
      <c r="BW2235" s="49"/>
    </row>
    <row r="2236" spans="3:75" ht="20.100000000000001" customHeight="1">
      <c r="C2236" s="307">
        <v>77001808</v>
      </c>
      <c r="D2236" s="308" t="s">
        <v>5202</v>
      </c>
      <c r="E2236" s="308" t="s">
        <v>5203</v>
      </c>
      <c r="F2236" s="309">
        <v>1</v>
      </c>
      <c r="G2236" s="309">
        <v>0</v>
      </c>
      <c r="H2236" s="309">
        <v>0</v>
      </c>
      <c r="I2236" s="313">
        <v>0</v>
      </c>
      <c r="J2236" s="307">
        <v>1</v>
      </c>
      <c r="K2236" s="307">
        <v>0</v>
      </c>
      <c r="L2236" s="307">
        <v>0</v>
      </c>
      <c r="M2236" s="309">
        <v>0</v>
      </c>
      <c r="N2236" s="309">
        <v>0</v>
      </c>
      <c r="O2236" s="309">
        <v>2</v>
      </c>
      <c r="P2236" s="309">
        <v>3</v>
      </c>
      <c r="Q2236" s="309">
        <v>0.2</v>
      </c>
      <c r="R2236" s="309">
        <v>0</v>
      </c>
      <c r="S2236" s="314">
        <v>0</v>
      </c>
      <c r="T2236" s="309">
        <v>0</v>
      </c>
      <c r="U2236" s="309">
        <v>1</v>
      </c>
      <c r="V2236" s="309">
        <v>2</v>
      </c>
      <c r="W2236" s="309">
        <v>0</v>
      </c>
      <c r="X2236" s="309">
        <v>1.5</v>
      </c>
      <c r="Y2236" s="13">
        <v>0</v>
      </c>
      <c r="Z2236" s="309">
        <v>0</v>
      </c>
      <c r="AA2236" s="309">
        <v>1</v>
      </c>
      <c r="AB2236" s="309">
        <v>0</v>
      </c>
      <c r="AC2236" s="309">
        <v>0</v>
      </c>
      <c r="AD2236" s="309">
        <v>0</v>
      </c>
      <c r="AE2236" s="309">
        <v>1</v>
      </c>
      <c r="AF2236" s="309">
        <v>0</v>
      </c>
      <c r="AG2236" s="309">
        <v>1</v>
      </c>
      <c r="AH2236" s="309">
        <v>3</v>
      </c>
      <c r="AI2236" s="314">
        <v>0</v>
      </c>
      <c r="AJ2236" s="314">
        <v>1</v>
      </c>
      <c r="AK2236" s="314">
        <v>0</v>
      </c>
      <c r="AL2236" s="314">
        <v>3</v>
      </c>
      <c r="AM2236" s="309">
        <v>0</v>
      </c>
      <c r="AN2236" s="309">
        <v>0</v>
      </c>
      <c r="AO2236" s="309">
        <v>0</v>
      </c>
      <c r="AP2236" s="309">
        <v>0.8</v>
      </c>
      <c r="AQ2236" s="309">
        <v>2000</v>
      </c>
      <c r="AR2236" s="309">
        <v>0.8</v>
      </c>
      <c r="AS2236" s="309">
        <v>0</v>
      </c>
      <c r="AT2236" s="314">
        <v>0</v>
      </c>
      <c r="AU2236" s="386" t="s">
        <v>5208</v>
      </c>
      <c r="AV2236" s="315"/>
      <c r="AW2236" s="308" t="s">
        <v>198</v>
      </c>
      <c r="AX2236" s="309" t="s">
        <v>215</v>
      </c>
      <c r="AY2236" s="307">
        <v>10000011</v>
      </c>
      <c r="AZ2236" s="307">
        <v>77001801</v>
      </c>
      <c r="BA2236" s="317" t="s">
        <v>200</v>
      </c>
      <c r="BB2236" s="309">
        <v>0</v>
      </c>
      <c r="BC2236" s="313">
        <v>0</v>
      </c>
      <c r="BD2236" s="313">
        <v>0</v>
      </c>
      <c r="BE2236" s="320" t="s">
        <v>5209</v>
      </c>
      <c r="BF2236" s="320" t="s">
        <v>5210</v>
      </c>
      <c r="BG2236" s="309">
        <v>0</v>
      </c>
      <c r="BH2236" s="309">
        <v>0</v>
      </c>
      <c r="BI2236" s="309">
        <v>0</v>
      </c>
      <c r="BJ2236" s="309">
        <v>0</v>
      </c>
      <c r="BK2236" s="309">
        <v>0</v>
      </c>
      <c r="BL2236" s="309">
        <v>0</v>
      </c>
      <c r="BM2236" s="312">
        <v>0</v>
      </c>
      <c r="BN2236" s="314">
        <v>0</v>
      </c>
      <c r="BO2236" s="314">
        <v>0</v>
      </c>
      <c r="BP2236" s="314">
        <v>0</v>
      </c>
      <c r="BQ2236" s="314">
        <v>0</v>
      </c>
      <c r="BR2236" s="314">
        <v>0</v>
      </c>
      <c r="BS2236" s="314">
        <v>0</v>
      </c>
      <c r="BT2236" s="314">
        <v>0</v>
      </c>
      <c r="BU2236" s="49">
        <v>0</v>
      </c>
      <c r="BV2236" s="49"/>
      <c r="BW2236" s="49"/>
    </row>
    <row r="2237" spans="3:75" ht="19.5" customHeight="1">
      <c r="C2237" s="307">
        <v>77001809</v>
      </c>
      <c r="D2237" s="308" t="s">
        <v>5211</v>
      </c>
      <c r="E2237" s="308" t="s">
        <v>5212</v>
      </c>
      <c r="F2237" s="307">
        <v>1</v>
      </c>
      <c r="G2237" s="307">
        <v>80004009</v>
      </c>
      <c r="H2237" s="307">
        <v>0</v>
      </c>
      <c r="I2237" s="313">
        <v>0</v>
      </c>
      <c r="J2237" s="307">
        <v>1</v>
      </c>
      <c r="K2237" s="307">
        <v>0</v>
      </c>
      <c r="L2237" s="307">
        <v>0</v>
      </c>
      <c r="M2237" s="309">
        <v>0</v>
      </c>
      <c r="N2237" s="309">
        <v>0</v>
      </c>
      <c r="O2237" s="309">
        <v>2</v>
      </c>
      <c r="P2237" s="309">
        <v>16</v>
      </c>
      <c r="Q2237" s="309">
        <v>5</v>
      </c>
      <c r="R2237" s="309">
        <v>0</v>
      </c>
      <c r="S2237" s="314">
        <v>0</v>
      </c>
      <c r="T2237" s="309">
        <v>0</v>
      </c>
      <c r="U2237" s="309">
        <v>1</v>
      </c>
      <c r="V2237" s="309">
        <v>2</v>
      </c>
      <c r="W2237" s="309">
        <v>0</v>
      </c>
      <c r="X2237" s="309">
        <v>1</v>
      </c>
      <c r="Y2237" s="13">
        <v>0</v>
      </c>
      <c r="Z2237" s="309">
        <v>0</v>
      </c>
      <c r="AA2237" s="309">
        <v>0</v>
      </c>
      <c r="AB2237" s="309">
        <v>0</v>
      </c>
      <c r="AC2237" s="309">
        <v>0</v>
      </c>
      <c r="AD2237" s="309">
        <v>0</v>
      </c>
      <c r="AE2237" s="309">
        <v>1</v>
      </c>
      <c r="AF2237" s="309">
        <v>0</v>
      </c>
      <c r="AG2237" s="309">
        <v>1</v>
      </c>
      <c r="AH2237" s="309">
        <v>2</v>
      </c>
      <c r="AI2237" s="314">
        <v>0</v>
      </c>
      <c r="AJ2237" s="314">
        <v>2</v>
      </c>
      <c r="AK2237" s="314">
        <v>0</v>
      </c>
      <c r="AL2237" s="314">
        <v>2</v>
      </c>
      <c r="AM2237" s="309">
        <v>0</v>
      </c>
      <c r="AN2237" s="309">
        <v>0</v>
      </c>
      <c r="AO2237" s="309">
        <v>0</v>
      </c>
      <c r="AP2237" s="309">
        <v>3</v>
      </c>
      <c r="AQ2237" s="309">
        <v>5000</v>
      </c>
      <c r="AR2237" s="309">
        <v>1</v>
      </c>
      <c r="AS2237" s="309">
        <v>10</v>
      </c>
      <c r="AT2237" s="316">
        <v>0</v>
      </c>
      <c r="AU2237" s="386" t="s">
        <v>5213</v>
      </c>
      <c r="AV2237" s="315"/>
      <c r="AW2237" s="308" t="s">
        <v>199</v>
      </c>
      <c r="AX2237" s="309" t="s">
        <v>534</v>
      </c>
      <c r="AY2237" s="307">
        <v>10000007</v>
      </c>
      <c r="AZ2237" s="387" t="s">
        <v>5184</v>
      </c>
      <c r="BA2237" s="308" t="s">
        <v>586</v>
      </c>
      <c r="BB2237" s="309" t="s">
        <v>5214</v>
      </c>
      <c r="BC2237" s="313">
        <v>0</v>
      </c>
      <c r="BD2237" s="313">
        <v>1</v>
      </c>
      <c r="BE2237" s="320" t="s">
        <v>5215</v>
      </c>
      <c r="BF2237" s="320" t="s">
        <v>5216</v>
      </c>
      <c r="BG2237" s="309">
        <v>0</v>
      </c>
      <c r="BH2237" s="309">
        <v>0</v>
      </c>
      <c r="BI2237" s="309">
        <v>0</v>
      </c>
      <c r="BJ2237" s="309">
        <v>0</v>
      </c>
      <c r="BK2237" s="309">
        <v>0</v>
      </c>
      <c r="BL2237" s="309">
        <v>0</v>
      </c>
      <c r="BM2237" s="312">
        <v>0</v>
      </c>
      <c r="BN2237" s="314">
        <v>0</v>
      </c>
      <c r="BO2237" s="314">
        <v>0</v>
      </c>
      <c r="BP2237" s="314">
        <v>0</v>
      </c>
      <c r="BQ2237" s="314">
        <v>0</v>
      </c>
      <c r="BR2237" s="314">
        <v>0</v>
      </c>
      <c r="BS2237" s="314">
        <v>0</v>
      </c>
      <c r="BT2237" s="314">
        <v>0</v>
      </c>
      <c r="BU2237" s="49">
        <v>0</v>
      </c>
      <c r="BV2237" s="49"/>
      <c r="BW2237" s="49"/>
    </row>
    <row r="2238" spans="3:75" ht="19.5" customHeight="1">
      <c r="C2238" s="66">
        <v>77001901</v>
      </c>
      <c r="D2238" s="61" t="s">
        <v>5217</v>
      </c>
      <c r="E2238" s="61" t="s">
        <v>5218</v>
      </c>
      <c r="F2238" s="62">
        <v>1</v>
      </c>
      <c r="G2238" s="62">
        <v>0</v>
      </c>
      <c r="H2238" s="62">
        <v>0</v>
      </c>
      <c r="I2238" s="68">
        <v>0</v>
      </c>
      <c r="J2238" s="66">
        <v>1</v>
      </c>
      <c r="K2238" s="62">
        <v>0</v>
      </c>
      <c r="L2238" s="62">
        <v>0</v>
      </c>
      <c r="M2238" s="62">
        <v>0</v>
      </c>
      <c r="N2238" s="62">
        <v>0</v>
      </c>
      <c r="O2238" s="62">
        <v>2</v>
      </c>
      <c r="P2238" s="62">
        <v>3</v>
      </c>
      <c r="Q2238" s="62">
        <v>0.4</v>
      </c>
      <c r="R2238" s="62">
        <v>0</v>
      </c>
      <c r="S2238" s="70">
        <v>0</v>
      </c>
      <c r="T2238" s="62">
        <v>0</v>
      </c>
      <c r="U2238" s="62">
        <v>1</v>
      </c>
      <c r="V2238" s="62">
        <v>1</v>
      </c>
      <c r="W2238" s="62">
        <v>0</v>
      </c>
      <c r="X2238" s="62">
        <v>0</v>
      </c>
      <c r="Y2238" s="13">
        <v>0</v>
      </c>
      <c r="Z2238" s="62">
        <v>0</v>
      </c>
      <c r="AA2238" s="62">
        <v>1</v>
      </c>
      <c r="AB2238" s="62">
        <v>0</v>
      </c>
      <c r="AC2238" s="62">
        <v>0</v>
      </c>
      <c r="AD2238" s="62">
        <v>0</v>
      </c>
      <c r="AE2238" s="62">
        <v>0</v>
      </c>
      <c r="AF2238" s="62">
        <v>14</v>
      </c>
      <c r="AG2238" s="62">
        <v>1</v>
      </c>
      <c r="AH2238" s="62">
        <v>3</v>
      </c>
      <c r="AI2238" s="70">
        <v>0</v>
      </c>
      <c r="AJ2238" s="70">
        <v>1</v>
      </c>
      <c r="AK2238" s="70">
        <v>0</v>
      </c>
      <c r="AL2238" s="70">
        <v>1.5</v>
      </c>
      <c r="AM2238" s="62">
        <v>0</v>
      </c>
      <c r="AN2238" s="62">
        <v>0</v>
      </c>
      <c r="AO2238" s="62">
        <v>0</v>
      </c>
      <c r="AP2238" s="62">
        <v>0.2</v>
      </c>
      <c r="AQ2238" s="62">
        <v>300</v>
      </c>
      <c r="AR2238" s="62">
        <v>0</v>
      </c>
      <c r="AS2238" s="62">
        <v>0</v>
      </c>
      <c r="AT2238" s="356" t="s">
        <v>5219</v>
      </c>
      <c r="AU2238" s="62">
        <v>0</v>
      </c>
      <c r="AV2238" s="62"/>
      <c r="AW2238" s="61" t="s">
        <v>198</v>
      </c>
      <c r="AX2238" s="62" t="s">
        <v>534</v>
      </c>
      <c r="AY2238" s="66">
        <v>0</v>
      </c>
      <c r="AZ2238" s="66">
        <v>77001901</v>
      </c>
      <c r="BA2238" s="61" t="s">
        <v>771</v>
      </c>
      <c r="BB2238" s="62">
        <v>0</v>
      </c>
      <c r="BC2238" s="68">
        <v>0</v>
      </c>
      <c r="BD2238" s="68">
        <v>0</v>
      </c>
      <c r="BE2238" s="123" t="s">
        <v>5220</v>
      </c>
      <c r="BF2238" s="123" t="s">
        <v>5221</v>
      </c>
      <c r="BG2238" s="62">
        <v>0</v>
      </c>
      <c r="BH2238" s="62">
        <v>0</v>
      </c>
      <c r="BI2238" s="62">
        <v>0</v>
      </c>
      <c r="BJ2238" s="62">
        <v>0</v>
      </c>
      <c r="BK2238" s="62">
        <v>0</v>
      </c>
      <c r="BL2238" s="62">
        <v>0</v>
      </c>
      <c r="BM2238" s="95">
        <v>0</v>
      </c>
      <c r="BN2238" s="70">
        <v>0</v>
      </c>
      <c r="BO2238" s="70">
        <v>0</v>
      </c>
      <c r="BP2238" s="70">
        <v>0</v>
      </c>
      <c r="BQ2238" s="70">
        <v>0</v>
      </c>
      <c r="BR2238" s="70">
        <v>0</v>
      </c>
      <c r="BS2238" s="70">
        <v>1</v>
      </c>
      <c r="BT2238" s="70">
        <v>77001902</v>
      </c>
      <c r="BU2238" s="49">
        <v>0</v>
      </c>
      <c r="BV2238" s="49"/>
      <c r="BW2238" s="49"/>
    </row>
    <row r="2239" spans="3:75" ht="19.5" customHeight="1">
      <c r="C2239" s="66">
        <v>77001902</v>
      </c>
      <c r="D2239" s="61" t="s">
        <v>600</v>
      </c>
      <c r="E2239" s="61" t="s">
        <v>601</v>
      </c>
      <c r="F2239" s="66">
        <v>1</v>
      </c>
      <c r="G2239" s="62">
        <v>0</v>
      </c>
      <c r="H2239" s="66">
        <v>0</v>
      </c>
      <c r="I2239" s="68">
        <v>0</v>
      </c>
      <c r="J2239" s="66">
        <v>1</v>
      </c>
      <c r="K2239" s="66">
        <v>0</v>
      </c>
      <c r="L2239" s="66">
        <v>0</v>
      </c>
      <c r="M2239" s="62">
        <v>0</v>
      </c>
      <c r="N2239" s="62">
        <v>0</v>
      </c>
      <c r="O2239" s="62">
        <v>2</v>
      </c>
      <c r="P2239" s="62">
        <v>3</v>
      </c>
      <c r="Q2239" s="62">
        <v>0.2</v>
      </c>
      <c r="R2239" s="62">
        <v>0</v>
      </c>
      <c r="S2239" s="70">
        <v>0</v>
      </c>
      <c r="T2239" s="62">
        <v>0</v>
      </c>
      <c r="U2239" s="62">
        <v>1</v>
      </c>
      <c r="V2239" s="62">
        <v>1</v>
      </c>
      <c r="W2239" s="62">
        <v>0</v>
      </c>
      <c r="X2239" s="62">
        <v>0</v>
      </c>
      <c r="Y2239" s="13">
        <v>0</v>
      </c>
      <c r="Z2239" s="62">
        <v>0</v>
      </c>
      <c r="AA2239" s="62">
        <v>0</v>
      </c>
      <c r="AB2239" s="62">
        <v>0</v>
      </c>
      <c r="AC2239" s="62">
        <v>0</v>
      </c>
      <c r="AD2239" s="62">
        <v>0</v>
      </c>
      <c r="AE2239" s="62">
        <v>1</v>
      </c>
      <c r="AF2239" s="62">
        <v>0</v>
      </c>
      <c r="AG2239" s="62">
        <v>1</v>
      </c>
      <c r="AH2239" s="62">
        <v>2</v>
      </c>
      <c r="AI2239" s="70">
        <v>0</v>
      </c>
      <c r="AJ2239" s="70">
        <v>1</v>
      </c>
      <c r="AK2239" s="70">
        <v>0</v>
      </c>
      <c r="AL2239" s="70">
        <v>3</v>
      </c>
      <c r="AM2239" s="62">
        <v>0</v>
      </c>
      <c r="AN2239" s="62">
        <v>0</v>
      </c>
      <c r="AO2239" s="62">
        <v>0</v>
      </c>
      <c r="AP2239" s="62">
        <v>0.3</v>
      </c>
      <c r="AQ2239" s="62">
        <v>300</v>
      </c>
      <c r="AR2239" s="62">
        <v>0</v>
      </c>
      <c r="AS2239" s="62">
        <v>0</v>
      </c>
      <c r="AT2239" s="70">
        <v>0</v>
      </c>
      <c r="AU2239" s="81">
        <v>0</v>
      </c>
      <c r="AV2239" s="81"/>
      <c r="AW2239" s="61" t="s">
        <v>198</v>
      </c>
      <c r="AX2239" s="62">
        <v>0</v>
      </c>
      <c r="AY2239" s="66">
        <v>0</v>
      </c>
      <c r="AZ2239" s="66">
        <v>0</v>
      </c>
      <c r="BA2239" s="61" t="s">
        <v>528</v>
      </c>
      <c r="BB2239" s="369" t="s">
        <v>5222</v>
      </c>
      <c r="BC2239" s="68">
        <v>0</v>
      </c>
      <c r="BD2239" s="68">
        <v>0</v>
      </c>
      <c r="BE2239" s="92" t="s">
        <v>5223</v>
      </c>
      <c r="BF2239" s="92" t="s">
        <v>5224</v>
      </c>
      <c r="BG2239" s="62">
        <v>0</v>
      </c>
      <c r="BH2239" s="62">
        <v>0</v>
      </c>
      <c r="BI2239" s="62">
        <v>0</v>
      </c>
      <c r="BJ2239" s="62">
        <v>0</v>
      </c>
      <c r="BK2239" s="62">
        <v>0</v>
      </c>
      <c r="BL2239" s="62">
        <v>0</v>
      </c>
      <c r="BM2239" s="95">
        <v>0</v>
      </c>
      <c r="BN2239" s="70">
        <v>0</v>
      </c>
      <c r="BO2239" s="70">
        <v>0</v>
      </c>
      <c r="BP2239" s="70">
        <v>0</v>
      </c>
      <c r="BQ2239" s="70">
        <v>0</v>
      </c>
      <c r="BR2239" s="70">
        <v>0</v>
      </c>
      <c r="BS2239" s="70">
        <v>1</v>
      </c>
      <c r="BT2239" s="70">
        <v>77001904</v>
      </c>
      <c r="BU2239" s="49">
        <v>0</v>
      </c>
      <c r="BV2239" s="49"/>
      <c r="BW2239" s="49"/>
    </row>
    <row r="2240" spans="3:75" ht="19.5" customHeight="1">
      <c r="C2240" s="66">
        <v>77001903</v>
      </c>
      <c r="D2240" s="61" t="s">
        <v>760</v>
      </c>
      <c r="E2240" s="61" t="s">
        <v>761</v>
      </c>
      <c r="F2240" s="62">
        <v>1</v>
      </c>
      <c r="G2240" s="62">
        <v>0</v>
      </c>
      <c r="H2240" s="62">
        <v>0</v>
      </c>
      <c r="I2240" s="68">
        <v>0</v>
      </c>
      <c r="J2240" s="66">
        <v>1</v>
      </c>
      <c r="K2240" s="66">
        <v>0</v>
      </c>
      <c r="L2240" s="66">
        <v>0</v>
      </c>
      <c r="M2240" s="62">
        <v>0</v>
      </c>
      <c r="N2240" s="62">
        <v>0</v>
      </c>
      <c r="O2240" s="62">
        <v>2</v>
      </c>
      <c r="P2240" s="62">
        <v>1</v>
      </c>
      <c r="Q2240" s="62">
        <v>1</v>
      </c>
      <c r="R2240" s="62">
        <v>1</v>
      </c>
      <c r="S2240" s="70">
        <v>1</v>
      </c>
      <c r="T2240" s="62">
        <v>0</v>
      </c>
      <c r="U2240" s="62">
        <v>1</v>
      </c>
      <c r="V2240" s="62">
        <v>1</v>
      </c>
      <c r="W2240" s="62">
        <v>0</v>
      </c>
      <c r="X2240" s="62">
        <v>0.8</v>
      </c>
      <c r="Y2240" s="13">
        <v>0</v>
      </c>
      <c r="Z2240" s="62">
        <v>0</v>
      </c>
      <c r="AA2240" s="62">
        <v>0</v>
      </c>
      <c r="AB2240" s="62">
        <v>0</v>
      </c>
      <c r="AC2240" s="62">
        <v>0</v>
      </c>
      <c r="AD2240" s="62">
        <v>0</v>
      </c>
      <c r="AE2240" s="62">
        <v>1</v>
      </c>
      <c r="AF2240" s="62">
        <v>10</v>
      </c>
      <c r="AG2240" s="62">
        <v>2</v>
      </c>
      <c r="AH2240" s="62" t="s">
        <v>1036</v>
      </c>
      <c r="AI2240" s="70">
        <v>0</v>
      </c>
      <c r="AJ2240" s="70">
        <v>2</v>
      </c>
      <c r="AK2240" s="70">
        <v>0</v>
      </c>
      <c r="AL2240" s="70">
        <v>1.5</v>
      </c>
      <c r="AM2240" s="62">
        <v>0</v>
      </c>
      <c r="AN2240" s="62">
        <v>0.5</v>
      </c>
      <c r="AO2240" s="62">
        <v>0</v>
      </c>
      <c r="AP2240" s="62">
        <v>0.5</v>
      </c>
      <c r="AQ2240" s="62">
        <v>500</v>
      </c>
      <c r="AR2240" s="62">
        <v>0</v>
      </c>
      <c r="AS2240" s="62">
        <v>15</v>
      </c>
      <c r="AT2240" s="70">
        <v>0</v>
      </c>
      <c r="AU2240" s="348" t="s">
        <v>5225</v>
      </c>
      <c r="AV2240" s="81"/>
      <c r="AW2240" s="61" t="s">
        <v>199</v>
      </c>
      <c r="AX2240" s="62" t="s">
        <v>215</v>
      </c>
      <c r="AY2240" s="66">
        <v>0</v>
      </c>
      <c r="AZ2240" s="66">
        <v>0</v>
      </c>
      <c r="BA2240" s="318" t="s">
        <v>216</v>
      </c>
      <c r="BB2240" s="62">
        <v>0</v>
      </c>
      <c r="BC2240" s="68">
        <v>0</v>
      </c>
      <c r="BD2240" s="68">
        <v>0</v>
      </c>
      <c r="BE2240" s="92" t="s">
        <v>2269</v>
      </c>
      <c r="BF2240" s="92" t="s">
        <v>2270</v>
      </c>
      <c r="BG2240" s="62">
        <v>0</v>
      </c>
      <c r="BH2240" s="62">
        <v>0</v>
      </c>
      <c r="BI2240" s="62">
        <v>0</v>
      </c>
      <c r="BJ2240" s="62">
        <v>0</v>
      </c>
      <c r="BK2240" s="62">
        <v>0</v>
      </c>
      <c r="BL2240" s="62">
        <v>0</v>
      </c>
      <c r="BM2240" s="95">
        <v>0</v>
      </c>
      <c r="BN2240" s="70">
        <v>0</v>
      </c>
      <c r="BO2240" s="70">
        <v>0</v>
      </c>
      <c r="BP2240" s="70">
        <v>0</v>
      </c>
      <c r="BQ2240" s="70">
        <v>0</v>
      </c>
      <c r="BR2240" s="70">
        <v>0</v>
      </c>
      <c r="BS2240" s="70">
        <v>0</v>
      </c>
      <c r="BT2240" s="70">
        <v>0</v>
      </c>
      <c r="BU2240" s="49">
        <v>0</v>
      </c>
      <c r="BV2240" s="49"/>
      <c r="BW2240" s="49"/>
    </row>
    <row r="2241" spans="3:75" ht="20.100000000000001" customHeight="1">
      <c r="C2241" s="66">
        <v>77001904</v>
      </c>
      <c r="D2241" s="61" t="s">
        <v>5046</v>
      </c>
      <c r="E2241" s="61" t="s">
        <v>5047</v>
      </c>
      <c r="F2241" s="62">
        <v>1</v>
      </c>
      <c r="G2241" s="62">
        <v>0</v>
      </c>
      <c r="H2241" s="62">
        <v>0</v>
      </c>
      <c r="I2241" s="68">
        <v>0</v>
      </c>
      <c r="J2241" s="66">
        <v>1</v>
      </c>
      <c r="K2241" s="66">
        <v>0</v>
      </c>
      <c r="L2241" s="66">
        <v>0</v>
      </c>
      <c r="M2241" s="62">
        <v>0</v>
      </c>
      <c r="N2241" s="62">
        <v>0</v>
      </c>
      <c r="O2241" s="62">
        <v>2</v>
      </c>
      <c r="P2241" s="62">
        <v>3</v>
      </c>
      <c r="Q2241" s="62">
        <v>0.2</v>
      </c>
      <c r="R2241" s="62">
        <v>0</v>
      </c>
      <c r="S2241" s="70">
        <v>0</v>
      </c>
      <c r="T2241" s="62">
        <v>0</v>
      </c>
      <c r="U2241" s="62">
        <v>1</v>
      </c>
      <c r="V2241" s="62">
        <v>1</v>
      </c>
      <c r="W2241" s="62">
        <v>0</v>
      </c>
      <c r="X2241" s="62">
        <v>2</v>
      </c>
      <c r="Y2241" s="13">
        <v>0</v>
      </c>
      <c r="Z2241" s="62">
        <v>0</v>
      </c>
      <c r="AA2241" s="62">
        <v>1</v>
      </c>
      <c r="AB2241" s="62">
        <v>0</v>
      </c>
      <c r="AC2241" s="62">
        <v>0</v>
      </c>
      <c r="AD2241" s="62">
        <v>0</v>
      </c>
      <c r="AE2241" s="62">
        <v>1</v>
      </c>
      <c r="AF2241" s="62">
        <v>0</v>
      </c>
      <c r="AG2241" s="62">
        <v>1</v>
      </c>
      <c r="AH2241" s="62">
        <v>5</v>
      </c>
      <c r="AI2241" s="70">
        <v>0</v>
      </c>
      <c r="AJ2241" s="70">
        <v>1</v>
      </c>
      <c r="AK2241" s="70">
        <v>0</v>
      </c>
      <c r="AL2241" s="70">
        <v>3</v>
      </c>
      <c r="AM2241" s="62">
        <v>0</v>
      </c>
      <c r="AN2241" s="62">
        <v>2.1</v>
      </c>
      <c r="AO2241" s="62">
        <v>0</v>
      </c>
      <c r="AP2241" s="62">
        <v>0.9</v>
      </c>
      <c r="AQ2241" s="62">
        <v>3000</v>
      </c>
      <c r="AR2241" s="62">
        <v>1</v>
      </c>
      <c r="AS2241" s="62">
        <v>0</v>
      </c>
      <c r="AT2241" s="70">
        <v>0</v>
      </c>
      <c r="AU2241" s="348" t="s">
        <v>5226</v>
      </c>
      <c r="AV2241" s="81"/>
      <c r="AW2241" s="61" t="s">
        <v>287</v>
      </c>
      <c r="AX2241" s="62" t="s">
        <v>215</v>
      </c>
      <c r="AY2241" s="66">
        <v>0</v>
      </c>
      <c r="AZ2241" s="66">
        <v>77001902</v>
      </c>
      <c r="BA2241" s="65" t="s">
        <v>200</v>
      </c>
      <c r="BB2241" s="62">
        <v>0</v>
      </c>
      <c r="BC2241" s="68">
        <v>0</v>
      </c>
      <c r="BD2241" s="68">
        <v>0</v>
      </c>
      <c r="BE2241" s="92" t="s">
        <v>5227</v>
      </c>
      <c r="BF2241" s="92" t="s">
        <v>5228</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19.5" customHeight="1">
      <c r="C2242" s="66">
        <v>77001905</v>
      </c>
      <c r="D2242" s="61" t="s">
        <v>5229</v>
      </c>
      <c r="E2242" s="61" t="s">
        <v>5230</v>
      </c>
      <c r="F2242" s="66">
        <v>1</v>
      </c>
      <c r="G2242" s="62">
        <v>0</v>
      </c>
      <c r="H2242" s="66">
        <v>0</v>
      </c>
      <c r="I2242" s="68">
        <v>0</v>
      </c>
      <c r="J2242" s="66">
        <v>1</v>
      </c>
      <c r="K2242" s="66">
        <v>0</v>
      </c>
      <c r="L2242" s="66">
        <v>0</v>
      </c>
      <c r="M2242" s="62">
        <v>0</v>
      </c>
      <c r="N2242" s="62">
        <v>0</v>
      </c>
      <c r="O2242" s="95">
        <v>2</v>
      </c>
      <c r="P2242" s="62">
        <v>2</v>
      </c>
      <c r="Q2242" s="62">
        <v>0.6</v>
      </c>
      <c r="R2242" s="62">
        <v>0</v>
      </c>
      <c r="S2242" s="70">
        <v>0</v>
      </c>
      <c r="T2242" s="62">
        <v>0</v>
      </c>
      <c r="U2242" s="62">
        <v>1</v>
      </c>
      <c r="V2242" s="62">
        <v>1</v>
      </c>
      <c r="W2242" s="62">
        <v>0</v>
      </c>
      <c r="X2242" s="62">
        <v>0</v>
      </c>
      <c r="Y2242" s="13">
        <v>0</v>
      </c>
      <c r="Z2242" s="62">
        <v>0</v>
      </c>
      <c r="AA2242" s="62">
        <v>0</v>
      </c>
      <c r="AB2242" s="62">
        <v>0</v>
      </c>
      <c r="AC2242" s="62">
        <v>0</v>
      </c>
      <c r="AD2242" s="95">
        <v>0</v>
      </c>
      <c r="AE2242" s="62">
        <v>1</v>
      </c>
      <c r="AF2242" s="62">
        <v>60</v>
      </c>
      <c r="AG2242" s="62">
        <v>1</v>
      </c>
      <c r="AH2242" s="62">
        <v>2</v>
      </c>
      <c r="AI2242" s="70">
        <v>1</v>
      </c>
      <c r="AJ2242" s="70">
        <v>1</v>
      </c>
      <c r="AK2242" s="70">
        <v>0</v>
      </c>
      <c r="AL2242" s="70">
        <v>0</v>
      </c>
      <c r="AM2242" s="62">
        <v>0</v>
      </c>
      <c r="AN2242" s="62">
        <v>0</v>
      </c>
      <c r="AO2242" s="62">
        <v>0</v>
      </c>
      <c r="AP2242" s="62">
        <v>0</v>
      </c>
      <c r="AQ2242" s="62">
        <v>1000</v>
      </c>
      <c r="AR2242" s="62">
        <v>0</v>
      </c>
      <c r="AS2242" s="62">
        <v>0</v>
      </c>
      <c r="AT2242" s="70">
        <v>0</v>
      </c>
      <c r="AU2242" s="348" t="s">
        <v>5231</v>
      </c>
      <c r="AV2242" s="81"/>
      <c r="AW2242" s="65" t="s">
        <v>287</v>
      </c>
      <c r="AX2242" s="62" t="s">
        <v>545</v>
      </c>
      <c r="AY2242" s="66">
        <v>0</v>
      </c>
      <c r="AZ2242" s="66">
        <v>0</v>
      </c>
      <c r="BA2242" s="61" t="s">
        <v>528</v>
      </c>
      <c r="BB2242" s="62" t="s">
        <v>5232</v>
      </c>
      <c r="BC2242" s="68">
        <v>0</v>
      </c>
      <c r="BD2242" s="68">
        <v>0</v>
      </c>
      <c r="BE2242" s="92" t="s">
        <v>5233</v>
      </c>
      <c r="BF2242" s="92" t="s">
        <v>5234</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20.100000000000001" customHeight="1">
      <c r="C2243" s="66">
        <v>77001906</v>
      </c>
      <c r="D2243" s="61" t="s">
        <v>5235</v>
      </c>
      <c r="E2243" s="61" t="s">
        <v>5236</v>
      </c>
      <c r="F2243" s="62">
        <v>1</v>
      </c>
      <c r="G2243" s="62">
        <v>0</v>
      </c>
      <c r="H2243" s="62">
        <v>0</v>
      </c>
      <c r="I2243" s="68">
        <v>0</v>
      </c>
      <c r="J2243" s="66">
        <v>1</v>
      </c>
      <c r="K2243" s="66">
        <v>0</v>
      </c>
      <c r="L2243" s="66">
        <v>0</v>
      </c>
      <c r="M2243" s="62">
        <v>0</v>
      </c>
      <c r="N2243" s="62">
        <v>0</v>
      </c>
      <c r="O2243" s="62">
        <v>2</v>
      </c>
      <c r="P2243" s="62">
        <v>1</v>
      </c>
      <c r="Q2243" s="62">
        <v>0.2</v>
      </c>
      <c r="R2243" s="62">
        <v>0</v>
      </c>
      <c r="S2243" s="70">
        <v>0</v>
      </c>
      <c r="T2243" s="62">
        <v>0</v>
      </c>
      <c r="U2243" s="62">
        <v>1</v>
      </c>
      <c r="V2243" s="62">
        <v>1</v>
      </c>
      <c r="W2243" s="62">
        <v>0</v>
      </c>
      <c r="X2243" s="62">
        <v>0</v>
      </c>
      <c r="Y2243" s="13">
        <v>0</v>
      </c>
      <c r="Z2243" s="62">
        <v>0</v>
      </c>
      <c r="AA2243" s="62">
        <v>1</v>
      </c>
      <c r="AB2243" s="62">
        <v>0</v>
      </c>
      <c r="AC2243" s="62">
        <v>0</v>
      </c>
      <c r="AD2243" s="62">
        <v>0</v>
      </c>
      <c r="AE2243" s="62">
        <v>1</v>
      </c>
      <c r="AF2243" s="62">
        <v>24</v>
      </c>
      <c r="AG2243" s="62">
        <v>1</v>
      </c>
      <c r="AH2243" s="62">
        <v>3</v>
      </c>
      <c r="AI2243" s="70">
        <v>0</v>
      </c>
      <c r="AJ2243" s="70">
        <v>1</v>
      </c>
      <c r="AK2243" s="70">
        <v>0</v>
      </c>
      <c r="AL2243" s="70">
        <v>3</v>
      </c>
      <c r="AM2243" s="62">
        <v>0</v>
      </c>
      <c r="AN2243" s="62">
        <v>0</v>
      </c>
      <c r="AO2243" s="62">
        <v>0</v>
      </c>
      <c r="AP2243" s="62">
        <v>0</v>
      </c>
      <c r="AQ2243" s="62">
        <v>0</v>
      </c>
      <c r="AR2243" s="62">
        <v>0</v>
      </c>
      <c r="AS2243" s="62">
        <v>0</v>
      </c>
      <c r="AT2243" s="347" t="s">
        <v>5237</v>
      </c>
      <c r="AU2243" s="81">
        <v>0</v>
      </c>
      <c r="AV2243" s="81"/>
      <c r="AW2243" s="61" t="s">
        <v>198</v>
      </c>
      <c r="AX2243" s="62" t="s">
        <v>215</v>
      </c>
      <c r="AY2243" s="66">
        <v>0</v>
      </c>
      <c r="AZ2243" s="66">
        <v>77001901</v>
      </c>
      <c r="BA2243" s="65" t="s">
        <v>200</v>
      </c>
      <c r="BB2243" s="62">
        <v>0</v>
      </c>
      <c r="BC2243" s="68">
        <v>0</v>
      </c>
      <c r="BD2243" s="68">
        <v>0</v>
      </c>
      <c r="BE2243" s="92" t="s">
        <v>5238</v>
      </c>
      <c r="BF2243" s="92" t="s">
        <v>5239</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19.5" customHeight="1">
      <c r="C2244" s="66">
        <v>77001907</v>
      </c>
      <c r="D2244" s="61" t="s">
        <v>5240</v>
      </c>
      <c r="E2244" s="61" t="s">
        <v>5241</v>
      </c>
      <c r="F2244" s="62">
        <v>1</v>
      </c>
      <c r="G2244" s="62">
        <v>0</v>
      </c>
      <c r="H2244" s="62">
        <v>0</v>
      </c>
      <c r="I2244" s="68">
        <v>0</v>
      </c>
      <c r="J2244" s="66">
        <v>1</v>
      </c>
      <c r="K2244" s="66">
        <v>0</v>
      </c>
      <c r="L2244" s="66">
        <v>0</v>
      </c>
      <c r="M2244" s="62">
        <v>0</v>
      </c>
      <c r="N2244" s="62">
        <v>0</v>
      </c>
      <c r="O2244" s="62">
        <v>2</v>
      </c>
      <c r="P2244" s="62">
        <v>16</v>
      </c>
      <c r="Q2244" s="62">
        <v>6</v>
      </c>
      <c r="R2244" s="62">
        <v>0</v>
      </c>
      <c r="S2244" s="70">
        <v>0</v>
      </c>
      <c r="T2244" s="62">
        <v>0</v>
      </c>
      <c r="U2244" s="62">
        <v>1</v>
      </c>
      <c r="V2244" s="62">
        <v>1</v>
      </c>
      <c r="W2244" s="62">
        <v>0</v>
      </c>
      <c r="X2244" s="62">
        <v>0</v>
      </c>
      <c r="Y2244" s="13">
        <v>0</v>
      </c>
      <c r="Z2244" s="62">
        <v>0</v>
      </c>
      <c r="AA2244" s="62">
        <v>0</v>
      </c>
      <c r="AB2244" s="62">
        <v>0</v>
      </c>
      <c r="AC2244" s="62">
        <v>0</v>
      </c>
      <c r="AD2244" s="62">
        <v>0</v>
      </c>
      <c r="AE2244" s="62">
        <v>1</v>
      </c>
      <c r="AF2244" s="62">
        <v>0</v>
      </c>
      <c r="AG2244" s="62">
        <v>2</v>
      </c>
      <c r="AH2244" s="62" t="s">
        <v>1036</v>
      </c>
      <c r="AI2244" s="70">
        <v>0</v>
      </c>
      <c r="AJ2244" s="70">
        <v>2</v>
      </c>
      <c r="AK2244" s="70">
        <v>0</v>
      </c>
      <c r="AL2244" s="70">
        <v>1.5</v>
      </c>
      <c r="AM2244" s="62">
        <v>0</v>
      </c>
      <c r="AN2244" s="62">
        <v>0</v>
      </c>
      <c r="AO2244" s="62">
        <v>0</v>
      </c>
      <c r="AP2244" s="62">
        <v>0.3</v>
      </c>
      <c r="AQ2244" s="62">
        <v>300</v>
      </c>
      <c r="AR2244" s="62">
        <v>0</v>
      </c>
      <c r="AS2244" s="62">
        <v>15</v>
      </c>
      <c r="AT2244" s="70">
        <v>97009010</v>
      </c>
      <c r="AU2244" s="81">
        <v>0</v>
      </c>
      <c r="AV2244" s="81"/>
      <c r="AW2244" s="61" t="s">
        <v>199</v>
      </c>
      <c r="AX2244" s="62" t="s">
        <v>215</v>
      </c>
      <c r="AY2244" s="66">
        <v>0</v>
      </c>
      <c r="AZ2244" s="66">
        <v>0</v>
      </c>
      <c r="BA2244" s="318" t="s">
        <v>216</v>
      </c>
      <c r="BB2244" s="62">
        <v>1</v>
      </c>
      <c r="BC2244" s="68">
        <v>0</v>
      </c>
      <c r="BD2244" s="68">
        <v>0</v>
      </c>
      <c r="BE2244" s="92" t="s">
        <v>5242</v>
      </c>
      <c r="BF2244" s="92" t="s">
        <v>5243</v>
      </c>
      <c r="BG2244" s="62">
        <v>0</v>
      </c>
      <c r="BH2244" s="62">
        <v>0</v>
      </c>
      <c r="BI2244" s="62">
        <v>0</v>
      </c>
      <c r="BJ2244" s="62">
        <v>0</v>
      </c>
      <c r="BK2244" s="62">
        <v>0</v>
      </c>
      <c r="BL2244" s="62">
        <v>0</v>
      </c>
      <c r="BM2244" s="95">
        <v>0</v>
      </c>
      <c r="BN2244" s="70">
        <v>0</v>
      </c>
      <c r="BO2244" s="70">
        <v>0</v>
      </c>
      <c r="BP2244" s="70">
        <v>0</v>
      </c>
      <c r="BQ2244" s="70">
        <v>0</v>
      </c>
      <c r="BR2244" s="70">
        <v>0</v>
      </c>
      <c r="BS2244" s="70">
        <v>1</v>
      </c>
      <c r="BT2244" s="70">
        <v>77001908</v>
      </c>
      <c r="BU2244" s="49">
        <v>0</v>
      </c>
      <c r="BV2244" s="49"/>
      <c r="BW2244" s="49"/>
    </row>
    <row r="2245" spans="3:75" ht="20.100000000000001" customHeight="1">
      <c r="C2245" s="66">
        <v>77001908</v>
      </c>
      <c r="D2245" s="61" t="s">
        <v>5244</v>
      </c>
      <c r="E2245" s="61" t="s">
        <v>5245</v>
      </c>
      <c r="F2245" s="62">
        <v>1</v>
      </c>
      <c r="G2245" s="62">
        <v>0</v>
      </c>
      <c r="H2245" s="62">
        <v>0</v>
      </c>
      <c r="I2245" s="68">
        <v>0</v>
      </c>
      <c r="J2245" s="66">
        <v>1</v>
      </c>
      <c r="K2245" s="66">
        <v>0</v>
      </c>
      <c r="L2245" s="66">
        <v>0</v>
      </c>
      <c r="M2245" s="62">
        <v>0</v>
      </c>
      <c r="N2245" s="62">
        <v>0</v>
      </c>
      <c r="O2245" s="62">
        <v>2</v>
      </c>
      <c r="P2245" s="62">
        <v>1</v>
      </c>
      <c r="Q2245" s="62">
        <v>0.2</v>
      </c>
      <c r="R2245" s="62">
        <v>0</v>
      </c>
      <c r="S2245" s="70">
        <v>0</v>
      </c>
      <c r="T2245" s="62">
        <v>0</v>
      </c>
      <c r="U2245" s="62">
        <v>1</v>
      </c>
      <c r="V2245" s="62">
        <v>1</v>
      </c>
      <c r="W2245" s="62">
        <v>0</v>
      </c>
      <c r="X2245" s="62">
        <v>0.5</v>
      </c>
      <c r="Y2245" s="13">
        <v>0</v>
      </c>
      <c r="Z2245" s="62">
        <v>0</v>
      </c>
      <c r="AA2245" s="62">
        <v>1</v>
      </c>
      <c r="AB2245" s="62">
        <v>0</v>
      </c>
      <c r="AC2245" s="62">
        <v>0</v>
      </c>
      <c r="AD2245" s="62">
        <v>0</v>
      </c>
      <c r="AE2245" s="62">
        <v>1</v>
      </c>
      <c r="AF2245" s="62">
        <v>0</v>
      </c>
      <c r="AG2245" s="62">
        <v>1</v>
      </c>
      <c r="AH2245" s="62">
        <v>3</v>
      </c>
      <c r="AI2245" s="70">
        <v>0</v>
      </c>
      <c r="AJ2245" s="70">
        <v>1</v>
      </c>
      <c r="AK2245" s="70">
        <v>0</v>
      </c>
      <c r="AL2245" s="70">
        <v>3</v>
      </c>
      <c r="AM2245" s="62">
        <v>0</v>
      </c>
      <c r="AN2245" s="62">
        <v>0</v>
      </c>
      <c r="AO2245" s="62">
        <v>0</v>
      </c>
      <c r="AP2245" s="62">
        <v>0.5</v>
      </c>
      <c r="AQ2245" s="62">
        <v>3000</v>
      </c>
      <c r="AR2245" s="62">
        <v>0.5</v>
      </c>
      <c r="AS2245" s="62">
        <v>0</v>
      </c>
      <c r="AT2245" s="70">
        <v>0</v>
      </c>
      <c r="AU2245" s="348" t="s">
        <v>5225</v>
      </c>
      <c r="AV2245" s="81"/>
      <c r="AW2245" s="61" t="s">
        <v>198</v>
      </c>
      <c r="AX2245" s="62" t="s">
        <v>215</v>
      </c>
      <c r="AY2245" s="66">
        <v>0</v>
      </c>
      <c r="AZ2245" s="66">
        <v>77001907</v>
      </c>
      <c r="BA2245" s="65" t="s">
        <v>200</v>
      </c>
      <c r="BB2245" s="62">
        <v>0</v>
      </c>
      <c r="BC2245" s="68">
        <v>0</v>
      </c>
      <c r="BD2245" s="68">
        <v>0</v>
      </c>
      <c r="BE2245" s="92" t="s">
        <v>5046</v>
      </c>
      <c r="BF2245" s="92" t="s">
        <v>5047</v>
      </c>
      <c r="BG2245" s="62">
        <v>0</v>
      </c>
      <c r="BH2245" s="62">
        <v>0</v>
      </c>
      <c r="BI2245" s="62">
        <v>0</v>
      </c>
      <c r="BJ2245" s="62">
        <v>0</v>
      </c>
      <c r="BK2245" s="62">
        <v>0</v>
      </c>
      <c r="BL2245" s="62">
        <v>0</v>
      </c>
      <c r="BM2245" s="95">
        <v>0</v>
      </c>
      <c r="BN2245" s="70">
        <v>0</v>
      </c>
      <c r="BO2245" s="70">
        <v>0</v>
      </c>
      <c r="BP2245" s="70">
        <v>0</v>
      </c>
      <c r="BQ2245" s="70">
        <v>0</v>
      </c>
      <c r="BR2245" s="70">
        <v>0</v>
      </c>
      <c r="BS2245" s="70">
        <v>0</v>
      </c>
      <c r="BT2245" s="70">
        <v>0</v>
      </c>
      <c r="BU2245" s="49">
        <v>0</v>
      </c>
      <c r="BV2245" s="49"/>
      <c r="BW2245" s="49"/>
    </row>
    <row r="2246" spans="3:75" ht="19.5" customHeight="1">
      <c r="C2246" s="66">
        <v>77001909</v>
      </c>
      <c r="D2246" s="61" t="s">
        <v>5246</v>
      </c>
      <c r="E2246" s="61" t="s">
        <v>5247</v>
      </c>
      <c r="F2246" s="66">
        <v>1</v>
      </c>
      <c r="G2246" s="66">
        <v>0</v>
      </c>
      <c r="H2246" s="66">
        <v>0</v>
      </c>
      <c r="I2246" s="68">
        <v>0</v>
      </c>
      <c r="J2246" s="66">
        <v>1</v>
      </c>
      <c r="K2246" s="66">
        <v>0</v>
      </c>
      <c r="L2246" s="66">
        <v>0</v>
      </c>
      <c r="M2246" s="62">
        <v>0</v>
      </c>
      <c r="N2246" s="62">
        <v>0</v>
      </c>
      <c r="O2246" s="62">
        <v>2</v>
      </c>
      <c r="P2246" s="62">
        <v>16</v>
      </c>
      <c r="Q2246" s="62">
        <v>5</v>
      </c>
      <c r="R2246" s="62">
        <v>0</v>
      </c>
      <c r="S2246" s="70">
        <v>0</v>
      </c>
      <c r="T2246" s="62">
        <v>0</v>
      </c>
      <c r="U2246" s="62">
        <v>1</v>
      </c>
      <c r="V2246" s="62">
        <v>2</v>
      </c>
      <c r="W2246" s="62">
        <v>0</v>
      </c>
      <c r="X2246" s="62">
        <v>1</v>
      </c>
      <c r="Y2246" s="13">
        <v>0</v>
      </c>
      <c r="Z2246" s="62">
        <v>0</v>
      </c>
      <c r="AA2246" s="62">
        <v>1</v>
      </c>
      <c r="AB2246" s="62">
        <v>0</v>
      </c>
      <c r="AC2246" s="62">
        <v>0</v>
      </c>
      <c r="AD2246" s="62">
        <v>0</v>
      </c>
      <c r="AE2246" s="62">
        <v>1</v>
      </c>
      <c r="AF2246" s="62">
        <v>0</v>
      </c>
      <c r="AG2246" s="62">
        <v>2</v>
      </c>
      <c r="AH2246" s="62" t="s">
        <v>5248</v>
      </c>
      <c r="AI2246" s="70">
        <v>0</v>
      </c>
      <c r="AJ2246" s="70">
        <v>2</v>
      </c>
      <c r="AK2246" s="70">
        <v>0</v>
      </c>
      <c r="AL2246" s="70">
        <v>4</v>
      </c>
      <c r="AM2246" s="62">
        <v>0</v>
      </c>
      <c r="AN2246" s="62">
        <v>1</v>
      </c>
      <c r="AO2246" s="62">
        <v>0</v>
      </c>
      <c r="AP2246" s="62">
        <v>1</v>
      </c>
      <c r="AQ2246" s="62">
        <v>9000</v>
      </c>
      <c r="AR2246" s="62">
        <v>0</v>
      </c>
      <c r="AS2246" s="62">
        <v>10</v>
      </c>
      <c r="AT2246" s="80">
        <v>0</v>
      </c>
      <c r="AU2246" s="348" t="s">
        <v>5225</v>
      </c>
      <c r="AV2246" s="81"/>
      <c r="AW2246" s="61" t="s">
        <v>256</v>
      </c>
      <c r="AX2246" s="62" t="s">
        <v>534</v>
      </c>
      <c r="AY2246" s="66">
        <v>10000007</v>
      </c>
      <c r="AZ2246" s="66">
        <v>77001908</v>
      </c>
      <c r="BA2246" s="61" t="s">
        <v>586</v>
      </c>
      <c r="BB2246" s="62" t="s">
        <v>5249</v>
      </c>
      <c r="BC2246" s="68">
        <v>0</v>
      </c>
      <c r="BD2246" s="68">
        <v>1</v>
      </c>
      <c r="BE2246" s="92" t="s">
        <v>5250</v>
      </c>
      <c r="BF2246" s="92" t="s">
        <v>5251</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spans="3:75" ht="19.5" customHeight="1">
      <c r="C2247" s="66">
        <v>77001910</v>
      </c>
      <c r="D2247" s="61" t="s">
        <v>5252</v>
      </c>
      <c r="E2247" s="61" t="s">
        <v>5253</v>
      </c>
      <c r="F2247" s="62">
        <v>1</v>
      </c>
      <c r="G2247" s="62">
        <v>0</v>
      </c>
      <c r="H2247" s="62">
        <v>0</v>
      </c>
      <c r="I2247" s="68">
        <v>0</v>
      </c>
      <c r="J2247" s="66">
        <v>1</v>
      </c>
      <c r="K2247" s="66">
        <v>0</v>
      </c>
      <c r="L2247" s="66">
        <v>0</v>
      </c>
      <c r="M2247" s="62">
        <v>0</v>
      </c>
      <c r="N2247" s="62">
        <v>0</v>
      </c>
      <c r="O2247" s="62">
        <v>2</v>
      </c>
      <c r="P2247" s="62">
        <v>2</v>
      </c>
      <c r="Q2247" s="62">
        <v>0.8</v>
      </c>
      <c r="R2247" s="62">
        <v>0</v>
      </c>
      <c r="S2247" s="70">
        <v>3</v>
      </c>
      <c r="T2247" s="62">
        <v>0</v>
      </c>
      <c r="U2247" s="62">
        <v>1</v>
      </c>
      <c r="V2247" s="62">
        <v>1</v>
      </c>
      <c r="W2247" s="62">
        <v>0</v>
      </c>
      <c r="X2247" s="62">
        <v>0</v>
      </c>
      <c r="Y2247" s="13">
        <v>0</v>
      </c>
      <c r="Z2247" s="62">
        <v>0</v>
      </c>
      <c r="AA2247" s="62">
        <v>0</v>
      </c>
      <c r="AB2247" s="62">
        <v>0</v>
      </c>
      <c r="AC2247" s="62">
        <v>0</v>
      </c>
      <c r="AD2247" s="62">
        <v>0</v>
      </c>
      <c r="AE2247" s="62">
        <v>1</v>
      </c>
      <c r="AF2247" s="62">
        <v>12</v>
      </c>
      <c r="AG2247" s="62">
        <v>2</v>
      </c>
      <c r="AH2247" s="62" t="s">
        <v>213</v>
      </c>
      <c r="AI2247" s="70">
        <v>0</v>
      </c>
      <c r="AJ2247" s="70">
        <v>2</v>
      </c>
      <c r="AK2247" s="70">
        <v>0</v>
      </c>
      <c r="AL2247" s="70">
        <v>1.5</v>
      </c>
      <c r="AM2247" s="62">
        <v>0</v>
      </c>
      <c r="AN2247" s="62">
        <v>0</v>
      </c>
      <c r="AO2247" s="62">
        <v>0</v>
      </c>
      <c r="AP2247" s="62">
        <v>0.3</v>
      </c>
      <c r="AQ2247" s="62">
        <v>300</v>
      </c>
      <c r="AR2247" s="62">
        <v>0</v>
      </c>
      <c r="AS2247" s="62">
        <v>20</v>
      </c>
      <c r="AT2247" s="70">
        <v>0</v>
      </c>
      <c r="AU2247" s="348" t="s">
        <v>5225</v>
      </c>
      <c r="AV2247" s="81"/>
      <c r="AW2247" s="61" t="s">
        <v>199</v>
      </c>
      <c r="AX2247" s="62" t="s">
        <v>215</v>
      </c>
      <c r="AY2247" s="66">
        <v>0</v>
      </c>
      <c r="AZ2247" s="66">
        <v>0</v>
      </c>
      <c r="BA2247" s="318" t="s">
        <v>216</v>
      </c>
      <c r="BB2247" s="62">
        <v>0</v>
      </c>
      <c r="BC2247" s="68">
        <v>0</v>
      </c>
      <c r="BD2247" s="68">
        <v>0</v>
      </c>
      <c r="BE2247" s="92" t="s">
        <v>5254</v>
      </c>
      <c r="BF2247" s="92" t="s">
        <v>5255</v>
      </c>
      <c r="BG2247" s="62">
        <v>0</v>
      </c>
      <c r="BH2247" s="62">
        <v>0</v>
      </c>
      <c r="BI2247" s="62">
        <v>0</v>
      </c>
      <c r="BJ2247" s="62">
        <v>0</v>
      </c>
      <c r="BK2247" s="62">
        <v>0</v>
      </c>
      <c r="BL2247" s="62">
        <v>0</v>
      </c>
      <c r="BM2247" s="95">
        <v>0</v>
      </c>
      <c r="BN2247" s="70">
        <v>0</v>
      </c>
      <c r="BO2247" s="70">
        <v>0</v>
      </c>
      <c r="BP2247" s="70">
        <v>0</v>
      </c>
      <c r="BQ2247" s="70">
        <v>0</v>
      </c>
      <c r="BR2247" s="70">
        <v>0</v>
      </c>
      <c r="BS2247" s="70">
        <v>0</v>
      </c>
      <c r="BT2247" s="70">
        <v>77001911</v>
      </c>
      <c r="BU2247" s="49">
        <v>0</v>
      </c>
      <c r="BV2247" s="49"/>
      <c r="BW2247" s="49"/>
    </row>
    <row r="2248" spans="3:75" ht="20.100000000000001" customHeight="1">
      <c r="C2248" s="66">
        <v>77001911</v>
      </c>
      <c r="D2248" s="61" t="s">
        <v>5046</v>
      </c>
      <c r="E2248" s="61" t="s">
        <v>5047</v>
      </c>
      <c r="F2248" s="62">
        <v>1</v>
      </c>
      <c r="G2248" s="62">
        <v>0</v>
      </c>
      <c r="H2248" s="62">
        <v>0</v>
      </c>
      <c r="I2248" s="68">
        <v>0</v>
      </c>
      <c r="J2248" s="66">
        <v>1</v>
      </c>
      <c r="K2248" s="66">
        <v>0</v>
      </c>
      <c r="L2248" s="66">
        <v>0</v>
      </c>
      <c r="M2248" s="62">
        <v>0</v>
      </c>
      <c r="N2248" s="62">
        <v>0</v>
      </c>
      <c r="O2248" s="62">
        <v>2</v>
      </c>
      <c r="P2248" s="62">
        <v>3</v>
      </c>
      <c r="Q2248" s="62">
        <v>0.2</v>
      </c>
      <c r="R2248" s="62">
        <v>0</v>
      </c>
      <c r="S2248" s="70">
        <v>0</v>
      </c>
      <c r="T2248" s="62">
        <v>0</v>
      </c>
      <c r="U2248" s="62">
        <v>1</v>
      </c>
      <c r="V2248" s="62">
        <v>1</v>
      </c>
      <c r="W2248" s="62">
        <v>0</v>
      </c>
      <c r="X2248" s="62">
        <v>1.5</v>
      </c>
      <c r="Y2248" s="13">
        <v>0</v>
      </c>
      <c r="Z2248" s="62">
        <v>0</v>
      </c>
      <c r="AA2248" s="62">
        <v>1</v>
      </c>
      <c r="AB2248" s="62">
        <v>0</v>
      </c>
      <c r="AC2248" s="62">
        <v>0</v>
      </c>
      <c r="AD2248" s="62">
        <v>0</v>
      </c>
      <c r="AE2248" s="62">
        <v>1</v>
      </c>
      <c r="AF2248" s="62">
        <v>0</v>
      </c>
      <c r="AG2248" s="62">
        <v>1</v>
      </c>
      <c r="AH2248" s="62">
        <v>6</v>
      </c>
      <c r="AI2248" s="70">
        <v>0</v>
      </c>
      <c r="AJ2248" s="70">
        <v>1</v>
      </c>
      <c r="AK2248" s="70">
        <v>0</v>
      </c>
      <c r="AL2248" s="70">
        <v>3</v>
      </c>
      <c r="AM2248" s="62">
        <v>0</v>
      </c>
      <c r="AN2248" s="62">
        <v>0</v>
      </c>
      <c r="AO2248" s="62">
        <v>0</v>
      </c>
      <c r="AP2248" s="62">
        <v>1</v>
      </c>
      <c r="AQ2248" s="62">
        <v>3000</v>
      </c>
      <c r="AR2248" s="62">
        <v>1</v>
      </c>
      <c r="AS2248" s="62">
        <v>0</v>
      </c>
      <c r="AT2248" s="70">
        <v>0</v>
      </c>
      <c r="AU2248" s="348" t="s">
        <v>5256</v>
      </c>
      <c r="AV2248" s="81"/>
      <c r="AW2248" s="61" t="s">
        <v>198</v>
      </c>
      <c r="AX2248" s="62" t="s">
        <v>215</v>
      </c>
      <c r="AY2248" s="66">
        <v>0</v>
      </c>
      <c r="AZ2248" s="66">
        <v>77001903</v>
      </c>
      <c r="BA2248" s="65" t="s">
        <v>200</v>
      </c>
      <c r="BB2248" s="62">
        <v>0</v>
      </c>
      <c r="BC2248" s="68">
        <v>0</v>
      </c>
      <c r="BD2248" s="68">
        <v>0</v>
      </c>
      <c r="BE2248" s="92" t="s">
        <v>5046</v>
      </c>
      <c r="BF2248" s="92" t="s">
        <v>5047</v>
      </c>
      <c r="BG2248" s="62">
        <v>0</v>
      </c>
      <c r="BH2248" s="62">
        <v>0</v>
      </c>
      <c r="BI2248" s="62">
        <v>0</v>
      </c>
      <c r="BJ2248" s="62">
        <v>0</v>
      </c>
      <c r="BK2248" s="62">
        <v>0</v>
      </c>
      <c r="BL2248" s="62">
        <v>0</v>
      </c>
      <c r="BM2248" s="95">
        <v>0</v>
      </c>
      <c r="BN2248" s="70">
        <v>0</v>
      </c>
      <c r="BO2248" s="70">
        <v>0</v>
      </c>
      <c r="BP2248" s="70">
        <v>0</v>
      </c>
      <c r="BQ2248" s="70">
        <v>0</v>
      </c>
      <c r="BR2248" s="70">
        <v>0</v>
      </c>
      <c r="BS2248" s="70">
        <v>0</v>
      </c>
      <c r="BT2248" s="70">
        <v>0</v>
      </c>
      <c r="BU2248" s="49">
        <v>0</v>
      </c>
      <c r="BV2248" s="49"/>
      <c r="BW2248" s="49"/>
    </row>
    <row r="2249" spans="3:75" ht="20.100000000000001" customHeight="1">
      <c r="C2249" s="66">
        <v>77001912</v>
      </c>
      <c r="D2249" s="61" t="s">
        <v>5257</v>
      </c>
      <c r="E2249" s="61" t="s">
        <v>5258</v>
      </c>
      <c r="F2249" s="62">
        <v>1</v>
      </c>
      <c r="G2249" s="62">
        <v>0</v>
      </c>
      <c r="H2249" s="62">
        <v>0</v>
      </c>
      <c r="I2249" s="68">
        <v>0</v>
      </c>
      <c r="J2249" s="66">
        <v>1</v>
      </c>
      <c r="K2249" s="62">
        <v>0</v>
      </c>
      <c r="L2249" s="62">
        <v>0</v>
      </c>
      <c r="M2249" s="62">
        <v>0</v>
      </c>
      <c r="N2249" s="62">
        <v>0</v>
      </c>
      <c r="O2249" s="62">
        <v>2</v>
      </c>
      <c r="P2249" s="62">
        <v>1</v>
      </c>
      <c r="Q2249" s="62">
        <v>0.1</v>
      </c>
      <c r="R2249" s="62">
        <v>0</v>
      </c>
      <c r="S2249" s="70">
        <v>0</v>
      </c>
      <c r="T2249" s="62">
        <v>0</v>
      </c>
      <c r="U2249" s="62">
        <v>1</v>
      </c>
      <c r="V2249" s="62">
        <v>1</v>
      </c>
      <c r="W2249" s="62">
        <v>0</v>
      </c>
      <c r="X2249" s="62">
        <v>1</v>
      </c>
      <c r="Y2249" s="13">
        <v>0</v>
      </c>
      <c r="Z2249" s="62">
        <v>0</v>
      </c>
      <c r="AA2249" s="62">
        <v>1</v>
      </c>
      <c r="AB2249" s="62">
        <v>0</v>
      </c>
      <c r="AC2249" s="62">
        <v>0</v>
      </c>
      <c r="AD2249" s="62">
        <v>0</v>
      </c>
      <c r="AE2249" s="62">
        <v>1</v>
      </c>
      <c r="AF2249" s="62">
        <v>0</v>
      </c>
      <c r="AG2249" s="62">
        <v>1</v>
      </c>
      <c r="AH2249" s="62">
        <v>3</v>
      </c>
      <c r="AI2249" s="70">
        <v>0</v>
      </c>
      <c r="AJ2249" s="70">
        <v>1</v>
      </c>
      <c r="AK2249" s="70">
        <v>0</v>
      </c>
      <c r="AL2249" s="70">
        <v>2</v>
      </c>
      <c r="AM2249" s="62">
        <v>0</v>
      </c>
      <c r="AN2249" s="62">
        <v>0</v>
      </c>
      <c r="AO2249" s="62">
        <v>0</v>
      </c>
      <c r="AP2249" s="62">
        <v>0.5</v>
      </c>
      <c r="AQ2249" s="62">
        <v>600</v>
      </c>
      <c r="AR2249" s="62">
        <v>0.5</v>
      </c>
      <c r="AS2249" s="62">
        <v>0</v>
      </c>
      <c r="AT2249" s="70">
        <v>0</v>
      </c>
      <c r="AU2249" s="62">
        <v>0</v>
      </c>
      <c r="AV2249" s="62"/>
      <c r="AW2249" s="61" t="s">
        <v>198</v>
      </c>
      <c r="AX2249" s="62" t="s">
        <v>534</v>
      </c>
      <c r="AY2249" s="66">
        <v>10000001</v>
      </c>
      <c r="AZ2249" s="66">
        <v>77001904</v>
      </c>
      <c r="BA2249" s="61" t="s">
        <v>771</v>
      </c>
      <c r="BB2249" s="62">
        <v>0</v>
      </c>
      <c r="BC2249" s="68">
        <v>0</v>
      </c>
      <c r="BD2249" s="68">
        <v>0</v>
      </c>
      <c r="BE2249" s="123" t="s">
        <v>5259</v>
      </c>
      <c r="BF2249" s="123" t="s">
        <v>5260</v>
      </c>
      <c r="BG2249" s="62">
        <v>0</v>
      </c>
      <c r="BH2249" s="62">
        <v>0</v>
      </c>
      <c r="BI2249" s="62">
        <v>0</v>
      </c>
      <c r="BJ2249" s="62">
        <v>0</v>
      </c>
      <c r="BK2249" s="62">
        <v>0</v>
      </c>
      <c r="BL2249" s="62">
        <v>0</v>
      </c>
      <c r="BM2249" s="95">
        <v>0</v>
      </c>
      <c r="BN2249" s="70">
        <v>0</v>
      </c>
      <c r="BO2249" s="70">
        <v>0</v>
      </c>
      <c r="BP2249" s="70">
        <v>0</v>
      </c>
      <c r="BQ2249" s="70">
        <v>0</v>
      </c>
      <c r="BR2249" s="70">
        <v>0</v>
      </c>
      <c r="BS2249" s="70">
        <v>0</v>
      </c>
      <c r="BT2249" s="70">
        <v>77001913</v>
      </c>
      <c r="BU2249" s="49">
        <v>0</v>
      </c>
      <c r="BV2249" s="49"/>
      <c r="BW2249" s="49"/>
    </row>
    <row r="2250" spans="3:75" ht="20.100000000000001" customHeight="1">
      <c r="C2250" s="66">
        <v>77001913</v>
      </c>
      <c r="D2250" s="61" t="s">
        <v>598</v>
      </c>
      <c r="E2250" s="61" t="s">
        <v>1162</v>
      </c>
      <c r="F2250" s="66">
        <v>1</v>
      </c>
      <c r="G2250" s="62">
        <v>0</v>
      </c>
      <c r="H2250" s="66">
        <v>0</v>
      </c>
      <c r="I2250" s="68">
        <v>0</v>
      </c>
      <c r="J2250" s="66">
        <v>1</v>
      </c>
      <c r="K2250" s="66">
        <v>0</v>
      </c>
      <c r="L2250" s="66">
        <v>0</v>
      </c>
      <c r="M2250" s="62">
        <v>0</v>
      </c>
      <c r="N2250" s="62">
        <v>0</v>
      </c>
      <c r="O2250" s="62">
        <v>2</v>
      </c>
      <c r="P2250" s="62">
        <v>1</v>
      </c>
      <c r="Q2250" s="62">
        <v>0.5</v>
      </c>
      <c r="R2250" s="62">
        <v>0</v>
      </c>
      <c r="S2250" s="70">
        <v>0</v>
      </c>
      <c r="T2250" s="62">
        <v>0</v>
      </c>
      <c r="U2250" s="62">
        <v>1</v>
      </c>
      <c r="V2250" s="62">
        <v>2</v>
      </c>
      <c r="W2250" s="62">
        <v>0</v>
      </c>
      <c r="X2250" s="62">
        <v>0.5</v>
      </c>
      <c r="Y2250" s="13">
        <v>0</v>
      </c>
      <c r="Z2250" s="62">
        <v>0</v>
      </c>
      <c r="AA2250" s="62">
        <v>0</v>
      </c>
      <c r="AB2250" s="62">
        <v>0</v>
      </c>
      <c r="AC2250" s="62">
        <v>0</v>
      </c>
      <c r="AD2250" s="62">
        <v>0</v>
      </c>
      <c r="AE2250" s="62">
        <v>0</v>
      </c>
      <c r="AF2250" s="62">
        <v>8</v>
      </c>
      <c r="AG2250" s="62">
        <v>2</v>
      </c>
      <c r="AH2250" s="62" t="s">
        <v>1036</v>
      </c>
      <c r="AI2250" s="70">
        <v>0</v>
      </c>
      <c r="AJ2250" s="70">
        <v>2</v>
      </c>
      <c r="AK2250" s="70">
        <v>0</v>
      </c>
      <c r="AL2250" s="70">
        <v>1.5</v>
      </c>
      <c r="AM2250" s="62">
        <v>0</v>
      </c>
      <c r="AN2250" s="62">
        <v>0</v>
      </c>
      <c r="AO2250" s="62">
        <v>0</v>
      </c>
      <c r="AP2250" s="62">
        <v>0.3</v>
      </c>
      <c r="AQ2250" s="62">
        <v>400</v>
      </c>
      <c r="AR2250" s="62">
        <v>0.3</v>
      </c>
      <c r="AS2250" s="62">
        <v>0</v>
      </c>
      <c r="AT2250" s="70">
        <v>0</v>
      </c>
      <c r="AU2250" s="62">
        <v>97009003</v>
      </c>
      <c r="AV2250" s="62"/>
      <c r="AW2250" s="65" t="s">
        <v>198</v>
      </c>
      <c r="AX2250" s="62" t="s">
        <v>545</v>
      </c>
      <c r="AY2250" s="66">
        <v>10001007</v>
      </c>
      <c r="AZ2250" s="66">
        <v>77001905</v>
      </c>
      <c r="BA2250" s="61" t="s">
        <v>200</v>
      </c>
      <c r="BB2250" s="62">
        <v>0</v>
      </c>
      <c r="BC2250" s="68">
        <v>0</v>
      </c>
      <c r="BD2250" s="68">
        <v>0</v>
      </c>
      <c r="BE2250" s="92" t="s">
        <v>5261</v>
      </c>
      <c r="BF2250" s="92" t="s">
        <v>5262</v>
      </c>
      <c r="BG2250" s="62">
        <v>0</v>
      </c>
      <c r="BH2250" s="62">
        <v>0</v>
      </c>
      <c r="BI2250" s="62">
        <v>0</v>
      </c>
      <c r="BJ2250" s="62">
        <v>0</v>
      </c>
      <c r="BK2250" s="62">
        <v>0</v>
      </c>
      <c r="BL2250" s="62">
        <v>0</v>
      </c>
      <c r="BM2250" s="95">
        <v>0</v>
      </c>
      <c r="BN2250" s="70">
        <v>0</v>
      </c>
      <c r="BO2250" s="70">
        <v>0</v>
      </c>
      <c r="BP2250" s="70">
        <v>0</v>
      </c>
      <c r="BQ2250" s="70">
        <v>0</v>
      </c>
      <c r="BR2250" s="70">
        <v>0</v>
      </c>
      <c r="BS2250" s="70">
        <v>0</v>
      </c>
      <c r="BT2250" s="70">
        <v>0</v>
      </c>
      <c r="BU2250" s="49">
        <v>0</v>
      </c>
      <c r="BV2250" s="49"/>
      <c r="BW2250" s="49"/>
    </row>
    <row r="2251" spans="3:75" ht="19.5" customHeight="1">
      <c r="C2251" s="66">
        <v>77001914</v>
      </c>
      <c r="D2251" s="61" t="s">
        <v>2319</v>
      </c>
      <c r="E2251" s="61" t="s">
        <v>2320</v>
      </c>
      <c r="F2251" s="66">
        <v>1</v>
      </c>
      <c r="G2251" s="62">
        <v>0</v>
      </c>
      <c r="H2251" s="66">
        <v>0</v>
      </c>
      <c r="I2251" s="68">
        <v>0</v>
      </c>
      <c r="J2251" s="66">
        <v>1</v>
      </c>
      <c r="K2251" s="66">
        <v>0</v>
      </c>
      <c r="L2251" s="66">
        <v>0</v>
      </c>
      <c r="M2251" s="62">
        <v>0</v>
      </c>
      <c r="N2251" s="62">
        <v>0</v>
      </c>
      <c r="O2251" s="62">
        <v>2</v>
      </c>
      <c r="P2251" s="62">
        <v>16</v>
      </c>
      <c r="Q2251" s="62">
        <v>5</v>
      </c>
      <c r="R2251" s="62">
        <v>0</v>
      </c>
      <c r="S2251" s="70">
        <v>0</v>
      </c>
      <c r="T2251" s="62">
        <v>0</v>
      </c>
      <c r="U2251" s="62">
        <v>1</v>
      </c>
      <c r="V2251" s="62">
        <v>2</v>
      </c>
      <c r="W2251" s="62">
        <v>0</v>
      </c>
      <c r="X2251" s="62">
        <v>1.5</v>
      </c>
      <c r="Y2251" s="13">
        <v>0</v>
      </c>
      <c r="Z2251" s="62">
        <v>0</v>
      </c>
      <c r="AA2251" s="62">
        <v>0</v>
      </c>
      <c r="AB2251" s="62">
        <v>0</v>
      </c>
      <c r="AC2251" s="62">
        <v>0</v>
      </c>
      <c r="AD2251" s="62">
        <v>0</v>
      </c>
      <c r="AE2251" s="62">
        <v>1</v>
      </c>
      <c r="AF2251" s="62">
        <v>0</v>
      </c>
      <c r="AG2251" s="62">
        <v>1</v>
      </c>
      <c r="AH2251" s="62">
        <v>2</v>
      </c>
      <c r="AI2251" s="70">
        <v>0</v>
      </c>
      <c r="AJ2251" s="70">
        <v>2</v>
      </c>
      <c r="AK2251" s="70">
        <v>0</v>
      </c>
      <c r="AL2251" s="70">
        <v>2</v>
      </c>
      <c r="AM2251" s="62">
        <v>0</v>
      </c>
      <c r="AN2251" s="62">
        <v>0</v>
      </c>
      <c r="AO2251" s="62">
        <v>0</v>
      </c>
      <c r="AP2251" s="62">
        <v>2</v>
      </c>
      <c r="AQ2251" s="62">
        <v>5000</v>
      </c>
      <c r="AR2251" s="62">
        <v>0</v>
      </c>
      <c r="AS2251" s="62">
        <v>15</v>
      </c>
      <c r="AT2251" s="80">
        <v>0</v>
      </c>
      <c r="AU2251" s="348" t="s">
        <v>198</v>
      </c>
      <c r="AV2251" s="81"/>
      <c r="AW2251" s="61" t="s">
        <v>256</v>
      </c>
      <c r="AX2251" s="62" t="s">
        <v>534</v>
      </c>
      <c r="AY2251" s="66">
        <v>10000007</v>
      </c>
      <c r="AZ2251" s="346" t="s">
        <v>5263</v>
      </c>
      <c r="BA2251" s="61" t="s">
        <v>586</v>
      </c>
      <c r="BB2251" s="62" t="s">
        <v>1305</v>
      </c>
      <c r="BC2251" s="68">
        <v>0</v>
      </c>
      <c r="BD2251" s="68">
        <v>1</v>
      </c>
      <c r="BE2251" s="92" t="s">
        <v>1306</v>
      </c>
      <c r="BF2251" s="92" t="s">
        <v>1307</v>
      </c>
      <c r="BG2251" s="62">
        <v>0</v>
      </c>
      <c r="BH2251" s="62">
        <v>0</v>
      </c>
      <c r="BI2251" s="62">
        <v>0</v>
      </c>
      <c r="BJ2251" s="62">
        <v>0</v>
      </c>
      <c r="BK2251" s="62">
        <v>0</v>
      </c>
      <c r="BL2251" s="62">
        <v>0</v>
      </c>
      <c r="BM2251" s="95">
        <v>0</v>
      </c>
      <c r="BN2251" s="70">
        <v>0</v>
      </c>
      <c r="BO2251" s="70">
        <v>0</v>
      </c>
      <c r="BP2251" s="70">
        <v>0</v>
      </c>
      <c r="BQ2251" s="70">
        <v>0</v>
      </c>
      <c r="BR2251" s="70">
        <v>0</v>
      </c>
      <c r="BS2251" s="70">
        <v>1</v>
      </c>
      <c r="BT2251" s="70">
        <v>0</v>
      </c>
      <c r="BU2251" s="49">
        <v>0</v>
      </c>
      <c r="BV2251" s="49"/>
      <c r="BW2251" s="49"/>
    </row>
    <row r="2252" spans="3:75" ht="20.100000000000001" customHeight="1">
      <c r="C2252" s="102">
        <v>77002001</v>
      </c>
      <c r="D2252" s="322" t="s">
        <v>5264</v>
      </c>
      <c r="E2252" s="322" t="s">
        <v>5265</v>
      </c>
      <c r="F2252" s="102">
        <v>1</v>
      </c>
      <c r="G2252" s="103">
        <v>0</v>
      </c>
      <c r="H2252" s="102">
        <v>0</v>
      </c>
      <c r="I2252" s="108">
        <v>0</v>
      </c>
      <c r="J2252" s="102">
        <v>1</v>
      </c>
      <c r="K2252" s="102">
        <v>0</v>
      </c>
      <c r="L2252" s="108">
        <v>0</v>
      </c>
      <c r="M2252" s="108">
        <v>0</v>
      </c>
      <c r="N2252" s="108">
        <v>0</v>
      </c>
      <c r="O2252" s="108">
        <v>2</v>
      </c>
      <c r="P2252" s="108">
        <v>1</v>
      </c>
      <c r="Q2252" s="108">
        <v>0.15</v>
      </c>
      <c r="R2252" s="108">
        <v>0</v>
      </c>
      <c r="S2252" s="108">
        <v>0</v>
      </c>
      <c r="T2252" s="108">
        <v>0</v>
      </c>
      <c r="U2252" s="108">
        <v>1</v>
      </c>
      <c r="V2252" s="108">
        <v>2</v>
      </c>
      <c r="W2252" s="108">
        <v>0</v>
      </c>
      <c r="X2252" s="108">
        <v>0.8</v>
      </c>
      <c r="Y2252" s="13">
        <v>0</v>
      </c>
      <c r="Z2252" s="108">
        <v>1000</v>
      </c>
      <c r="AA2252" s="108">
        <v>1</v>
      </c>
      <c r="AB2252" s="108">
        <v>0</v>
      </c>
      <c r="AC2252" s="108">
        <v>0</v>
      </c>
      <c r="AD2252" s="108">
        <v>0</v>
      </c>
      <c r="AE2252" s="108">
        <v>0</v>
      </c>
      <c r="AF2252" s="108">
        <v>16</v>
      </c>
      <c r="AG2252" s="108">
        <v>1</v>
      </c>
      <c r="AH2252" s="108">
        <v>6</v>
      </c>
      <c r="AI2252" s="108">
        <v>0</v>
      </c>
      <c r="AJ2252" s="108">
        <v>1</v>
      </c>
      <c r="AK2252" s="108">
        <v>0</v>
      </c>
      <c r="AL2252" s="108">
        <v>7</v>
      </c>
      <c r="AM2252" s="108">
        <v>0</v>
      </c>
      <c r="AN2252" s="108">
        <v>0</v>
      </c>
      <c r="AO2252" s="108">
        <v>0</v>
      </c>
      <c r="AP2252" s="108">
        <v>1</v>
      </c>
      <c r="AQ2252" s="108">
        <v>2000</v>
      </c>
      <c r="AR2252" s="108">
        <v>1</v>
      </c>
      <c r="AS2252" s="108">
        <v>0</v>
      </c>
      <c r="AT2252" s="108">
        <v>0</v>
      </c>
      <c r="AU2252" s="108">
        <v>0</v>
      </c>
      <c r="AV2252" s="108"/>
      <c r="AW2252" s="322" t="s">
        <v>199</v>
      </c>
      <c r="AX2252" s="108" t="s">
        <v>1041</v>
      </c>
      <c r="AY2252" s="108">
        <v>10000007</v>
      </c>
      <c r="AZ2252" s="108">
        <v>77002001</v>
      </c>
      <c r="BA2252" s="322" t="s">
        <v>1551</v>
      </c>
      <c r="BB2252" s="108">
        <v>1</v>
      </c>
      <c r="BC2252" s="108">
        <v>0</v>
      </c>
      <c r="BD2252" s="108">
        <v>0</v>
      </c>
      <c r="BE2252" s="340" t="s">
        <v>5266</v>
      </c>
      <c r="BF2252" s="340" t="s">
        <v>5267</v>
      </c>
      <c r="BG2252" s="108">
        <v>0</v>
      </c>
      <c r="BH2252" s="108">
        <v>0</v>
      </c>
      <c r="BI2252" s="108">
        <v>0</v>
      </c>
      <c r="BJ2252" s="108">
        <v>0</v>
      </c>
      <c r="BK2252" s="108">
        <v>0</v>
      </c>
      <c r="BL2252" s="108">
        <v>0</v>
      </c>
      <c r="BM2252" s="344">
        <v>0</v>
      </c>
      <c r="BN2252" s="108">
        <v>0</v>
      </c>
      <c r="BO2252" s="108">
        <v>0</v>
      </c>
      <c r="BP2252" s="108">
        <v>1000</v>
      </c>
      <c r="BQ2252" s="108">
        <v>1</v>
      </c>
      <c r="BR2252" s="108">
        <v>200</v>
      </c>
      <c r="BS2252" s="108">
        <v>0</v>
      </c>
      <c r="BT2252" s="108">
        <v>0</v>
      </c>
      <c r="BU2252" s="49">
        <v>0</v>
      </c>
      <c r="BV2252" s="49"/>
      <c r="BW2252" s="49"/>
    </row>
    <row r="2253" spans="3:75" ht="19.5" customHeight="1">
      <c r="C2253" s="102">
        <v>77002002</v>
      </c>
      <c r="D2253" s="101" t="s">
        <v>5268</v>
      </c>
      <c r="E2253" s="101" t="s">
        <v>5269</v>
      </c>
      <c r="F2253" s="102">
        <v>1</v>
      </c>
      <c r="G2253" s="103">
        <v>0</v>
      </c>
      <c r="H2253" s="102">
        <v>0</v>
      </c>
      <c r="I2253" s="107">
        <v>0</v>
      </c>
      <c r="J2253" s="102">
        <v>1</v>
      </c>
      <c r="K2253" s="102">
        <v>0</v>
      </c>
      <c r="L2253" s="102">
        <v>0</v>
      </c>
      <c r="M2253" s="103">
        <v>0</v>
      </c>
      <c r="N2253" s="103">
        <v>0</v>
      </c>
      <c r="O2253" s="103">
        <v>2</v>
      </c>
      <c r="P2253" s="103">
        <v>2</v>
      </c>
      <c r="Q2253" s="103">
        <v>0.5</v>
      </c>
      <c r="R2253" s="103">
        <v>1</v>
      </c>
      <c r="S2253" s="108">
        <v>0</v>
      </c>
      <c r="T2253" s="103">
        <v>0</v>
      </c>
      <c r="U2253" s="103">
        <v>1</v>
      </c>
      <c r="V2253" s="103">
        <v>1</v>
      </c>
      <c r="W2253" s="103">
        <v>0</v>
      </c>
      <c r="X2253" s="103">
        <v>0</v>
      </c>
      <c r="Y2253" s="13">
        <v>0</v>
      </c>
      <c r="Z2253" s="103">
        <v>0</v>
      </c>
      <c r="AA2253" s="103">
        <v>0</v>
      </c>
      <c r="AB2253" s="103">
        <v>0</v>
      </c>
      <c r="AC2253" s="103">
        <v>0</v>
      </c>
      <c r="AD2253" s="103">
        <v>0</v>
      </c>
      <c r="AE2253" s="103">
        <v>1</v>
      </c>
      <c r="AF2253" s="103">
        <v>0</v>
      </c>
      <c r="AG2253" s="103">
        <v>1</v>
      </c>
      <c r="AH2253" s="103">
        <v>2</v>
      </c>
      <c r="AI2253" s="108">
        <v>0</v>
      </c>
      <c r="AJ2253" s="108">
        <v>1</v>
      </c>
      <c r="AK2253" s="108">
        <v>0</v>
      </c>
      <c r="AL2253" s="108">
        <v>3</v>
      </c>
      <c r="AM2253" s="103">
        <v>0</v>
      </c>
      <c r="AN2253" s="103">
        <v>0</v>
      </c>
      <c r="AO2253" s="103">
        <v>0</v>
      </c>
      <c r="AP2253" s="103">
        <v>0.3</v>
      </c>
      <c r="AQ2253" s="103">
        <v>300</v>
      </c>
      <c r="AR2253" s="103">
        <v>0</v>
      </c>
      <c r="AS2253" s="103">
        <v>0</v>
      </c>
      <c r="AT2253" s="108">
        <v>0</v>
      </c>
      <c r="AU2253" s="116">
        <v>0</v>
      </c>
      <c r="AV2253" s="116"/>
      <c r="AW2253" s="101" t="s">
        <v>198</v>
      </c>
      <c r="AX2253" s="103">
        <v>0</v>
      </c>
      <c r="AY2253" s="102">
        <v>0</v>
      </c>
      <c r="AZ2253" s="102">
        <v>0</v>
      </c>
      <c r="BA2253" s="101" t="s">
        <v>528</v>
      </c>
      <c r="BB2253" s="354" t="s">
        <v>5270</v>
      </c>
      <c r="BC2253" s="107">
        <v>0</v>
      </c>
      <c r="BD2253" s="107">
        <v>0</v>
      </c>
      <c r="BE2253" s="121" t="s">
        <v>5271</v>
      </c>
      <c r="BF2253" s="121" t="s">
        <v>5272</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spans="3:75" ht="19.5" customHeight="1">
      <c r="C2254" s="102">
        <v>77002003</v>
      </c>
      <c r="D2254" s="101" t="s">
        <v>5273</v>
      </c>
      <c r="E2254" s="101" t="s">
        <v>5274</v>
      </c>
      <c r="F2254" s="102">
        <v>1</v>
      </c>
      <c r="G2254" s="103">
        <v>0</v>
      </c>
      <c r="H2254" s="102">
        <v>0</v>
      </c>
      <c r="I2254" s="107">
        <v>0</v>
      </c>
      <c r="J2254" s="102">
        <v>1</v>
      </c>
      <c r="K2254" s="102">
        <v>0</v>
      </c>
      <c r="L2254" s="102">
        <v>0</v>
      </c>
      <c r="M2254" s="103">
        <v>0</v>
      </c>
      <c r="N2254" s="103">
        <v>0</v>
      </c>
      <c r="O2254" s="103">
        <v>2</v>
      </c>
      <c r="P2254" s="103">
        <v>3</v>
      </c>
      <c r="Q2254" s="103">
        <v>0.2</v>
      </c>
      <c r="R2254" s="103">
        <v>0</v>
      </c>
      <c r="S2254" s="108">
        <v>0</v>
      </c>
      <c r="T2254" s="103">
        <v>0</v>
      </c>
      <c r="U2254" s="103">
        <v>1</v>
      </c>
      <c r="V2254" s="103">
        <v>1</v>
      </c>
      <c r="W2254" s="103">
        <v>0</v>
      </c>
      <c r="X2254" s="103">
        <v>0</v>
      </c>
      <c r="Y2254" s="13">
        <v>0</v>
      </c>
      <c r="Z2254" s="103">
        <v>0</v>
      </c>
      <c r="AA2254" s="103">
        <v>1</v>
      </c>
      <c r="AB2254" s="103">
        <v>0</v>
      </c>
      <c r="AC2254" s="103">
        <v>0</v>
      </c>
      <c r="AD2254" s="103">
        <v>0</v>
      </c>
      <c r="AE2254" s="103">
        <v>1</v>
      </c>
      <c r="AF2254" s="103">
        <v>0</v>
      </c>
      <c r="AG2254" s="103">
        <v>1</v>
      </c>
      <c r="AH2254" s="103">
        <v>20</v>
      </c>
      <c r="AI2254" s="108">
        <v>0</v>
      </c>
      <c r="AJ2254" s="108">
        <v>1</v>
      </c>
      <c r="AK2254" s="108">
        <v>0</v>
      </c>
      <c r="AL2254" s="108">
        <v>3</v>
      </c>
      <c r="AM2254" s="103">
        <v>0</v>
      </c>
      <c r="AN2254" s="103">
        <v>0</v>
      </c>
      <c r="AO2254" s="103">
        <v>0</v>
      </c>
      <c r="AP2254" s="103">
        <v>0.3</v>
      </c>
      <c r="AQ2254" s="103">
        <v>300</v>
      </c>
      <c r="AR2254" s="103">
        <v>0</v>
      </c>
      <c r="AS2254" s="103">
        <v>0</v>
      </c>
      <c r="AT2254" s="108">
        <v>0</v>
      </c>
      <c r="AU2254" s="353" t="s">
        <v>5275</v>
      </c>
      <c r="AV2254" s="116"/>
      <c r="AW2254" s="101" t="s">
        <v>198</v>
      </c>
      <c r="AX2254" s="103">
        <v>0</v>
      </c>
      <c r="AY2254" s="102">
        <v>0</v>
      </c>
      <c r="AZ2254" s="102">
        <v>0</v>
      </c>
      <c r="BA2254" s="101" t="s">
        <v>528</v>
      </c>
      <c r="BB2254" s="354" t="s">
        <v>5276</v>
      </c>
      <c r="BC2254" s="107">
        <v>0</v>
      </c>
      <c r="BD2254" s="107">
        <v>0</v>
      </c>
      <c r="BE2254" s="121" t="s">
        <v>5277</v>
      </c>
      <c r="BF2254" s="121" t="s">
        <v>5278</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20.100000000000001" customHeight="1">
      <c r="C2255" s="102">
        <v>77002004</v>
      </c>
      <c r="D2255" s="101" t="s">
        <v>5279</v>
      </c>
      <c r="E2255" s="310" t="s">
        <v>5280</v>
      </c>
      <c r="F2255" s="99">
        <v>1</v>
      </c>
      <c r="G2255" s="99">
        <v>0</v>
      </c>
      <c r="H2255" s="103">
        <v>0</v>
      </c>
      <c r="I2255" s="107">
        <v>0</v>
      </c>
      <c r="J2255" s="102">
        <v>1</v>
      </c>
      <c r="K2255" s="102">
        <v>0</v>
      </c>
      <c r="L2255" s="102">
        <v>0</v>
      </c>
      <c r="M2255" s="103">
        <v>0</v>
      </c>
      <c r="N2255" s="103">
        <v>0</v>
      </c>
      <c r="O2255" s="103">
        <v>2</v>
      </c>
      <c r="P2255" s="103">
        <v>1</v>
      </c>
      <c r="Q2255" s="103">
        <v>0.15</v>
      </c>
      <c r="R2255" s="103">
        <v>0</v>
      </c>
      <c r="S2255" s="108">
        <v>0</v>
      </c>
      <c r="T2255" s="103">
        <v>0</v>
      </c>
      <c r="U2255" s="103">
        <v>1</v>
      </c>
      <c r="V2255" s="99">
        <v>1</v>
      </c>
      <c r="W2255" s="103">
        <v>0</v>
      </c>
      <c r="X2255" s="103">
        <v>0</v>
      </c>
      <c r="Y2255" s="13">
        <v>0</v>
      </c>
      <c r="Z2255" s="103">
        <v>0</v>
      </c>
      <c r="AA2255" s="103">
        <v>1</v>
      </c>
      <c r="AB2255" s="103">
        <v>0</v>
      </c>
      <c r="AC2255" s="103">
        <v>0</v>
      </c>
      <c r="AD2255" s="103">
        <v>0</v>
      </c>
      <c r="AE2255" s="103">
        <v>1</v>
      </c>
      <c r="AF2255" s="103">
        <v>0</v>
      </c>
      <c r="AG2255" s="103">
        <v>2</v>
      </c>
      <c r="AH2255" s="103" t="s">
        <v>213</v>
      </c>
      <c r="AI2255" s="108">
        <v>0</v>
      </c>
      <c r="AJ2255" s="108">
        <v>2</v>
      </c>
      <c r="AK2255" s="108">
        <v>0</v>
      </c>
      <c r="AL2255" s="108">
        <v>1.5</v>
      </c>
      <c r="AM2255" s="103">
        <v>0</v>
      </c>
      <c r="AN2255" s="103">
        <v>0</v>
      </c>
      <c r="AO2255" s="103">
        <v>0</v>
      </c>
      <c r="AP2255" s="103">
        <v>1.5</v>
      </c>
      <c r="AQ2255" s="103">
        <v>1600</v>
      </c>
      <c r="AR2255" s="103">
        <v>1</v>
      </c>
      <c r="AS2255" s="103">
        <v>15</v>
      </c>
      <c r="AT2255" s="108">
        <v>0</v>
      </c>
      <c r="AU2255" s="353" t="s">
        <v>198</v>
      </c>
      <c r="AV2255" s="116"/>
      <c r="AW2255" s="101" t="s">
        <v>198</v>
      </c>
      <c r="AX2255" s="103" t="s">
        <v>215</v>
      </c>
      <c r="AY2255" s="102">
        <v>0</v>
      </c>
      <c r="AZ2255" s="102">
        <v>0</v>
      </c>
      <c r="BA2255" s="101" t="s">
        <v>216</v>
      </c>
      <c r="BB2255" s="103">
        <v>0</v>
      </c>
      <c r="BC2255" s="107">
        <v>0</v>
      </c>
      <c r="BD2255" s="107">
        <v>0</v>
      </c>
      <c r="BE2255" s="121" t="s">
        <v>5281</v>
      </c>
      <c r="BF2255" s="121" t="s">
        <v>5282</v>
      </c>
      <c r="BG2255" s="103">
        <v>0</v>
      </c>
      <c r="BH2255" s="103">
        <v>0</v>
      </c>
      <c r="BI2255" s="103">
        <v>0</v>
      </c>
      <c r="BJ2255" s="103">
        <v>0</v>
      </c>
      <c r="BK2255" s="103">
        <v>0</v>
      </c>
      <c r="BL2255" s="103">
        <v>0</v>
      </c>
      <c r="BM2255" s="99">
        <v>0</v>
      </c>
      <c r="BN2255" s="108">
        <v>0</v>
      </c>
      <c r="BO2255" s="108">
        <v>0</v>
      </c>
      <c r="BP2255" s="108">
        <v>0</v>
      </c>
      <c r="BQ2255" s="108">
        <v>0</v>
      </c>
      <c r="BR2255" s="108">
        <v>0</v>
      </c>
      <c r="BS2255" s="108">
        <v>1</v>
      </c>
      <c r="BT2255" s="108">
        <v>0</v>
      </c>
      <c r="BU2255" s="49">
        <v>0</v>
      </c>
      <c r="BV2255" s="49"/>
      <c r="BW2255" s="49"/>
    </row>
    <row r="2256" spans="3:75" ht="20.100000000000001" customHeight="1">
      <c r="C2256" s="102">
        <v>77002005</v>
      </c>
      <c r="D2256" s="101" t="s">
        <v>5279</v>
      </c>
      <c r="E2256" s="310" t="s">
        <v>5280</v>
      </c>
      <c r="F2256" s="99">
        <v>1</v>
      </c>
      <c r="G2256" s="99">
        <v>0</v>
      </c>
      <c r="H2256" s="103">
        <v>0</v>
      </c>
      <c r="I2256" s="107">
        <v>0</v>
      </c>
      <c r="J2256" s="102">
        <v>1</v>
      </c>
      <c r="K2256" s="102">
        <v>0</v>
      </c>
      <c r="L2256" s="102">
        <v>0</v>
      </c>
      <c r="M2256" s="103">
        <v>0</v>
      </c>
      <c r="N2256" s="103">
        <v>0</v>
      </c>
      <c r="O2256" s="103">
        <v>2</v>
      </c>
      <c r="P2256" s="103">
        <v>2</v>
      </c>
      <c r="Q2256" s="103">
        <v>1</v>
      </c>
      <c r="R2256" s="103">
        <v>0</v>
      </c>
      <c r="S2256" s="108">
        <v>0</v>
      </c>
      <c r="T2256" s="103">
        <v>0</v>
      </c>
      <c r="U2256" s="103">
        <v>1</v>
      </c>
      <c r="V2256" s="99">
        <v>1</v>
      </c>
      <c r="W2256" s="103">
        <v>0</v>
      </c>
      <c r="X2256" s="103">
        <v>0</v>
      </c>
      <c r="Y2256" s="13">
        <v>0</v>
      </c>
      <c r="Z2256" s="103">
        <v>0</v>
      </c>
      <c r="AA2256" s="103">
        <v>1</v>
      </c>
      <c r="AB2256" s="103">
        <v>0</v>
      </c>
      <c r="AC2256" s="103">
        <v>0</v>
      </c>
      <c r="AD2256" s="103">
        <v>0</v>
      </c>
      <c r="AE2256" s="103">
        <v>1</v>
      </c>
      <c r="AF2256" s="103">
        <v>20</v>
      </c>
      <c r="AG2256" s="103">
        <v>2</v>
      </c>
      <c r="AH2256" s="103" t="s">
        <v>213</v>
      </c>
      <c r="AI2256" s="108">
        <v>0</v>
      </c>
      <c r="AJ2256" s="108">
        <v>2</v>
      </c>
      <c r="AK2256" s="108">
        <v>0</v>
      </c>
      <c r="AL2256" s="108">
        <v>1.5</v>
      </c>
      <c r="AM2256" s="103">
        <v>0</v>
      </c>
      <c r="AN2256" s="103">
        <v>0</v>
      </c>
      <c r="AO2256" s="103">
        <v>0</v>
      </c>
      <c r="AP2256" s="103">
        <v>1.5</v>
      </c>
      <c r="AQ2256" s="103">
        <v>1600</v>
      </c>
      <c r="AR2256" s="103">
        <v>1</v>
      </c>
      <c r="AS2256" s="103">
        <v>15</v>
      </c>
      <c r="AT2256" s="108">
        <v>0</v>
      </c>
      <c r="AU2256" s="353" t="s">
        <v>198</v>
      </c>
      <c r="AV2256" s="116"/>
      <c r="AW2256" s="101" t="s">
        <v>198</v>
      </c>
      <c r="AX2256" s="103" t="s">
        <v>215</v>
      </c>
      <c r="AY2256" s="102">
        <v>0</v>
      </c>
      <c r="AZ2256" s="102">
        <v>0</v>
      </c>
      <c r="BA2256" s="101" t="s">
        <v>216</v>
      </c>
      <c r="BB2256" s="103">
        <v>0</v>
      </c>
      <c r="BC2256" s="107">
        <v>0</v>
      </c>
      <c r="BD2256" s="107">
        <v>0</v>
      </c>
      <c r="BE2256" s="121" t="s">
        <v>5281</v>
      </c>
      <c r="BF2256" s="121" t="s">
        <v>5282</v>
      </c>
      <c r="BG2256" s="103">
        <v>0</v>
      </c>
      <c r="BH2256" s="103">
        <v>0</v>
      </c>
      <c r="BI2256" s="103">
        <v>0</v>
      </c>
      <c r="BJ2256" s="103">
        <v>0</v>
      </c>
      <c r="BK2256" s="103">
        <v>0</v>
      </c>
      <c r="BL2256" s="103">
        <v>0</v>
      </c>
      <c r="BM2256" s="99">
        <v>0</v>
      </c>
      <c r="BN2256" s="108">
        <v>0</v>
      </c>
      <c r="BO2256" s="108">
        <v>0</v>
      </c>
      <c r="BP2256" s="108">
        <v>0</v>
      </c>
      <c r="BQ2256" s="108">
        <v>0</v>
      </c>
      <c r="BR2256" s="108">
        <v>0</v>
      </c>
      <c r="BS2256" s="108">
        <v>1</v>
      </c>
      <c r="BT2256" s="108">
        <v>0</v>
      </c>
      <c r="BU2256" s="49">
        <v>0</v>
      </c>
      <c r="BV2256" s="49"/>
      <c r="BW2256" s="49"/>
    </row>
    <row r="2257" spans="1:75" ht="19.5" customHeight="1">
      <c r="C2257" s="102">
        <v>77002006</v>
      </c>
      <c r="D2257" s="101" t="s">
        <v>1324</v>
      </c>
      <c r="E2257" s="101" t="s">
        <v>1325</v>
      </c>
      <c r="F2257" s="102">
        <v>1</v>
      </c>
      <c r="G2257" s="102">
        <v>80004009</v>
      </c>
      <c r="H2257" s="102">
        <v>0</v>
      </c>
      <c r="I2257" s="107">
        <v>0</v>
      </c>
      <c r="J2257" s="102">
        <v>1</v>
      </c>
      <c r="K2257" s="102">
        <v>0</v>
      </c>
      <c r="L2257" s="102">
        <v>0</v>
      </c>
      <c r="M2257" s="103">
        <v>0</v>
      </c>
      <c r="N2257" s="103">
        <v>0</v>
      </c>
      <c r="O2257" s="103">
        <v>2</v>
      </c>
      <c r="P2257" s="103">
        <v>1</v>
      </c>
      <c r="Q2257" s="103">
        <v>0.2</v>
      </c>
      <c r="R2257" s="103">
        <v>0</v>
      </c>
      <c r="S2257" s="108">
        <v>0</v>
      </c>
      <c r="T2257" s="103">
        <v>0</v>
      </c>
      <c r="U2257" s="103">
        <v>1</v>
      </c>
      <c r="V2257" s="103">
        <v>2</v>
      </c>
      <c r="W2257" s="103">
        <v>0</v>
      </c>
      <c r="X2257" s="103">
        <v>0.8</v>
      </c>
      <c r="Y2257" s="13">
        <v>0</v>
      </c>
      <c r="Z2257" s="103">
        <v>0</v>
      </c>
      <c r="AA2257" s="103">
        <v>1</v>
      </c>
      <c r="AB2257" s="103">
        <v>0</v>
      </c>
      <c r="AC2257" s="103">
        <v>0</v>
      </c>
      <c r="AD2257" s="103">
        <v>0</v>
      </c>
      <c r="AE2257" s="103">
        <v>1</v>
      </c>
      <c r="AF2257" s="103">
        <v>0</v>
      </c>
      <c r="AG2257" s="103">
        <v>1</v>
      </c>
      <c r="AH2257" s="103">
        <v>2</v>
      </c>
      <c r="AI2257" s="108">
        <v>0</v>
      </c>
      <c r="AJ2257" s="108">
        <v>2</v>
      </c>
      <c r="AK2257" s="108">
        <v>0</v>
      </c>
      <c r="AL2257" s="108">
        <v>2</v>
      </c>
      <c r="AM2257" s="103">
        <v>0</v>
      </c>
      <c r="AN2257" s="103">
        <v>0</v>
      </c>
      <c r="AO2257" s="103">
        <v>0</v>
      </c>
      <c r="AP2257" s="103">
        <v>2</v>
      </c>
      <c r="AQ2257" s="103">
        <v>5000</v>
      </c>
      <c r="AR2257" s="103">
        <v>0</v>
      </c>
      <c r="AS2257" s="103">
        <v>10</v>
      </c>
      <c r="AT2257" s="115">
        <v>0</v>
      </c>
      <c r="AU2257" s="353" t="s">
        <v>5283</v>
      </c>
      <c r="AV2257" s="116"/>
      <c r="AW2257" s="101" t="s">
        <v>198</v>
      </c>
      <c r="AX2257" s="103" t="s">
        <v>534</v>
      </c>
      <c r="AY2257" s="102">
        <v>10000007</v>
      </c>
      <c r="AZ2257" s="351" t="s">
        <v>5284</v>
      </c>
      <c r="BA2257" s="101" t="s">
        <v>586</v>
      </c>
      <c r="BB2257" s="103" t="s">
        <v>1318</v>
      </c>
      <c r="BC2257" s="107">
        <v>0</v>
      </c>
      <c r="BD2257" s="107">
        <v>1</v>
      </c>
      <c r="BE2257" s="121" t="s">
        <v>5285</v>
      </c>
      <c r="BF2257" s="121" t="s">
        <v>5286</v>
      </c>
      <c r="BG2257" s="103">
        <v>0</v>
      </c>
      <c r="BH2257" s="103">
        <v>0</v>
      </c>
      <c r="BI2257" s="103">
        <v>0</v>
      </c>
      <c r="BJ2257" s="103">
        <v>0</v>
      </c>
      <c r="BK2257" s="103">
        <v>0</v>
      </c>
      <c r="BL2257" s="103">
        <v>0</v>
      </c>
      <c r="BM2257" s="99">
        <v>0</v>
      </c>
      <c r="BN2257" s="108">
        <v>0</v>
      </c>
      <c r="BO2257" s="108">
        <v>0</v>
      </c>
      <c r="BP2257" s="108">
        <v>0</v>
      </c>
      <c r="BQ2257" s="108">
        <v>0</v>
      </c>
      <c r="BR2257" s="108">
        <v>0</v>
      </c>
      <c r="BS2257" s="108">
        <v>1</v>
      </c>
      <c r="BT2257" s="108">
        <v>0</v>
      </c>
      <c r="BU2257" s="49">
        <v>0</v>
      </c>
      <c r="BV2257" s="49"/>
      <c r="BW2257" s="49"/>
    </row>
    <row r="2258" spans="1:75" ht="19.5" customHeight="1">
      <c r="C2258" s="102">
        <v>77002007</v>
      </c>
      <c r="D2258" s="101" t="s">
        <v>5287</v>
      </c>
      <c r="E2258" s="101" t="s">
        <v>5288</v>
      </c>
      <c r="F2258" s="102">
        <v>1</v>
      </c>
      <c r="G2258" s="103">
        <v>60010100</v>
      </c>
      <c r="H2258" s="102">
        <v>0</v>
      </c>
      <c r="I2258" s="107">
        <v>0</v>
      </c>
      <c r="J2258" s="102">
        <v>1</v>
      </c>
      <c r="K2258" s="102">
        <v>0</v>
      </c>
      <c r="L2258" s="102">
        <v>0</v>
      </c>
      <c r="M2258" s="103">
        <v>0</v>
      </c>
      <c r="N2258" s="103">
        <v>0</v>
      </c>
      <c r="O2258" s="103">
        <v>2</v>
      </c>
      <c r="P2258" s="103">
        <v>16</v>
      </c>
      <c r="Q2258" s="103">
        <v>4</v>
      </c>
      <c r="R2258" s="103">
        <v>0</v>
      </c>
      <c r="S2258" s="108">
        <v>0</v>
      </c>
      <c r="T2258" s="103">
        <v>0</v>
      </c>
      <c r="U2258" s="103">
        <v>1</v>
      </c>
      <c r="V2258" s="103">
        <v>2</v>
      </c>
      <c r="W2258" s="103">
        <v>0</v>
      </c>
      <c r="X2258" s="103">
        <v>1.5</v>
      </c>
      <c r="Y2258" s="13">
        <v>0</v>
      </c>
      <c r="Z2258" s="103">
        <v>0</v>
      </c>
      <c r="AA2258" s="103">
        <v>1</v>
      </c>
      <c r="AB2258" s="103">
        <v>0</v>
      </c>
      <c r="AC2258" s="103">
        <v>0</v>
      </c>
      <c r="AD2258" s="103">
        <v>0</v>
      </c>
      <c r="AE2258" s="103">
        <v>1</v>
      </c>
      <c r="AF2258" s="103">
        <v>0</v>
      </c>
      <c r="AG2258" s="103">
        <v>1</v>
      </c>
      <c r="AH2258" s="103">
        <v>4</v>
      </c>
      <c r="AI2258" s="108">
        <v>0</v>
      </c>
      <c r="AJ2258" s="108">
        <v>1</v>
      </c>
      <c r="AK2258" s="108">
        <v>0</v>
      </c>
      <c r="AL2258" s="108">
        <v>3</v>
      </c>
      <c r="AM2258" s="103">
        <v>0</v>
      </c>
      <c r="AN2258" s="103">
        <v>1</v>
      </c>
      <c r="AO2258" s="103">
        <v>0</v>
      </c>
      <c r="AP2258" s="103">
        <v>1</v>
      </c>
      <c r="AQ2258" s="103">
        <v>3000</v>
      </c>
      <c r="AR2258" s="103">
        <v>1</v>
      </c>
      <c r="AS2258" s="103">
        <v>0</v>
      </c>
      <c r="AT2258" s="108">
        <v>0</v>
      </c>
      <c r="AU2258" s="353" t="s">
        <v>5289</v>
      </c>
      <c r="AV2258" s="116"/>
      <c r="AW2258" s="104" t="s">
        <v>198</v>
      </c>
      <c r="AX2258" s="103" t="s">
        <v>534</v>
      </c>
      <c r="AY2258" s="102">
        <v>0</v>
      </c>
      <c r="AZ2258" s="351" t="s">
        <v>5290</v>
      </c>
      <c r="BA2258" s="101" t="s">
        <v>200</v>
      </c>
      <c r="BB2258" s="103">
        <v>0</v>
      </c>
      <c r="BC2258" s="107">
        <v>0</v>
      </c>
      <c r="BD2258" s="107">
        <v>0</v>
      </c>
      <c r="BE2258" s="121" t="s">
        <v>5291</v>
      </c>
      <c r="BF2258" s="121" t="s">
        <v>5292</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0</v>
      </c>
      <c r="BU2258" s="49">
        <v>0</v>
      </c>
      <c r="BV2258" s="49"/>
      <c r="BW2258" s="49"/>
    </row>
    <row r="2259" spans="1:75" ht="20.100000000000001" customHeight="1">
      <c r="C2259" s="102">
        <v>77002008</v>
      </c>
      <c r="D2259" s="101" t="s">
        <v>5293</v>
      </c>
      <c r="E2259" s="310" t="s">
        <v>5294</v>
      </c>
      <c r="F2259" s="99">
        <v>1</v>
      </c>
      <c r="G2259" s="99">
        <v>0</v>
      </c>
      <c r="H2259" s="103">
        <v>0</v>
      </c>
      <c r="I2259" s="107">
        <v>0</v>
      </c>
      <c r="J2259" s="102">
        <v>1</v>
      </c>
      <c r="K2259" s="102">
        <v>0</v>
      </c>
      <c r="L2259" s="102">
        <v>0</v>
      </c>
      <c r="M2259" s="103">
        <v>0</v>
      </c>
      <c r="N2259" s="103">
        <v>0</v>
      </c>
      <c r="O2259" s="103">
        <v>2</v>
      </c>
      <c r="P2259" s="103">
        <v>3</v>
      </c>
      <c r="Q2259" s="103">
        <v>0.2</v>
      </c>
      <c r="R2259" s="103">
        <v>0</v>
      </c>
      <c r="S2259" s="108">
        <v>0</v>
      </c>
      <c r="T2259" s="103">
        <v>0</v>
      </c>
      <c r="U2259" s="103">
        <v>1</v>
      </c>
      <c r="V2259" s="99">
        <v>1</v>
      </c>
      <c r="W2259" s="103">
        <v>0</v>
      </c>
      <c r="X2259" s="103">
        <v>2</v>
      </c>
      <c r="Y2259" s="13">
        <v>0</v>
      </c>
      <c r="Z2259" s="103">
        <v>0</v>
      </c>
      <c r="AA2259" s="103">
        <v>1</v>
      </c>
      <c r="AB2259" s="103">
        <v>0</v>
      </c>
      <c r="AC2259" s="103">
        <v>0</v>
      </c>
      <c r="AD2259" s="103">
        <v>0</v>
      </c>
      <c r="AE2259" s="103">
        <v>1</v>
      </c>
      <c r="AF2259" s="103">
        <v>24</v>
      </c>
      <c r="AG2259" s="103">
        <v>1</v>
      </c>
      <c r="AH2259" s="103">
        <v>6</v>
      </c>
      <c r="AI2259" s="108">
        <v>0</v>
      </c>
      <c r="AJ2259" s="108">
        <v>1</v>
      </c>
      <c r="AK2259" s="108">
        <v>0</v>
      </c>
      <c r="AL2259" s="108">
        <v>3</v>
      </c>
      <c r="AM2259" s="103">
        <v>0</v>
      </c>
      <c r="AN2259" s="103">
        <v>1</v>
      </c>
      <c r="AO2259" s="103">
        <v>0</v>
      </c>
      <c r="AP2259" s="103">
        <v>2</v>
      </c>
      <c r="AQ2259" s="103">
        <v>3000</v>
      </c>
      <c r="AR2259" s="103">
        <v>1</v>
      </c>
      <c r="AS2259" s="103">
        <v>0</v>
      </c>
      <c r="AT2259" s="349" t="s">
        <v>5295</v>
      </c>
      <c r="AU2259" s="353" t="s">
        <v>5275</v>
      </c>
      <c r="AV2259" s="116"/>
      <c r="AW2259" s="101" t="s">
        <v>256</v>
      </c>
      <c r="AX2259" s="103" t="s">
        <v>215</v>
      </c>
      <c r="AY2259" s="102">
        <v>10000011</v>
      </c>
      <c r="AZ2259" s="351" t="s">
        <v>5296</v>
      </c>
      <c r="BA2259" s="104" t="s">
        <v>200</v>
      </c>
      <c r="BB2259" s="103">
        <v>0</v>
      </c>
      <c r="BC2259" s="107">
        <v>0</v>
      </c>
      <c r="BD2259" s="107">
        <v>0</v>
      </c>
      <c r="BE2259" s="121" t="s">
        <v>5297</v>
      </c>
      <c r="BF2259" s="121" t="s">
        <v>5298</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0</v>
      </c>
      <c r="BU2259" s="49">
        <v>0</v>
      </c>
      <c r="BV2259" s="49"/>
      <c r="BW2259" s="49"/>
    </row>
    <row r="2260" spans="1:75" ht="19.5" customHeight="1">
      <c r="C2260" s="102">
        <v>77002009</v>
      </c>
      <c r="D2260" s="101" t="s">
        <v>5299</v>
      </c>
      <c r="E2260" s="101" t="s">
        <v>5300</v>
      </c>
      <c r="F2260" s="102">
        <v>1</v>
      </c>
      <c r="G2260" s="102">
        <v>0</v>
      </c>
      <c r="H2260" s="102">
        <v>0</v>
      </c>
      <c r="I2260" s="107">
        <v>0</v>
      </c>
      <c r="J2260" s="102">
        <v>1</v>
      </c>
      <c r="K2260" s="102">
        <v>0</v>
      </c>
      <c r="L2260" s="102">
        <v>0</v>
      </c>
      <c r="M2260" s="103">
        <v>0</v>
      </c>
      <c r="N2260" s="103">
        <v>0</v>
      </c>
      <c r="O2260" s="103">
        <v>2</v>
      </c>
      <c r="P2260" s="103">
        <v>3</v>
      </c>
      <c r="Q2260" s="103">
        <v>0.1</v>
      </c>
      <c r="R2260" s="103">
        <v>0</v>
      </c>
      <c r="S2260" s="108">
        <v>0</v>
      </c>
      <c r="T2260" s="103">
        <v>0</v>
      </c>
      <c r="U2260" s="103">
        <v>1</v>
      </c>
      <c r="V2260" s="103">
        <v>2</v>
      </c>
      <c r="W2260" s="103">
        <v>0</v>
      </c>
      <c r="X2260" s="103">
        <v>1</v>
      </c>
      <c r="Y2260" s="13">
        <v>0</v>
      </c>
      <c r="Z2260" s="103">
        <v>0</v>
      </c>
      <c r="AA2260" s="103">
        <v>1</v>
      </c>
      <c r="AB2260" s="103">
        <v>0</v>
      </c>
      <c r="AC2260" s="103">
        <v>0</v>
      </c>
      <c r="AD2260" s="103">
        <v>1</v>
      </c>
      <c r="AE2260" s="103">
        <v>0</v>
      </c>
      <c r="AF2260" s="103">
        <v>0</v>
      </c>
      <c r="AG2260" s="103">
        <v>1</v>
      </c>
      <c r="AH2260" s="103">
        <v>3</v>
      </c>
      <c r="AI2260" s="108">
        <v>4</v>
      </c>
      <c r="AJ2260" s="108">
        <v>1</v>
      </c>
      <c r="AK2260" s="108">
        <v>0</v>
      </c>
      <c r="AL2260" s="108">
        <v>1.5</v>
      </c>
      <c r="AM2260" s="103">
        <v>0</v>
      </c>
      <c r="AN2260" s="103">
        <v>0</v>
      </c>
      <c r="AO2260" s="103">
        <v>0</v>
      </c>
      <c r="AP2260" s="103">
        <v>0</v>
      </c>
      <c r="AQ2260" s="103">
        <v>6000</v>
      </c>
      <c r="AR2260" s="103">
        <v>0.8</v>
      </c>
      <c r="AS2260" s="103">
        <v>0</v>
      </c>
      <c r="AT2260" s="108">
        <v>0</v>
      </c>
      <c r="AU2260" s="353" t="s">
        <v>5289</v>
      </c>
      <c r="AV2260" s="116"/>
      <c r="AW2260" s="104" t="s">
        <v>199</v>
      </c>
      <c r="AX2260" s="103" t="s">
        <v>534</v>
      </c>
      <c r="AY2260" s="102">
        <v>0</v>
      </c>
      <c r="AZ2260" s="351" t="s">
        <v>5301</v>
      </c>
      <c r="BA2260" s="101" t="s">
        <v>200</v>
      </c>
      <c r="BB2260" s="103" t="s">
        <v>5302</v>
      </c>
      <c r="BC2260" s="107">
        <v>0</v>
      </c>
      <c r="BD2260" s="107">
        <v>0</v>
      </c>
      <c r="BE2260" s="121" t="s">
        <v>5057</v>
      </c>
      <c r="BF2260" s="121" t="s">
        <v>5058</v>
      </c>
      <c r="BG2260" s="103">
        <v>0</v>
      </c>
      <c r="BH2260" s="103">
        <v>0</v>
      </c>
      <c r="BI2260" s="103">
        <v>0</v>
      </c>
      <c r="BJ2260" s="103">
        <v>0</v>
      </c>
      <c r="BK2260" s="103">
        <v>0</v>
      </c>
      <c r="BL2260" s="103">
        <v>0</v>
      </c>
      <c r="BM2260" s="99">
        <v>0</v>
      </c>
      <c r="BN2260" s="108">
        <v>0</v>
      </c>
      <c r="BO2260" s="108">
        <v>0</v>
      </c>
      <c r="BP2260" s="108">
        <v>0</v>
      </c>
      <c r="BQ2260" s="108">
        <v>0</v>
      </c>
      <c r="BR2260" s="108">
        <v>0</v>
      </c>
      <c r="BS2260" s="108">
        <v>0</v>
      </c>
      <c r="BT2260" s="108">
        <v>0</v>
      </c>
      <c r="BU2260" s="49">
        <v>0</v>
      </c>
      <c r="BV2260" s="49"/>
      <c r="BW2260" s="49"/>
    </row>
    <row r="2261" spans="1:75" ht="20.100000000000001" customHeight="1">
      <c r="C2261" s="102">
        <v>77002010</v>
      </c>
      <c r="D2261" s="101" t="s">
        <v>5303</v>
      </c>
      <c r="E2261" s="101" t="s">
        <v>5304</v>
      </c>
      <c r="F2261" s="103">
        <v>1</v>
      </c>
      <c r="G2261" s="103">
        <v>0</v>
      </c>
      <c r="H2261" s="102">
        <v>0</v>
      </c>
      <c r="I2261" s="107">
        <v>0</v>
      </c>
      <c r="J2261" s="102">
        <v>1</v>
      </c>
      <c r="K2261" s="102">
        <v>0</v>
      </c>
      <c r="L2261" s="102">
        <v>0</v>
      </c>
      <c r="M2261" s="103">
        <v>0</v>
      </c>
      <c r="N2261" s="103">
        <v>0</v>
      </c>
      <c r="O2261" s="103">
        <v>2</v>
      </c>
      <c r="P2261" s="103">
        <v>2</v>
      </c>
      <c r="Q2261" s="103">
        <v>0.8</v>
      </c>
      <c r="R2261" s="103">
        <v>0</v>
      </c>
      <c r="S2261" s="108">
        <v>3</v>
      </c>
      <c r="T2261" s="103">
        <v>0</v>
      </c>
      <c r="U2261" s="103">
        <v>1</v>
      </c>
      <c r="V2261" s="103">
        <v>2</v>
      </c>
      <c r="W2261" s="103">
        <v>0</v>
      </c>
      <c r="X2261" s="103">
        <v>0.8</v>
      </c>
      <c r="Y2261" s="13">
        <v>0</v>
      </c>
      <c r="Z2261" s="103">
        <v>0</v>
      </c>
      <c r="AA2261" s="103">
        <v>0</v>
      </c>
      <c r="AB2261" s="103">
        <v>0</v>
      </c>
      <c r="AC2261" s="103">
        <v>0</v>
      </c>
      <c r="AD2261" s="103">
        <v>0</v>
      </c>
      <c r="AE2261" s="103">
        <v>0</v>
      </c>
      <c r="AF2261" s="103">
        <v>28</v>
      </c>
      <c r="AG2261" s="103">
        <v>1</v>
      </c>
      <c r="AH2261" s="103">
        <v>3</v>
      </c>
      <c r="AI2261" s="108">
        <v>6</v>
      </c>
      <c r="AJ2261" s="108">
        <v>1</v>
      </c>
      <c r="AK2261" s="108">
        <v>0</v>
      </c>
      <c r="AL2261" s="108">
        <v>1.5</v>
      </c>
      <c r="AM2261" s="103">
        <v>0</v>
      </c>
      <c r="AN2261" s="103">
        <v>0</v>
      </c>
      <c r="AO2261" s="103">
        <v>0</v>
      </c>
      <c r="AP2261" s="103">
        <v>1</v>
      </c>
      <c r="AQ2261" s="103">
        <v>5000</v>
      </c>
      <c r="AR2261" s="103">
        <v>1</v>
      </c>
      <c r="AS2261" s="103">
        <v>0</v>
      </c>
      <c r="AT2261" s="108">
        <v>0</v>
      </c>
      <c r="AU2261" s="353" t="s">
        <v>5305</v>
      </c>
      <c r="AV2261" s="116"/>
      <c r="AW2261" s="104" t="s">
        <v>256</v>
      </c>
      <c r="AX2261" s="103" t="s">
        <v>534</v>
      </c>
      <c r="AY2261" s="102">
        <v>10000007</v>
      </c>
      <c r="AZ2261" s="351" t="s">
        <v>5306</v>
      </c>
      <c r="BA2261" s="101" t="s">
        <v>200</v>
      </c>
      <c r="BB2261" s="103" t="s">
        <v>5307</v>
      </c>
      <c r="BC2261" s="107">
        <v>0</v>
      </c>
      <c r="BD2261" s="107">
        <v>0</v>
      </c>
      <c r="BE2261" s="121" t="s">
        <v>5308</v>
      </c>
      <c r="BF2261" s="121" t="s">
        <v>5309</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spans="1:75" ht="19.5" customHeight="1">
      <c r="C2262" s="102">
        <v>77002011</v>
      </c>
      <c r="D2262" s="101" t="s">
        <v>5310</v>
      </c>
      <c r="E2262" s="101" t="s">
        <v>5311</v>
      </c>
      <c r="F2262" s="103">
        <v>1</v>
      </c>
      <c r="G2262" s="103">
        <v>61012301</v>
      </c>
      <c r="H2262" s="103">
        <v>0</v>
      </c>
      <c r="I2262" s="107">
        <v>0</v>
      </c>
      <c r="J2262" s="102">
        <v>1</v>
      </c>
      <c r="K2262" s="102">
        <v>0</v>
      </c>
      <c r="L2262" s="102">
        <v>0</v>
      </c>
      <c r="M2262" s="103">
        <v>0</v>
      </c>
      <c r="N2262" s="103">
        <v>0</v>
      </c>
      <c r="O2262" s="103">
        <v>2</v>
      </c>
      <c r="P2262" s="103">
        <v>1</v>
      </c>
      <c r="Q2262" s="103">
        <v>0.15</v>
      </c>
      <c r="R2262" s="103">
        <v>0</v>
      </c>
      <c r="S2262" s="108">
        <v>1</v>
      </c>
      <c r="T2262" s="103">
        <v>0</v>
      </c>
      <c r="U2262" s="103">
        <v>0</v>
      </c>
      <c r="V2262" s="103">
        <v>1</v>
      </c>
      <c r="W2262" s="103">
        <v>0</v>
      </c>
      <c r="X2262" s="103">
        <v>0</v>
      </c>
      <c r="Y2262" s="13">
        <v>0</v>
      </c>
      <c r="Z2262" s="103">
        <v>0</v>
      </c>
      <c r="AA2262" s="103">
        <v>1</v>
      </c>
      <c r="AB2262" s="103">
        <v>0</v>
      </c>
      <c r="AC2262" s="103">
        <v>0</v>
      </c>
      <c r="AD2262" s="103">
        <v>0</v>
      </c>
      <c r="AE2262" s="103">
        <v>1</v>
      </c>
      <c r="AF2262" s="103">
        <v>6</v>
      </c>
      <c r="AG2262" s="103">
        <v>2</v>
      </c>
      <c r="AH2262" s="103" t="s">
        <v>213</v>
      </c>
      <c r="AI2262" s="108">
        <v>0</v>
      </c>
      <c r="AJ2262" s="108">
        <v>2</v>
      </c>
      <c r="AK2262" s="108">
        <v>0</v>
      </c>
      <c r="AL2262" s="108">
        <v>1.5</v>
      </c>
      <c r="AM2262" s="103">
        <v>0</v>
      </c>
      <c r="AN2262" s="103">
        <v>0</v>
      </c>
      <c r="AO2262" s="103">
        <v>0</v>
      </c>
      <c r="AP2262" s="103">
        <v>0.5</v>
      </c>
      <c r="AQ2262" s="103">
        <v>500</v>
      </c>
      <c r="AR2262" s="103">
        <v>0</v>
      </c>
      <c r="AS2262" s="103">
        <v>15</v>
      </c>
      <c r="AT2262" s="108">
        <v>97010008</v>
      </c>
      <c r="AU2262" s="116">
        <v>0</v>
      </c>
      <c r="AV2262" s="116"/>
      <c r="AW2262" s="101" t="s">
        <v>287</v>
      </c>
      <c r="AX2262" s="103" t="s">
        <v>215</v>
      </c>
      <c r="AY2262" s="102">
        <v>0</v>
      </c>
      <c r="AZ2262" s="102">
        <v>0</v>
      </c>
      <c r="BA2262" s="138" t="s">
        <v>216</v>
      </c>
      <c r="BB2262" s="103">
        <v>0</v>
      </c>
      <c r="BC2262" s="107">
        <v>0</v>
      </c>
      <c r="BD2262" s="107">
        <v>0</v>
      </c>
      <c r="BE2262" s="121" t="s">
        <v>5312</v>
      </c>
      <c r="BF2262" s="121" t="s">
        <v>5313</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77002012</v>
      </c>
      <c r="BU2262" s="49">
        <v>0</v>
      </c>
      <c r="BV2262" s="49"/>
      <c r="BW2262" s="49"/>
    </row>
    <row r="2263" spans="1:75" ht="19.5" customHeight="1">
      <c r="C2263" s="102">
        <v>77002012</v>
      </c>
      <c r="D2263" s="104" t="s">
        <v>5314</v>
      </c>
      <c r="E2263" s="104" t="s">
        <v>5315</v>
      </c>
      <c r="F2263" s="103">
        <v>1</v>
      </c>
      <c r="G2263" s="102">
        <v>61022101</v>
      </c>
      <c r="H2263" s="102">
        <v>0</v>
      </c>
      <c r="I2263" s="107">
        <v>0</v>
      </c>
      <c r="J2263" s="103">
        <v>1</v>
      </c>
      <c r="K2263" s="103">
        <v>0</v>
      </c>
      <c r="L2263" s="103">
        <v>0</v>
      </c>
      <c r="M2263" s="102">
        <v>0</v>
      </c>
      <c r="N2263" s="102">
        <v>0</v>
      </c>
      <c r="O2263" s="102">
        <v>2</v>
      </c>
      <c r="P2263" s="102">
        <v>2</v>
      </c>
      <c r="Q2263" s="102">
        <v>1</v>
      </c>
      <c r="R2263" s="102">
        <v>0</v>
      </c>
      <c r="S2263" s="108">
        <v>0</v>
      </c>
      <c r="T2263" s="107">
        <v>0</v>
      </c>
      <c r="U2263" s="103">
        <v>1</v>
      </c>
      <c r="V2263" s="102">
        <v>1</v>
      </c>
      <c r="W2263" s="102">
        <v>0</v>
      </c>
      <c r="X2263" s="102">
        <v>1.5</v>
      </c>
      <c r="Y2263" s="13">
        <v>0</v>
      </c>
      <c r="Z2263" s="102">
        <v>0</v>
      </c>
      <c r="AA2263" s="102">
        <v>0</v>
      </c>
      <c r="AB2263" s="102">
        <v>0</v>
      </c>
      <c r="AC2263" s="102">
        <v>0</v>
      </c>
      <c r="AD2263" s="102">
        <v>0</v>
      </c>
      <c r="AE2263" s="102">
        <v>0</v>
      </c>
      <c r="AF2263" s="102">
        <v>8</v>
      </c>
      <c r="AG2263" s="102">
        <v>1</v>
      </c>
      <c r="AH2263" s="159">
        <v>5</v>
      </c>
      <c r="AI2263" s="108">
        <v>0</v>
      </c>
      <c r="AJ2263" s="108">
        <v>1</v>
      </c>
      <c r="AK2263" s="108">
        <v>0</v>
      </c>
      <c r="AL2263" s="108">
        <v>3</v>
      </c>
      <c r="AM2263" s="102">
        <v>0</v>
      </c>
      <c r="AN2263" s="102">
        <v>0</v>
      </c>
      <c r="AO2263" s="102">
        <v>0</v>
      </c>
      <c r="AP2263" s="102">
        <v>0</v>
      </c>
      <c r="AQ2263" s="102">
        <v>2000</v>
      </c>
      <c r="AR2263" s="102">
        <v>0.5</v>
      </c>
      <c r="AS2263" s="102">
        <v>0</v>
      </c>
      <c r="AT2263" s="108">
        <v>0</v>
      </c>
      <c r="AU2263" s="351" t="s">
        <v>5316</v>
      </c>
      <c r="AV2263" s="102"/>
      <c r="AW2263" s="101" t="s">
        <v>287</v>
      </c>
      <c r="AX2263" s="102" t="s">
        <v>545</v>
      </c>
      <c r="AY2263" s="102">
        <v>10001005</v>
      </c>
      <c r="AZ2263" s="351" t="s">
        <v>5317</v>
      </c>
      <c r="BA2263" s="104" t="s">
        <v>200</v>
      </c>
      <c r="BB2263" s="104">
        <v>0</v>
      </c>
      <c r="BC2263" s="107">
        <v>0</v>
      </c>
      <c r="BD2263" s="107">
        <v>0</v>
      </c>
      <c r="BE2263" s="166" t="s">
        <v>1186</v>
      </c>
      <c r="BF2263" s="166" t="s">
        <v>1187</v>
      </c>
      <c r="BG2263" s="102">
        <v>0</v>
      </c>
      <c r="BH2263" s="103">
        <v>0</v>
      </c>
      <c r="BI2263" s="102">
        <v>0</v>
      </c>
      <c r="BJ2263" s="102">
        <v>0</v>
      </c>
      <c r="BK2263" s="102">
        <v>0</v>
      </c>
      <c r="BL2263" s="102">
        <v>0</v>
      </c>
      <c r="BM2263" s="99">
        <v>0</v>
      </c>
      <c r="BN2263" s="108">
        <v>0</v>
      </c>
      <c r="BO2263" s="108">
        <v>0</v>
      </c>
      <c r="BP2263" s="108">
        <v>0</v>
      </c>
      <c r="BQ2263" s="108">
        <v>0</v>
      </c>
      <c r="BR2263" s="108">
        <v>0</v>
      </c>
      <c r="BS2263" s="108">
        <v>0</v>
      </c>
      <c r="BT2263" s="108">
        <v>0</v>
      </c>
      <c r="BU2263" s="49">
        <v>0</v>
      </c>
      <c r="BV2263" s="49"/>
      <c r="BW2263" s="49"/>
    </row>
    <row r="2264" spans="1:75" ht="19.5" customHeight="1">
      <c r="C2264" s="102">
        <v>77002013</v>
      </c>
      <c r="D2264" s="101" t="s">
        <v>5318</v>
      </c>
      <c r="E2264" s="101" t="s">
        <v>5319</v>
      </c>
      <c r="F2264" s="102">
        <v>1</v>
      </c>
      <c r="G2264" s="103">
        <v>60010100</v>
      </c>
      <c r="H2264" s="102">
        <v>0</v>
      </c>
      <c r="I2264" s="107">
        <v>0</v>
      </c>
      <c r="J2264" s="102">
        <v>1</v>
      </c>
      <c r="K2264" s="102">
        <v>0</v>
      </c>
      <c r="L2264" s="102">
        <v>0</v>
      </c>
      <c r="M2264" s="103">
        <v>0</v>
      </c>
      <c r="N2264" s="103">
        <v>0</v>
      </c>
      <c r="O2264" s="103">
        <v>2</v>
      </c>
      <c r="P2264" s="103">
        <v>1</v>
      </c>
      <c r="Q2264" s="103">
        <v>0.15</v>
      </c>
      <c r="R2264" s="103">
        <v>0</v>
      </c>
      <c r="S2264" s="108">
        <v>0</v>
      </c>
      <c r="T2264" s="103">
        <v>0</v>
      </c>
      <c r="U2264" s="103">
        <v>1</v>
      </c>
      <c r="V2264" s="103">
        <v>2</v>
      </c>
      <c r="W2264" s="103">
        <v>0</v>
      </c>
      <c r="X2264" s="103">
        <v>0</v>
      </c>
      <c r="Y2264" s="13">
        <v>0</v>
      </c>
      <c r="Z2264" s="103">
        <v>0</v>
      </c>
      <c r="AA2264" s="103">
        <v>1</v>
      </c>
      <c r="AB2264" s="103">
        <v>0</v>
      </c>
      <c r="AC2264" s="103">
        <v>0</v>
      </c>
      <c r="AD2264" s="103">
        <v>0</v>
      </c>
      <c r="AE2264" s="103">
        <v>1</v>
      </c>
      <c r="AF2264" s="103">
        <v>3</v>
      </c>
      <c r="AG2264" s="103">
        <v>1</v>
      </c>
      <c r="AH2264" s="103">
        <v>4</v>
      </c>
      <c r="AI2264" s="108">
        <v>0</v>
      </c>
      <c r="AJ2264" s="108">
        <v>1</v>
      </c>
      <c r="AK2264" s="108">
        <v>0</v>
      </c>
      <c r="AL2264" s="108">
        <v>3</v>
      </c>
      <c r="AM2264" s="103">
        <v>0</v>
      </c>
      <c r="AN2264" s="103">
        <v>1</v>
      </c>
      <c r="AO2264" s="103">
        <v>0</v>
      </c>
      <c r="AP2264" s="103">
        <v>0</v>
      </c>
      <c r="AQ2264" s="103">
        <v>3000</v>
      </c>
      <c r="AR2264" s="103">
        <v>0</v>
      </c>
      <c r="AS2264" s="103">
        <v>0</v>
      </c>
      <c r="AT2264" s="349" t="s">
        <v>5320</v>
      </c>
      <c r="AU2264" s="116">
        <v>0</v>
      </c>
      <c r="AV2264" s="116"/>
      <c r="AW2264" s="104" t="s">
        <v>256</v>
      </c>
      <c r="AX2264" s="103" t="s">
        <v>534</v>
      </c>
      <c r="AY2264" s="102">
        <v>0</v>
      </c>
      <c r="AZ2264" s="102">
        <v>0</v>
      </c>
      <c r="BA2264" s="101" t="s">
        <v>200</v>
      </c>
      <c r="BB2264" s="103">
        <v>0</v>
      </c>
      <c r="BC2264" s="107">
        <v>0</v>
      </c>
      <c r="BD2264" s="107">
        <v>0</v>
      </c>
      <c r="BE2264" s="121" t="s">
        <v>5321</v>
      </c>
      <c r="BF2264" s="121" t="s">
        <v>5322</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spans="1:75" ht="19.5" customHeight="1">
      <c r="C2265" s="102">
        <v>77002014</v>
      </c>
      <c r="D2265" s="101" t="s">
        <v>5323</v>
      </c>
      <c r="E2265" s="101" t="s">
        <v>5324</v>
      </c>
      <c r="F2265" s="102">
        <v>1</v>
      </c>
      <c r="G2265" s="103">
        <v>0</v>
      </c>
      <c r="H2265" s="102">
        <v>0</v>
      </c>
      <c r="I2265" s="107">
        <v>0</v>
      </c>
      <c r="J2265" s="102">
        <v>1</v>
      </c>
      <c r="K2265" s="102">
        <v>0</v>
      </c>
      <c r="L2265" s="102">
        <v>0</v>
      </c>
      <c r="M2265" s="103">
        <v>0</v>
      </c>
      <c r="N2265" s="103">
        <v>0</v>
      </c>
      <c r="O2265" s="103">
        <v>2</v>
      </c>
      <c r="P2265" s="103">
        <v>1</v>
      </c>
      <c r="Q2265" s="103">
        <v>1</v>
      </c>
      <c r="R2265" s="103">
        <v>0</v>
      </c>
      <c r="S2265" s="108">
        <v>0</v>
      </c>
      <c r="T2265" s="103">
        <v>0</v>
      </c>
      <c r="U2265" s="103">
        <v>1</v>
      </c>
      <c r="V2265" s="103">
        <v>2</v>
      </c>
      <c r="W2265" s="103">
        <v>0</v>
      </c>
      <c r="X2265" s="103">
        <v>1.6</v>
      </c>
      <c r="Y2265" s="13">
        <v>0</v>
      </c>
      <c r="Z2265" s="103">
        <v>0</v>
      </c>
      <c r="AA2265" s="103">
        <v>0</v>
      </c>
      <c r="AB2265" s="103">
        <v>0</v>
      </c>
      <c r="AC2265" s="103">
        <v>0</v>
      </c>
      <c r="AD2265" s="103">
        <v>0</v>
      </c>
      <c r="AE2265" s="103">
        <v>1</v>
      </c>
      <c r="AF2265" s="103">
        <v>0</v>
      </c>
      <c r="AG2265" s="103">
        <v>1</v>
      </c>
      <c r="AH2265" s="103">
        <v>2</v>
      </c>
      <c r="AI2265" s="108">
        <v>0</v>
      </c>
      <c r="AJ2265" s="108">
        <v>2</v>
      </c>
      <c r="AK2265" s="108">
        <v>0</v>
      </c>
      <c r="AL2265" s="108">
        <v>2</v>
      </c>
      <c r="AM2265" s="103">
        <v>0</v>
      </c>
      <c r="AN2265" s="103">
        <v>0</v>
      </c>
      <c r="AO2265" s="103">
        <v>0</v>
      </c>
      <c r="AP2265" s="103">
        <v>0</v>
      </c>
      <c r="AQ2265" s="103">
        <v>5000</v>
      </c>
      <c r="AR2265" s="103">
        <v>0</v>
      </c>
      <c r="AS2265" s="103">
        <v>15</v>
      </c>
      <c r="AT2265" s="115">
        <v>0</v>
      </c>
      <c r="AU2265" s="353" t="s">
        <v>5325</v>
      </c>
      <c r="AV2265" s="116"/>
      <c r="AW2265" s="101" t="s">
        <v>287</v>
      </c>
      <c r="AX2265" s="103" t="s">
        <v>534</v>
      </c>
      <c r="AY2265" s="102">
        <v>10000007</v>
      </c>
      <c r="AZ2265" s="102">
        <v>77002008</v>
      </c>
      <c r="BA2265" s="101" t="s">
        <v>586</v>
      </c>
      <c r="BB2265" s="103" t="s">
        <v>2321</v>
      </c>
      <c r="BC2265" s="107">
        <v>0</v>
      </c>
      <c r="BD2265" s="107">
        <v>1</v>
      </c>
      <c r="BE2265" s="121" t="s">
        <v>5326</v>
      </c>
      <c r="BF2265" s="121" t="s">
        <v>5327</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0</v>
      </c>
      <c r="BU2265" s="49">
        <v>0</v>
      </c>
      <c r="BV2265" s="49"/>
      <c r="BW2265" s="49"/>
    </row>
    <row r="2266" spans="1:75" ht="19.5" customHeight="1">
      <c r="C2266" s="102">
        <v>77002015</v>
      </c>
      <c r="D2266" s="101" t="s">
        <v>5257</v>
      </c>
      <c r="E2266" s="101" t="s">
        <v>5258</v>
      </c>
      <c r="F2266" s="103">
        <v>1</v>
      </c>
      <c r="G2266" s="103">
        <v>0</v>
      </c>
      <c r="H2266" s="103">
        <v>0</v>
      </c>
      <c r="I2266" s="107">
        <v>0</v>
      </c>
      <c r="J2266" s="102">
        <v>1</v>
      </c>
      <c r="K2266" s="103">
        <v>0</v>
      </c>
      <c r="L2266" s="103">
        <v>0</v>
      </c>
      <c r="M2266" s="103">
        <v>0</v>
      </c>
      <c r="N2266" s="103">
        <v>0</v>
      </c>
      <c r="O2266" s="103">
        <v>2</v>
      </c>
      <c r="P2266" s="103">
        <v>1</v>
      </c>
      <c r="Q2266" s="103">
        <v>0.1</v>
      </c>
      <c r="R2266" s="103">
        <v>0</v>
      </c>
      <c r="S2266" s="108">
        <v>0</v>
      </c>
      <c r="T2266" s="103">
        <v>0</v>
      </c>
      <c r="U2266" s="103">
        <v>1</v>
      </c>
      <c r="V2266" s="103">
        <v>1</v>
      </c>
      <c r="W2266" s="103">
        <v>0</v>
      </c>
      <c r="X2266" s="103">
        <v>1.2</v>
      </c>
      <c r="Y2266" s="13">
        <v>0</v>
      </c>
      <c r="Z2266" s="103">
        <v>0</v>
      </c>
      <c r="AA2266" s="103">
        <v>1</v>
      </c>
      <c r="AB2266" s="103">
        <v>0</v>
      </c>
      <c r="AC2266" s="103">
        <v>0</v>
      </c>
      <c r="AD2266" s="103">
        <v>0</v>
      </c>
      <c r="AE2266" s="103">
        <v>1</v>
      </c>
      <c r="AF2266" s="103">
        <v>0</v>
      </c>
      <c r="AG2266" s="103">
        <v>1</v>
      </c>
      <c r="AH2266" s="103">
        <v>3</v>
      </c>
      <c r="AI2266" s="108">
        <v>0</v>
      </c>
      <c r="AJ2266" s="108">
        <v>1</v>
      </c>
      <c r="AK2266" s="108">
        <v>0</v>
      </c>
      <c r="AL2266" s="108">
        <v>2</v>
      </c>
      <c r="AM2266" s="103">
        <v>0</v>
      </c>
      <c r="AN2266" s="103">
        <v>0</v>
      </c>
      <c r="AO2266" s="103">
        <v>0</v>
      </c>
      <c r="AP2266" s="103">
        <v>0.5</v>
      </c>
      <c r="AQ2266" s="103">
        <v>600</v>
      </c>
      <c r="AR2266" s="103">
        <v>0.5</v>
      </c>
      <c r="AS2266" s="103">
        <v>0</v>
      </c>
      <c r="AT2266" s="108">
        <v>0</v>
      </c>
      <c r="AU2266" s="103">
        <v>97010001</v>
      </c>
      <c r="AV2266" s="103"/>
      <c r="AW2266" s="101" t="s">
        <v>198</v>
      </c>
      <c r="AX2266" s="103" t="s">
        <v>534</v>
      </c>
      <c r="AY2266" s="102">
        <v>10000001</v>
      </c>
      <c r="AZ2266" s="102">
        <v>77002009</v>
      </c>
      <c r="BA2266" s="101" t="s">
        <v>771</v>
      </c>
      <c r="BB2266" s="103">
        <v>0</v>
      </c>
      <c r="BC2266" s="107">
        <v>0</v>
      </c>
      <c r="BD2266" s="107">
        <v>0</v>
      </c>
      <c r="BE2266" s="139" t="s">
        <v>5328</v>
      </c>
      <c r="BF2266" s="139" t="s">
        <v>5329</v>
      </c>
      <c r="BG2266" s="103">
        <v>0</v>
      </c>
      <c r="BH2266" s="103">
        <v>0</v>
      </c>
      <c r="BI2266" s="103">
        <v>0</v>
      </c>
      <c r="BJ2266" s="103">
        <v>0</v>
      </c>
      <c r="BK2266" s="103">
        <v>0</v>
      </c>
      <c r="BL2266" s="103">
        <v>0</v>
      </c>
      <c r="BM2266" s="99">
        <v>0</v>
      </c>
      <c r="BN2266" s="108">
        <v>0</v>
      </c>
      <c r="BO2266" s="108">
        <v>0</v>
      </c>
      <c r="BP2266" s="108">
        <v>0</v>
      </c>
      <c r="BQ2266" s="108">
        <v>0</v>
      </c>
      <c r="BR2266" s="108">
        <v>0</v>
      </c>
      <c r="BS2266" s="108">
        <v>1</v>
      </c>
      <c r="BT2266" s="108">
        <v>0</v>
      </c>
      <c r="BU2266" s="49">
        <v>0</v>
      </c>
      <c r="BV2266" s="49"/>
      <c r="BW2266" s="49"/>
    </row>
    <row r="2267" spans="1:75" ht="19.5" customHeight="1">
      <c r="C2267" s="102">
        <v>77002016</v>
      </c>
      <c r="D2267" s="101" t="s">
        <v>5330</v>
      </c>
      <c r="E2267" s="101" t="s">
        <v>5331</v>
      </c>
      <c r="F2267" s="102">
        <v>1</v>
      </c>
      <c r="G2267" s="103">
        <v>0</v>
      </c>
      <c r="H2267" s="102">
        <v>0</v>
      </c>
      <c r="I2267" s="107">
        <v>0</v>
      </c>
      <c r="J2267" s="102">
        <v>1</v>
      </c>
      <c r="K2267" s="102">
        <v>0</v>
      </c>
      <c r="L2267" s="102">
        <v>0</v>
      </c>
      <c r="M2267" s="103">
        <v>0</v>
      </c>
      <c r="N2267" s="103">
        <v>0</v>
      </c>
      <c r="O2267" s="103">
        <v>2</v>
      </c>
      <c r="P2267" s="103">
        <v>16</v>
      </c>
      <c r="Q2267" s="103">
        <v>8</v>
      </c>
      <c r="R2267" s="103">
        <v>0</v>
      </c>
      <c r="S2267" s="108">
        <v>0</v>
      </c>
      <c r="T2267" s="103">
        <v>0</v>
      </c>
      <c r="U2267" s="103">
        <v>1</v>
      </c>
      <c r="V2267" s="103">
        <v>2</v>
      </c>
      <c r="W2267" s="103">
        <v>0</v>
      </c>
      <c r="X2267" s="103">
        <v>1</v>
      </c>
      <c r="Y2267" s="13">
        <v>0</v>
      </c>
      <c r="Z2267" s="103">
        <v>0</v>
      </c>
      <c r="AA2267" s="103">
        <v>0</v>
      </c>
      <c r="AB2267" s="103">
        <v>0</v>
      </c>
      <c r="AC2267" s="103">
        <v>0</v>
      </c>
      <c r="AD2267" s="103">
        <v>0</v>
      </c>
      <c r="AE2267" s="103">
        <v>1</v>
      </c>
      <c r="AF2267" s="103">
        <v>0</v>
      </c>
      <c r="AG2267" s="103">
        <v>1</v>
      </c>
      <c r="AH2267" s="103">
        <v>2</v>
      </c>
      <c r="AI2267" s="108">
        <v>0</v>
      </c>
      <c r="AJ2267" s="108">
        <v>2</v>
      </c>
      <c r="AK2267" s="108">
        <v>0</v>
      </c>
      <c r="AL2267" s="108">
        <v>2</v>
      </c>
      <c r="AM2267" s="103">
        <v>0</v>
      </c>
      <c r="AN2267" s="103">
        <v>0</v>
      </c>
      <c r="AO2267" s="103">
        <v>0</v>
      </c>
      <c r="AP2267" s="103">
        <v>0.5</v>
      </c>
      <c r="AQ2267" s="103">
        <v>5000</v>
      </c>
      <c r="AR2267" s="103">
        <v>0.5</v>
      </c>
      <c r="AS2267" s="103">
        <v>15</v>
      </c>
      <c r="AT2267" s="115">
        <v>0</v>
      </c>
      <c r="AU2267" s="353" t="s">
        <v>5332</v>
      </c>
      <c r="AV2267" s="116"/>
      <c r="AW2267" s="101" t="s">
        <v>287</v>
      </c>
      <c r="AX2267" s="103" t="s">
        <v>534</v>
      </c>
      <c r="AY2267" s="102">
        <v>10000007</v>
      </c>
      <c r="AZ2267" s="102">
        <v>77002008</v>
      </c>
      <c r="BA2267" s="101" t="s">
        <v>586</v>
      </c>
      <c r="BB2267" s="103" t="s">
        <v>2321</v>
      </c>
      <c r="BC2267" s="107">
        <v>0</v>
      </c>
      <c r="BD2267" s="107">
        <v>1</v>
      </c>
      <c r="BE2267" s="121" t="s">
        <v>5333</v>
      </c>
      <c r="BF2267" s="121" t="s">
        <v>5334</v>
      </c>
      <c r="BG2267" s="103">
        <v>0</v>
      </c>
      <c r="BH2267" s="103">
        <v>0</v>
      </c>
      <c r="BI2267" s="103">
        <v>0</v>
      </c>
      <c r="BJ2267" s="103">
        <v>0</v>
      </c>
      <c r="BK2267" s="103">
        <v>0</v>
      </c>
      <c r="BL2267" s="103">
        <v>0</v>
      </c>
      <c r="BM2267" s="99">
        <v>0</v>
      </c>
      <c r="BN2267" s="108">
        <v>0</v>
      </c>
      <c r="BO2267" s="108">
        <v>0</v>
      </c>
      <c r="BP2267" s="108">
        <v>0</v>
      </c>
      <c r="BQ2267" s="108">
        <v>0</v>
      </c>
      <c r="BR2267" s="108">
        <v>0</v>
      </c>
      <c r="BS2267" s="108">
        <v>0</v>
      </c>
      <c r="BT2267" s="108">
        <v>0</v>
      </c>
      <c r="BU2267" s="49">
        <v>0</v>
      </c>
      <c r="BV2267" s="49"/>
      <c r="BW2267" s="49"/>
    </row>
    <row r="2268" spans="1:75" ht="19.5" customHeight="1">
      <c r="C2268" s="102">
        <v>77002017</v>
      </c>
      <c r="D2268" s="101" t="s">
        <v>5257</v>
      </c>
      <c r="E2268" s="101" t="s">
        <v>5258</v>
      </c>
      <c r="F2268" s="103">
        <v>1</v>
      </c>
      <c r="G2268" s="103">
        <v>0</v>
      </c>
      <c r="H2268" s="103">
        <v>0</v>
      </c>
      <c r="I2268" s="107">
        <v>0</v>
      </c>
      <c r="J2268" s="102">
        <v>1</v>
      </c>
      <c r="K2268" s="103">
        <v>0</v>
      </c>
      <c r="L2268" s="103">
        <v>0</v>
      </c>
      <c r="M2268" s="103">
        <v>0</v>
      </c>
      <c r="N2268" s="103">
        <v>0</v>
      </c>
      <c r="O2268" s="103">
        <v>2</v>
      </c>
      <c r="P2268" s="103">
        <v>1</v>
      </c>
      <c r="Q2268" s="103">
        <v>0.1</v>
      </c>
      <c r="R2268" s="103">
        <v>0</v>
      </c>
      <c r="S2268" s="108">
        <v>0</v>
      </c>
      <c r="T2268" s="103">
        <v>0</v>
      </c>
      <c r="U2268" s="103">
        <v>1</v>
      </c>
      <c r="V2268" s="103">
        <v>1</v>
      </c>
      <c r="W2268" s="103">
        <v>0</v>
      </c>
      <c r="X2268" s="103">
        <v>1.2</v>
      </c>
      <c r="Y2268" s="13">
        <v>0</v>
      </c>
      <c r="Z2268" s="103">
        <v>0</v>
      </c>
      <c r="AA2268" s="103">
        <v>1</v>
      </c>
      <c r="AB2268" s="103">
        <v>0</v>
      </c>
      <c r="AC2268" s="103">
        <v>0</v>
      </c>
      <c r="AD2268" s="103">
        <v>0</v>
      </c>
      <c r="AE2268" s="103">
        <v>1</v>
      </c>
      <c r="AF2268" s="103">
        <v>0</v>
      </c>
      <c r="AG2268" s="103">
        <v>1</v>
      </c>
      <c r="AH2268" s="103">
        <v>3</v>
      </c>
      <c r="AI2268" s="108">
        <v>0</v>
      </c>
      <c r="AJ2268" s="108">
        <v>1</v>
      </c>
      <c r="AK2268" s="108">
        <v>0</v>
      </c>
      <c r="AL2268" s="108">
        <v>2</v>
      </c>
      <c r="AM2268" s="103">
        <v>0</v>
      </c>
      <c r="AN2268" s="103">
        <v>0</v>
      </c>
      <c r="AO2268" s="103">
        <v>0</v>
      </c>
      <c r="AP2268" s="103">
        <v>0.5</v>
      </c>
      <c r="AQ2268" s="103">
        <v>600</v>
      </c>
      <c r="AR2268" s="103">
        <v>0.5</v>
      </c>
      <c r="AS2268" s="103">
        <v>0</v>
      </c>
      <c r="AT2268" s="108">
        <v>0</v>
      </c>
      <c r="AU2268" s="103">
        <v>97010002</v>
      </c>
      <c r="AV2268" s="103"/>
      <c r="AW2268" s="101" t="s">
        <v>198</v>
      </c>
      <c r="AX2268" s="103" t="s">
        <v>534</v>
      </c>
      <c r="AY2268" s="102">
        <v>10000001</v>
      </c>
      <c r="AZ2268" s="102">
        <v>77002009</v>
      </c>
      <c r="BA2268" s="101" t="s">
        <v>771</v>
      </c>
      <c r="BB2268" s="103">
        <v>0</v>
      </c>
      <c r="BC2268" s="107">
        <v>0</v>
      </c>
      <c r="BD2268" s="107">
        <v>0</v>
      </c>
      <c r="BE2268" s="139" t="s">
        <v>5328</v>
      </c>
      <c r="BF2268" s="139" t="s">
        <v>5329</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0</v>
      </c>
      <c r="BU2268" s="49">
        <v>0</v>
      </c>
      <c r="BV2268" s="49"/>
      <c r="BW2268" s="49"/>
    </row>
    <row r="2269" spans="1:75" ht="20.100000000000001" customHeight="1">
      <c r="A2269" s="140"/>
      <c r="B2269" s="140"/>
      <c r="C2269" s="102">
        <v>77002018</v>
      </c>
      <c r="D2269" s="101" t="s">
        <v>5335</v>
      </c>
      <c r="E2269" s="310" t="s">
        <v>5336</v>
      </c>
      <c r="F2269" s="99">
        <v>1</v>
      </c>
      <c r="G2269" s="99">
        <v>0</v>
      </c>
      <c r="H2269" s="103">
        <v>0</v>
      </c>
      <c r="I2269" s="107">
        <v>0</v>
      </c>
      <c r="J2269" s="102">
        <v>1</v>
      </c>
      <c r="K2269" s="102">
        <v>0</v>
      </c>
      <c r="L2269" s="102">
        <v>0</v>
      </c>
      <c r="M2269" s="103">
        <v>0</v>
      </c>
      <c r="N2269" s="103">
        <v>0</v>
      </c>
      <c r="O2269" s="103">
        <v>2</v>
      </c>
      <c r="P2269" s="103">
        <v>2</v>
      </c>
      <c r="Q2269" s="103">
        <v>0.4</v>
      </c>
      <c r="R2269" s="103">
        <v>0</v>
      </c>
      <c r="S2269" s="108">
        <v>0</v>
      </c>
      <c r="T2269" s="103">
        <v>0</v>
      </c>
      <c r="U2269" s="103">
        <v>1</v>
      </c>
      <c r="V2269" s="99">
        <v>1</v>
      </c>
      <c r="W2269" s="103">
        <v>0</v>
      </c>
      <c r="X2269" s="103">
        <v>2</v>
      </c>
      <c r="Y2269" s="13">
        <v>0</v>
      </c>
      <c r="Z2269" s="103">
        <v>0</v>
      </c>
      <c r="AA2269" s="103">
        <v>1</v>
      </c>
      <c r="AB2269" s="103">
        <v>0</v>
      </c>
      <c r="AC2269" s="103">
        <v>0</v>
      </c>
      <c r="AD2269" s="103">
        <v>0</v>
      </c>
      <c r="AE2269" s="103">
        <v>1</v>
      </c>
      <c r="AF2269" s="103">
        <v>20</v>
      </c>
      <c r="AG2269" s="103">
        <v>1</v>
      </c>
      <c r="AH2269" s="103">
        <v>6</v>
      </c>
      <c r="AI2269" s="108">
        <v>0</v>
      </c>
      <c r="AJ2269" s="108">
        <v>1</v>
      </c>
      <c r="AK2269" s="108">
        <v>0</v>
      </c>
      <c r="AL2269" s="108">
        <v>3</v>
      </c>
      <c r="AM2269" s="103">
        <v>0</v>
      </c>
      <c r="AN2269" s="103">
        <v>1</v>
      </c>
      <c r="AO2269" s="103">
        <v>0</v>
      </c>
      <c r="AP2269" s="103">
        <v>1</v>
      </c>
      <c r="AQ2269" s="103">
        <v>1100</v>
      </c>
      <c r="AR2269" s="103">
        <v>1</v>
      </c>
      <c r="AS2269" s="103">
        <v>0</v>
      </c>
      <c r="AT2269" s="108">
        <v>0</v>
      </c>
      <c r="AU2269" s="353" t="s">
        <v>5275</v>
      </c>
      <c r="AV2269" s="116"/>
      <c r="AW2269" s="101" t="s">
        <v>256</v>
      </c>
      <c r="AX2269" s="103" t="s">
        <v>215</v>
      </c>
      <c r="AY2269" s="102">
        <v>10000011</v>
      </c>
      <c r="AZ2269" s="351" t="s">
        <v>5290</v>
      </c>
      <c r="BA2269" s="104" t="s">
        <v>200</v>
      </c>
      <c r="BB2269" s="103">
        <v>0</v>
      </c>
      <c r="BC2269" s="107">
        <v>0</v>
      </c>
      <c r="BD2269" s="107">
        <v>0</v>
      </c>
      <c r="BE2269" s="121" t="s">
        <v>5337</v>
      </c>
      <c r="BF2269" s="121" t="s">
        <v>5338</v>
      </c>
      <c r="BG2269" s="103">
        <v>0</v>
      </c>
      <c r="BH2269" s="103">
        <v>0</v>
      </c>
      <c r="BI2269" s="103">
        <v>0</v>
      </c>
      <c r="BJ2269" s="103">
        <v>0</v>
      </c>
      <c r="BK2269" s="103">
        <v>0</v>
      </c>
      <c r="BL2269" s="103">
        <v>0</v>
      </c>
      <c r="BM2269" s="99">
        <v>0</v>
      </c>
      <c r="BN2269" s="108">
        <v>0</v>
      </c>
      <c r="BO2269" s="108">
        <v>0</v>
      </c>
      <c r="BP2269" s="108">
        <v>0</v>
      </c>
      <c r="BQ2269" s="108">
        <v>0</v>
      </c>
      <c r="BR2269" s="108">
        <v>0</v>
      </c>
      <c r="BS2269" s="108">
        <v>0</v>
      </c>
      <c r="BT2269" s="108">
        <v>77002019</v>
      </c>
      <c r="BU2269" s="49">
        <v>0</v>
      </c>
      <c r="BV2269" s="49"/>
      <c r="BW2269" s="49"/>
    </row>
    <row r="2270" spans="1:75" ht="19.5" customHeight="1">
      <c r="A2270" s="140"/>
      <c r="B2270" s="140"/>
      <c r="C2270" s="102">
        <v>77002019</v>
      </c>
      <c r="D2270" s="101" t="s">
        <v>2319</v>
      </c>
      <c r="E2270" s="101" t="s">
        <v>2320</v>
      </c>
      <c r="F2270" s="102">
        <v>1</v>
      </c>
      <c r="G2270" s="103">
        <v>0</v>
      </c>
      <c r="H2270" s="102">
        <v>0</v>
      </c>
      <c r="I2270" s="107">
        <v>0</v>
      </c>
      <c r="J2270" s="102">
        <v>1</v>
      </c>
      <c r="K2270" s="102">
        <v>0</v>
      </c>
      <c r="L2270" s="102">
        <v>0</v>
      </c>
      <c r="M2270" s="103">
        <v>0</v>
      </c>
      <c r="N2270" s="103">
        <v>0</v>
      </c>
      <c r="O2270" s="103">
        <v>2</v>
      </c>
      <c r="P2270" s="103">
        <v>16</v>
      </c>
      <c r="Q2270" s="103">
        <v>5</v>
      </c>
      <c r="R2270" s="103">
        <v>0</v>
      </c>
      <c r="S2270" s="108">
        <v>0</v>
      </c>
      <c r="T2270" s="103">
        <v>0</v>
      </c>
      <c r="U2270" s="103">
        <v>1</v>
      </c>
      <c r="V2270" s="103">
        <v>2</v>
      </c>
      <c r="W2270" s="103">
        <v>0</v>
      </c>
      <c r="X2270" s="103">
        <v>1</v>
      </c>
      <c r="Y2270" s="13">
        <v>0</v>
      </c>
      <c r="Z2270" s="103">
        <v>0</v>
      </c>
      <c r="AA2270" s="103">
        <v>0</v>
      </c>
      <c r="AB2270" s="103">
        <v>0</v>
      </c>
      <c r="AC2270" s="103">
        <v>0</v>
      </c>
      <c r="AD2270" s="103">
        <v>0</v>
      </c>
      <c r="AE2270" s="103">
        <v>1</v>
      </c>
      <c r="AF2270" s="103">
        <v>0</v>
      </c>
      <c r="AG2270" s="103">
        <v>1</v>
      </c>
      <c r="AH2270" s="103">
        <v>2</v>
      </c>
      <c r="AI2270" s="108">
        <v>0</v>
      </c>
      <c r="AJ2270" s="108">
        <v>2</v>
      </c>
      <c r="AK2270" s="108">
        <v>0</v>
      </c>
      <c r="AL2270" s="108">
        <v>2</v>
      </c>
      <c r="AM2270" s="103">
        <v>0</v>
      </c>
      <c r="AN2270" s="103">
        <v>0</v>
      </c>
      <c r="AO2270" s="103">
        <v>0</v>
      </c>
      <c r="AP2270" s="103">
        <v>0.3</v>
      </c>
      <c r="AQ2270" s="103">
        <v>5000</v>
      </c>
      <c r="AR2270" s="103">
        <v>0.3</v>
      </c>
      <c r="AS2270" s="103">
        <v>15</v>
      </c>
      <c r="AT2270" s="352" t="s">
        <v>5339</v>
      </c>
      <c r="AU2270" s="353" t="s">
        <v>5316</v>
      </c>
      <c r="AV2270" s="116"/>
      <c r="AW2270" s="101" t="s">
        <v>256</v>
      </c>
      <c r="AX2270" s="103" t="s">
        <v>534</v>
      </c>
      <c r="AY2270" s="102">
        <v>10000007</v>
      </c>
      <c r="AZ2270" s="102">
        <v>77002008</v>
      </c>
      <c r="BA2270" s="101" t="s">
        <v>586</v>
      </c>
      <c r="BB2270" s="103" t="s">
        <v>2321</v>
      </c>
      <c r="BC2270" s="107">
        <v>0</v>
      </c>
      <c r="BD2270" s="107">
        <v>1</v>
      </c>
      <c r="BE2270" s="121" t="s">
        <v>1306</v>
      </c>
      <c r="BF2270" s="121" t="s">
        <v>1307</v>
      </c>
      <c r="BG2270" s="103">
        <v>0</v>
      </c>
      <c r="BH2270" s="103">
        <v>0</v>
      </c>
      <c r="BI2270" s="103">
        <v>0</v>
      </c>
      <c r="BJ2270" s="103">
        <v>0</v>
      </c>
      <c r="BK2270" s="103">
        <v>0</v>
      </c>
      <c r="BL2270" s="103">
        <v>0</v>
      </c>
      <c r="BM2270" s="99">
        <v>0</v>
      </c>
      <c r="BN2270" s="108">
        <v>0</v>
      </c>
      <c r="BO2270" s="108">
        <v>0</v>
      </c>
      <c r="BP2270" s="108">
        <v>0</v>
      </c>
      <c r="BQ2270" s="108">
        <v>0</v>
      </c>
      <c r="BR2270" s="108">
        <v>0</v>
      </c>
      <c r="BS2270" s="108">
        <v>0</v>
      </c>
      <c r="BT2270" s="108">
        <v>0</v>
      </c>
      <c r="BU2270" s="49">
        <v>0</v>
      </c>
      <c r="BV2270" s="49"/>
      <c r="BW2270" s="49"/>
    </row>
    <row r="2271" spans="1:75" ht="19.5" customHeight="1">
      <c r="A2271" s="140"/>
      <c r="B2271" s="140"/>
      <c r="C2271" s="102">
        <v>77002020</v>
      </c>
      <c r="D2271" s="101" t="s">
        <v>5257</v>
      </c>
      <c r="E2271" s="101" t="s">
        <v>5258</v>
      </c>
      <c r="F2271" s="103">
        <v>1</v>
      </c>
      <c r="G2271" s="103">
        <v>0</v>
      </c>
      <c r="H2271" s="103">
        <v>0</v>
      </c>
      <c r="I2271" s="107">
        <v>0</v>
      </c>
      <c r="J2271" s="102">
        <v>1</v>
      </c>
      <c r="K2271" s="103">
        <v>0</v>
      </c>
      <c r="L2271" s="103">
        <v>0</v>
      </c>
      <c r="M2271" s="103">
        <v>0</v>
      </c>
      <c r="N2271" s="103">
        <v>0</v>
      </c>
      <c r="O2271" s="103">
        <v>2</v>
      </c>
      <c r="P2271" s="103">
        <v>1</v>
      </c>
      <c r="Q2271" s="103">
        <v>0.1</v>
      </c>
      <c r="R2271" s="103">
        <v>0</v>
      </c>
      <c r="S2271" s="108">
        <v>0</v>
      </c>
      <c r="T2271" s="103">
        <v>0</v>
      </c>
      <c r="U2271" s="103">
        <v>1</v>
      </c>
      <c r="V2271" s="103">
        <v>1</v>
      </c>
      <c r="W2271" s="103">
        <v>0</v>
      </c>
      <c r="X2271" s="103">
        <v>0.8</v>
      </c>
      <c r="Y2271" s="13">
        <v>0</v>
      </c>
      <c r="Z2271" s="103">
        <v>0</v>
      </c>
      <c r="AA2271" s="103">
        <v>1</v>
      </c>
      <c r="AB2271" s="103">
        <v>0</v>
      </c>
      <c r="AC2271" s="103">
        <v>0</v>
      </c>
      <c r="AD2271" s="103">
        <v>0</v>
      </c>
      <c r="AE2271" s="103">
        <v>1</v>
      </c>
      <c r="AF2271" s="103">
        <v>0</v>
      </c>
      <c r="AG2271" s="103">
        <v>1</v>
      </c>
      <c r="AH2271" s="103">
        <v>3</v>
      </c>
      <c r="AI2271" s="108">
        <v>0</v>
      </c>
      <c r="AJ2271" s="108">
        <v>1</v>
      </c>
      <c r="AK2271" s="108">
        <v>0</v>
      </c>
      <c r="AL2271" s="108">
        <v>2</v>
      </c>
      <c r="AM2271" s="103">
        <v>0</v>
      </c>
      <c r="AN2271" s="103">
        <v>0</v>
      </c>
      <c r="AO2271" s="103">
        <v>0</v>
      </c>
      <c r="AP2271" s="103">
        <v>0.5</v>
      </c>
      <c r="AQ2271" s="103">
        <v>600</v>
      </c>
      <c r="AR2271" s="103">
        <v>0.5</v>
      </c>
      <c r="AS2271" s="103">
        <v>0</v>
      </c>
      <c r="AT2271" s="108">
        <v>0</v>
      </c>
      <c r="AU2271" s="353" t="s">
        <v>5275</v>
      </c>
      <c r="AV2271" s="116"/>
      <c r="AW2271" s="101" t="s">
        <v>198</v>
      </c>
      <c r="AX2271" s="103" t="s">
        <v>534</v>
      </c>
      <c r="AY2271" s="102">
        <v>10000001</v>
      </c>
      <c r="AZ2271" s="102">
        <v>77002009</v>
      </c>
      <c r="BA2271" s="101" t="s">
        <v>771</v>
      </c>
      <c r="BB2271" s="103">
        <v>0</v>
      </c>
      <c r="BC2271" s="107">
        <v>0</v>
      </c>
      <c r="BD2271" s="107">
        <v>0</v>
      </c>
      <c r="BE2271" s="139" t="s">
        <v>5259</v>
      </c>
      <c r="BF2271" s="139" t="s">
        <v>5260</v>
      </c>
      <c r="BG2271" s="103">
        <v>0</v>
      </c>
      <c r="BH2271" s="103">
        <v>0</v>
      </c>
      <c r="BI2271" s="103">
        <v>0</v>
      </c>
      <c r="BJ2271" s="103">
        <v>0</v>
      </c>
      <c r="BK2271" s="103">
        <v>0</v>
      </c>
      <c r="BL2271" s="103">
        <v>0</v>
      </c>
      <c r="BM2271" s="99">
        <v>0</v>
      </c>
      <c r="BN2271" s="108">
        <v>0</v>
      </c>
      <c r="BO2271" s="108">
        <v>0</v>
      </c>
      <c r="BP2271" s="108">
        <v>0</v>
      </c>
      <c r="BQ2271" s="108">
        <v>0</v>
      </c>
      <c r="BR2271" s="108">
        <v>0</v>
      </c>
      <c r="BS2271" s="108">
        <v>1</v>
      </c>
      <c r="BT2271" s="108">
        <v>77002021</v>
      </c>
      <c r="BU2271" s="49">
        <v>0</v>
      </c>
      <c r="BV2271" s="49"/>
      <c r="BW2271" s="49"/>
    </row>
    <row r="2272" spans="1:75" ht="19.5" customHeight="1">
      <c r="A2272" s="140"/>
      <c r="B2272" s="140"/>
      <c r="C2272" s="102">
        <v>77002021</v>
      </c>
      <c r="D2272" s="101" t="s">
        <v>5340</v>
      </c>
      <c r="E2272" s="101" t="s">
        <v>5341</v>
      </c>
      <c r="F2272" s="102">
        <v>1</v>
      </c>
      <c r="G2272" s="103">
        <v>0</v>
      </c>
      <c r="H2272" s="102">
        <v>0</v>
      </c>
      <c r="I2272" s="107">
        <v>0</v>
      </c>
      <c r="J2272" s="102">
        <v>1</v>
      </c>
      <c r="K2272" s="102">
        <v>0</v>
      </c>
      <c r="L2272" s="102">
        <v>0</v>
      </c>
      <c r="M2272" s="103">
        <v>0</v>
      </c>
      <c r="N2272" s="103">
        <v>0</v>
      </c>
      <c r="O2272" s="103">
        <v>2</v>
      </c>
      <c r="P2272" s="103">
        <v>16</v>
      </c>
      <c r="Q2272" s="103">
        <v>5</v>
      </c>
      <c r="R2272" s="103">
        <v>0</v>
      </c>
      <c r="S2272" s="108">
        <v>0</v>
      </c>
      <c r="T2272" s="103">
        <v>0</v>
      </c>
      <c r="U2272" s="103">
        <v>1</v>
      </c>
      <c r="V2272" s="103">
        <v>2</v>
      </c>
      <c r="W2272" s="103">
        <v>0</v>
      </c>
      <c r="X2272" s="103">
        <v>1</v>
      </c>
      <c r="Y2272" s="13">
        <v>0</v>
      </c>
      <c r="Z2272" s="103">
        <v>0</v>
      </c>
      <c r="AA2272" s="103">
        <v>0</v>
      </c>
      <c r="AB2272" s="103">
        <v>0</v>
      </c>
      <c r="AC2272" s="103">
        <v>0</v>
      </c>
      <c r="AD2272" s="103">
        <v>0</v>
      </c>
      <c r="AE2272" s="103">
        <v>1</v>
      </c>
      <c r="AF2272" s="103">
        <v>0</v>
      </c>
      <c r="AG2272" s="103">
        <v>1</v>
      </c>
      <c r="AH2272" s="103">
        <v>2</v>
      </c>
      <c r="AI2272" s="108">
        <v>0</v>
      </c>
      <c r="AJ2272" s="108">
        <v>2</v>
      </c>
      <c r="AK2272" s="108">
        <v>0</v>
      </c>
      <c r="AL2272" s="108">
        <v>2</v>
      </c>
      <c r="AM2272" s="103">
        <v>0</v>
      </c>
      <c r="AN2272" s="103">
        <v>0</v>
      </c>
      <c r="AO2272" s="103">
        <v>0</v>
      </c>
      <c r="AP2272" s="103">
        <v>2</v>
      </c>
      <c r="AQ2272" s="103">
        <v>5000</v>
      </c>
      <c r="AR2272" s="103">
        <v>0</v>
      </c>
      <c r="AS2272" s="103">
        <v>10</v>
      </c>
      <c r="AT2272" s="115">
        <v>0</v>
      </c>
      <c r="AU2272" s="353" t="s">
        <v>5342</v>
      </c>
      <c r="AV2272" s="116"/>
      <c r="AW2272" s="101" t="s">
        <v>256</v>
      </c>
      <c r="AX2272" s="103" t="s">
        <v>534</v>
      </c>
      <c r="AY2272" s="102">
        <v>10000007</v>
      </c>
      <c r="AZ2272" s="102">
        <v>77002008</v>
      </c>
      <c r="BA2272" s="101" t="s">
        <v>586</v>
      </c>
      <c r="BB2272" s="103" t="s">
        <v>5343</v>
      </c>
      <c r="BC2272" s="107">
        <v>0</v>
      </c>
      <c r="BD2272" s="107">
        <v>1</v>
      </c>
      <c r="BE2272" s="121" t="s">
        <v>1306</v>
      </c>
      <c r="BF2272" s="121" t="s">
        <v>1307</v>
      </c>
      <c r="BG2272" s="103">
        <v>0</v>
      </c>
      <c r="BH2272" s="103">
        <v>0</v>
      </c>
      <c r="BI2272" s="103">
        <v>0</v>
      </c>
      <c r="BJ2272" s="103">
        <v>0</v>
      </c>
      <c r="BK2272" s="103">
        <v>0</v>
      </c>
      <c r="BL2272" s="103">
        <v>0</v>
      </c>
      <c r="BM2272" s="99">
        <v>0</v>
      </c>
      <c r="BN2272" s="108">
        <v>0</v>
      </c>
      <c r="BO2272" s="108">
        <v>0</v>
      </c>
      <c r="BP2272" s="108">
        <v>0</v>
      </c>
      <c r="BQ2272" s="108">
        <v>0</v>
      </c>
      <c r="BR2272" s="108">
        <v>0</v>
      </c>
      <c r="BS2272" s="108">
        <v>0</v>
      </c>
      <c r="BT2272" s="108">
        <v>0</v>
      </c>
      <c r="BU2272" s="49">
        <v>0</v>
      </c>
      <c r="BV2272" s="49"/>
      <c r="BW2272" s="49"/>
    </row>
    <row r="2273" spans="1:75" ht="19.5" customHeight="1">
      <c r="A2273" s="140"/>
      <c r="B2273" s="140"/>
      <c r="C2273" s="102">
        <v>77002022</v>
      </c>
      <c r="D2273" s="101" t="s">
        <v>5257</v>
      </c>
      <c r="E2273" s="101" t="s">
        <v>5258</v>
      </c>
      <c r="F2273" s="103">
        <v>1</v>
      </c>
      <c r="G2273" s="103">
        <v>0</v>
      </c>
      <c r="H2273" s="103">
        <v>0</v>
      </c>
      <c r="I2273" s="107">
        <v>0</v>
      </c>
      <c r="J2273" s="102">
        <v>1</v>
      </c>
      <c r="K2273" s="103">
        <v>0</v>
      </c>
      <c r="L2273" s="103">
        <v>0</v>
      </c>
      <c r="M2273" s="103">
        <v>0</v>
      </c>
      <c r="N2273" s="103">
        <v>0</v>
      </c>
      <c r="O2273" s="103">
        <v>2</v>
      </c>
      <c r="P2273" s="103">
        <v>1</v>
      </c>
      <c r="Q2273" s="103">
        <v>0.1</v>
      </c>
      <c r="R2273" s="103">
        <v>0</v>
      </c>
      <c r="S2273" s="108">
        <v>0</v>
      </c>
      <c r="T2273" s="103">
        <v>0</v>
      </c>
      <c r="U2273" s="103">
        <v>1</v>
      </c>
      <c r="V2273" s="103">
        <v>1</v>
      </c>
      <c r="W2273" s="103">
        <v>0</v>
      </c>
      <c r="X2273" s="103">
        <v>1.2</v>
      </c>
      <c r="Y2273" s="13">
        <v>0</v>
      </c>
      <c r="Z2273" s="103">
        <v>0</v>
      </c>
      <c r="AA2273" s="103">
        <v>1</v>
      </c>
      <c r="AB2273" s="103">
        <v>0</v>
      </c>
      <c r="AC2273" s="103">
        <v>0</v>
      </c>
      <c r="AD2273" s="103">
        <v>0</v>
      </c>
      <c r="AE2273" s="103">
        <v>1</v>
      </c>
      <c r="AF2273" s="103">
        <v>0</v>
      </c>
      <c r="AG2273" s="103">
        <v>1</v>
      </c>
      <c r="AH2273" s="103">
        <v>3</v>
      </c>
      <c r="AI2273" s="108">
        <v>0</v>
      </c>
      <c r="AJ2273" s="108">
        <v>1</v>
      </c>
      <c r="AK2273" s="108">
        <v>0</v>
      </c>
      <c r="AL2273" s="108">
        <v>2</v>
      </c>
      <c r="AM2273" s="103">
        <v>0</v>
      </c>
      <c r="AN2273" s="103">
        <v>0</v>
      </c>
      <c r="AO2273" s="103">
        <v>0</v>
      </c>
      <c r="AP2273" s="103">
        <v>0.5</v>
      </c>
      <c r="AQ2273" s="103">
        <v>600</v>
      </c>
      <c r="AR2273" s="103">
        <v>0.5</v>
      </c>
      <c r="AS2273" s="103">
        <v>0</v>
      </c>
      <c r="AT2273" s="108">
        <v>0</v>
      </c>
      <c r="AU2273" s="353" t="s">
        <v>5316</v>
      </c>
      <c r="AV2273" s="116"/>
      <c r="AW2273" s="101" t="s">
        <v>198</v>
      </c>
      <c r="AX2273" s="103" t="s">
        <v>534</v>
      </c>
      <c r="AY2273" s="102">
        <v>10000001</v>
      </c>
      <c r="AZ2273" s="102">
        <v>77002009</v>
      </c>
      <c r="BA2273" s="101" t="s">
        <v>771</v>
      </c>
      <c r="BB2273" s="103">
        <v>0</v>
      </c>
      <c r="BC2273" s="107">
        <v>0</v>
      </c>
      <c r="BD2273" s="107">
        <v>0</v>
      </c>
      <c r="BE2273" s="139" t="s">
        <v>5259</v>
      </c>
      <c r="BF2273" s="139" t="s">
        <v>5260</v>
      </c>
      <c r="BG2273" s="103">
        <v>0</v>
      </c>
      <c r="BH2273" s="103">
        <v>0</v>
      </c>
      <c r="BI2273" s="103">
        <v>0</v>
      </c>
      <c r="BJ2273" s="103">
        <v>0</v>
      </c>
      <c r="BK2273" s="103">
        <v>0</v>
      </c>
      <c r="BL2273" s="103">
        <v>0</v>
      </c>
      <c r="BM2273" s="99">
        <v>0</v>
      </c>
      <c r="BN2273" s="108">
        <v>0</v>
      </c>
      <c r="BO2273" s="108">
        <v>0</v>
      </c>
      <c r="BP2273" s="108">
        <v>0</v>
      </c>
      <c r="BQ2273" s="108">
        <v>0</v>
      </c>
      <c r="BR2273" s="108">
        <v>0</v>
      </c>
      <c r="BS2273" s="108">
        <v>1</v>
      </c>
      <c r="BT2273" s="108">
        <v>77002019</v>
      </c>
      <c r="BU2273" s="49">
        <v>0</v>
      </c>
      <c r="BV2273" s="49"/>
      <c r="BW2273" s="49"/>
    </row>
    <row r="2274" spans="1:75" ht="19.5" customHeight="1">
      <c r="A2274" s="140"/>
      <c r="B2274" s="140"/>
      <c r="C2274" s="66">
        <v>77005001</v>
      </c>
      <c r="D2274" s="61" t="s">
        <v>5344</v>
      </c>
      <c r="E2274" s="61" t="s">
        <v>5345</v>
      </c>
      <c r="F2274" s="62">
        <v>1</v>
      </c>
      <c r="G2274" s="62">
        <v>63021101</v>
      </c>
      <c r="H2274" s="62">
        <v>0</v>
      </c>
      <c r="I2274" s="68">
        <v>0</v>
      </c>
      <c r="J2274" s="66">
        <v>1</v>
      </c>
      <c r="K2274" s="62">
        <v>0</v>
      </c>
      <c r="L2274" s="62">
        <v>0</v>
      </c>
      <c r="M2274" s="62">
        <v>0</v>
      </c>
      <c r="N2274" s="62">
        <v>0</v>
      </c>
      <c r="O2274" s="62">
        <v>1</v>
      </c>
      <c r="P2274" s="62">
        <v>0</v>
      </c>
      <c r="Q2274" s="62">
        <v>0</v>
      </c>
      <c r="R2274" s="62">
        <v>0</v>
      </c>
      <c r="S2274" s="70">
        <v>0</v>
      </c>
      <c r="T2274" s="62">
        <v>0</v>
      </c>
      <c r="U2274" s="62">
        <v>1</v>
      </c>
      <c r="V2274" s="62">
        <v>1</v>
      </c>
      <c r="W2274" s="62">
        <v>0</v>
      </c>
      <c r="X2274" s="62">
        <v>1.5</v>
      </c>
      <c r="Y2274" s="13">
        <v>0</v>
      </c>
      <c r="Z2274" s="62">
        <v>0</v>
      </c>
      <c r="AA2274" s="62">
        <v>0</v>
      </c>
      <c r="AB2274" s="62">
        <v>0</v>
      </c>
      <c r="AC2274" s="62">
        <v>0</v>
      </c>
      <c r="AD2274" s="62">
        <v>0</v>
      </c>
      <c r="AE2274" s="62">
        <v>0</v>
      </c>
      <c r="AF2274" s="62">
        <v>6</v>
      </c>
      <c r="AG2274" s="62">
        <v>3</v>
      </c>
      <c r="AH2274" s="81">
        <v>4120</v>
      </c>
      <c r="AI2274" s="70">
        <v>2</v>
      </c>
      <c r="AJ2274" s="70">
        <v>3</v>
      </c>
      <c r="AK2274" s="70">
        <v>0</v>
      </c>
      <c r="AL2274" s="70">
        <v>1.5</v>
      </c>
      <c r="AM2274" s="62">
        <v>0</v>
      </c>
      <c r="AN2274" s="62">
        <v>0</v>
      </c>
      <c r="AO2274" s="62">
        <v>0</v>
      </c>
      <c r="AP2274" s="62">
        <v>0.2</v>
      </c>
      <c r="AQ2274" s="62">
        <v>1000</v>
      </c>
      <c r="AR2274" s="62">
        <v>0.2</v>
      </c>
      <c r="AS2274" s="62">
        <v>0</v>
      </c>
      <c r="AT2274" s="70">
        <v>0</v>
      </c>
      <c r="AU2274" s="369" t="s">
        <v>5346</v>
      </c>
      <c r="AV2274" s="62"/>
      <c r="AW2274" s="61" t="s">
        <v>198</v>
      </c>
      <c r="AX2274" s="62" t="s">
        <v>534</v>
      </c>
      <c r="AY2274" s="66">
        <v>10000001</v>
      </c>
      <c r="AZ2274" s="66">
        <v>77005001</v>
      </c>
      <c r="BA2274" s="61" t="s">
        <v>200</v>
      </c>
      <c r="BB2274" s="62">
        <v>0</v>
      </c>
      <c r="BC2274" s="70">
        <v>0</v>
      </c>
      <c r="BD2274" s="70">
        <v>0</v>
      </c>
      <c r="BE2274" s="123" t="s">
        <v>5347</v>
      </c>
      <c r="BF2274" s="123" t="s">
        <v>5348</v>
      </c>
      <c r="BG2274" s="62">
        <v>0</v>
      </c>
      <c r="BH2274" s="62">
        <v>0</v>
      </c>
      <c r="BI2274" s="62">
        <v>0</v>
      </c>
      <c r="BJ2274" s="62">
        <v>0</v>
      </c>
      <c r="BK2274" s="62">
        <v>0</v>
      </c>
      <c r="BL2274" s="62">
        <v>0</v>
      </c>
      <c r="BM2274" s="95">
        <v>0</v>
      </c>
      <c r="BN2274" s="70">
        <v>0</v>
      </c>
      <c r="BO2274" s="70">
        <v>0</v>
      </c>
      <c r="BP2274" s="70">
        <v>0</v>
      </c>
      <c r="BQ2274" s="70">
        <v>0</v>
      </c>
      <c r="BR2274" s="70">
        <v>0</v>
      </c>
      <c r="BS2274" s="70">
        <v>0</v>
      </c>
      <c r="BT2274" s="70">
        <v>0</v>
      </c>
      <c r="BU2274" s="49">
        <v>0</v>
      </c>
      <c r="BV2274" s="49"/>
      <c r="BW2274" s="49"/>
    </row>
    <row r="2275" spans="1:75" ht="19.5" customHeight="1">
      <c r="A2275" s="140"/>
      <c r="B2275" s="140"/>
      <c r="C2275" s="66">
        <v>77005002</v>
      </c>
      <c r="D2275" s="61" t="s">
        <v>2184</v>
      </c>
      <c r="E2275" s="149" t="s">
        <v>2185</v>
      </c>
      <c r="F2275" s="95">
        <v>1</v>
      </c>
      <c r="G2275" s="62">
        <v>63021101</v>
      </c>
      <c r="H2275" s="66">
        <v>0</v>
      </c>
      <c r="I2275" s="68">
        <v>0</v>
      </c>
      <c r="J2275" s="66">
        <v>1</v>
      </c>
      <c r="K2275" s="62">
        <v>0</v>
      </c>
      <c r="L2275" s="66">
        <v>0</v>
      </c>
      <c r="M2275" s="62">
        <v>0</v>
      </c>
      <c r="N2275" s="62">
        <v>0</v>
      </c>
      <c r="O2275" s="62">
        <v>1</v>
      </c>
      <c r="P2275" s="62">
        <v>0</v>
      </c>
      <c r="Q2275" s="62">
        <v>0</v>
      </c>
      <c r="R2275" s="62">
        <v>0</v>
      </c>
      <c r="S2275" s="70">
        <v>0</v>
      </c>
      <c r="T2275" s="62">
        <v>0</v>
      </c>
      <c r="U2275" s="62">
        <v>1</v>
      </c>
      <c r="V2275" s="62">
        <v>1</v>
      </c>
      <c r="W2275" s="62">
        <v>0</v>
      </c>
      <c r="X2275" s="62">
        <v>1.7</v>
      </c>
      <c r="Y2275" s="13">
        <v>0</v>
      </c>
      <c r="Z2275" s="62">
        <v>0</v>
      </c>
      <c r="AA2275" s="62">
        <v>0</v>
      </c>
      <c r="AB2275" s="62">
        <v>0</v>
      </c>
      <c r="AC2275" s="62">
        <v>0</v>
      </c>
      <c r="AD2275" s="62">
        <v>0</v>
      </c>
      <c r="AE2275" s="62">
        <v>0</v>
      </c>
      <c r="AF2275" s="62">
        <v>9</v>
      </c>
      <c r="AG2275" s="62">
        <v>1</v>
      </c>
      <c r="AH2275" s="62">
        <v>5</v>
      </c>
      <c r="AI2275" s="70">
        <v>0</v>
      </c>
      <c r="AJ2275" s="70">
        <v>3</v>
      </c>
      <c r="AK2275" s="70">
        <v>0</v>
      </c>
      <c r="AL2275" s="70">
        <v>1.7</v>
      </c>
      <c r="AM2275" s="62">
        <v>0</v>
      </c>
      <c r="AN2275" s="62">
        <v>0</v>
      </c>
      <c r="AO2275" s="62">
        <v>0</v>
      </c>
      <c r="AP2275" s="62">
        <v>0</v>
      </c>
      <c r="AQ2275" s="62">
        <v>1000</v>
      </c>
      <c r="AR2275" s="62">
        <v>0.2</v>
      </c>
      <c r="AS2275" s="62">
        <v>0</v>
      </c>
      <c r="AT2275" s="70">
        <v>0</v>
      </c>
      <c r="AU2275" s="348" t="s">
        <v>5349</v>
      </c>
      <c r="AV2275" s="81"/>
      <c r="AW2275" s="65" t="s">
        <v>198</v>
      </c>
      <c r="AX2275" s="62" t="s">
        <v>545</v>
      </c>
      <c r="AY2275" s="66">
        <v>10000001</v>
      </c>
      <c r="AZ2275" s="66">
        <v>77005002</v>
      </c>
      <c r="BA2275" s="61" t="s">
        <v>200</v>
      </c>
      <c r="BB2275" s="62">
        <v>0</v>
      </c>
      <c r="BC2275" s="68">
        <v>0</v>
      </c>
      <c r="BD2275" s="68">
        <v>0</v>
      </c>
      <c r="BE2275" s="92" t="s">
        <v>2186</v>
      </c>
      <c r="BF2275" s="92" t="s">
        <v>2187</v>
      </c>
      <c r="BG2275" s="62">
        <v>0</v>
      </c>
      <c r="BH2275" s="62">
        <v>0</v>
      </c>
      <c r="BI2275" s="62">
        <v>0</v>
      </c>
      <c r="BJ2275" s="62">
        <v>0</v>
      </c>
      <c r="BK2275" s="62">
        <v>0</v>
      </c>
      <c r="BL2275" s="62">
        <v>0</v>
      </c>
      <c r="BM2275" s="95">
        <v>0</v>
      </c>
      <c r="BN2275" s="70">
        <v>0</v>
      </c>
      <c r="BO2275" s="70">
        <v>0</v>
      </c>
      <c r="BP2275" s="70">
        <v>0</v>
      </c>
      <c r="BQ2275" s="70">
        <v>0</v>
      </c>
      <c r="BR2275" s="70">
        <v>0</v>
      </c>
      <c r="BS2275" s="70">
        <v>0</v>
      </c>
      <c r="BT2275" s="70">
        <v>0</v>
      </c>
      <c r="BU2275" s="389" t="s">
        <v>5350</v>
      </c>
      <c r="BV2275" s="49"/>
      <c r="BW2275" s="49"/>
    </row>
    <row r="2276" spans="1:75" ht="19.5" customHeight="1">
      <c r="A2276" s="140"/>
      <c r="B2276" s="140"/>
      <c r="C2276" s="66">
        <v>77005003</v>
      </c>
      <c r="D2276" s="61" t="s">
        <v>5351</v>
      </c>
      <c r="E2276" s="149" t="s">
        <v>5352</v>
      </c>
      <c r="F2276" s="95">
        <v>1</v>
      </c>
      <c r="G2276" s="62">
        <v>63021101</v>
      </c>
      <c r="H2276" s="66">
        <v>0</v>
      </c>
      <c r="I2276" s="68">
        <v>0</v>
      </c>
      <c r="J2276" s="66">
        <v>1</v>
      </c>
      <c r="K2276" s="62">
        <v>0</v>
      </c>
      <c r="L2276" s="66">
        <v>0</v>
      </c>
      <c r="M2276" s="62">
        <v>0</v>
      </c>
      <c r="N2276" s="62">
        <v>0</v>
      </c>
      <c r="O2276" s="62">
        <v>1</v>
      </c>
      <c r="P2276" s="62">
        <v>0</v>
      </c>
      <c r="Q2276" s="62">
        <v>0</v>
      </c>
      <c r="R2276" s="62">
        <v>0</v>
      </c>
      <c r="S2276" s="70">
        <v>0</v>
      </c>
      <c r="T2276" s="62">
        <v>0</v>
      </c>
      <c r="U2276" s="62">
        <v>1</v>
      </c>
      <c r="V2276" s="62">
        <v>1</v>
      </c>
      <c r="W2276" s="62">
        <v>0</v>
      </c>
      <c r="X2276" s="62">
        <v>0</v>
      </c>
      <c r="Y2276" s="13">
        <v>0</v>
      </c>
      <c r="Z2276" s="62">
        <v>0</v>
      </c>
      <c r="AA2276" s="62">
        <v>0</v>
      </c>
      <c r="AB2276" s="62">
        <v>0</v>
      </c>
      <c r="AC2276" s="62">
        <v>0</v>
      </c>
      <c r="AD2276" s="62">
        <v>0</v>
      </c>
      <c r="AE2276" s="62">
        <v>0</v>
      </c>
      <c r="AF2276" s="62">
        <v>24</v>
      </c>
      <c r="AG2276" s="62">
        <v>0</v>
      </c>
      <c r="AH2276" s="62">
        <v>0</v>
      </c>
      <c r="AI2276" s="70">
        <v>0</v>
      </c>
      <c r="AJ2276" s="70">
        <v>0</v>
      </c>
      <c r="AK2276" s="70">
        <v>0</v>
      </c>
      <c r="AL2276" s="70">
        <v>1.5</v>
      </c>
      <c r="AM2276" s="62">
        <v>0</v>
      </c>
      <c r="AN2276" s="62">
        <v>0</v>
      </c>
      <c r="AO2276" s="62">
        <v>0</v>
      </c>
      <c r="AP2276" s="66">
        <v>0.2</v>
      </c>
      <c r="AQ2276" s="62">
        <v>3000</v>
      </c>
      <c r="AR2276" s="62">
        <v>0.2</v>
      </c>
      <c r="AS2276" s="62">
        <v>0</v>
      </c>
      <c r="AT2276" s="70">
        <v>0</v>
      </c>
      <c r="AU2276" s="62" t="s">
        <v>198</v>
      </c>
      <c r="AV2276" s="62"/>
      <c r="AW2276" s="61" t="s">
        <v>198</v>
      </c>
      <c r="AX2276" s="62" t="s">
        <v>545</v>
      </c>
      <c r="AY2276" s="66">
        <v>0</v>
      </c>
      <c r="AZ2276" s="66">
        <v>0</v>
      </c>
      <c r="BA2276" s="61" t="s">
        <v>1174</v>
      </c>
      <c r="BB2276" s="369" t="s">
        <v>5353</v>
      </c>
      <c r="BC2276" s="68">
        <v>0</v>
      </c>
      <c r="BD2276" s="68">
        <v>0</v>
      </c>
      <c r="BE2276" s="92" t="s">
        <v>5354</v>
      </c>
      <c r="BF2276" s="92" t="s">
        <v>5355</v>
      </c>
      <c r="BG2276" s="62">
        <v>0</v>
      </c>
      <c r="BH2276" s="62">
        <v>0</v>
      </c>
      <c r="BI2276" s="62">
        <v>0</v>
      </c>
      <c r="BJ2276" s="62">
        <v>0</v>
      </c>
      <c r="BK2276" s="62">
        <v>0</v>
      </c>
      <c r="BL2276" s="62">
        <v>0</v>
      </c>
      <c r="BM2276" s="95">
        <v>0</v>
      </c>
      <c r="BN2276" s="70">
        <v>0</v>
      </c>
      <c r="BO2276" s="70">
        <v>0</v>
      </c>
      <c r="BP2276" s="70">
        <v>0</v>
      </c>
      <c r="BQ2276" s="70">
        <v>0</v>
      </c>
      <c r="BR2276" s="70">
        <v>0</v>
      </c>
      <c r="BS2276" s="70">
        <v>0</v>
      </c>
      <c r="BT2276" s="70">
        <v>0</v>
      </c>
      <c r="BU2276" s="49">
        <v>0</v>
      </c>
      <c r="BV2276" s="49"/>
      <c r="BW2276" s="49"/>
    </row>
    <row r="2277" spans="1:75" ht="20.100000000000001" customHeight="1">
      <c r="A2277" s="140"/>
      <c r="B2277" s="140"/>
      <c r="C2277" s="66">
        <v>77005004</v>
      </c>
      <c r="D2277" s="61" t="s">
        <v>2184</v>
      </c>
      <c r="E2277" s="149" t="s">
        <v>2185</v>
      </c>
      <c r="F2277" s="95">
        <v>1</v>
      </c>
      <c r="G2277" s="62">
        <v>63021101</v>
      </c>
      <c r="H2277" s="66">
        <v>0</v>
      </c>
      <c r="I2277" s="68">
        <v>0</v>
      </c>
      <c r="J2277" s="66">
        <v>1</v>
      </c>
      <c r="K2277" s="62">
        <v>0</v>
      </c>
      <c r="L2277" s="66">
        <v>0</v>
      </c>
      <c r="M2277" s="62">
        <v>0</v>
      </c>
      <c r="N2277" s="62">
        <v>0</v>
      </c>
      <c r="O2277" s="62">
        <v>2</v>
      </c>
      <c r="P2277" s="62">
        <v>1</v>
      </c>
      <c r="Q2277" s="62">
        <v>0.2</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1000</v>
      </c>
      <c r="AR2277" s="62">
        <v>0.2</v>
      </c>
      <c r="AS2277" s="62">
        <v>0</v>
      </c>
      <c r="AT2277" s="70">
        <v>0</v>
      </c>
      <c r="AU2277" s="348" t="s">
        <v>5349</v>
      </c>
      <c r="AV2277" s="81"/>
      <c r="AW2277" s="65" t="s">
        <v>198</v>
      </c>
      <c r="AX2277" s="62" t="s">
        <v>545</v>
      </c>
      <c r="AY2277" s="66">
        <v>10000001</v>
      </c>
      <c r="AZ2277" s="66">
        <v>77005002</v>
      </c>
      <c r="BA2277" s="61" t="s">
        <v>200</v>
      </c>
      <c r="BB2277" s="62">
        <v>0</v>
      </c>
      <c r="BC2277" s="68">
        <v>0</v>
      </c>
      <c r="BD2277" s="68">
        <v>0</v>
      </c>
      <c r="BE2277" s="92" t="s">
        <v>2186</v>
      </c>
      <c r="BF2277" s="92" t="s">
        <v>2187</v>
      </c>
      <c r="BG2277" s="62">
        <v>0</v>
      </c>
      <c r="BH2277" s="62">
        <v>0</v>
      </c>
      <c r="BI2277" s="62">
        <v>0</v>
      </c>
      <c r="BJ2277" s="62">
        <v>0</v>
      </c>
      <c r="BK2277" s="62">
        <v>0</v>
      </c>
      <c r="BL2277" s="62">
        <v>0</v>
      </c>
      <c r="BM2277" s="95">
        <v>0</v>
      </c>
      <c r="BN2277" s="70">
        <v>0</v>
      </c>
      <c r="BO2277" s="70">
        <v>0</v>
      </c>
      <c r="BP2277" s="70">
        <v>0</v>
      </c>
      <c r="BQ2277" s="70">
        <v>0</v>
      </c>
      <c r="BR2277" s="70">
        <v>0</v>
      </c>
      <c r="BS2277" s="70">
        <v>0</v>
      </c>
      <c r="BT2277" s="70">
        <v>0</v>
      </c>
      <c r="BU2277" s="49">
        <v>0</v>
      </c>
      <c r="BV2277" s="49"/>
      <c r="BW2277" s="49"/>
    </row>
    <row r="2278" spans="1:75" s="1" customFormat="1" ht="20.100000000000001" customHeight="1">
      <c r="C2278" s="66">
        <v>77005005</v>
      </c>
      <c r="D2278" s="61" t="s">
        <v>760</v>
      </c>
      <c r="E2278" s="149" t="s">
        <v>761</v>
      </c>
      <c r="F2278" s="95">
        <v>1</v>
      </c>
      <c r="G2278" s="95">
        <v>0</v>
      </c>
      <c r="H2278" s="62">
        <v>0</v>
      </c>
      <c r="I2278" s="68">
        <v>0</v>
      </c>
      <c r="J2278" s="66">
        <v>1</v>
      </c>
      <c r="K2278" s="66">
        <v>0</v>
      </c>
      <c r="L2278" s="66">
        <v>0</v>
      </c>
      <c r="M2278" s="62">
        <v>0</v>
      </c>
      <c r="N2278" s="62">
        <v>0</v>
      </c>
      <c r="O2278" s="62">
        <v>2</v>
      </c>
      <c r="P2278" s="62">
        <v>16</v>
      </c>
      <c r="Q2278" s="62">
        <v>8</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2190</v>
      </c>
      <c r="BF2278" s="92" t="s">
        <v>2191</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77005006</v>
      </c>
      <c r="BU2278" s="70">
        <v>0</v>
      </c>
      <c r="BV2278" s="49"/>
      <c r="BW2278" s="49"/>
    </row>
    <row r="2279" spans="1:75" ht="20.100000000000001" customHeight="1">
      <c r="A2279" s="140"/>
      <c r="B2279" s="140"/>
      <c r="C2279" s="66">
        <v>77005006</v>
      </c>
      <c r="D2279" s="61" t="s">
        <v>2184</v>
      </c>
      <c r="E2279" s="149" t="s">
        <v>2185</v>
      </c>
      <c r="F2279" s="95">
        <v>1</v>
      </c>
      <c r="G2279" s="62">
        <v>63021101</v>
      </c>
      <c r="H2279" s="66">
        <v>0</v>
      </c>
      <c r="I2279" s="68">
        <v>0</v>
      </c>
      <c r="J2279" s="66">
        <v>1</v>
      </c>
      <c r="K2279" s="62">
        <v>0</v>
      </c>
      <c r="L2279" s="66">
        <v>0</v>
      </c>
      <c r="M2279" s="62">
        <v>0</v>
      </c>
      <c r="N2279" s="62">
        <v>0</v>
      </c>
      <c r="O2279" s="62">
        <v>2</v>
      </c>
      <c r="P2279" s="62">
        <v>16</v>
      </c>
      <c r="Q2279" s="62">
        <v>1</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8" t="s">
        <v>5349</v>
      </c>
      <c r="AV2279" s="81"/>
      <c r="AW2279" s="65" t="s">
        <v>198</v>
      </c>
      <c r="AX2279" s="62" t="s">
        <v>545</v>
      </c>
      <c r="AY2279" s="66">
        <v>10000001</v>
      </c>
      <c r="AZ2279" s="66">
        <v>77005002</v>
      </c>
      <c r="BA2279" s="61" t="s">
        <v>200</v>
      </c>
      <c r="BB2279" s="62">
        <v>0</v>
      </c>
      <c r="BC2279" s="68">
        <v>0</v>
      </c>
      <c r="BD2279" s="68">
        <v>0</v>
      </c>
      <c r="BE2279" s="92" t="s">
        <v>2186</v>
      </c>
      <c r="BF2279" s="92" t="s">
        <v>2187</v>
      </c>
      <c r="BG2279" s="62">
        <v>0</v>
      </c>
      <c r="BH2279" s="62">
        <v>0</v>
      </c>
      <c r="BI2279" s="62">
        <v>0</v>
      </c>
      <c r="BJ2279" s="62">
        <v>0</v>
      </c>
      <c r="BK2279" s="62">
        <v>0</v>
      </c>
      <c r="BL2279" s="62">
        <v>0</v>
      </c>
      <c r="BM2279" s="95">
        <v>0</v>
      </c>
      <c r="BN2279" s="70">
        <v>0</v>
      </c>
      <c r="BO2279" s="70">
        <v>0</v>
      </c>
      <c r="BP2279" s="70">
        <v>0</v>
      </c>
      <c r="BQ2279" s="70">
        <v>0</v>
      </c>
      <c r="BR2279" s="70">
        <v>0</v>
      </c>
      <c r="BS2279" s="70">
        <v>0</v>
      </c>
      <c r="BT2279" s="70">
        <v>77005007</v>
      </c>
      <c r="BU2279" s="49">
        <v>0</v>
      </c>
      <c r="BV2279" s="49"/>
      <c r="BW2279" s="49"/>
    </row>
    <row r="2280" spans="1:75" s="1" customFormat="1" ht="20.100000000000001" customHeight="1">
      <c r="C2280" s="66">
        <v>77005007</v>
      </c>
      <c r="D2280" s="61" t="s">
        <v>760</v>
      </c>
      <c r="E2280" s="149" t="s">
        <v>761</v>
      </c>
      <c r="F2280" s="95">
        <v>1</v>
      </c>
      <c r="G2280" s="95">
        <v>0</v>
      </c>
      <c r="H2280" s="62">
        <v>0</v>
      </c>
      <c r="I2280" s="68">
        <v>0</v>
      </c>
      <c r="J2280" s="66">
        <v>1</v>
      </c>
      <c r="K2280" s="66">
        <v>0</v>
      </c>
      <c r="L2280" s="66">
        <v>0</v>
      </c>
      <c r="M2280" s="62">
        <v>0</v>
      </c>
      <c r="N2280" s="62">
        <v>0</v>
      </c>
      <c r="O2280" s="62">
        <v>2</v>
      </c>
      <c r="P2280" s="62">
        <v>16</v>
      </c>
      <c r="Q2280" s="62">
        <v>1</v>
      </c>
      <c r="R2280" s="62">
        <v>0</v>
      </c>
      <c r="S2280" s="70">
        <v>0</v>
      </c>
      <c r="T2280" s="62">
        <v>0</v>
      </c>
      <c r="U2280" s="62">
        <v>1</v>
      </c>
      <c r="V2280" s="95">
        <v>1</v>
      </c>
      <c r="W2280" s="62">
        <v>0</v>
      </c>
      <c r="X2280" s="62">
        <v>0</v>
      </c>
      <c r="Y2280" s="13">
        <v>0</v>
      </c>
      <c r="Z2280" s="62">
        <v>0</v>
      </c>
      <c r="AA2280" s="62">
        <v>1</v>
      </c>
      <c r="AB2280" s="62">
        <v>0</v>
      </c>
      <c r="AC2280" s="62">
        <v>0</v>
      </c>
      <c r="AD2280" s="62">
        <v>0</v>
      </c>
      <c r="AE2280" s="62">
        <v>1</v>
      </c>
      <c r="AF2280" s="62">
        <v>12</v>
      </c>
      <c r="AG2280" s="62">
        <v>2</v>
      </c>
      <c r="AH2280" s="62" t="s">
        <v>213</v>
      </c>
      <c r="AI2280" s="70">
        <v>0</v>
      </c>
      <c r="AJ2280" s="70">
        <v>2</v>
      </c>
      <c r="AK2280" s="70">
        <v>0</v>
      </c>
      <c r="AL2280" s="70">
        <v>1.5</v>
      </c>
      <c r="AM2280" s="62">
        <v>0</v>
      </c>
      <c r="AN2280" s="62">
        <v>0</v>
      </c>
      <c r="AO2280" s="62">
        <v>0</v>
      </c>
      <c r="AP2280" s="62">
        <v>0.5</v>
      </c>
      <c r="AQ2280" s="62">
        <v>600</v>
      </c>
      <c r="AR2280" s="62">
        <v>0</v>
      </c>
      <c r="AS2280" s="62">
        <v>12</v>
      </c>
      <c r="AT2280" s="70">
        <v>0</v>
      </c>
      <c r="AU2280" s="81">
        <v>0</v>
      </c>
      <c r="AV2280" s="81"/>
      <c r="AW2280" s="61" t="s">
        <v>199</v>
      </c>
      <c r="AX2280" s="62" t="s">
        <v>215</v>
      </c>
      <c r="AY2280" s="66">
        <v>10000011</v>
      </c>
      <c r="AZ2280" s="66">
        <v>0</v>
      </c>
      <c r="BA2280" s="61" t="s">
        <v>216</v>
      </c>
      <c r="BB2280" s="62">
        <v>0</v>
      </c>
      <c r="BC2280" s="68">
        <v>0</v>
      </c>
      <c r="BD2280" s="68">
        <v>0</v>
      </c>
      <c r="BE2280" s="92" t="s">
        <v>2190</v>
      </c>
      <c r="BF2280" s="92" t="s">
        <v>2191</v>
      </c>
      <c r="BG2280" s="62">
        <v>0</v>
      </c>
      <c r="BH2280" s="62">
        <v>0</v>
      </c>
      <c r="BI2280" s="62">
        <v>0</v>
      </c>
      <c r="BJ2280" s="62">
        <v>0</v>
      </c>
      <c r="BK2280" s="62">
        <v>0</v>
      </c>
      <c r="BL2280" s="62">
        <v>0</v>
      </c>
      <c r="BM2280" s="95">
        <v>0</v>
      </c>
      <c r="BN2280" s="70">
        <v>0</v>
      </c>
      <c r="BO2280" s="70">
        <v>0</v>
      </c>
      <c r="BP2280" s="70">
        <v>0</v>
      </c>
      <c r="BQ2280" s="70">
        <v>0</v>
      </c>
      <c r="BR2280" s="70">
        <v>0</v>
      </c>
      <c r="BS2280" s="70">
        <v>1</v>
      </c>
      <c r="BT2280" s="70">
        <v>77005008</v>
      </c>
      <c r="BU2280" s="70">
        <v>0</v>
      </c>
      <c r="BV2280" s="49"/>
      <c r="BW2280" s="49"/>
    </row>
    <row r="2281" spans="1:75" ht="20.100000000000001" customHeight="1">
      <c r="A2281" s="140"/>
      <c r="B2281" s="140"/>
      <c r="C2281" s="66">
        <v>77005008</v>
      </c>
      <c r="D2281" s="61" t="s">
        <v>2184</v>
      </c>
      <c r="E2281" s="149" t="s">
        <v>2185</v>
      </c>
      <c r="F2281" s="95">
        <v>1</v>
      </c>
      <c r="G2281" s="62">
        <v>63021101</v>
      </c>
      <c r="H2281" s="66">
        <v>0</v>
      </c>
      <c r="I2281" s="68">
        <v>0</v>
      </c>
      <c r="J2281" s="66">
        <v>1</v>
      </c>
      <c r="K2281" s="62">
        <v>0</v>
      </c>
      <c r="L2281" s="66">
        <v>0</v>
      </c>
      <c r="M2281" s="62">
        <v>0</v>
      </c>
      <c r="N2281" s="62">
        <v>0</v>
      </c>
      <c r="O2281" s="62">
        <v>2</v>
      </c>
      <c r="P2281" s="62">
        <v>16</v>
      </c>
      <c r="Q2281" s="62">
        <v>4</v>
      </c>
      <c r="R2281" s="62">
        <v>0</v>
      </c>
      <c r="S2281" s="70">
        <v>0</v>
      </c>
      <c r="T2281" s="62">
        <v>0</v>
      </c>
      <c r="U2281" s="62">
        <v>1</v>
      </c>
      <c r="V2281" s="62">
        <v>1</v>
      </c>
      <c r="W2281" s="62">
        <v>0</v>
      </c>
      <c r="X2281" s="62">
        <v>2</v>
      </c>
      <c r="Y2281" s="13">
        <v>0</v>
      </c>
      <c r="Z2281" s="62">
        <v>0</v>
      </c>
      <c r="AA2281" s="62">
        <v>0</v>
      </c>
      <c r="AB2281" s="62">
        <v>0</v>
      </c>
      <c r="AC2281" s="62">
        <v>0</v>
      </c>
      <c r="AD2281" s="62">
        <v>0</v>
      </c>
      <c r="AE2281" s="62">
        <v>0</v>
      </c>
      <c r="AF2281" s="62">
        <v>0</v>
      </c>
      <c r="AG2281" s="62">
        <v>1</v>
      </c>
      <c r="AH2281" s="62">
        <v>5</v>
      </c>
      <c r="AI2281" s="70">
        <v>0</v>
      </c>
      <c r="AJ2281" s="70">
        <v>1</v>
      </c>
      <c r="AK2281" s="70">
        <v>0</v>
      </c>
      <c r="AL2281" s="70">
        <v>2</v>
      </c>
      <c r="AM2281" s="62">
        <v>0</v>
      </c>
      <c r="AN2281" s="62">
        <v>0</v>
      </c>
      <c r="AO2281" s="62">
        <v>0</v>
      </c>
      <c r="AP2281" s="62">
        <v>0</v>
      </c>
      <c r="AQ2281" s="62">
        <v>400</v>
      </c>
      <c r="AR2281" s="62">
        <v>0.2</v>
      </c>
      <c r="AS2281" s="62">
        <v>0</v>
      </c>
      <c r="AT2281" s="70">
        <v>0</v>
      </c>
      <c r="AU2281" s="348" t="s">
        <v>5349</v>
      </c>
      <c r="AV2281" s="81"/>
      <c r="AW2281" s="65" t="s">
        <v>198</v>
      </c>
      <c r="AX2281" s="62" t="s">
        <v>545</v>
      </c>
      <c r="AY2281" s="66">
        <v>10000001</v>
      </c>
      <c r="AZ2281" s="66">
        <v>77005002</v>
      </c>
      <c r="BA2281" s="61" t="s">
        <v>200</v>
      </c>
      <c r="BB2281" s="62">
        <v>0</v>
      </c>
      <c r="BC2281" s="68">
        <v>0</v>
      </c>
      <c r="BD2281" s="68">
        <v>0</v>
      </c>
      <c r="BE2281" s="92" t="s">
        <v>2186</v>
      </c>
      <c r="BF2281" s="92" t="s">
        <v>2187</v>
      </c>
      <c r="BG2281" s="62">
        <v>0</v>
      </c>
      <c r="BH2281" s="62">
        <v>0</v>
      </c>
      <c r="BI2281" s="62">
        <v>0</v>
      </c>
      <c r="BJ2281" s="62">
        <v>0</v>
      </c>
      <c r="BK2281" s="62">
        <v>0</v>
      </c>
      <c r="BL2281" s="62">
        <v>0</v>
      </c>
      <c r="BM2281" s="95">
        <v>0</v>
      </c>
      <c r="BN2281" s="70">
        <v>0</v>
      </c>
      <c r="BO2281" s="70">
        <v>0</v>
      </c>
      <c r="BP2281" s="70">
        <v>0</v>
      </c>
      <c r="BQ2281" s="70">
        <v>0</v>
      </c>
      <c r="BR2281" s="70">
        <v>0</v>
      </c>
      <c r="BS2281" s="70">
        <v>0</v>
      </c>
      <c r="BT2281" s="70">
        <v>77005009</v>
      </c>
      <c r="BU2281" s="49">
        <v>0</v>
      </c>
      <c r="BV2281" s="49"/>
      <c r="BW2281" s="49"/>
    </row>
    <row r="2282" spans="1:75" s="1" customFormat="1" ht="20.100000000000001" customHeight="1">
      <c r="C2282" s="66">
        <v>77005009</v>
      </c>
      <c r="D2282" s="61" t="s">
        <v>760</v>
      </c>
      <c r="E2282" s="149" t="s">
        <v>761</v>
      </c>
      <c r="F2282" s="95">
        <v>1</v>
      </c>
      <c r="G2282" s="95">
        <v>0</v>
      </c>
      <c r="H2282" s="62">
        <v>0</v>
      </c>
      <c r="I2282" s="68">
        <v>0</v>
      </c>
      <c r="J2282" s="66">
        <v>1</v>
      </c>
      <c r="K2282" s="66">
        <v>0</v>
      </c>
      <c r="L2282" s="66">
        <v>0</v>
      </c>
      <c r="M2282" s="62">
        <v>0</v>
      </c>
      <c r="N2282" s="62">
        <v>0</v>
      </c>
      <c r="O2282" s="62">
        <v>2</v>
      </c>
      <c r="P2282" s="62">
        <v>16</v>
      </c>
      <c r="Q2282" s="62">
        <v>1</v>
      </c>
      <c r="R2282" s="62">
        <v>0</v>
      </c>
      <c r="S2282" s="70">
        <v>0</v>
      </c>
      <c r="T2282" s="62">
        <v>0</v>
      </c>
      <c r="U2282" s="62">
        <v>1</v>
      </c>
      <c r="V2282" s="95">
        <v>1</v>
      </c>
      <c r="W2282" s="62">
        <v>0</v>
      </c>
      <c r="X2282" s="62">
        <v>0</v>
      </c>
      <c r="Y2282" s="13">
        <v>0</v>
      </c>
      <c r="Z2282" s="62">
        <v>0</v>
      </c>
      <c r="AA2282" s="62">
        <v>1</v>
      </c>
      <c r="AB2282" s="62">
        <v>0</v>
      </c>
      <c r="AC2282" s="62">
        <v>0</v>
      </c>
      <c r="AD2282" s="62">
        <v>0</v>
      </c>
      <c r="AE2282" s="62">
        <v>1</v>
      </c>
      <c r="AF2282" s="62">
        <v>12</v>
      </c>
      <c r="AG2282" s="62">
        <v>2</v>
      </c>
      <c r="AH2282" s="62" t="s">
        <v>213</v>
      </c>
      <c r="AI2282" s="70">
        <v>0</v>
      </c>
      <c r="AJ2282" s="70">
        <v>2</v>
      </c>
      <c r="AK2282" s="70">
        <v>0</v>
      </c>
      <c r="AL2282" s="70">
        <v>1.5</v>
      </c>
      <c r="AM2282" s="62">
        <v>0</v>
      </c>
      <c r="AN2282" s="62">
        <v>0</v>
      </c>
      <c r="AO2282" s="62">
        <v>0</v>
      </c>
      <c r="AP2282" s="62">
        <v>0.5</v>
      </c>
      <c r="AQ2282" s="62">
        <v>600</v>
      </c>
      <c r="AR2282" s="62">
        <v>0</v>
      </c>
      <c r="AS2282" s="62">
        <v>12</v>
      </c>
      <c r="AT2282" s="70">
        <v>0</v>
      </c>
      <c r="AU2282" s="81">
        <v>0</v>
      </c>
      <c r="AV2282" s="81"/>
      <c r="AW2282" s="61" t="s">
        <v>199</v>
      </c>
      <c r="AX2282" s="62" t="s">
        <v>215</v>
      </c>
      <c r="AY2282" s="66">
        <v>10000011</v>
      </c>
      <c r="AZ2282" s="66">
        <v>0</v>
      </c>
      <c r="BA2282" s="61" t="s">
        <v>216</v>
      </c>
      <c r="BB2282" s="62">
        <v>0</v>
      </c>
      <c r="BC2282" s="68">
        <v>0</v>
      </c>
      <c r="BD2282" s="68">
        <v>0</v>
      </c>
      <c r="BE2282" s="92" t="s">
        <v>2190</v>
      </c>
      <c r="BF2282" s="92" t="s">
        <v>2191</v>
      </c>
      <c r="BG2282" s="62">
        <v>0</v>
      </c>
      <c r="BH2282" s="62">
        <v>0</v>
      </c>
      <c r="BI2282" s="62">
        <v>0</v>
      </c>
      <c r="BJ2282" s="62">
        <v>0</v>
      </c>
      <c r="BK2282" s="62">
        <v>0</v>
      </c>
      <c r="BL2282" s="62">
        <v>0</v>
      </c>
      <c r="BM2282" s="95">
        <v>0</v>
      </c>
      <c r="BN2282" s="70">
        <v>0</v>
      </c>
      <c r="BO2282" s="70">
        <v>0</v>
      </c>
      <c r="BP2282" s="70">
        <v>0</v>
      </c>
      <c r="BQ2282" s="70">
        <v>0</v>
      </c>
      <c r="BR2282" s="70">
        <v>0</v>
      </c>
      <c r="BS2282" s="70">
        <v>1</v>
      </c>
      <c r="BT2282" s="70">
        <v>77005010</v>
      </c>
      <c r="BU2282" s="70">
        <v>0</v>
      </c>
      <c r="BV2282" s="49"/>
      <c r="BW2282" s="49"/>
    </row>
    <row r="2283" spans="1:75" ht="20.100000000000001" customHeight="1">
      <c r="A2283" s="140"/>
      <c r="B2283" s="140"/>
      <c r="C2283" s="66">
        <v>77005010</v>
      </c>
      <c r="D2283" s="61" t="s">
        <v>2184</v>
      </c>
      <c r="E2283" s="149" t="s">
        <v>2185</v>
      </c>
      <c r="F2283" s="95">
        <v>1</v>
      </c>
      <c r="G2283" s="62">
        <v>63021101</v>
      </c>
      <c r="H2283" s="66">
        <v>0</v>
      </c>
      <c r="I2283" s="68">
        <v>0</v>
      </c>
      <c r="J2283" s="66">
        <v>1</v>
      </c>
      <c r="K2283" s="62">
        <v>0</v>
      </c>
      <c r="L2283" s="66">
        <v>0</v>
      </c>
      <c r="M2283" s="62">
        <v>0</v>
      </c>
      <c r="N2283" s="62">
        <v>0</v>
      </c>
      <c r="O2283" s="62">
        <v>2</v>
      </c>
      <c r="P2283" s="62">
        <v>16</v>
      </c>
      <c r="Q2283" s="62">
        <v>4</v>
      </c>
      <c r="R2283" s="62">
        <v>0</v>
      </c>
      <c r="S2283" s="70">
        <v>0</v>
      </c>
      <c r="T2283" s="62">
        <v>0</v>
      </c>
      <c r="U2283" s="62">
        <v>1</v>
      </c>
      <c r="V2283" s="62">
        <v>1</v>
      </c>
      <c r="W2283" s="62">
        <v>0</v>
      </c>
      <c r="X2283" s="62">
        <v>2</v>
      </c>
      <c r="Y2283" s="13">
        <v>0</v>
      </c>
      <c r="Z2283" s="62">
        <v>0</v>
      </c>
      <c r="AA2283" s="62">
        <v>0</v>
      </c>
      <c r="AB2283" s="62">
        <v>0</v>
      </c>
      <c r="AC2283" s="62">
        <v>0</v>
      </c>
      <c r="AD2283" s="62">
        <v>0</v>
      </c>
      <c r="AE2283" s="62">
        <v>0</v>
      </c>
      <c r="AF2283" s="62">
        <v>0</v>
      </c>
      <c r="AG2283" s="62">
        <v>1</v>
      </c>
      <c r="AH2283" s="62">
        <v>5</v>
      </c>
      <c r="AI2283" s="70">
        <v>0</v>
      </c>
      <c r="AJ2283" s="70">
        <v>1</v>
      </c>
      <c r="AK2283" s="70">
        <v>0</v>
      </c>
      <c r="AL2283" s="70">
        <v>2</v>
      </c>
      <c r="AM2283" s="62">
        <v>0</v>
      </c>
      <c r="AN2283" s="62">
        <v>0</v>
      </c>
      <c r="AO2283" s="62">
        <v>0</v>
      </c>
      <c r="AP2283" s="62">
        <v>0</v>
      </c>
      <c r="AQ2283" s="62">
        <v>400</v>
      </c>
      <c r="AR2283" s="62">
        <v>0.2</v>
      </c>
      <c r="AS2283" s="62">
        <v>0</v>
      </c>
      <c r="AT2283" s="70">
        <v>0</v>
      </c>
      <c r="AU2283" s="348" t="s">
        <v>5349</v>
      </c>
      <c r="AV2283" s="81"/>
      <c r="AW2283" s="65" t="s">
        <v>198</v>
      </c>
      <c r="AX2283" s="62" t="s">
        <v>545</v>
      </c>
      <c r="AY2283" s="66">
        <v>10000001</v>
      </c>
      <c r="AZ2283" s="66">
        <v>77005002</v>
      </c>
      <c r="BA2283" s="61" t="s">
        <v>200</v>
      </c>
      <c r="BB2283" s="62">
        <v>0</v>
      </c>
      <c r="BC2283" s="68">
        <v>0</v>
      </c>
      <c r="BD2283" s="68">
        <v>0</v>
      </c>
      <c r="BE2283" s="92" t="s">
        <v>2186</v>
      </c>
      <c r="BF2283" s="92" t="s">
        <v>2187</v>
      </c>
      <c r="BG2283" s="62">
        <v>0</v>
      </c>
      <c r="BH2283" s="62">
        <v>0</v>
      </c>
      <c r="BI2283" s="62">
        <v>0</v>
      </c>
      <c r="BJ2283" s="62">
        <v>0</v>
      </c>
      <c r="BK2283" s="62">
        <v>0</v>
      </c>
      <c r="BL2283" s="62">
        <v>0</v>
      </c>
      <c r="BM2283" s="95">
        <v>0</v>
      </c>
      <c r="BN2283" s="70">
        <v>0</v>
      </c>
      <c r="BO2283" s="70">
        <v>0</v>
      </c>
      <c r="BP2283" s="70">
        <v>0</v>
      </c>
      <c r="BQ2283" s="70">
        <v>0</v>
      </c>
      <c r="BR2283" s="70">
        <v>0</v>
      </c>
      <c r="BS2283" s="70">
        <v>0</v>
      </c>
      <c r="BT2283" s="70">
        <v>0</v>
      </c>
      <c r="BU2283" s="49">
        <v>0</v>
      </c>
      <c r="BV2283" s="49"/>
      <c r="BW2283" s="49"/>
    </row>
    <row r="2284" spans="1:75" ht="19.5" customHeight="1">
      <c r="A2284" s="140"/>
      <c r="B2284" s="140"/>
      <c r="C2284" s="102">
        <v>77006001</v>
      </c>
      <c r="D2284" s="101" t="s">
        <v>5356</v>
      </c>
      <c r="E2284" s="101" t="s">
        <v>5357</v>
      </c>
      <c r="F2284" s="103">
        <v>1</v>
      </c>
      <c r="G2284" s="103">
        <v>63021101</v>
      </c>
      <c r="H2284" s="103">
        <v>0</v>
      </c>
      <c r="I2284" s="107">
        <v>0</v>
      </c>
      <c r="J2284" s="102">
        <v>1</v>
      </c>
      <c r="K2284" s="103">
        <v>0</v>
      </c>
      <c r="L2284" s="103">
        <v>0</v>
      </c>
      <c r="M2284" s="103">
        <v>0</v>
      </c>
      <c r="N2284" s="103">
        <v>0</v>
      </c>
      <c r="O2284" s="103">
        <v>1</v>
      </c>
      <c r="P2284" s="103">
        <v>0</v>
      </c>
      <c r="Q2284" s="103">
        <v>0</v>
      </c>
      <c r="R2284" s="103">
        <v>0</v>
      </c>
      <c r="S2284" s="108">
        <v>0</v>
      </c>
      <c r="T2284" s="103">
        <v>0</v>
      </c>
      <c r="U2284" s="103">
        <v>1</v>
      </c>
      <c r="V2284" s="103">
        <v>1</v>
      </c>
      <c r="W2284" s="103">
        <v>0</v>
      </c>
      <c r="X2284" s="103">
        <v>1</v>
      </c>
      <c r="Y2284" s="13">
        <v>0</v>
      </c>
      <c r="Z2284" s="103">
        <v>0</v>
      </c>
      <c r="AA2284" s="103">
        <v>0</v>
      </c>
      <c r="AB2284" s="103">
        <v>0</v>
      </c>
      <c r="AC2284" s="103">
        <v>0</v>
      </c>
      <c r="AD2284" s="103">
        <v>0</v>
      </c>
      <c r="AE2284" s="103">
        <v>0</v>
      </c>
      <c r="AF2284" s="103">
        <v>16</v>
      </c>
      <c r="AG2284" s="103">
        <v>1</v>
      </c>
      <c r="AH2284" s="116">
        <v>2</v>
      </c>
      <c r="AI2284" s="108">
        <v>2</v>
      </c>
      <c r="AJ2284" s="108">
        <v>2</v>
      </c>
      <c r="AK2284" s="108">
        <v>0</v>
      </c>
      <c r="AL2284" s="108">
        <v>3</v>
      </c>
      <c r="AM2284" s="103">
        <v>0</v>
      </c>
      <c r="AN2284" s="103">
        <v>0</v>
      </c>
      <c r="AO2284" s="103">
        <v>0</v>
      </c>
      <c r="AP2284" s="103">
        <v>0.2</v>
      </c>
      <c r="AQ2284" s="103">
        <v>2000</v>
      </c>
      <c r="AR2284" s="103">
        <v>0.2</v>
      </c>
      <c r="AS2284" s="103">
        <v>5</v>
      </c>
      <c r="AT2284" s="108">
        <v>0</v>
      </c>
      <c r="AU2284" s="354" t="s">
        <v>5346</v>
      </c>
      <c r="AV2284" s="103"/>
      <c r="AW2284" s="101" t="s">
        <v>198</v>
      </c>
      <c r="AX2284" s="103" t="s">
        <v>534</v>
      </c>
      <c r="AY2284" s="102">
        <v>10000001</v>
      </c>
      <c r="AZ2284" s="102">
        <v>77005003</v>
      </c>
      <c r="BA2284" s="101" t="s">
        <v>2199</v>
      </c>
      <c r="BB2284" s="103" t="s">
        <v>5358</v>
      </c>
      <c r="BC2284" s="108">
        <v>0</v>
      </c>
      <c r="BD2284" s="108">
        <v>0</v>
      </c>
      <c r="BE2284" s="139" t="s">
        <v>5359</v>
      </c>
      <c r="BF2284" s="139" t="s">
        <v>5360</v>
      </c>
      <c r="BG2284" s="103">
        <v>0</v>
      </c>
      <c r="BH2284" s="103">
        <v>0</v>
      </c>
      <c r="BI2284" s="103">
        <v>0</v>
      </c>
      <c r="BJ2284" s="103">
        <v>0</v>
      </c>
      <c r="BK2284" s="103">
        <v>0</v>
      </c>
      <c r="BL2284" s="103">
        <v>0</v>
      </c>
      <c r="BM2284" s="99">
        <v>0</v>
      </c>
      <c r="BN2284" s="108">
        <v>0</v>
      </c>
      <c r="BO2284" s="108">
        <v>0</v>
      </c>
      <c r="BP2284" s="108">
        <v>0</v>
      </c>
      <c r="BQ2284" s="108">
        <v>0</v>
      </c>
      <c r="BR2284" s="108">
        <v>0</v>
      </c>
      <c r="BS2284" s="108">
        <v>0</v>
      </c>
      <c r="BT2284" s="108">
        <v>0</v>
      </c>
      <c r="BU2284" s="49">
        <v>0</v>
      </c>
      <c r="BV2284" s="49"/>
      <c r="BW2284" s="49"/>
    </row>
    <row r="2285" spans="1:75" ht="20.100000000000001" customHeight="1">
      <c r="A2285" s="140"/>
      <c r="B2285" s="140"/>
      <c r="C2285" s="102">
        <v>77006002</v>
      </c>
      <c r="D2285" s="101" t="s">
        <v>5361</v>
      </c>
      <c r="E2285" s="310" t="s">
        <v>5362</v>
      </c>
      <c r="F2285" s="99">
        <v>1</v>
      </c>
      <c r="G2285" s="103">
        <v>63021101</v>
      </c>
      <c r="H2285" s="102">
        <v>0</v>
      </c>
      <c r="I2285" s="107">
        <v>0</v>
      </c>
      <c r="J2285" s="102">
        <v>1</v>
      </c>
      <c r="K2285" s="103">
        <v>0</v>
      </c>
      <c r="L2285" s="102">
        <v>0</v>
      </c>
      <c r="M2285" s="103">
        <v>0</v>
      </c>
      <c r="N2285" s="103">
        <v>0</v>
      </c>
      <c r="O2285" s="103">
        <v>1</v>
      </c>
      <c r="P2285" s="103">
        <v>0</v>
      </c>
      <c r="Q2285" s="103">
        <v>0</v>
      </c>
      <c r="R2285" s="103">
        <v>0</v>
      </c>
      <c r="S2285" s="108">
        <v>0</v>
      </c>
      <c r="T2285" s="103">
        <v>0</v>
      </c>
      <c r="U2285" s="103">
        <v>1</v>
      </c>
      <c r="V2285" s="103">
        <v>1</v>
      </c>
      <c r="W2285" s="103">
        <v>0</v>
      </c>
      <c r="X2285" s="103">
        <v>1.5</v>
      </c>
      <c r="Y2285" s="13">
        <v>0</v>
      </c>
      <c r="Z2285" s="103">
        <v>0</v>
      </c>
      <c r="AA2285" s="103">
        <v>0</v>
      </c>
      <c r="AB2285" s="103">
        <v>0</v>
      </c>
      <c r="AC2285" s="103">
        <v>0</v>
      </c>
      <c r="AD2285" s="103">
        <v>0</v>
      </c>
      <c r="AE2285" s="103">
        <v>0</v>
      </c>
      <c r="AF2285" s="103">
        <v>12</v>
      </c>
      <c r="AG2285" s="103">
        <v>1</v>
      </c>
      <c r="AH2285" s="103">
        <v>4</v>
      </c>
      <c r="AI2285" s="108">
        <v>2</v>
      </c>
      <c r="AJ2285" s="108">
        <v>1</v>
      </c>
      <c r="AK2285" s="108">
        <v>0</v>
      </c>
      <c r="AL2285" s="108">
        <v>7</v>
      </c>
      <c r="AM2285" s="103">
        <v>0</v>
      </c>
      <c r="AN2285" s="103">
        <v>0</v>
      </c>
      <c r="AO2285" s="103">
        <v>0</v>
      </c>
      <c r="AP2285" s="103">
        <v>0.2</v>
      </c>
      <c r="AQ2285" s="103">
        <v>2000</v>
      </c>
      <c r="AR2285" s="103">
        <v>0.4</v>
      </c>
      <c r="AS2285" s="103">
        <v>0</v>
      </c>
      <c r="AT2285" s="108">
        <v>0</v>
      </c>
      <c r="AU2285" s="116">
        <v>0</v>
      </c>
      <c r="AV2285" s="116"/>
      <c r="AW2285" s="104" t="s">
        <v>198</v>
      </c>
      <c r="AX2285" s="103" t="s">
        <v>545</v>
      </c>
      <c r="AY2285" s="102">
        <v>10000001</v>
      </c>
      <c r="AZ2285" s="102">
        <v>77005004</v>
      </c>
      <c r="BA2285" s="101" t="s">
        <v>200</v>
      </c>
      <c r="BB2285" s="103">
        <v>0</v>
      </c>
      <c r="BC2285" s="107">
        <v>0</v>
      </c>
      <c r="BD2285" s="107">
        <v>0</v>
      </c>
      <c r="BE2285" s="121" t="s">
        <v>5363</v>
      </c>
      <c r="BF2285" s="121" t="s">
        <v>5364</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389" t="s">
        <v>5365</v>
      </c>
      <c r="BV2285" s="49"/>
      <c r="BW2285" s="49"/>
    </row>
    <row r="2286" spans="1:75" ht="20.100000000000001" customHeight="1">
      <c r="A2286" s="140"/>
      <c r="B2286" s="140"/>
      <c r="C2286" s="102">
        <v>77006003</v>
      </c>
      <c r="D2286" s="101" t="s">
        <v>5366</v>
      </c>
      <c r="E2286" s="310" t="s">
        <v>5367</v>
      </c>
      <c r="F2286" s="99">
        <v>1</v>
      </c>
      <c r="G2286" s="103">
        <v>63021101</v>
      </c>
      <c r="H2286" s="102">
        <v>0</v>
      </c>
      <c r="I2286" s="107">
        <v>0</v>
      </c>
      <c r="J2286" s="102">
        <v>1</v>
      </c>
      <c r="K2286" s="103">
        <v>0</v>
      </c>
      <c r="L2286" s="102">
        <v>0</v>
      </c>
      <c r="M2286" s="103">
        <v>0</v>
      </c>
      <c r="N2286" s="103">
        <v>0</v>
      </c>
      <c r="O2286" s="103">
        <v>1</v>
      </c>
      <c r="P2286" s="103">
        <v>0</v>
      </c>
      <c r="Q2286" s="103">
        <v>0</v>
      </c>
      <c r="R2286" s="103">
        <v>0</v>
      </c>
      <c r="S2286" s="108">
        <v>0</v>
      </c>
      <c r="T2286" s="103">
        <v>0</v>
      </c>
      <c r="U2286" s="103">
        <v>1</v>
      </c>
      <c r="V2286" s="103">
        <v>1</v>
      </c>
      <c r="W2286" s="103">
        <v>0</v>
      </c>
      <c r="X2286" s="103">
        <v>1.2</v>
      </c>
      <c r="Y2286" s="13">
        <v>0</v>
      </c>
      <c r="Z2286" s="103">
        <v>0</v>
      </c>
      <c r="AA2286" s="103">
        <v>0</v>
      </c>
      <c r="AB2286" s="103">
        <v>0</v>
      </c>
      <c r="AC2286" s="103">
        <v>0</v>
      </c>
      <c r="AD2286" s="103">
        <v>0</v>
      </c>
      <c r="AE2286" s="103">
        <v>0</v>
      </c>
      <c r="AF2286" s="103">
        <v>10</v>
      </c>
      <c r="AG2286" s="103">
        <v>1</v>
      </c>
      <c r="AH2286" s="103">
        <v>2</v>
      </c>
      <c r="AI2286" s="108">
        <v>2</v>
      </c>
      <c r="AJ2286" s="108">
        <v>2</v>
      </c>
      <c r="AK2286" s="108">
        <v>0</v>
      </c>
      <c r="AL2286" s="108">
        <v>3</v>
      </c>
      <c r="AM2286" s="103">
        <v>0</v>
      </c>
      <c r="AN2286" s="103">
        <v>0</v>
      </c>
      <c r="AO2286" s="103">
        <v>0</v>
      </c>
      <c r="AP2286" s="102">
        <v>0.2</v>
      </c>
      <c r="AQ2286" s="103">
        <v>6000</v>
      </c>
      <c r="AR2286" s="103">
        <v>0.2</v>
      </c>
      <c r="AS2286" s="103">
        <v>8</v>
      </c>
      <c r="AT2286" s="108">
        <v>0</v>
      </c>
      <c r="AU2286" s="354" t="s">
        <v>5346</v>
      </c>
      <c r="AV2286" s="103"/>
      <c r="AW2286" s="101" t="s">
        <v>198</v>
      </c>
      <c r="AX2286" s="103" t="s">
        <v>545</v>
      </c>
      <c r="AY2286" s="102">
        <v>0</v>
      </c>
      <c r="AZ2286" s="102">
        <v>77005005</v>
      </c>
      <c r="BA2286" s="101" t="s">
        <v>2215</v>
      </c>
      <c r="BB2286" s="103" t="s">
        <v>5368</v>
      </c>
      <c r="BC2286" s="107">
        <v>0</v>
      </c>
      <c r="BD2286" s="107">
        <v>0</v>
      </c>
      <c r="BE2286" s="121" t="s">
        <v>5369</v>
      </c>
      <c r="BF2286" s="121" t="s">
        <v>5370</v>
      </c>
      <c r="BG2286" s="103">
        <v>0</v>
      </c>
      <c r="BH2286" s="103">
        <v>0</v>
      </c>
      <c r="BI2286" s="103">
        <v>0</v>
      </c>
      <c r="BJ2286" s="103">
        <v>0</v>
      </c>
      <c r="BK2286" s="103">
        <v>0</v>
      </c>
      <c r="BL2286" s="103">
        <v>0</v>
      </c>
      <c r="BM2286" s="99">
        <v>0</v>
      </c>
      <c r="BN2286" s="108">
        <v>0</v>
      </c>
      <c r="BO2286" s="108">
        <v>0</v>
      </c>
      <c r="BP2286" s="108">
        <v>1</v>
      </c>
      <c r="BQ2286" s="108">
        <v>1</v>
      </c>
      <c r="BR2286" s="108">
        <v>0</v>
      </c>
      <c r="BS2286" s="108">
        <v>0</v>
      </c>
      <c r="BT2286" s="108">
        <v>0</v>
      </c>
      <c r="BU2286" s="49">
        <v>0</v>
      </c>
      <c r="BV2286" s="49"/>
      <c r="BW2286" s="49"/>
    </row>
    <row r="2287" spans="1:75" ht="19.5" customHeight="1">
      <c r="A2287" s="140"/>
      <c r="B2287" s="140"/>
      <c r="C2287" s="102">
        <v>77006004</v>
      </c>
      <c r="D2287" s="101" t="s">
        <v>2222</v>
      </c>
      <c r="E2287" s="101" t="s">
        <v>2223</v>
      </c>
      <c r="F2287" s="102">
        <v>1</v>
      </c>
      <c r="G2287" s="102">
        <v>0</v>
      </c>
      <c r="H2287" s="102">
        <v>0</v>
      </c>
      <c r="I2287" s="107">
        <v>0</v>
      </c>
      <c r="J2287" s="102">
        <v>1</v>
      </c>
      <c r="K2287" s="102">
        <v>0</v>
      </c>
      <c r="L2287" s="102">
        <v>0</v>
      </c>
      <c r="M2287" s="103">
        <v>0</v>
      </c>
      <c r="N2287" s="103">
        <v>0</v>
      </c>
      <c r="O2287" s="103">
        <v>2</v>
      </c>
      <c r="P2287" s="103">
        <v>3</v>
      </c>
      <c r="Q2287" s="103">
        <v>0.2</v>
      </c>
      <c r="R2287" s="103">
        <v>0</v>
      </c>
      <c r="S2287" s="108">
        <v>0</v>
      </c>
      <c r="T2287" s="103">
        <v>0</v>
      </c>
      <c r="U2287" s="103">
        <v>1</v>
      </c>
      <c r="V2287" s="103">
        <v>2</v>
      </c>
      <c r="W2287" s="103">
        <v>0</v>
      </c>
      <c r="X2287" s="103">
        <v>1.5</v>
      </c>
      <c r="Y2287" s="13">
        <v>0</v>
      </c>
      <c r="Z2287" s="103">
        <v>0</v>
      </c>
      <c r="AA2287" s="103">
        <v>1</v>
      </c>
      <c r="AB2287" s="103">
        <v>0</v>
      </c>
      <c r="AC2287" s="103">
        <v>0</v>
      </c>
      <c r="AD2287" s="103">
        <v>1</v>
      </c>
      <c r="AE2287" s="103">
        <v>1</v>
      </c>
      <c r="AF2287" s="103">
        <v>0</v>
      </c>
      <c r="AG2287" s="103">
        <v>1</v>
      </c>
      <c r="AH2287" s="103">
        <v>3</v>
      </c>
      <c r="AI2287" s="108">
        <v>1</v>
      </c>
      <c r="AJ2287" s="108">
        <v>1</v>
      </c>
      <c r="AK2287" s="108">
        <v>0</v>
      </c>
      <c r="AL2287" s="108">
        <v>3</v>
      </c>
      <c r="AM2287" s="103">
        <v>0</v>
      </c>
      <c r="AN2287" s="103">
        <v>0</v>
      </c>
      <c r="AO2287" s="103">
        <v>0</v>
      </c>
      <c r="AP2287" s="103">
        <v>0</v>
      </c>
      <c r="AQ2287" s="103">
        <v>2000</v>
      </c>
      <c r="AR2287" s="103">
        <v>0.3</v>
      </c>
      <c r="AS2287" s="103">
        <v>0</v>
      </c>
      <c r="AT2287" s="108">
        <v>0</v>
      </c>
      <c r="AU2287" s="116">
        <v>0</v>
      </c>
      <c r="AV2287" s="116"/>
      <c r="AW2287" s="104" t="s">
        <v>198</v>
      </c>
      <c r="AX2287" s="103" t="s">
        <v>534</v>
      </c>
      <c r="AY2287" s="102">
        <v>0</v>
      </c>
      <c r="AZ2287" s="102">
        <v>77005004</v>
      </c>
      <c r="BA2287" s="101" t="s">
        <v>200</v>
      </c>
      <c r="BB2287" s="103">
        <v>0</v>
      </c>
      <c r="BC2287" s="107">
        <v>0</v>
      </c>
      <c r="BD2287" s="107">
        <v>0</v>
      </c>
      <c r="BE2287" s="121" t="s">
        <v>2224</v>
      </c>
      <c r="BF2287" s="121" t="s">
        <v>2225</v>
      </c>
      <c r="BG2287" s="103">
        <v>0</v>
      </c>
      <c r="BH2287" s="103">
        <v>0</v>
      </c>
      <c r="BI2287" s="103">
        <v>0</v>
      </c>
      <c r="BJ2287" s="103">
        <v>0</v>
      </c>
      <c r="BK2287" s="103">
        <v>0</v>
      </c>
      <c r="BL2287" s="103">
        <v>0</v>
      </c>
      <c r="BM2287" s="99">
        <v>0</v>
      </c>
      <c r="BN2287" s="108">
        <v>0</v>
      </c>
      <c r="BO2287" s="108">
        <v>0</v>
      </c>
      <c r="BP2287" s="108">
        <v>0</v>
      </c>
      <c r="BQ2287" s="108">
        <v>0</v>
      </c>
      <c r="BR2287" s="108">
        <v>0</v>
      </c>
      <c r="BS2287" s="108">
        <v>0</v>
      </c>
      <c r="BT2287" s="108">
        <v>0</v>
      </c>
      <c r="BU2287" s="108">
        <v>0</v>
      </c>
      <c r="BV2287" s="49"/>
      <c r="BW2287" s="49"/>
    </row>
    <row r="2288" spans="1:75" ht="19.5" customHeight="1">
      <c r="A2288" s="140"/>
      <c r="B2288" s="140"/>
      <c r="C2288" s="323">
        <v>77007001</v>
      </c>
      <c r="D2288" s="324" t="s">
        <v>5371</v>
      </c>
      <c r="E2288" s="324" t="s">
        <v>5372</v>
      </c>
      <c r="F2288" s="325">
        <v>1</v>
      </c>
      <c r="G2288" s="325">
        <v>63021101</v>
      </c>
      <c r="H2288" s="325">
        <v>0</v>
      </c>
      <c r="I2288" s="332">
        <v>0</v>
      </c>
      <c r="J2288" s="323">
        <v>1</v>
      </c>
      <c r="K2288" s="325">
        <v>0</v>
      </c>
      <c r="L2288" s="325">
        <v>0</v>
      </c>
      <c r="M2288" s="325">
        <v>0</v>
      </c>
      <c r="N2288" s="325">
        <v>0</v>
      </c>
      <c r="O2288" s="325">
        <v>1</v>
      </c>
      <c r="P2288" s="325">
        <v>0</v>
      </c>
      <c r="Q2288" s="325">
        <v>0</v>
      </c>
      <c r="R2288" s="325">
        <v>0</v>
      </c>
      <c r="S2288" s="49">
        <v>0</v>
      </c>
      <c r="T2288" s="325">
        <v>0</v>
      </c>
      <c r="U2288" s="325">
        <v>1</v>
      </c>
      <c r="V2288" s="325">
        <v>1</v>
      </c>
      <c r="W2288" s="325">
        <v>0</v>
      </c>
      <c r="X2288" s="325">
        <v>3</v>
      </c>
      <c r="Y2288" s="13">
        <v>0</v>
      </c>
      <c r="Z2288" s="325">
        <v>0</v>
      </c>
      <c r="AA2288" s="325">
        <v>0</v>
      </c>
      <c r="AB2288" s="325">
        <v>0</v>
      </c>
      <c r="AC2288" s="325">
        <v>0</v>
      </c>
      <c r="AD2288" s="325">
        <v>0</v>
      </c>
      <c r="AE2288" s="325">
        <v>0</v>
      </c>
      <c r="AF2288" s="325">
        <v>9</v>
      </c>
      <c r="AG2288" s="325">
        <v>1</v>
      </c>
      <c r="AH2288" s="336">
        <v>5</v>
      </c>
      <c r="AI2288" s="49">
        <v>2</v>
      </c>
      <c r="AJ2288" s="49">
        <v>1</v>
      </c>
      <c r="AK2288" s="49">
        <v>0</v>
      </c>
      <c r="AL2288" s="49">
        <v>8</v>
      </c>
      <c r="AM2288" s="325">
        <v>0</v>
      </c>
      <c r="AN2288" s="325">
        <v>0</v>
      </c>
      <c r="AO2288" s="325">
        <v>0</v>
      </c>
      <c r="AP2288" s="325">
        <v>0.2</v>
      </c>
      <c r="AQ2288" s="325">
        <v>1000</v>
      </c>
      <c r="AR2288" s="325">
        <v>0.2</v>
      </c>
      <c r="AS2288" s="325">
        <v>0</v>
      </c>
      <c r="AT2288" s="49">
        <v>0</v>
      </c>
      <c r="AU2288" s="390" t="s">
        <v>5373</v>
      </c>
      <c r="AV2288" s="325"/>
      <c r="AW2288" s="324" t="s">
        <v>198</v>
      </c>
      <c r="AX2288" s="325" t="s">
        <v>534</v>
      </c>
      <c r="AY2288" s="323">
        <v>10000001</v>
      </c>
      <c r="AZ2288" s="323">
        <v>77005101</v>
      </c>
      <c r="BA2288" s="324" t="s">
        <v>1369</v>
      </c>
      <c r="BB2288" s="325">
        <v>0</v>
      </c>
      <c r="BC2288" s="49">
        <v>0</v>
      </c>
      <c r="BD2288" s="49">
        <v>0</v>
      </c>
      <c r="BE2288" s="341" t="s">
        <v>5374</v>
      </c>
      <c r="BF2288" s="341" t="s">
        <v>5375</v>
      </c>
      <c r="BG2288" s="325">
        <v>0</v>
      </c>
      <c r="BH2288" s="325">
        <v>0</v>
      </c>
      <c r="BI2288" s="325">
        <v>0</v>
      </c>
      <c r="BJ2288" s="325">
        <v>0</v>
      </c>
      <c r="BK2288" s="325">
        <v>0</v>
      </c>
      <c r="BL2288" s="325">
        <v>0</v>
      </c>
      <c r="BM2288" s="327">
        <v>0</v>
      </c>
      <c r="BN2288" s="49">
        <v>0</v>
      </c>
      <c r="BO2288" s="49">
        <v>0</v>
      </c>
      <c r="BP2288" s="49">
        <v>0</v>
      </c>
      <c r="BQ2288" s="49">
        <v>0</v>
      </c>
      <c r="BR2288" s="49">
        <v>0</v>
      </c>
      <c r="BS2288" s="49">
        <v>0</v>
      </c>
      <c r="BT2288" s="49">
        <v>0</v>
      </c>
      <c r="BU2288" s="49">
        <v>0</v>
      </c>
      <c r="BV2288" s="49"/>
      <c r="BW2288" s="49"/>
    </row>
    <row r="2289" spans="1:75" ht="19.5" customHeight="1">
      <c r="A2289" s="140"/>
      <c r="B2289" s="140"/>
      <c r="C2289" s="323">
        <v>77007002</v>
      </c>
      <c r="D2289" s="324" t="s">
        <v>5376</v>
      </c>
      <c r="E2289" s="324" t="s">
        <v>5377</v>
      </c>
      <c r="F2289" s="325">
        <v>1</v>
      </c>
      <c r="G2289" s="325">
        <v>63021101</v>
      </c>
      <c r="H2289" s="325">
        <v>0</v>
      </c>
      <c r="I2289" s="332">
        <v>0</v>
      </c>
      <c r="J2289" s="323">
        <v>1</v>
      </c>
      <c r="K2289" s="325">
        <v>0</v>
      </c>
      <c r="L2289" s="325">
        <v>0</v>
      </c>
      <c r="M2289" s="325">
        <v>0</v>
      </c>
      <c r="N2289" s="325">
        <v>0</v>
      </c>
      <c r="O2289" s="325">
        <v>1</v>
      </c>
      <c r="P2289" s="325">
        <v>0</v>
      </c>
      <c r="Q2289" s="325">
        <v>0</v>
      </c>
      <c r="R2289" s="325">
        <v>0</v>
      </c>
      <c r="S2289" s="49">
        <v>0</v>
      </c>
      <c r="T2289" s="325">
        <v>0</v>
      </c>
      <c r="U2289" s="325">
        <v>1</v>
      </c>
      <c r="V2289" s="325">
        <v>1</v>
      </c>
      <c r="W2289" s="325">
        <v>0</v>
      </c>
      <c r="X2289" s="325">
        <v>3</v>
      </c>
      <c r="Y2289" s="13">
        <v>0</v>
      </c>
      <c r="Z2289" s="325">
        <v>0</v>
      </c>
      <c r="AA2289" s="325">
        <v>0</v>
      </c>
      <c r="AB2289" s="325">
        <v>0</v>
      </c>
      <c r="AC2289" s="325">
        <v>0</v>
      </c>
      <c r="AD2289" s="325">
        <v>0</v>
      </c>
      <c r="AE2289" s="325">
        <v>0</v>
      </c>
      <c r="AF2289" s="325">
        <v>6</v>
      </c>
      <c r="AG2289" s="325">
        <v>3</v>
      </c>
      <c r="AH2289" s="336">
        <v>4120</v>
      </c>
      <c r="AI2289" s="49">
        <v>2</v>
      </c>
      <c r="AJ2289" s="49">
        <v>3</v>
      </c>
      <c r="AK2289" s="49">
        <v>0</v>
      </c>
      <c r="AL2289" s="49">
        <v>1.5</v>
      </c>
      <c r="AM2289" s="325">
        <v>0</v>
      </c>
      <c r="AN2289" s="325">
        <v>0</v>
      </c>
      <c r="AO2289" s="325">
        <v>0</v>
      </c>
      <c r="AP2289" s="325">
        <v>0.2</v>
      </c>
      <c r="AQ2289" s="325">
        <v>1000</v>
      </c>
      <c r="AR2289" s="325">
        <v>0.2</v>
      </c>
      <c r="AS2289" s="325">
        <v>0</v>
      </c>
      <c r="AT2289" s="49">
        <v>97050102</v>
      </c>
      <c r="AU2289" s="391" t="s">
        <v>5378</v>
      </c>
      <c r="AV2289" s="336"/>
      <c r="AW2289" s="324" t="s">
        <v>198</v>
      </c>
      <c r="AX2289" s="325" t="s">
        <v>534</v>
      </c>
      <c r="AY2289" s="323">
        <v>10000001</v>
      </c>
      <c r="AZ2289" s="323">
        <v>77005102</v>
      </c>
      <c r="BA2289" s="324" t="s">
        <v>200</v>
      </c>
      <c r="BB2289" s="325">
        <v>0</v>
      </c>
      <c r="BC2289" s="49">
        <v>0</v>
      </c>
      <c r="BD2289" s="49">
        <v>0</v>
      </c>
      <c r="BE2289" s="341" t="s">
        <v>5379</v>
      </c>
      <c r="BF2289" s="341" t="s">
        <v>5380</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20.100000000000001" customHeight="1">
      <c r="A2290" s="140"/>
      <c r="B2290" s="140"/>
      <c r="C2290" s="323">
        <v>77007003</v>
      </c>
      <c r="D2290" s="324" t="s">
        <v>5381</v>
      </c>
      <c r="E2290" s="326" t="s">
        <v>5382</v>
      </c>
      <c r="F2290" s="327">
        <v>1</v>
      </c>
      <c r="G2290" s="325">
        <v>63021101</v>
      </c>
      <c r="H2290" s="323">
        <v>0</v>
      </c>
      <c r="I2290" s="332">
        <v>0</v>
      </c>
      <c r="J2290" s="323">
        <v>1</v>
      </c>
      <c r="K2290" s="325">
        <v>0</v>
      </c>
      <c r="L2290" s="323">
        <v>0</v>
      </c>
      <c r="M2290" s="325">
        <v>0</v>
      </c>
      <c r="N2290" s="325">
        <v>0</v>
      </c>
      <c r="O2290" s="325">
        <v>1</v>
      </c>
      <c r="P2290" s="325">
        <v>0</v>
      </c>
      <c r="Q2290" s="325">
        <v>0</v>
      </c>
      <c r="R2290" s="325">
        <v>0</v>
      </c>
      <c r="S2290" s="49">
        <v>0</v>
      </c>
      <c r="T2290" s="325">
        <v>0</v>
      </c>
      <c r="U2290" s="325">
        <v>1</v>
      </c>
      <c r="V2290" s="325">
        <v>1</v>
      </c>
      <c r="W2290" s="325">
        <v>0</v>
      </c>
      <c r="X2290" s="325">
        <v>0</v>
      </c>
      <c r="Y2290" s="13">
        <v>0</v>
      </c>
      <c r="Z2290" s="325">
        <v>0</v>
      </c>
      <c r="AA2290" s="325">
        <v>0</v>
      </c>
      <c r="AB2290" s="325">
        <v>0</v>
      </c>
      <c r="AC2290" s="325">
        <v>0</v>
      </c>
      <c r="AD2290" s="325">
        <v>0</v>
      </c>
      <c r="AE2290" s="325">
        <v>0</v>
      </c>
      <c r="AF2290" s="325">
        <v>18</v>
      </c>
      <c r="AG2290" s="325">
        <v>1</v>
      </c>
      <c r="AH2290" s="325">
        <v>3</v>
      </c>
      <c r="AI2290" s="49">
        <v>0</v>
      </c>
      <c r="AJ2290" s="49">
        <v>0</v>
      </c>
      <c r="AK2290" s="49">
        <v>0</v>
      </c>
      <c r="AL2290" s="49">
        <v>1.5</v>
      </c>
      <c r="AM2290" s="325">
        <v>0</v>
      </c>
      <c r="AN2290" s="325">
        <v>0</v>
      </c>
      <c r="AO2290" s="325">
        <v>0</v>
      </c>
      <c r="AP2290" s="323">
        <v>3</v>
      </c>
      <c r="AQ2290" s="325">
        <v>3000</v>
      </c>
      <c r="AR2290" s="325">
        <v>0.1</v>
      </c>
      <c r="AS2290" s="325">
        <v>0</v>
      </c>
      <c r="AT2290" s="389" t="s">
        <v>5383</v>
      </c>
      <c r="AU2290" s="325">
        <v>0</v>
      </c>
      <c r="AV2290" s="325"/>
      <c r="AW2290" s="324" t="s">
        <v>198</v>
      </c>
      <c r="AX2290" s="325" t="s">
        <v>545</v>
      </c>
      <c r="AY2290" s="323">
        <v>0</v>
      </c>
      <c r="AZ2290" s="323">
        <v>77005103</v>
      </c>
      <c r="BA2290" s="324" t="s">
        <v>1174</v>
      </c>
      <c r="BB2290" s="390" t="s">
        <v>5384</v>
      </c>
      <c r="BC2290" s="332">
        <v>0</v>
      </c>
      <c r="BD2290" s="332">
        <v>0</v>
      </c>
      <c r="BE2290" s="342" t="s">
        <v>2258</v>
      </c>
      <c r="BF2290" s="342" t="s">
        <v>2259</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ht="20.100000000000001" customHeight="1">
      <c r="A2291" s="140"/>
      <c r="B2291" s="140"/>
      <c r="C2291" s="323">
        <v>77007004</v>
      </c>
      <c r="D2291" s="324" t="s">
        <v>2260</v>
      </c>
      <c r="E2291" s="326" t="s">
        <v>2261</v>
      </c>
      <c r="F2291" s="327">
        <v>1</v>
      </c>
      <c r="G2291" s="325">
        <v>63021101</v>
      </c>
      <c r="H2291" s="323">
        <v>0</v>
      </c>
      <c r="I2291" s="332">
        <v>0</v>
      </c>
      <c r="J2291" s="323">
        <v>1</v>
      </c>
      <c r="K2291" s="325">
        <v>0</v>
      </c>
      <c r="L2291" s="323">
        <v>0</v>
      </c>
      <c r="M2291" s="325">
        <v>0</v>
      </c>
      <c r="N2291" s="325">
        <v>0</v>
      </c>
      <c r="O2291" s="325">
        <v>1</v>
      </c>
      <c r="P2291" s="325">
        <v>0</v>
      </c>
      <c r="Q2291" s="325">
        <v>0</v>
      </c>
      <c r="R2291" s="325">
        <v>0</v>
      </c>
      <c r="S2291" s="49">
        <v>0</v>
      </c>
      <c r="T2291" s="325">
        <v>0</v>
      </c>
      <c r="U2291" s="325">
        <v>1</v>
      </c>
      <c r="V2291" s="325">
        <v>1</v>
      </c>
      <c r="W2291" s="325">
        <v>0</v>
      </c>
      <c r="X2291" s="325">
        <v>1.2</v>
      </c>
      <c r="Y2291" s="13">
        <v>0</v>
      </c>
      <c r="Z2291" s="325">
        <v>300</v>
      </c>
      <c r="AA2291" s="325">
        <v>0</v>
      </c>
      <c r="AB2291" s="325">
        <v>0</v>
      </c>
      <c r="AC2291" s="325">
        <v>0</v>
      </c>
      <c r="AD2291" s="325">
        <v>0</v>
      </c>
      <c r="AE2291" s="325">
        <v>0</v>
      </c>
      <c r="AF2291" s="325">
        <v>24</v>
      </c>
      <c r="AG2291" s="325">
        <v>1</v>
      </c>
      <c r="AH2291" s="325">
        <v>2</v>
      </c>
      <c r="AI2291" s="49">
        <v>2</v>
      </c>
      <c r="AJ2291" s="49">
        <v>0</v>
      </c>
      <c r="AK2291" s="49">
        <v>0</v>
      </c>
      <c r="AL2291" s="49">
        <v>0</v>
      </c>
      <c r="AM2291" s="325">
        <v>0</v>
      </c>
      <c r="AN2291" s="325">
        <v>0</v>
      </c>
      <c r="AO2291" s="325">
        <v>0</v>
      </c>
      <c r="AP2291" s="323">
        <v>0</v>
      </c>
      <c r="AQ2291" s="325">
        <v>5000</v>
      </c>
      <c r="AR2291" s="325">
        <v>0</v>
      </c>
      <c r="AS2291" s="325">
        <v>0</v>
      </c>
      <c r="AT2291" s="389" t="s">
        <v>5385</v>
      </c>
      <c r="AU2291" s="325" t="s">
        <v>198</v>
      </c>
      <c r="AV2291" s="325"/>
      <c r="AW2291" s="324" t="s">
        <v>198</v>
      </c>
      <c r="AX2291" s="325" t="s">
        <v>545</v>
      </c>
      <c r="AY2291" s="323">
        <v>0</v>
      </c>
      <c r="AZ2291" s="323">
        <v>77005104</v>
      </c>
      <c r="BA2291" s="324" t="s">
        <v>1165</v>
      </c>
      <c r="BB2291" s="325">
        <v>0</v>
      </c>
      <c r="BC2291" s="332">
        <v>0</v>
      </c>
      <c r="BD2291" s="332">
        <v>0</v>
      </c>
      <c r="BE2291" s="342" t="s">
        <v>5386</v>
      </c>
      <c r="BF2291" s="342" t="s">
        <v>5387</v>
      </c>
      <c r="BG2291" s="325">
        <v>0</v>
      </c>
      <c r="BH2291" s="325">
        <v>0</v>
      </c>
      <c r="BI2291" s="325">
        <v>0</v>
      </c>
      <c r="BJ2291" s="325">
        <v>0</v>
      </c>
      <c r="BK2291" s="325">
        <v>0</v>
      </c>
      <c r="BL2291" s="325">
        <v>0</v>
      </c>
      <c r="BM2291" s="327">
        <v>0</v>
      </c>
      <c r="BN2291" s="49">
        <v>0</v>
      </c>
      <c r="BO2291" s="49">
        <v>0</v>
      </c>
      <c r="BP2291" s="49">
        <v>0</v>
      </c>
      <c r="BQ2291" s="49">
        <v>0</v>
      </c>
      <c r="BR2291" s="49">
        <v>0</v>
      </c>
      <c r="BS2291" s="49">
        <v>0</v>
      </c>
      <c r="BT2291" s="49">
        <v>0</v>
      </c>
      <c r="BU2291" s="49">
        <v>0</v>
      </c>
      <c r="BV2291" s="49"/>
      <c r="BW2291" s="49"/>
    </row>
    <row r="2292" spans="1:75" ht="19.5" customHeight="1">
      <c r="A2292" s="140"/>
      <c r="B2292" s="140"/>
      <c r="C2292" s="323">
        <v>77007005</v>
      </c>
      <c r="D2292" s="324" t="s">
        <v>760</v>
      </c>
      <c r="E2292" s="324" t="s">
        <v>761</v>
      </c>
      <c r="F2292" s="325">
        <v>1</v>
      </c>
      <c r="G2292" s="325">
        <v>0</v>
      </c>
      <c r="H2292" s="325">
        <v>0</v>
      </c>
      <c r="I2292" s="332">
        <v>0</v>
      </c>
      <c r="J2292" s="323">
        <v>1</v>
      </c>
      <c r="K2292" s="323">
        <v>0</v>
      </c>
      <c r="L2292" s="323">
        <v>0</v>
      </c>
      <c r="M2292" s="325">
        <v>0</v>
      </c>
      <c r="N2292" s="325">
        <v>0</v>
      </c>
      <c r="O2292" s="325">
        <v>2</v>
      </c>
      <c r="P2292" s="325">
        <v>1</v>
      </c>
      <c r="Q2292" s="325">
        <v>1</v>
      </c>
      <c r="R2292" s="325">
        <v>1</v>
      </c>
      <c r="S2292" s="49">
        <v>0</v>
      </c>
      <c r="T2292" s="325">
        <v>0</v>
      </c>
      <c r="U2292" s="325">
        <v>1</v>
      </c>
      <c r="V2292" s="325">
        <v>1</v>
      </c>
      <c r="W2292" s="325">
        <v>0</v>
      </c>
      <c r="X2292" s="325">
        <v>1.5</v>
      </c>
      <c r="Y2292" s="13">
        <v>0</v>
      </c>
      <c r="Z2292" s="325">
        <v>0</v>
      </c>
      <c r="AA2292" s="325">
        <v>0</v>
      </c>
      <c r="AB2292" s="325">
        <v>0</v>
      </c>
      <c r="AC2292" s="325">
        <v>0</v>
      </c>
      <c r="AD2292" s="325">
        <v>0</v>
      </c>
      <c r="AE2292" s="325">
        <v>1</v>
      </c>
      <c r="AF2292" s="325">
        <v>10</v>
      </c>
      <c r="AG2292" s="325">
        <v>2</v>
      </c>
      <c r="AH2292" s="325" t="s">
        <v>1036</v>
      </c>
      <c r="AI2292" s="49">
        <v>0</v>
      </c>
      <c r="AJ2292" s="49">
        <v>2</v>
      </c>
      <c r="AK2292" s="49">
        <v>0</v>
      </c>
      <c r="AL2292" s="49">
        <v>1.5</v>
      </c>
      <c r="AM2292" s="325">
        <v>0</v>
      </c>
      <c r="AN2292" s="325">
        <v>0.5</v>
      </c>
      <c r="AO2292" s="325">
        <v>0</v>
      </c>
      <c r="AP2292" s="325">
        <v>1</v>
      </c>
      <c r="AQ2292" s="325">
        <v>1000</v>
      </c>
      <c r="AR2292" s="325">
        <v>0.2</v>
      </c>
      <c r="AS2292" s="325">
        <v>15</v>
      </c>
      <c r="AT2292" s="49">
        <v>0</v>
      </c>
      <c r="AU2292" s="391" t="s">
        <v>5346</v>
      </c>
      <c r="AV2292" s="336"/>
      <c r="AW2292" s="324" t="s">
        <v>199</v>
      </c>
      <c r="AX2292" s="325" t="s">
        <v>215</v>
      </c>
      <c r="AY2292" s="323">
        <v>0</v>
      </c>
      <c r="AZ2292" s="323">
        <v>0</v>
      </c>
      <c r="BA2292" s="338" t="s">
        <v>216</v>
      </c>
      <c r="BB2292" s="325">
        <v>0</v>
      </c>
      <c r="BC2292" s="332">
        <v>0</v>
      </c>
      <c r="BD2292" s="332">
        <v>0</v>
      </c>
      <c r="BE2292" s="342" t="s">
        <v>2269</v>
      </c>
      <c r="BF2292" s="342" t="s">
        <v>2270</v>
      </c>
      <c r="BG2292" s="325">
        <v>0</v>
      </c>
      <c r="BH2292" s="325">
        <v>0</v>
      </c>
      <c r="BI2292" s="325">
        <v>0</v>
      </c>
      <c r="BJ2292" s="325">
        <v>0</v>
      </c>
      <c r="BK2292" s="325">
        <v>0</v>
      </c>
      <c r="BL2292" s="325">
        <v>0</v>
      </c>
      <c r="BM2292" s="327">
        <v>0</v>
      </c>
      <c r="BN2292" s="49">
        <v>0</v>
      </c>
      <c r="BO2292" s="49">
        <v>0</v>
      </c>
      <c r="BP2292" s="49">
        <v>0</v>
      </c>
      <c r="BQ2292" s="49">
        <v>0</v>
      </c>
      <c r="BR2292" s="49">
        <v>0</v>
      </c>
      <c r="BS2292" s="49">
        <v>0</v>
      </c>
      <c r="BT2292" s="49">
        <v>0</v>
      </c>
      <c r="BU2292" s="49">
        <v>0</v>
      </c>
      <c r="BV2292" s="49"/>
      <c r="BW2292" s="49"/>
    </row>
    <row r="2293" spans="1:75" ht="19.5" customHeight="1">
      <c r="A2293" s="140"/>
      <c r="B2293" s="140"/>
      <c r="C2293" s="323">
        <v>77007006</v>
      </c>
      <c r="D2293" s="324" t="s">
        <v>2271</v>
      </c>
      <c r="E2293" s="324" t="s">
        <v>2272</v>
      </c>
      <c r="F2293" s="323">
        <v>1</v>
      </c>
      <c r="G2293" s="323">
        <v>0</v>
      </c>
      <c r="H2293" s="323">
        <v>0</v>
      </c>
      <c r="I2293" s="332">
        <v>0</v>
      </c>
      <c r="J2293" s="323">
        <v>1</v>
      </c>
      <c r="K2293" s="323">
        <v>0</v>
      </c>
      <c r="L2293" s="323">
        <v>0</v>
      </c>
      <c r="M2293" s="325">
        <v>0</v>
      </c>
      <c r="N2293" s="325">
        <v>0</v>
      </c>
      <c r="O2293" s="325">
        <v>2</v>
      </c>
      <c r="P2293" s="325">
        <v>3</v>
      </c>
      <c r="Q2293" s="325">
        <v>0.2</v>
      </c>
      <c r="R2293" s="325">
        <v>0</v>
      </c>
      <c r="S2293" s="49">
        <v>0</v>
      </c>
      <c r="T2293" s="325">
        <v>0</v>
      </c>
      <c r="U2293" s="325">
        <v>1</v>
      </c>
      <c r="V2293" s="325">
        <v>2</v>
      </c>
      <c r="W2293" s="325">
        <v>0</v>
      </c>
      <c r="X2293" s="325">
        <v>0</v>
      </c>
      <c r="Y2293" s="13">
        <v>0</v>
      </c>
      <c r="Z2293" s="325">
        <v>0</v>
      </c>
      <c r="AA2293" s="325">
        <v>1</v>
      </c>
      <c r="AB2293" s="325">
        <v>0</v>
      </c>
      <c r="AC2293" s="325">
        <v>0</v>
      </c>
      <c r="AD2293" s="325">
        <v>1</v>
      </c>
      <c r="AE2293" s="325">
        <v>1</v>
      </c>
      <c r="AF2293" s="325">
        <v>0</v>
      </c>
      <c r="AG2293" s="325">
        <v>1</v>
      </c>
      <c r="AH2293" s="325">
        <v>3</v>
      </c>
      <c r="AI2293" s="49">
        <v>0</v>
      </c>
      <c r="AJ2293" s="49">
        <v>1</v>
      </c>
      <c r="AK2293" s="49">
        <v>0</v>
      </c>
      <c r="AL2293" s="49">
        <v>3</v>
      </c>
      <c r="AM2293" s="325">
        <v>0</v>
      </c>
      <c r="AN2293" s="325">
        <v>0</v>
      </c>
      <c r="AO2293" s="325">
        <v>0</v>
      </c>
      <c r="AP2293" s="325">
        <v>0</v>
      </c>
      <c r="AQ2293" s="325">
        <v>500</v>
      </c>
      <c r="AR2293" s="325">
        <v>0</v>
      </c>
      <c r="AS2293" s="325">
        <v>0</v>
      </c>
      <c r="AT2293" s="49">
        <v>97050104</v>
      </c>
      <c r="AU2293" s="336">
        <v>0</v>
      </c>
      <c r="AV2293" s="336"/>
      <c r="AW2293" s="339" t="s">
        <v>198</v>
      </c>
      <c r="AX2293" s="325" t="s">
        <v>534</v>
      </c>
      <c r="AY2293" s="323">
        <v>0</v>
      </c>
      <c r="AZ2293" s="323">
        <v>0</v>
      </c>
      <c r="BA2293" s="324" t="s">
        <v>200</v>
      </c>
      <c r="BB2293" s="325">
        <v>0</v>
      </c>
      <c r="BC2293" s="332">
        <v>0</v>
      </c>
      <c r="BD2293" s="332">
        <v>0</v>
      </c>
      <c r="BE2293" s="342" t="s">
        <v>2224</v>
      </c>
      <c r="BF2293" s="342" t="s">
        <v>2225</v>
      </c>
      <c r="BG2293" s="325">
        <v>0</v>
      </c>
      <c r="BH2293" s="325">
        <v>0</v>
      </c>
      <c r="BI2293" s="325">
        <v>0</v>
      </c>
      <c r="BJ2293" s="325">
        <v>0</v>
      </c>
      <c r="BK2293" s="325">
        <v>0</v>
      </c>
      <c r="BL2293" s="325">
        <v>0</v>
      </c>
      <c r="BM2293" s="327">
        <v>0</v>
      </c>
      <c r="BN2293" s="49">
        <v>0</v>
      </c>
      <c r="BO2293" s="49">
        <v>0</v>
      </c>
      <c r="BP2293" s="49">
        <v>0</v>
      </c>
      <c r="BQ2293" s="49">
        <v>0</v>
      </c>
      <c r="BR2293" s="49">
        <v>0</v>
      </c>
      <c r="BS2293" s="49">
        <v>0</v>
      </c>
      <c r="BT2293" s="49">
        <v>0</v>
      </c>
      <c r="BU2293" s="49">
        <v>0</v>
      </c>
      <c r="BV2293" s="49"/>
      <c r="BW2293" s="49"/>
    </row>
    <row r="2294" spans="1:75" s="5" customFormat="1" ht="20.100000000000001" customHeight="1">
      <c r="C2294" s="323">
        <v>77007007</v>
      </c>
      <c r="D2294" s="328" t="s">
        <v>760</v>
      </c>
      <c r="E2294" s="329" t="s">
        <v>761</v>
      </c>
      <c r="F2294" s="330">
        <v>1</v>
      </c>
      <c r="G2294" s="330">
        <v>0</v>
      </c>
      <c r="H2294" s="331">
        <v>0</v>
      </c>
      <c r="I2294" s="333">
        <v>0</v>
      </c>
      <c r="J2294" s="334">
        <v>1</v>
      </c>
      <c r="K2294" s="334">
        <v>0</v>
      </c>
      <c r="L2294" s="334">
        <v>0</v>
      </c>
      <c r="M2294" s="331">
        <v>0</v>
      </c>
      <c r="N2294" s="331">
        <v>0</v>
      </c>
      <c r="O2294" s="331">
        <v>2</v>
      </c>
      <c r="P2294" s="331">
        <v>1</v>
      </c>
      <c r="Q2294" s="331">
        <v>0.2</v>
      </c>
      <c r="R2294" s="331">
        <v>0</v>
      </c>
      <c r="S2294" s="335">
        <v>0</v>
      </c>
      <c r="T2294" s="331">
        <v>0</v>
      </c>
      <c r="U2294" s="331">
        <v>1</v>
      </c>
      <c r="V2294" s="330">
        <v>1</v>
      </c>
      <c r="W2294" s="331">
        <v>0</v>
      </c>
      <c r="X2294" s="331">
        <v>1</v>
      </c>
      <c r="Y2294" s="13">
        <v>0</v>
      </c>
      <c r="Z2294" s="331">
        <v>150</v>
      </c>
      <c r="AA2294" s="331">
        <v>1</v>
      </c>
      <c r="AB2294" s="331">
        <v>0</v>
      </c>
      <c r="AC2294" s="331">
        <v>0</v>
      </c>
      <c r="AD2294" s="331">
        <v>0</v>
      </c>
      <c r="AE2294" s="331">
        <v>1</v>
      </c>
      <c r="AF2294" s="331">
        <v>12</v>
      </c>
      <c r="AG2294" s="331">
        <v>2</v>
      </c>
      <c r="AH2294" s="331" t="s">
        <v>213</v>
      </c>
      <c r="AI2294" s="335">
        <v>0</v>
      </c>
      <c r="AJ2294" s="335">
        <v>2</v>
      </c>
      <c r="AK2294" s="335">
        <v>0</v>
      </c>
      <c r="AL2294" s="335">
        <v>1.5</v>
      </c>
      <c r="AM2294" s="331">
        <v>0</v>
      </c>
      <c r="AN2294" s="331">
        <v>0</v>
      </c>
      <c r="AO2294" s="331">
        <v>0</v>
      </c>
      <c r="AP2294" s="331">
        <v>1.5</v>
      </c>
      <c r="AQ2294" s="331">
        <v>1600</v>
      </c>
      <c r="AR2294" s="331">
        <v>1</v>
      </c>
      <c r="AS2294" s="331">
        <v>15</v>
      </c>
      <c r="AT2294" s="335">
        <v>0</v>
      </c>
      <c r="AU2294" s="392" t="s">
        <v>5388</v>
      </c>
      <c r="AV2294" s="337"/>
      <c r="AW2294" s="328" t="s">
        <v>199</v>
      </c>
      <c r="AX2294" s="331" t="s">
        <v>215</v>
      </c>
      <c r="AY2294" s="334">
        <v>10000011</v>
      </c>
      <c r="AZ2294" s="334">
        <v>77005105</v>
      </c>
      <c r="BA2294" s="328" t="s">
        <v>216</v>
      </c>
      <c r="BB2294" s="331">
        <v>0</v>
      </c>
      <c r="BC2294" s="333">
        <v>0</v>
      </c>
      <c r="BD2294" s="333">
        <v>0</v>
      </c>
      <c r="BE2294" s="343" t="s">
        <v>2190</v>
      </c>
      <c r="BF2294" s="343" t="s">
        <v>2191</v>
      </c>
      <c r="BG2294" s="331">
        <v>0</v>
      </c>
      <c r="BH2294" s="331">
        <v>0</v>
      </c>
      <c r="BI2294" s="331">
        <v>0</v>
      </c>
      <c r="BJ2294" s="331">
        <v>0</v>
      </c>
      <c r="BK2294" s="331">
        <v>0</v>
      </c>
      <c r="BL2294" s="331">
        <v>0</v>
      </c>
      <c r="BM2294" s="330">
        <v>0</v>
      </c>
      <c r="BN2294" s="335">
        <v>0</v>
      </c>
      <c r="BO2294" s="335">
        <v>0</v>
      </c>
      <c r="BP2294" s="335">
        <v>0</v>
      </c>
      <c r="BQ2294" s="335">
        <v>0</v>
      </c>
      <c r="BR2294" s="335">
        <v>0</v>
      </c>
      <c r="BS2294" s="335">
        <v>0</v>
      </c>
      <c r="BT2294" s="335">
        <v>0</v>
      </c>
      <c r="BU2294" s="335">
        <v>0</v>
      </c>
      <c r="BV2294" s="49"/>
      <c r="BW2294" s="49"/>
    </row>
    <row r="2295" spans="1:75" ht="19.5" customHeight="1">
      <c r="A2295" s="140"/>
      <c r="B2295" s="140"/>
      <c r="C2295" s="66">
        <v>77008001</v>
      </c>
      <c r="D2295" s="61" t="s">
        <v>5389</v>
      </c>
      <c r="E2295" s="61" t="s">
        <v>5390</v>
      </c>
      <c r="F2295" s="62">
        <v>1</v>
      </c>
      <c r="G2295" s="62">
        <v>63021101</v>
      </c>
      <c r="H2295" s="62">
        <v>0</v>
      </c>
      <c r="I2295" s="68">
        <v>0</v>
      </c>
      <c r="J2295" s="66">
        <v>1</v>
      </c>
      <c r="K2295" s="62">
        <v>0</v>
      </c>
      <c r="L2295" s="62">
        <v>0</v>
      </c>
      <c r="M2295" s="62">
        <v>0</v>
      </c>
      <c r="N2295" s="62">
        <v>0</v>
      </c>
      <c r="O2295" s="62">
        <v>1</v>
      </c>
      <c r="P2295" s="62">
        <v>0</v>
      </c>
      <c r="Q2295" s="62">
        <v>0</v>
      </c>
      <c r="R2295" s="62">
        <v>0</v>
      </c>
      <c r="S2295" s="70">
        <v>0</v>
      </c>
      <c r="T2295" s="62">
        <v>0</v>
      </c>
      <c r="U2295" s="62">
        <v>1</v>
      </c>
      <c r="V2295" s="62">
        <v>1</v>
      </c>
      <c r="W2295" s="62">
        <v>0</v>
      </c>
      <c r="X2295" s="62">
        <v>3</v>
      </c>
      <c r="Y2295" s="13">
        <v>0</v>
      </c>
      <c r="Z2295" s="62">
        <v>0</v>
      </c>
      <c r="AA2295" s="62">
        <v>0</v>
      </c>
      <c r="AB2295" s="62">
        <v>0</v>
      </c>
      <c r="AC2295" s="62">
        <v>0</v>
      </c>
      <c r="AD2295" s="62">
        <v>0</v>
      </c>
      <c r="AE2295" s="62">
        <v>0</v>
      </c>
      <c r="AF2295" s="62">
        <v>16</v>
      </c>
      <c r="AG2295" s="62">
        <v>1</v>
      </c>
      <c r="AH2295" s="81">
        <v>2</v>
      </c>
      <c r="AI2295" s="70">
        <v>2</v>
      </c>
      <c r="AJ2295" s="70">
        <v>2</v>
      </c>
      <c r="AK2295" s="70">
        <v>0</v>
      </c>
      <c r="AL2295" s="70">
        <v>3</v>
      </c>
      <c r="AM2295" s="62">
        <v>0</v>
      </c>
      <c r="AN2295" s="62">
        <v>0</v>
      </c>
      <c r="AO2295" s="62">
        <v>0</v>
      </c>
      <c r="AP2295" s="62">
        <v>0.2</v>
      </c>
      <c r="AQ2295" s="62">
        <v>3000</v>
      </c>
      <c r="AR2295" s="62">
        <v>0.2</v>
      </c>
      <c r="AS2295" s="62">
        <v>8</v>
      </c>
      <c r="AT2295" s="70">
        <v>0</v>
      </c>
      <c r="AU2295" s="369" t="s">
        <v>5391</v>
      </c>
      <c r="AV2295" s="62"/>
      <c r="AW2295" s="61" t="s">
        <v>198</v>
      </c>
      <c r="AX2295" s="62" t="s">
        <v>534</v>
      </c>
      <c r="AY2295" s="66">
        <v>10000001</v>
      </c>
      <c r="AZ2295" s="66">
        <v>77005201</v>
      </c>
      <c r="BA2295" s="61" t="s">
        <v>586</v>
      </c>
      <c r="BB2295" s="62">
        <v>0</v>
      </c>
      <c r="BC2295" s="70">
        <v>0</v>
      </c>
      <c r="BD2295" s="70">
        <v>0</v>
      </c>
      <c r="BE2295" s="123" t="s">
        <v>5392</v>
      </c>
      <c r="BF2295" s="123" t="s">
        <v>5393</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spans="1:75" ht="20.100000000000001" customHeight="1">
      <c r="A2296" s="140"/>
      <c r="B2296" s="140"/>
      <c r="C2296" s="66">
        <v>77008002</v>
      </c>
      <c r="D2296" s="61" t="s">
        <v>5394</v>
      </c>
      <c r="E2296" s="149" t="s">
        <v>1196</v>
      </c>
      <c r="F2296" s="95">
        <v>1</v>
      </c>
      <c r="G2296" s="62">
        <v>63021101</v>
      </c>
      <c r="H2296" s="66">
        <v>0</v>
      </c>
      <c r="I2296" s="68">
        <v>0</v>
      </c>
      <c r="J2296" s="66">
        <v>1</v>
      </c>
      <c r="K2296" s="62">
        <v>0</v>
      </c>
      <c r="L2296" s="66">
        <v>0</v>
      </c>
      <c r="M2296" s="62">
        <v>0</v>
      </c>
      <c r="N2296" s="62">
        <v>0</v>
      </c>
      <c r="O2296" s="62">
        <v>1</v>
      </c>
      <c r="P2296" s="62">
        <v>0</v>
      </c>
      <c r="Q2296" s="62">
        <v>0</v>
      </c>
      <c r="R2296" s="62">
        <v>0</v>
      </c>
      <c r="S2296" s="70">
        <v>0</v>
      </c>
      <c r="T2296" s="62">
        <v>0</v>
      </c>
      <c r="U2296" s="62">
        <v>1</v>
      </c>
      <c r="V2296" s="62">
        <v>1</v>
      </c>
      <c r="W2296" s="62">
        <v>0</v>
      </c>
      <c r="X2296" s="62">
        <v>1</v>
      </c>
      <c r="Y2296" s="13">
        <v>0</v>
      </c>
      <c r="Z2296" s="62">
        <v>0</v>
      </c>
      <c r="AA2296" s="62">
        <v>0</v>
      </c>
      <c r="AB2296" s="62">
        <v>0</v>
      </c>
      <c r="AC2296" s="62">
        <v>0</v>
      </c>
      <c r="AD2296" s="62">
        <v>0</v>
      </c>
      <c r="AE2296" s="62">
        <v>0</v>
      </c>
      <c r="AF2296" s="62">
        <v>9</v>
      </c>
      <c r="AG2296" s="62">
        <v>1</v>
      </c>
      <c r="AH2296" s="62">
        <v>4</v>
      </c>
      <c r="AI2296" s="70">
        <v>2</v>
      </c>
      <c r="AJ2296" s="70">
        <v>1</v>
      </c>
      <c r="AK2296" s="70">
        <v>0</v>
      </c>
      <c r="AL2296" s="70">
        <v>8</v>
      </c>
      <c r="AM2296" s="62">
        <v>0</v>
      </c>
      <c r="AN2296" s="62">
        <v>0</v>
      </c>
      <c r="AO2296" s="62">
        <v>0</v>
      </c>
      <c r="AP2296" s="62">
        <v>0</v>
      </c>
      <c r="AQ2296" s="62">
        <v>6000</v>
      </c>
      <c r="AR2296" s="62">
        <v>0.2</v>
      </c>
      <c r="AS2296" s="62">
        <v>0</v>
      </c>
      <c r="AT2296" s="70">
        <v>0</v>
      </c>
      <c r="AU2296" s="348" t="s">
        <v>5346</v>
      </c>
      <c r="AV2296" s="81"/>
      <c r="AW2296" s="65" t="s">
        <v>198</v>
      </c>
      <c r="AX2296" s="62" t="s">
        <v>545</v>
      </c>
      <c r="AY2296" s="66">
        <v>10000001</v>
      </c>
      <c r="AZ2296" s="66">
        <v>77005203</v>
      </c>
      <c r="BA2296" s="61" t="s">
        <v>315</v>
      </c>
      <c r="BB2296" s="62">
        <v>1</v>
      </c>
      <c r="BC2296" s="68">
        <v>0</v>
      </c>
      <c r="BD2296" s="68">
        <v>0</v>
      </c>
      <c r="BE2296" s="92" t="s">
        <v>5395</v>
      </c>
      <c r="BF2296" s="92" t="s">
        <v>5396</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20.100000000000001" customHeight="1">
      <c r="A2297" s="140"/>
      <c r="B2297" s="140"/>
      <c r="C2297" s="66">
        <v>77008003</v>
      </c>
      <c r="D2297" s="61" t="s">
        <v>5397</v>
      </c>
      <c r="E2297" s="149" t="s">
        <v>5398</v>
      </c>
      <c r="F2297" s="95">
        <v>1</v>
      </c>
      <c r="G2297" s="62">
        <v>63021101</v>
      </c>
      <c r="H2297" s="66">
        <v>0</v>
      </c>
      <c r="I2297" s="68">
        <v>0</v>
      </c>
      <c r="J2297" s="66">
        <v>1</v>
      </c>
      <c r="K2297" s="62">
        <v>0</v>
      </c>
      <c r="L2297" s="66">
        <v>0</v>
      </c>
      <c r="M2297" s="62">
        <v>0</v>
      </c>
      <c r="N2297" s="62">
        <v>0</v>
      </c>
      <c r="O2297" s="62">
        <v>1</v>
      </c>
      <c r="P2297" s="62">
        <v>0</v>
      </c>
      <c r="Q2297" s="62">
        <v>0</v>
      </c>
      <c r="R2297" s="62">
        <v>0</v>
      </c>
      <c r="S2297" s="70">
        <v>0</v>
      </c>
      <c r="T2297" s="62">
        <v>0</v>
      </c>
      <c r="U2297" s="62">
        <v>1</v>
      </c>
      <c r="V2297" s="62">
        <v>1</v>
      </c>
      <c r="W2297" s="62">
        <v>0</v>
      </c>
      <c r="X2297" s="62">
        <v>2</v>
      </c>
      <c r="Y2297" s="13">
        <v>0</v>
      </c>
      <c r="Z2297" s="62">
        <v>0</v>
      </c>
      <c r="AA2297" s="62">
        <v>0</v>
      </c>
      <c r="AB2297" s="62">
        <v>0</v>
      </c>
      <c r="AC2297" s="62">
        <v>0</v>
      </c>
      <c r="AD2297" s="62">
        <v>0</v>
      </c>
      <c r="AE2297" s="62">
        <v>0</v>
      </c>
      <c r="AF2297" s="62">
        <v>12</v>
      </c>
      <c r="AG2297" s="62">
        <v>1</v>
      </c>
      <c r="AH2297" s="62">
        <v>4</v>
      </c>
      <c r="AI2297" s="70">
        <v>2</v>
      </c>
      <c r="AJ2297" s="70">
        <v>1</v>
      </c>
      <c r="AK2297" s="70">
        <v>0</v>
      </c>
      <c r="AL2297" s="70">
        <v>7</v>
      </c>
      <c r="AM2297" s="62">
        <v>0</v>
      </c>
      <c r="AN2297" s="62">
        <v>0</v>
      </c>
      <c r="AO2297" s="62">
        <v>0</v>
      </c>
      <c r="AP2297" s="66">
        <v>0.2</v>
      </c>
      <c r="AQ2297" s="62">
        <v>1000</v>
      </c>
      <c r="AR2297" s="62">
        <v>0.4</v>
      </c>
      <c r="AS2297" s="62">
        <v>0</v>
      </c>
      <c r="AT2297" s="70">
        <v>0</v>
      </c>
      <c r="AU2297" s="62">
        <v>97050203</v>
      </c>
      <c r="AV2297" s="62"/>
      <c r="AW2297" s="61" t="s">
        <v>198</v>
      </c>
      <c r="AX2297" s="62" t="s">
        <v>545</v>
      </c>
      <c r="AY2297" s="66">
        <v>0</v>
      </c>
      <c r="AZ2297" s="66">
        <v>77005207</v>
      </c>
      <c r="BA2297" s="61" t="s">
        <v>200</v>
      </c>
      <c r="BB2297" s="62">
        <v>0</v>
      </c>
      <c r="BC2297" s="68">
        <v>0</v>
      </c>
      <c r="BD2297" s="68">
        <v>0</v>
      </c>
      <c r="BE2297" s="92" t="s">
        <v>5399</v>
      </c>
      <c r="BF2297" s="92" t="s">
        <v>5400</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356" t="s">
        <v>5401</v>
      </c>
      <c r="BV2297" s="49"/>
      <c r="BW2297" s="49"/>
    </row>
    <row r="2298" spans="1:75" ht="20.100000000000001" customHeight="1">
      <c r="A2298" s="140"/>
      <c r="B2298" s="140"/>
      <c r="C2298" s="66">
        <v>77008004</v>
      </c>
      <c r="D2298" s="61" t="s">
        <v>5402</v>
      </c>
      <c r="E2298" s="149" t="s">
        <v>5403</v>
      </c>
      <c r="F2298" s="95">
        <v>1</v>
      </c>
      <c r="G2298" s="62">
        <v>63021101</v>
      </c>
      <c r="H2298" s="66">
        <v>0</v>
      </c>
      <c r="I2298" s="68">
        <v>0</v>
      </c>
      <c r="J2298" s="66">
        <v>1</v>
      </c>
      <c r="K2298" s="62">
        <v>0</v>
      </c>
      <c r="L2298" s="66">
        <v>0</v>
      </c>
      <c r="M2298" s="62">
        <v>0</v>
      </c>
      <c r="N2298" s="62">
        <v>0</v>
      </c>
      <c r="O2298" s="62">
        <v>1</v>
      </c>
      <c r="P2298" s="62">
        <v>0</v>
      </c>
      <c r="Q2298" s="62">
        <v>0</v>
      </c>
      <c r="R2298" s="62">
        <v>0</v>
      </c>
      <c r="S2298" s="70">
        <v>0</v>
      </c>
      <c r="T2298" s="62">
        <v>0</v>
      </c>
      <c r="U2298" s="62">
        <v>1</v>
      </c>
      <c r="V2298" s="62">
        <v>1</v>
      </c>
      <c r="W2298" s="62">
        <v>0</v>
      </c>
      <c r="X2298" s="62">
        <v>0</v>
      </c>
      <c r="Y2298" s="13">
        <v>0</v>
      </c>
      <c r="Z2298" s="62">
        <v>0</v>
      </c>
      <c r="AA2298" s="62">
        <v>0</v>
      </c>
      <c r="AB2298" s="62">
        <v>0</v>
      </c>
      <c r="AC2298" s="62">
        <v>0</v>
      </c>
      <c r="AD2298" s="62">
        <v>0</v>
      </c>
      <c r="AE2298" s="62">
        <v>0</v>
      </c>
      <c r="AF2298" s="62">
        <v>24</v>
      </c>
      <c r="AG2298" s="62">
        <v>1</v>
      </c>
      <c r="AH2298" s="62">
        <v>3</v>
      </c>
      <c r="AI2298" s="70">
        <v>0</v>
      </c>
      <c r="AJ2298" s="70">
        <v>0</v>
      </c>
      <c r="AK2298" s="70">
        <v>0</v>
      </c>
      <c r="AL2298" s="70">
        <v>1.5</v>
      </c>
      <c r="AM2298" s="62">
        <v>0</v>
      </c>
      <c r="AN2298" s="62">
        <v>0</v>
      </c>
      <c r="AO2298" s="62">
        <v>0</v>
      </c>
      <c r="AP2298" s="66">
        <v>0.1</v>
      </c>
      <c r="AQ2298" s="62">
        <v>3000</v>
      </c>
      <c r="AR2298" s="62">
        <v>0.1</v>
      </c>
      <c r="AS2298" s="62">
        <v>0</v>
      </c>
      <c r="AT2298" s="70">
        <v>97050202</v>
      </c>
      <c r="AU2298" s="369" t="s">
        <v>198</v>
      </c>
      <c r="AV2298" s="62"/>
      <c r="AW2298" s="61" t="s">
        <v>198</v>
      </c>
      <c r="AX2298" s="62" t="s">
        <v>545</v>
      </c>
      <c r="AY2298" s="66">
        <v>0</v>
      </c>
      <c r="AZ2298" s="66">
        <v>77005204</v>
      </c>
      <c r="BA2298" s="61" t="s">
        <v>200</v>
      </c>
      <c r="BB2298" s="62">
        <v>0</v>
      </c>
      <c r="BC2298" s="68">
        <v>0</v>
      </c>
      <c r="BD2298" s="68">
        <v>0</v>
      </c>
      <c r="BE2298" s="92" t="s">
        <v>5404</v>
      </c>
      <c r="BF2298" s="92" t="s">
        <v>5405</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70">
        <v>0</v>
      </c>
      <c r="BV2298" s="49"/>
      <c r="BW2298" s="49"/>
    </row>
    <row r="2299" spans="1:75" ht="19.5" customHeight="1">
      <c r="A2299" s="140"/>
      <c r="B2299" s="140"/>
      <c r="C2299" s="66">
        <v>77008005</v>
      </c>
      <c r="D2299" s="61" t="s">
        <v>2222</v>
      </c>
      <c r="E2299" s="61" t="s">
        <v>2223</v>
      </c>
      <c r="F2299" s="66">
        <v>1</v>
      </c>
      <c r="G2299" s="66">
        <v>0</v>
      </c>
      <c r="H2299" s="66">
        <v>0</v>
      </c>
      <c r="I2299" s="68">
        <v>0</v>
      </c>
      <c r="J2299" s="66">
        <v>1</v>
      </c>
      <c r="K2299" s="66">
        <v>0</v>
      </c>
      <c r="L2299" s="66">
        <v>0</v>
      </c>
      <c r="M2299" s="62">
        <v>0</v>
      </c>
      <c r="N2299" s="62">
        <v>0</v>
      </c>
      <c r="O2299" s="62">
        <v>2</v>
      </c>
      <c r="P2299" s="62">
        <v>3</v>
      </c>
      <c r="Q2299" s="62">
        <v>0.2</v>
      </c>
      <c r="R2299" s="62">
        <v>0</v>
      </c>
      <c r="S2299" s="70">
        <v>0</v>
      </c>
      <c r="T2299" s="62">
        <v>0</v>
      </c>
      <c r="U2299" s="62">
        <v>1</v>
      </c>
      <c r="V2299" s="62">
        <v>2</v>
      </c>
      <c r="W2299" s="62">
        <v>0</v>
      </c>
      <c r="X2299" s="62">
        <v>2</v>
      </c>
      <c r="Y2299" s="13">
        <v>0</v>
      </c>
      <c r="Z2299" s="62">
        <v>0</v>
      </c>
      <c r="AA2299" s="62">
        <v>1</v>
      </c>
      <c r="AB2299" s="62">
        <v>0</v>
      </c>
      <c r="AC2299" s="62">
        <v>0</v>
      </c>
      <c r="AD2299" s="62">
        <v>1</v>
      </c>
      <c r="AE2299" s="62">
        <v>1</v>
      </c>
      <c r="AF2299" s="62">
        <v>0</v>
      </c>
      <c r="AG2299" s="62">
        <v>1</v>
      </c>
      <c r="AH2299" s="62">
        <v>3</v>
      </c>
      <c r="AI2299" s="70">
        <v>1</v>
      </c>
      <c r="AJ2299" s="70">
        <v>1</v>
      </c>
      <c r="AK2299" s="70">
        <v>0</v>
      </c>
      <c r="AL2299" s="70">
        <v>3</v>
      </c>
      <c r="AM2299" s="62">
        <v>0</v>
      </c>
      <c r="AN2299" s="62">
        <v>0</v>
      </c>
      <c r="AO2299" s="62">
        <v>0</v>
      </c>
      <c r="AP2299" s="62">
        <v>0</v>
      </c>
      <c r="AQ2299" s="62">
        <v>2000</v>
      </c>
      <c r="AR2299" s="62">
        <v>0.4</v>
      </c>
      <c r="AS2299" s="62">
        <v>0</v>
      </c>
      <c r="AT2299" s="70">
        <v>0</v>
      </c>
      <c r="AU2299" s="348" t="s">
        <v>5346</v>
      </c>
      <c r="AV2299" s="81"/>
      <c r="AW2299" s="65" t="s">
        <v>198</v>
      </c>
      <c r="AX2299" s="62" t="s">
        <v>534</v>
      </c>
      <c r="AY2299" s="66">
        <v>0</v>
      </c>
      <c r="AZ2299" s="66">
        <v>77005207</v>
      </c>
      <c r="BA2299" s="61" t="s">
        <v>200</v>
      </c>
      <c r="BB2299" s="62">
        <v>0</v>
      </c>
      <c r="BC2299" s="68">
        <v>0</v>
      </c>
      <c r="BD2299" s="68">
        <v>0</v>
      </c>
      <c r="BE2299" s="92" t="s">
        <v>2317</v>
      </c>
      <c r="BF2299" s="92" t="s">
        <v>2318</v>
      </c>
      <c r="BG2299" s="62">
        <v>0</v>
      </c>
      <c r="BH2299" s="62">
        <v>0</v>
      </c>
      <c r="BI2299" s="62">
        <v>0</v>
      </c>
      <c r="BJ2299" s="62">
        <v>0</v>
      </c>
      <c r="BK2299" s="62">
        <v>0</v>
      </c>
      <c r="BL2299" s="62">
        <v>0</v>
      </c>
      <c r="BM2299" s="95">
        <v>0</v>
      </c>
      <c r="BN2299" s="70">
        <v>0</v>
      </c>
      <c r="BO2299" s="70">
        <v>0</v>
      </c>
      <c r="BP2299" s="70">
        <v>0</v>
      </c>
      <c r="BQ2299" s="70">
        <v>0</v>
      </c>
      <c r="BR2299" s="70">
        <v>0</v>
      </c>
      <c r="BS2299" s="70">
        <v>0</v>
      </c>
      <c r="BT2299" s="70">
        <v>0</v>
      </c>
      <c r="BU2299" s="70">
        <v>0</v>
      </c>
      <c r="BV2299" s="49"/>
      <c r="BW2299" s="49"/>
    </row>
    <row r="2300" spans="1:75" ht="19.5" customHeight="1">
      <c r="A2300" s="140"/>
      <c r="B2300" s="140"/>
      <c r="C2300" s="66">
        <v>77008006</v>
      </c>
      <c r="D2300" s="61" t="s">
        <v>2319</v>
      </c>
      <c r="E2300" s="61" t="s">
        <v>2320</v>
      </c>
      <c r="F2300" s="66">
        <v>1</v>
      </c>
      <c r="G2300" s="62">
        <v>0</v>
      </c>
      <c r="H2300" s="66">
        <v>0</v>
      </c>
      <c r="I2300" s="68">
        <v>0</v>
      </c>
      <c r="J2300" s="66">
        <v>1</v>
      </c>
      <c r="K2300" s="66">
        <v>0</v>
      </c>
      <c r="L2300" s="66">
        <v>0</v>
      </c>
      <c r="M2300" s="62">
        <v>0</v>
      </c>
      <c r="N2300" s="62">
        <v>0</v>
      </c>
      <c r="O2300" s="62">
        <v>2</v>
      </c>
      <c r="P2300" s="62">
        <v>16</v>
      </c>
      <c r="Q2300" s="62">
        <v>1</v>
      </c>
      <c r="R2300" s="62">
        <v>0</v>
      </c>
      <c r="S2300" s="70">
        <v>0</v>
      </c>
      <c r="T2300" s="62">
        <v>0</v>
      </c>
      <c r="U2300" s="62">
        <v>1</v>
      </c>
      <c r="V2300" s="62">
        <v>2</v>
      </c>
      <c r="W2300" s="62">
        <v>0</v>
      </c>
      <c r="X2300" s="62">
        <v>1.5</v>
      </c>
      <c r="Y2300" s="13">
        <v>0</v>
      </c>
      <c r="Z2300" s="62">
        <v>0</v>
      </c>
      <c r="AA2300" s="62">
        <v>0</v>
      </c>
      <c r="AB2300" s="62">
        <v>0</v>
      </c>
      <c r="AC2300" s="62">
        <v>0</v>
      </c>
      <c r="AD2300" s="62">
        <v>0</v>
      </c>
      <c r="AE2300" s="62">
        <v>1</v>
      </c>
      <c r="AF2300" s="62">
        <v>0</v>
      </c>
      <c r="AG2300" s="62">
        <v>1</v>
      </c>
      <c r="AH2300" s="62">
        <v>2</v>
      </c>
      <c r="AI2300" s="70">
        <v>0</v>
      </c>
      <c r="AJ2300" s="70">
        <v>2</v>
      </c>
      <c r="AK2300" s="70">
        <v>0</v>
      </c>
      <c r="AL2300" s="70">
        <v>2</v>
      </c>
      <c r="AM2300" s="62">
        <v>0</v>
      </c>
      <c r="AN2300" s="62">
        <v>0</v>
      </c>
      <c r="AO2300" s="62">
        <v>0</v>
      </c>
      <c r="AP2300" s="62">
        <v>0</v>
      </c>
      <c r="AQ2300" s="62">
        <v>5000</v>
      </c>
      <c r="AR2300" s="62">
        <v>0</v>
      </c>
      <c r="AS2300" s="62">
        <v>15</v>
      </c>
      <c r="AT2300" s="80">
        <v>0</v>
      </c>
      <c r="AU2300" s="348" t="s">
        <v>5346</v>
      </c>
      <c r="AV2300" s="81"/>
      <c r="AW2300" s="61" t="s">
        <v>198</v>
      </c>
      <c r="AX2300" s="62" t="s">
        <v>534</v>
      </c>
      <c r="AY2300" s="66">
        <v>10000007</v>
      </c>
      <c r="AZ2300" s="66">
        <v>77005205</v>
      </c>
      <c r="BA2300" s="61" t="s">
        <v>586</v>
      </c>
      <c r="BB2300" s="62" t="s">
        <v>2321</v>
      </c>
      <c r="BC2300" s="68">
        <v>0</v>
      </c>
      <c r="BD2300" s="68">
        <v>1</v>
      </c>
      <c r="BE2300" s="92" t="s">
        <v>2322</v>
      </c>
      <c r="BF2300" s="92" t="s">
        <v>2323</v>
      </c>
      <c r="BG2300" s="62">
        <v>0</v>
      </c>
      <c r="BH2300" s="62">
        <v>0</v>
      </c>
      <c r="BI2300" s="62">
        <v>0</v>
      </c>
      <c r="BJ2300" s="62">
        <v>0</v>
      </c>
      <c r="BK2300" s="62">
        <v>0</v>
      </c>
      <c r="BL2300" s="62">
        <v>0</v>
      </c>
      <c r="BM2300" s="95">
        <v>0</v>
      </c>
      <c r="BN2300" s="70">
        <v>0</v>
      </c>
      <c r="BO2300" s="70">
        <v>0</v>
      </c>
      <c r="BP2300" s="70">
        <v>0</v>
      </c>
      <c r="BQ2300" s="70">
        <v>0</v>
      </c>
      <c r="BR2300" s="70">
        <v>0</v>
      </c>
      <c r="BS2300" s="70">
        <v>0</v>
      </c>
      <c r="BT2300" s="70">
        <v>0</v>
      </c>
      <c r="BU2300" s="70">
        <v>0</v>
      </c>
      <c r="BV2300" s="49"/>
      <c r="BW2300" s="49"/>
    </row>
    <row r="2301" spans="1:75" s="1" customFormat="1" ht="19.5" customHeight="1">
      <c r="A2301" s="218"/>
      <c r="B2301" s="218"/>
      <c r="C2301" s="66">
        <v>77008007</v>
      </c>
      <c r="D2301" s="61" t="s">
        <v>2324</v>
      </c>
      <c r="E2301" s="61" t="s">
        <v>2325</v>
      </c>
      <c r="F2301" s="66">
        <v>1</v>
      </c>
      <c r="G2301" s="66">
        <v>0</v>
      </c>
      <c r="H2301" s="66">
        <v>0</v>
      </c>
      <c r="I2301" s="68">
        <v>0</v>
      </c>
      <c r="J2301" s="66">
        <v>1</v>
      </c>
      <c r="K2301" s="66">
        <v>0</v>
      </c>
      <c r="L2301" s="66">
        <v>0</v>
      </c>
      <c r="M2301" s="62">
        <v>0</v>
      </c>
      <c r="N2301" s="62">
        <v>0</v>
      </c>
      <c r="O2301" s="62">
        <v>2</v>
      </c>
      <c r="P2301" s="62">
        <v>3</v>
      </c>
      <c r="Q2301" s="62">
        <v>0.2</v>
      </c>
      <c r="R2301" s="62">
        <v>0</v>
      </c>
      <c r="S2301" s="70">
        <v>0</v>
      </c>
      <c r="T2301" s="62">
        <v>0</v>
      </c>
      <c r="U2301" s="62">
        <v>1</v>
      </c>
      <c r="V2301" s="62">
        <v>2</v>
      </c>
      <c r="W2301" s="62">
        <v>0</v>
      </c>
      <c r="X2301" s="62">
        <v>1.5</v>
      </c>
      <c r="Y2301" s="13">
        <v>0</v>
      </c>
      <c r="Z2301" s="62">
        <v>0</v>
      </c>
      <c r="AA2301" s="62">
        <v>1</v>
      </c>
      <c r="AB2301" s="62">
        <v>0</v>
      </c>
      <c r="AC2301" s="62">
        <v>0</v>
      </c>
      <c r="AD2301" s="62">
        <v>1</v>
      </c>
      <c r="AE2301" s="62">
        <v>1</v>
      </c>
      <c r="AF2301" s="62">
        <v>12</v>
      </c>
      <c r="AG2301" s="62">
        <v>1</v>
      </c>
      <c r="AH2301" s="62">
        <v>3</v>
      </c>
      <c r="AI2301" s="70">
        <v>1</v>
      </c>
      <c r="AJ2301" s="70">
        <v>1</v>
      </c>
      <c r="AK2301" s="70">
        <v>0</v>
      </c>
      <c r="AL2301" s="70">
        <v>3</v>
      </c>
      <c r="AM2301" s="62">
        <v>0</v>
      </c>
      <c r="AN2301" s="62">
        <v>0</v>
      </c>
      <c r="AO2301" s="62">
        <v>0</v>
      </c>
      <c r="AP2301" s="62">
        <v>0</v>
      </c>
      <c r="AQ2301" s="62">
        <v>2000</v>
      </c>
      <c r="AR2301" s="62">
        <v>0.3</v>
      </c>
      <c r="AS2301" s="62">
        <v>0</v>
      </c>
      <c r="AT2301" s="70">
        <v>0</v>
      </c>
      <c r="AU2301" s="348" t="s">
        <v>5406</v>
      </c>
      <c r="AV2301" s="81"/>
      <c r="AW2301" s="65" t="s">
        <v>198</v>
      </c>
      <c r="AX2301" s="62" t="s">
        <v>534</v>
      </c>
      <c r="AY2301" s="66">
        <v>0</v>
      </c>
      <c r="AZ2301" s="66">
        <v>77005202</v>
      </c>
      <c r="BA2301" s="61" t="s">
        <v>200</v>
      </c>
      <c r="BB2301" s="62">
        <v>0</v>
      </c>
      <c r="BC2301" s="68">
        <v>0</v>
      </c>
      <c r="BD2301" s="68">
        <v>0</v>
      </c>
      <c r="BE2301" s="92" t="s">
        <v>2224</v>
      </c>
      <c r="BF2301" s="92" t="s">
        <v>2225</v>
      </c>
      <c r="BG2301" s="62">
        <v>0</v>
      </c>
      <c r="BH2301" s="62">
        <v>0</v>
      </c>
      <c r="BI2301" s="62">
        <v>0</v>
      </c>
      <c r="BJ2301" s="62">
        <v>0</v>
      </c>
      <c r="BK2301" s="62">
        <v>0</v>
      </c>
      <c r="BL2301" s="62">
        <v>0</v>
      </c>
      <c r="BM2301" s="95">
        <v>0</v>
      </c>
      <c r="BN2301" s="70">
        <v>0</v>
      </c>
      <c r="BO2301" s="70">
        <v>0</v>
      </c>
      <c r="BP2301" s="70">
        <v>0</v>
      </c>
      <c r="BQ2301" s="70">
        <v>0</v>
      </c>
      <c r="BR2301" s="70">
        <v>0</v>
      </c>
      <c r="BS2301" s="70">
        <v>0</v>
      </c>
      <c r="BT2301" s="70">
        <v>0</v>
      </c>
      <c r="BU2301" s="70">
        <v>0</v>
      </c>
      <c r="BV2301" s="49"/>
      <c r="BW2301" s="49"/>
    </row>
    <row r="2302" spans="1:75" ht="19.5" customHeight="1">
      <c r="A2302" s="140"/>
      <c r="B2302" s="140"/>
      <c r="C2302" s="102">
        <v>77009001</v>
      </c>
      <c r="D2302" s="101" t="s">
        <v>2327</v>
      </c>
      <c r="E2302" s="101" t="s">
        <v>2328</v>
      </c>
      <c r="F2302" s="103">
        <v>1</v>
      </c>
      <c r="G2302" s="103">
        <v>63021101</v>
      </c>
      <c r="H2302" s="103">
        <v>0</v>
      </c>
      <c r="I2302" s="107">
        <v>0</v>
      </c>
      <c r="J2302" s="102">
        <v>1</v>
      </c>
      <c r="K2302" s="103">
        <v>0</v>
      </c>
      <c r="L2302" s="103">
        <v>0</v>
      </c>
      <c r="M2302" s="103">
        <v>0</v>
      </c>
      <c r="N2302" s="103">
        <v>0</v>
      </c>
      <c r="O2302" s="103">
        <v>1</v>
      </c>
      <c r="P2302" s="103">
        <v>0</v>
      </c>
      <c r="Q2302" s="103">
        <v>0</v>
      </c>
      <c r="R2302" s="103">
        <v>0</v>
      </c>
      <c r="S2302" s="108">
        <v>0</v>
      </c>
      <c r="T2302" s="103">
        <v>0</v>
      </c>
      <c r="U2302" s="103">
        <v>1</v>
      </c>
      <c r="V2302" s="103">
        <v>1</v>
      </c>
      <c r="W2302" s="103">
        <v>0</v>
      </c>
      <c r="X2302" s="103">
        <v>1</v>
      </c>
      <c r="Y2302" s="13">
        <v>0</v>
      </c>
      <c r="Z2302" s="103">
        <v>0</v>
      </c>
      <c r="AA2302" s="103">
        <v>0</v>
      </c>
      <c r="AB2302" s="103">
        <v>0</v>
      </c>
      <c r="AC2302" s="103">
        <v>0</v>
      </c>
      <c r="AD2302" s="103">
        <v>0</v>
      </c>
      <c r="AE2302" s="103">
        <v>0</v>
      </c>
      <c r="AF2302" s="103">
        <v>6</v>
      </c>
      <c r="AG2302" s="103">
        <v>1</v>
      </c>
      <c r="AH2302" s="116">
        <v>6</v>
      </c>
      <c r="AI2302" s="108">
        <v>2</v>
      </c>
      <c r="AJ2302" s="108">
        <v>1</v>
      </c>
      <c r="AK2302" s="108">
        <v>0</v>
      </c>
      <c r="AL2302" s="108">
        <v>8</v>
      </c>
      <c r="AM2302" s="103">
        <v>0</v>
      </c>
      <c r="AN2302" s="103">
        <v>0</v>
      </c>
      <c r="AO2302" s="103">
        <v>0</v>
      </c>
      <c r="AP2302" s="103">
        <v>0.2</v>
      </c>
      <c r="AQ2302" s="103">
        <v>5000</v>
      </c>
      <c r="AR2302" s="103">
        <v>0.2</v>
      </c>
      <c r="AS2302" s="103">
        <v>0</v>
      </c>
      <c r="AT2302" s="108">
        <v>0</v>
      </c>
      <c r="AU2302" s="103">
        <v>97050301</v>
      </c>
      <c r="AV2302" s="103"/>
      <c r="AW2302" s="101" t="s">
        <v>198</v>
      </c>
      <c r="AX2302" s="103" t="s">
        <v>534</v>
      </c>
      <c r="AY2302" s="102">
        <v>10000001</v>
      </c>
      <c r="AZ2302" s="102">
        <v>77005301</v>
      </c>
      <c r="BA2302" s="101" t="s">
        <v>2329</v>
      </c>
      <c r="BB2302" s="103" t="s">
        <v>5407</v>
      </c>
      <c r="BC2302" s="108">
        <v>0</v>
      </c>
      <c r="BD2302" s="108">
        <v>0</v>
      </c>
      <c r="BE2302" s="139" t="s">
        <v>5408</v>
      </c>
      <c r="BF2302" s="139" t="s">
        <v>5409</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pans="1:75" ht="20.100000000000001" customHeight="1">
      <c r="A2303" s="140"/>
      <c r="B2303" s="140"/>
      <c r="C2303" s="102">
        <v>77009002</v>
      </c>
      <c r="D2303" s="101" t="s">
        <v>5410</v>
      </c>
      <c r="E2303" s="310" t="s">
        <v>5411</v>
      </c>
      <c r="F2303" s="99">
        <v>1</v>
      </c>
      <c r="G2303" s="103">
        <v>63021101</v>
      </c>
      <c r="H2303" s="102">
        <v>0</v>
      </c>
      <c r="I2303" s="107">
        <v>0</v>
      </c>
      <c r="J2303" s="102">
        <v>1</v>
      </c>
      <c r="K2303" s="103">
        <v>0</v>
      </c>
      <c r="L2303" s="102">
        <v>0</v>
      </c>
      <c r="M2303" s="103">
        <v>0</v>
      </c>
      <c r="N2303" s="103">
        <v>0</v>
      </c>
      <c r="O2303" s="103">
        <v>1</v>
      </c>
      <c r="P2303" s="103">
        <v>0</v>
      </c>
      <c r="Q2303" s="103">
        <v>0</v>
      </c>
      <c r="R2303" s="103">
        <v>0</v>
      </c>
      <c r="S2303" s="108">
        <v>0</v>
      </c>
      <c r="T2303" s="103">
        <v>0</v>
      </c>
      <c r="U2303" s="103">
        <v>1</v>
      </c>
      <c r="V2303" s="103">
        <v>1</v>
      </c>
      <c r="W2303" s="103">
        <v>0</v>
      </c>
      <c r="X2303" s="103">
        <v>2</v>
      </c>
      <c r="Y2303" s="13">
        <v>0</v>
      </c>
      <c r="Z2303" s="103">
        <v>0</v>
      </c>
      <c r="AA2303" s="103">
        <v>0</v>
      </c>
      <c r="AB2303" s="103">
        <v>0</v>
      </c>
      <c r="AC2303" s="103">
        <v>0</v>
      </c>
      <c r="AD2303" s="103">
        <v>0</v>
      </c>
      <c r="AE2303" s="103">
        <v>0</v>
      </c>
      <c r="AF2303" s="103">
        <v>9</v>
      </c>
      <c r="AG2303" s="103">
        <v>1</v>
      </c>
      <c r="AH2303" s="103">
        <v>3</v>
      </c>
      <c r="AI2303" s="108">
        <v>3</v>
      </c>
      <c r="AJ2303" s="108">
        <v>0</v>
      </c>
      <c r="AK2303" s="108">
        <v>0</v>
      </c>
      <c r="AL2303" s="108">
        <v>1.5</v>
      </c>
      <c r="AM2303" s="103">
        <v>0</v>
      </c>
      <c r="AN2303" s="103">
        <v>0</v>
      </c>
      <c r="AO2303" s="103">
        <v>0</v>
      </c>
      <c r="AP2303" s="103">
        <v>0.2</v>
      </c>
      <c r="AQ2303" s="103">
        <v>2000</v>
      </c>
      <c r="AR2303" s="103">
        <v>0.4</v>
      </c>
      <c r="AS2303" s="103">
        <v>0</v>
      </c>
      <c r="AT2303" s="108">
        <v>0</v>
      </c>
      <c r="AU2303" s="353" t="s">
        <v>5412</v>
      </c>
      <c r="AV2303" s="116"/>
      <c r="AW2303" s="104" t="s">
        <v>198</v>
      </c>
      <c r="AX2303" s="103" t="s">
        <v>545</v>
      </c>
      <c r="AY2303" s="102">
        <v>10000001</v>
      </c>
      <c r="AZ2303" s="102">
        <v>77005302</v>
      </c>
      <c r="BA2303" s="101" t="s">
        <v>200</v>
      </c>
      <c r="BB2303" s="103" t="s">
        <v>5413</v>
      </c>
      <c r="BC2303" s="107">
        <v>0</v>
      </c>
      <c r="BD2303" s="107">
        <v>0</v>
      </c>
      <c r="BE2303" s="121" t="s">
        <v>5414</v>
      </c>
      <c r="BF2303" s="121" t="s">
        <v>5415</v>
      </c>
      <c r="BG2303" s="103">
        <v>0</v>
      </c>
      <c r="BH2303" s="103">
        <v>0</v>
      </c>
      <c r="BI2303" s="103">
        <v>0</v>
      </c>
      <c r="BJ2303" s="103">
        <v>0</v>
      </c>
      <c r="BK2303" s="103">
        <v>0</v>
      </c>
      <c r="BL2303" s="103">
        <v>0</v>
      </c>
      <c r="BM2303" s="99">
        <v>0</v>
      </c>
      <c r="BN2303" s="108">
        <v>0</v>
      </c>
      <c r="BO2303" s="108">
        <v>0</v>
      </c>
      <c r="BP2303" s="108">
        <v>0</v>
      </c>
      <c r="BQ2303" s="108">
        <v>0</v>
      </c>
      <c r="BR2303" s="108">
        <v>0</v>
      </c>
      <c r="BS2303" s="108">
        <v>1</v>
      </c>
      <c r="BT2303" s="108">
        <v>0</v>
      </c>
      <c r="BU2303" s="108">
        <v>0</v>
      </c>
      <c r="BV2303" s="49"/>
      <c r="BW2303" s="49"/>
    </row>
    <row r="2304" spans="1:75" ht="20.100000000000001" customHeight="1">
      <c r="A2304" s="140"/>
      <c r="B2304" s="140"/>
      <c r="C2304" s="102">
        <v>77009003</v>
      </c>
      <c r="D2304" s="101" t="s">
        <v>2338</v>
      </c>
      <c r="E2304" s="310" t="s">
        <v>2339</v>
      </c>
      <c r="F2304" s="99">
        <v>1</v>
      </c>
      <c r="G2304" s="103">
        <v>63021101</v>
      </c>
      <c r="H2304" s="102">
        <v>0</v>
      </c>
      <c r="I2304" s="107">
        <v>0</v>
      </c>
      <c r="J2304" s="102">
        <v>1</v>
      </c>
      <c r="K2304" s="103">
        <v>0</v>
      </c>
      <c r="L2304" s="102">
        <v>0</v>
      </c>
      <c r="M2304" s="103">
        <v>0</v>
      </c>
      <c r="N2304" s="103">
        <v>0</v>
      </c>
      <c r="O2304" s="103">
        <v>1</v>
      </c>
      <c r="P2304" s="103">
        <v>0</v>
      </c>
      <c r="Q2304" s="103">
        <v>0</v>
      </c>
      <c r="R2304" s="103">
        <v>0</v>
      </c>
      <c r="S2304" s="108">
        <v>0</v>
      </c>
      <c r="T2304" s="103">
        <v>0</v>
      </c>
      <c r="U2304" s="103">
        <v>1</v>
      </c>
      <c r="V2304" s="103">
        <v>1</v>
      </c>
      <c r="W2304" s="103">
        <v>0</v>
      </c>
      <c r="X2304" s="103">
        <v>2</v>
      </c>
      <c r="Y2304" s="13">
        <v>0</v>
      </c>
      <c r="Z2304" s="103">
        <v>0</v>
      </c>
      <c r="AA2304" s="103">
        <v>0</v>
      </c>
      <c r="AB2304" s="103">
        <v>0</v>
      </c>
      <c r="AC2304" s="103">
        <v>0</v>
      </c>
      <c r="AD2304" s="103">
        <v>0</v>
      </c>
      <c r="AE2304" s="103">
        <v>0</v>
      </c>
      <c r="AF2304" s="103">
        <v>9</v>
      </c>
      <c r="AG2304" s="103">
        <v>1</v>
      </c>
      <c r="AH2304" s="103">
        <v>3</v>
      </c>
      <c r="AI2304" s="108">
        <v>0</v>
      </c>
      <c r="AJ2304" s="108">
        <v>0</v>
      </c>
      <c r="AK2304" s="108">
        <v>0</v>
      </c>
      <c r="AL2304" s="108">
        <v>1.5</v>
      </c>
      <c r="AM2304" s="103">
        <v>0</v>
      </c>
      <c r="AN2304" s="103">
        <v>0</v>
      </c>
      <c r="AO2304" s="103">
        <v>0</v>
      </c>
      <c r="AP2304" s="102">
        <v>0.2</v>
      </c>
      <c r="AQ2304" s="103">
        <v>3000</v>
      </c>
      <c r="AR2304" s="103">
        <v>0.2</v>
      </c>
      <c r="AS2304" s="103">
        <v>0</v>
      </c>
      <c r="AT2304" s="108">
        <v>0</v>
      </c>
      <c r="AU2304" s="103">
        <v>0</v>
      </c>
      <c r="AV2304" s="103"/>
      <c r="AW2304" s="101" t="s">
        <v>198</v>
      </c>
      <c r="AX2304" s="103" t="s">
        <v>545</v>
      </c>
      <c r="AY2304" s="102">
        <v>0</v>
      </c>
      <c r="AZ2304" s="102">
        <v>77005303</v>
      </c>
      <c r="BA2304" s="101" t="s">
        <v>5416</v>
      </c>
      <c r="BB2304" s="103">
        <v>90005004</v>
      </c>
      <c r="BC2304" s="107">
        <v>0</v>
      </c>
      <c r="BD2304" s="107">
        <v>0</v>
      </c>
      <c r="BE2304" s="121" t="s">
        <v>5417</v>
      </c>
      <c r="BF2304" s="121" t="s">
        <v>5418</v>
      </c>
      <c r="BG2304" s="103">
        <v>0</v>
      </c>
      <c r="BH2304" s="103">
        <v>0</v>
      </c>
      <c r="BI2304" s="103">
        <v>0</v>
      </c>
      <c r="BJ2304" s="103">
        <v>0</v>
      </c>
      <c r="BK2304" s="103">
        <v>0</v>
      </c>
      <c r="BL2304" s="103">
        <v>0</v>
      </c>
      <c r="BM2304" s="99">
        <v>0</v>
      </c>
      <c r="BN2304" s="108">
        <v>0</v>
      </c>
      <c r="BO2304" s="108">
        <v>0</v>
      </c>
      <c r="BP2304" s="108">
        <v>0</v>
      </c>
      <c r="BQ2304" s="108">
        <v>0</v>
      </c>
      <c r="BR2304" s="108">
        <v>0</v>
      </c>
      <c r="BS2304" s="108">
        <v>0</v>
      </c>
      <c r="BT2304" s="108">
        <v>0</v>
      </c>
      <c r="BU2304" s="108">
        <v>0</v>
      </c>
      <c r="BV2304" s="49"/>
      <c r="BW2304" s="49"/>
    </row>
    <row r="2305" spans="1:75" ht="20.100000000000001" customHeight="1">
      <c r="A2305" s="140"/>
      <c r="B2305" s="140"/>
      <c r="C2305" s="102">
        <v>77009004</v>
      </c>
      <c r="D2305" s="101" t="s">
        <v>2345</v>
      </c>
      <c r="E2305" s="310" t="s">
        <v>2346</v>
      </c>
      <c r="F2305" s="99">
        <v>1</v>
      </c>
      <c r="G2305" s="103">
        <v>63021101</v>
      </c>
      <c r="H2305" s="102">
        <v>0</v>
      </c>
      <c r="I2305" s="107">
        <v>0</v>
      </c>
      <c r="J2305" s="102">
        <v>1</v>
      </c>
      <c r="K2305" s="103">
        <v>0</v>
      </c>
      <c r="L2305" s="102">
        <v>0</v>
      </c>
      <c r="M2305" s="103">
        <v>0</v>
      </c>
      <c r="N2305" s="103">
        <v>0</v>
      </c>
      <c r="O2305" s="103">
        <v>1</v>
      </c>
      <c r="P2305" s="103">
        <v>0</v>
      </c>
      <c r="Q2305" s="103">
        <v>0</v>
      </c>
      <c r="R2305" s="103">
        <v>0</v>
      </c>
      <c r="S2305" s="108">
        <v>0</v>
      </c>
      <c r="T2305" s="103">
        <v>0</v>
      </c>
      <c r="U2305" s="103">
        <v>1</v>
      </c>
      <c r="V2305" s="103">
        <v>1</v>
      </c>
      <c r="W2305" s="103">
        <v>0</v>
      </c>
      <c r="X2305" s="103">
        <v>0</v>
      </c>
      <c r="Y2305" s="13">
        <v>0</v>
      </c>
      <c r="Z2305" s="103">
        <v>0</v>
      </c>
      <c r="AA2305" s="103">
        <v>0</v>
      </c>
      <c r="AB2305" s="103">
        <v>0</v>
      </c>
      <c r="AC2305" s="103">
        <v>0</v>
      </c>
      <c r="AD2305" s="103">
        <v>0</v>
      </c>
      <c r="AE2305" s="103">
        <v>0</v>
      </c>
      <c r="AF2305" s="103">
        <v>24</v>
      </c>
      <c r="AG2305" s="103">
        <v>0</v>
      </c>
      <c r="AH2305" s="103">
        <v>0</v>
      </c>
      <c r="AI2305" s="108">
        <v>0</v>
      </c>
      <c r="AJ2305" s="108">
        <v>0</v>
      </c>
      <c r="AK2305" s="108">
        <v>0</v>
      </c>
      <c r="AL2305" s="108">
        <v>1.5</v>
      </c>
      <c r="AM2305" s="103">
        <v>0</v>
      </c>
      <c r="AN2305" s="103">
        <v>0</v>
      </c>
      <c r="AO2305" s="103">
        <v>0</v>
      </c>
      <c r="AP2305" s="102">
        <v>0.2</v>
      </c>
      <c r="AQ2305" s="103">
        <v>3000</v>
      </c>
      <c r="AR2305" s="103">
        <v>0.2</v>
      </c>
      <c r="AS2305" s="103">
        <v>0</v>
      </c>
      <c r="AT2305" s="108">
        <v>0</v>
      </c>
      <c r="AU2305" s="103">
        <v>0</v>
      </c>
      <c r="AV2305" s="103"/>
      <c r="AW2305" s="101" t="s">
        <v>198</v>
      </c>
      <c r="AX2305" s="103" t="s">
        <v>545</v>
      </c>
      <c r="AY2305" s="102">
        <v>0</v>
      </c>
      <c r="AZ2305" s="102">
        <v>0</v>
      </c>
      <c r="BA2305" s="101" t="s">
        <v>2347</v>
      </c>
      <c r="BB2305" s="354" t="s">
        <v>5419</v>
      </c>
      <c r="BC2305" s="107">
        <v>0</v>
      </c>
      <c r="BD2305" s="107">
        <v>0</v>
      </c>
      <c r="BE2305" s="121" t="s">
        <v>5420</v>
      </c>
      <c r="BF2305" s="121" t="s">
        <v>5421</v>
      </c>
      <c r="BG2305" s="103">
        <v>0</v>
      </c>
      <c r="BH2305" s="103">
        <v>0</v>
      </c>
      <c r="BI2305" s="103">
        <v>0</v>
      </c>
      <c r="BJ2305" s="103">
        <v>0</v>
      </c>
      <c r="BK2305" s="103">
        <v>0</v>
      </c>
      <c r="BL2305" s="103">
        <v>0</v>
      </c>
      <c r="BM2305" s="99">
        <v>0</v>
      </c>
      <c r="BN2305" s="108">
        <v>0</v>
      </c>
      <c r="BO2305" s="108">
        <v>0</v>
      </c>
      <c r="BP2305" s="108">
        <v>0</v>
      </c>
      <c r="BQ2305" s="108">
        <v>0</v>
      </c>
      <c r="BR2305" s="108">
        <v>0</v>
      </c>
      <c r="BS2305" s="108">
        <v>0</v>
      </c>
      <c r="BT2305" s="108">
        <v>0</v>
      </c>
      <c r="BU2305" s="108">
        <v>0</v>
      </c>
      <c r="BV2305" s="49"/>
      <c r="BW2305" s="49"/>
    </row>
    <row r="2306" spans="1:75" ht="20.100000000000001" customHeight="1">
      <c r="A2306" s="140"/>
      <c r="B2306" s="140"/>
      <c r="C2306" s="102">
        <v>77009005</v>
      </c>
      <c r="D2306" s="101" t="s">
        <v>600</v>
      </c>
      <c r="E2306" s="310" t="s">
        <v>601</v>
      </c>
      <c r="F2306" s="99">
        <v>1</v>
      </c>
      <c r="G2306" s="103">
        <v>63021101</v>
      </c>
      <c r="H2306" s="102">
        <v>0</v>
      </c>
      <c r="I2306" s="107">
        <v>0</v>
      </c>
      <c r="J2306" s="102">
        <v>1</v>
      </c>
      <c r="K2306" s="103">
        <v>0</v>
      </c>
      <c r="L2306" s="102">
        <v>0</v>
      </c>
      <c r="M2306" s="103">
        <v>0</v>
      </c>
      <c r="N2306" s="103">
        <v>0</v>
      </c>
      <c r="O2306" s="103">
        <v>1</v>
      </c>
      <c r="P2306" s="103">
        <v>0</v>
      </c>
      <c r="Q2306" s="103">
        <v>0</v>
      </c>
      <c r="R2306" s="103">
        <v>0</v>
      </c>
      <c r="S2306" s="108">
        <v>0</v>
      </c>
      <c r="T2306" s="103">
        <v>0</v>
      </c>
      <c r="U2306" s="103">
        <v>1</v>
      </c>
      <c r="V2306" s="103">
        <v>1</v>
      </c>
      <c r="W2306" s="103">
        <v>0</v>
      </c>
      <c r="X2306" s="103">
        <v>0</v>
      </c>
      <c r="Y2306" s="13">
        <v>0</v>
      </c>
      <c r="Z2306" s="103">
        <v>0</v>
      </c>
      <c r="AA2306" s="103">
        <v>0</v>
      </c>
      <c r="AB2306" s="103">
        <v>0</v>
      </c>
      <c r="AC2306" s="103">
        <v>0</v>
      </c>
      <c r="AD2306" s="103">
        <v>0</v>
      </c>
      <c r="AE2306" s="103">
        <v>0</v>
      </c>
      <c r="AF2306" s="103">
        <v>24</v>
      </c>
      <c r="AG2306" s="103">
        <v>0</v>
      </c>
      <c r="AH2306" s="103">
        <v>0</v>
      </c>
      <c r="AI2306" s="108">
        <v>0</v>
      </c>
      <c r="AJ2306" s="108">
        <v>0</v>
      </c>
      <c r="AK2306" s="108">
        <v>0</v>
      </c>
      <c r="AL2306" s="108">
        <v>1.5</v>
      </c>
      <c r="AM2306" s="103">
        <v>0</v>
      </c>
      <c r="AN2306" s="103">
        <v>0</v>
      </c>
      <c r="AO2306" s="103">
        <v>0</v>
      </c>
      <c r="AP2306" s="102">
        <v>0.2</v>
      </c>
      <c r="AQ2306" s="103">
        <v>3000</v>
      </c>
      <c r="AR2306" s="103">
        <v>0.2</v>
      </c>
      <c r="AS2306" s="103">
        <v>0</v>
      </c>
      <c r="AT2306" s="108">
        <v>0</v>
      </c>
      <c r="AU2306" s="103" t="s">
        <v>198</v>
      </c>
      <c r="AV2306" s="103"/>
      <c r="AW2306" s="101" t="s">
        <v>198</v>
      </c>
      <c r="AX2306" s="103" t="s">
        <v>545</v>
      </c>
      <c r="AY2306" s="102">
        <v>0</v>
      </c>
      <c r="AZ2306" s="102">
        <v>0</v>
      </c>
      <c r="BA2306" s="101" t="s">
        <v>2363</v>
      </c>
      <c r="BB2306" s="354" t="s">
        <v>5422</v>
      </c>
      <c r="BC2306" s="107">
        <v>0</v>
      </c>
      <c r="BD2306" s="107">
        <v>0</v>
      </c>
      <c r="BE2306" s="121" t="s">
        <v>2365</v>
      </c>
      <c r="BF2306" s="121" t="s">
        <v>2366</v>
      </c>
      <c r="BG2306" s="103">
        <v>0</v>
      </c>
      <c r="BH2306" s="103">
        <v>0</v>
      </c>
      <c r="BI2306" s="103">
        <v>0</v>
      </c>
      <c r="BJ2306" s="103">
        <v>0</v>
      </c>
      <c r="BK2306" s="103">
        <v>0</v>
      </c>
      <c r="BL2306" s="103">
        <v>0</v>
      </c>
      <c r="BM2306" s="99">
        <v>0</v>
      </c>
      <c r="BN2306" s="108">
        <v>0</v>
      </c>
      <c r="BO2306" s="108">
        <v>0</v>
      </c>
      <c r="BP2306" s="108">
        <v>0</v>
      </c>
      <c r="BQ2306" s="108">
        <v>0</v>
      </c>
      <c r="BR2306" s="108">
        <v>0</v>
      </c>
      <c r="BS2306" s="108">
        <v>0</v>
      </c>
      <c r="BT2306" s="108">
        <v>0</v>
      </c>
      <c r="BU2306" s="108">
        <v>0</v>
      </c>
      <c r="BV2306" s="49"/>
      <c r="BW2306" s="49"/>
    </row>
    <row r="2307" spans="1:75" s="2" customFormat="1" ht="20.100000000000001" customHeight="1">
      <c r="A2307" s="6"/>
      <c r="B2307" s="6"/>
      <c r="C2307" s="102">
        <v>77009006</v>
      </c>
      <c r="D2307" s="104" t="s">
        <v>2367</v>
      </c>
      <c r="E2307" s="104" t="s">
        <v>2368</v>
      </c>
      <c r="F2307" s="103">
        <v>1</v>
      </c>
      <c r="G2307" s="103">
        <v>0</v>
      </c>
      <c r="H2307" s="102">
        <v>0</v>
      </c>
      <c r="I2307" s="107">
        <v>0</v>
      </c>
      <c r="J2307" s="103">
        <v>1</v>
      </c>
      <c r="K2307" s="103">
        <v>0</v>
      </c>
      <c r="L2307" s="103">
        <v>0</v>
      </c>
      <c r="M2307" s="102">
        <v>0</v>
      </c>
      <c r="N2307" s="102">
        <v>0</v>
      </c>
      <c r="O2307" s="102">
        <v>2</v>
      </c>
      <c r="P2307" s="102">
        <v>16</v>
      </c>
      <c r="Q2307" s="102">
        <v>10</v>
      </c>
      <c r="R2307" s="102">
        <v>0</v>
      </c>
      <c r="S2307" s="108">
        <v>0</v>
      </c>
      <c r="T2307" s="107">
        <v>0</v>
      </c>
      <c r="U2307" s="103">
        <v>1</v>
      </c>
      <c r="V2307" s="102">
        <v>2</v>
      </c>
      <c r="W2307" s="102">
        <v>0</v>
      </c>
      <c r="X2307" s="102">
        <v>2.6</v>
      </c>
      <c r="Y2307" s="13">
        <v>0</v>
      </c>
      <c r="Z2307" s="102">
        <v>0</v>
      </c>
      <c r="AA2307" s="102">
        <v>1</v>
      </c>
      <c r="AB2307" s="102">
        <v>0</v>
      </c>
      <c r="AC2307" s="102">
        <v>0</v>
      </c>
      <c r="AD2307" s="102">
        <v>0</v>
      </c>
      <c r="AE2307" s="102">
        <v>0</v>
      </c>
      <c r="AF2307" s="102">
        <v>0</v>
      </c>
      <c r="AG2307" s="102">
        <v>2</v>
      </c>
      <c r="AH2307" s="102" t="s">
        <v>213</v>
      </c>
      <c r="AI2307" s="108">
        <v>0</v>
      </c>
      <c r="AJ2307" s="108">
        <v>2</v>
      </c>
      <c r="AK2307" s="108">
        <v>0</v>
      </c>
      <c r="AL2307" s="108">
        <v>3</v>
      </c>
      <c r="AM2307" s="102">
        <v>0</v>
      </c>
      <c r="AN2307" s="102">
        <v>0</v>
      </c>
      <c r="AO2307" s="102">
        <v>0</v>
      </c>
      <c r="AP2307" s="102">
        <v>1</v>
      </c>
      <c r="AQ2307" s="102">
        <v>2000</v>
      </c>
      <c r="AR2307" s="102">
        <v>1</v>
      </c>
      <c r="AS2307" s="102">
        <v>0</v>
      </c>
      <c r="AT2307" s="108">
        <v>0</v>
      </c>
      <c r="AU2307" s="102">
        <v>97050303</v>
      </c>
      <c r="AV2307" s="102"/>
      <c r="AW2307" s="104" t="s">
        <v>287</v>
      </c>
      <c r="AX2307" s="102" t="s">
        <v>534</v>
      </c>
      <c r="AY2307" s="102">
        <v>10000015</v>
      </c>
      <c r="AZ2307" s="102">
        <v>77005304</v>
      </c>
      <c r="BA2307" s="101" t="s">
        <v>200</v>
      </c>
      <c r="BB2307" s="104">
        <v>0</v>
      </c>
      <c r="BC2307" s="107">
        <v>0</v>
      </c>
      <c r="BD2307" s="107">
        <v>0</v>
      </c>
      <c r="BE2307" s="166" t="s">
        <v>2369</v>
      </c>
      <c r="BF2307" s="166" t="s">
        <v>2370</v>
      </c>
      <c r="BG2307" s="102">
        <v>0</v>
      </c>
      <c r="BH2307" s="103">
        <v>0</v>
      </c>
      <c r="BI2307" s="102">
        <v>0</v>
      </c>
      <c r="BJ2307" s="102">
        <v>0</v>
      </c>
      <c r="BK2307" s="102">
        <v>0</v>
      </c>
      <c r="BL2307" s="102">
        <v>0</v>
      </c>
      <c r="BM2307" s="99">
        <v>0</v>
      </c>
      <c r="BN2307" s="108">
        <v>1</v>
      </c>
      <c r="BO2307" s="108">
        <v>0</v>
      </c>
      <c r="BP2307" s="108">
        <v>0</v>
      </c>
      <c r="BQ2307" s="108">
        <v>0</v>
      </c>
      <c r="BR2307" s="108">
        <v>0</v>
      </c>
      <c r="BS2307" s="108">
        <v>0</v>
      </c>
      <c r="BT2307" s="108">
        <v>0</v>
      </c>
      <c r="BU2307" s="108">
        <v>0</v>
      </c>
      <c r="BV2307" s="49"/>
      <c r="BW2307" s="49"/>
    </row>
    <row r="2308" spans="1:75" ht="19.5" customHeight="1">
      <c r="A2308" s="140"/>
      <c r="B2308" s="140"/>
      <c r="C2308" s="102">
        <v>77009007</v>
      </c>
      <c r="D2308" s="101" t="s">
        <v>1265</v>
      </c>
      <c r="E2308" s="101" t="s">
        <v>1266</v>
      </c>
      <c r="F2308" s="103">
        <v>1</v>
      </c>
      <c r="G2308" s="103">
        <v>0</v>
      </c>
      <c r="H2308" s="103">
        <v>0</v>
      </c>
      <c r="I2308" s="107">
        <v>0</v>
      </c>
      <c r="J2308" s="102">
        <v>1</v>
      </c>
      <c r="K2308" s="102">
        <v>0</v>
      </c>
      <c r="L2308" s="102">
        <v>0</v>
      </c>
      <c r="M2308" s="103">
        <v>0</v>
      </c>
      <c r="N2308" s="103">
        <v>0</v>
      </c>
      <c r="O2308" s="103">
        <v>2</v>
      </c>
      <c r="P2308" s="103">
        <v>1</v>
      </c>
      <c r="Q2308" s="103">
        <v>0.2</v>
      </c>
      <c r="R2308" s="103">
        <v>0</v>
      </c>
      <c r="S2308" s="108">
        <v>0</v>
      </c>
      <c r="T2308" s="103">
        <v>0</v>
      </c>
      <c r="U2308" s="103">
        <v>1</v>
      </c>
      <c r="V2308" s="103">
        <v>1</v>
      </c>
      <c r="W2308" s="103">
        <v>0</v>
      </c>
      <c r="X2308" s="103">
        <v>0</v>
      </c>
      <c r="Y2308" s="13">
        <v>0</v>
      </c>
      <c r="Z2308" s="103">
        <v>0</v>
      </c>
      <c r="AA2308" s="103">
        <v>1</v>
      </c>
      <c r="AB2308" s="103">
        <v>0</v>
      </c>
      <c r="AC2308" s="103">
        <v>0</v>
      </c>
      <c r="AD2308" s="103">
        <v>0</v>
      </c>
      <c r="AE2308" s="103">
        <v>1</v>
      </c>
      <c r="AF2308" s="103">
        <v>12</v>
      </c>
      <c r="AG2308" s="103">
        <v>2</v>
      </c>
      <c r="AH2308" s="103" t="s">
        <v>213</v>
      </c>
      <c r="AI2308" s="108">
        <v>0</v>
      </c>
      <c r="AJ2308" s="108">
        <v>2</v>
      </c>
      <c r="AK2308" s="108">
        <v>0</v>
      </c>
      <c r="AL2308" s="108">
        <v>1.5</v>
      </c>
      <c r="AM2308" s="103">
        <v>0</v>
      </c>
      <c r="AN2308" s="103">
        <v>0</v>
      </c>
      <c r="AO2308" s="103">
        <v>0</v>
      </c>
      <c r="AP2308" s="103">
        <v>0.3</v>
      </c>
      <c r="AQ2308" s="103">
        <v>300</v>
      </c>
      <c r="AR2308" s="103">
        <v>0</v>
      </c>
      <c r="AS2308" s="103">
        <v>15</v>
      </c>
      <c r="AT2308" s="108">
        <v>0</v>
      </c>
      <c r="AU2308" s="116">
        <v>0</v>
      </c>
      <c r="AV2308" s="116"/>
      <c r="AW2308" s="101" t="s">
        <v>198</v>
      </c>
      <c r="AX2308" s="103" t="s">
        <v>215</v>
      </c>
      <c r="AY2308" s="102">
        <v>0</v>
      </c>
      <c r="AZ2308" s="102">
        <v>0</v>
      </c>
      <c r="BA2308" s="138" t="s">
        <v>216</v>
      </c>
      <c r="BB2308" s="103">
        <v>1</v>
      </c>
      <c r="BC2308" s="107">
        <v>0</v>
      </c>
      <c r="BD2308" s="107">
        <v>0</v>
      </c>
      <c r="BE2308" s="121" t="s">
        <v>2371</v>
      </c>
      <c r="BF2308" s="121" t="s">
        <v>2372</v>
      </c>
      <c r="BG2308" s="103">
        <v>0</v>
      </c>
      <c r="BH2308" s="103">
        <v>0</v>
      </c>
      <c r="BI2308" s="103">
        <v>0</v>
      </c>
      <c r="BJ2308" s="103">
        <v>0</v>
      </c>
      <c r="BK2308" s="103">
        <v>0</v>
      </c>
      <c r="BL2308" s="103">
        <v>0</v>
      </c>
      <c r="BM2308" s="99">
        <v>0</v>
      </c>
      <c r="BN2308" s="108">
        <v>0</v>
      </c>
      <c r="BO2308" s="108">
        <v>0</v>
      </c>
      <c r="BP2308" s="108">
        <v>0</v>
      </c>
      <c r="BQ2308" s="108">
        <v>0</v>
      </c>
      <c r="BR2308" s="108">
        <v>0</v>
      </c>
      <c r="BS2308" s="108">
        <v>1</v>
      </c>
      <c r="BT2308" s="108">
        <v>77009008</v>
      </c>
      <c r="BU2308" s="108">
        <v>0</v>
      </c>
      <c r="BV2308" s="49"/>
      <c r="BW2308" s="49"/>
    </row>
    <row r="2309" spans="1:75" ht="19.5" customHeight="1">
      <c r="A2309" s="140"/>
      <c r="B2309" s="140"/>
      <c r="C2309" s="102">
        <v>77009008</v>
      </c>
      <c r="D2309" s="104" t="s">
        <v>1265</v>
      </c>
      <c r="E2309" s="104" t="s">
        <v>1266</v>
      </c>
      <c r="F2309" s="103">
        <v>1</v>
      </c>
      <c r="G2309" s="103">
        <v>0</v>
      </c>
      <c r="H2309" s="102">
        <v>0</v>
      </c>
      <c r="I2309" s="107">
        <v>0</v>
      </c>
      <c r="J2309" s="103">
        <v>1</v>
      </c>
      <c r="K2309" s="103">
        <v>0</v>
      </c>
      <c r="L2309" s="103">
        <v>0</v>
      </c>
      <c r="M2309" s="102">
        <v>0</v>
      </c>
      <c r="N2309" s="102">
        <v>0</v>
      </c>
      <c r="O2309" s="102">
        <v>2</v>
      </c>
      <c r="P2309" s="102">
        <v>1</v>
      </c>
      <c r="Q2309" s="102">
        <v>1</v>
      </c>
      <c r="R2309" s="102">
        <v>0</v>
      </c>
      <c r="S2309" s="108">
        <v>0</v>
      </c>
      <c r="T2309" s="107">
        <v>0</v>
      </c>
      <c r="U2309" s="103">
        <v>1</v>
      </c>
      <c r="V2309" s="102">
        <v>1</v>
      </c>
      <c r="W2309" s="102">
        <v>0</v>
      </c>
      <c r="X2309" s="102">
        <v>1.5</v>
      </c>
      <c r="Y2309" s="13">
        <v>0</v>
      </c>
      <c r="Z2309" s="102">
        <v>0</v>
      </c>
      <c r="AA2309" s="102">
        <v>1</v>
      </c>
      <c r="AB2309" s="102">
        <v>0</v>
      </c>
      <c r="AC2309" s="102">
        <v>0</v>
      </c>
      <c r="AD2309" s="102">
        <v>0</v>
      </c>
      <c r="AE2309" s="102">
        <v>0</v>
      </c>
      <c r="AF2309" s="102">
        <v>0</v>
      </c>
      <c r="AG2309" s="102">
        <v>1</v>
      </c>
      <c r="AH2309" s="159">
        <v>4</v>
      </c>
      <c r="AI2309" s="108">
        <v>0</v>
      </c>
      <c r="AJ2309" s="108">
        <v>1</v>
      </c>
      <c r="AK2309" s="108">
        <v>0</v>
      </c>
      <c r="AL2309" s="108">
        <v>5</v>
      </c>
      <c r="AM2309" s="102">
        <v>0</v>
      </c>
      <c r="AN2309" s="102">
        <v>1</v>
      </c>
      <c r="AO2309" s="102">
        <v>0</v>
      </c>
      <c r="AP2309" s="102">
        <v>0.6</v>
      </c>
      <c r="AQ2309" s="102">
        <v>2000</v>
      </c>
      <c r="AR2309" s="102">
        <v>0.6</v>
      </c>
      <c r="AS2309" s="102">
        <v>0</v>
      </c>
      <c r="AT2309" s="108">
        <v>0</v>
      </c>
      <c r="AU2309" s="102">
        <v>97050301</v>
      </c>
      <c r="AV2309" s="102"/>
      <c r="AW2309" s="104" t="s">
        <v>287</v>
      </c>
      <c r="AX2309" s="102" t="s">
        <v>545</v>
      </c>
      <c r="AY2309" s="102">
        <v>10001005</v>
      </c>
      <c r="AZ2309" s="102">
        <v>77005305</v>
      </c>
      <c r="BA2309" s="104" t="s">
        <v>200</v>
      </c>
      <c r="BB2309" s="104">
        <v>0</v>
      </c>
      <c r="BC2309" s="107">
        <v>0</v>
      </c>
      <c r="BD2309" s="107">
        <v>0</v>
      </c>
      <c r="BE2309" s="166" t="s">
        <v>1269</v>
      </c>
      <c r="BF2309" s="166" t="s">
        <v>1270</v>
      </c>
      <c r="BG2309" s="102">
        <v>0</v>
      </c>
      <c r="BH2309" s="103">
        <v>0</v>
      </c>
      <c r="BI2309" s="102">
        <v>0</v>
      </c>
      <c r="BJ2309" s="102">
        <v>0</v>
      </c>
      <c r="BK2309" s="102">
        <v>0</v>
      </c>
      <c r="BL2309" s="102">
        <v>0</v>
      </c>
      <c r="BM2309" s="99">
        <v>0</v>
      </c>
      <c r="BN2309" s="108">
        <v>0</v>
      </c>
      <c r="BO2309" s="108">
        <v>0</v>
      </c>
      <c r="BP2309" s="108">
        <v>0</v>
      </c>
      <c r="BQ2309" s="108">
        <v>0</v>
      </c>
      <c r="BR2309" s="108">
        <v>0</v>
      </c>
      <c r="BS2309" s="108">
        <v>0</v>
      </c>
      <c r="BT2309" s="108">
        <v>0</v>
      </c>
      <c r="BU2309" s="108">
        <v>0</v>
      </c>
      <c r="BV2309" s="49"/>
      <c r="BW2309" s="49"/>
    </row>
    <row r="2310" spans="1:75" ht="20.100000000000001" customHeight="1">
      <c r="A2310" s="140"/>
      <c r="B2310" s="140"/>
      <c r="C2310" s="66">
        <v>77010001</v>
      </c>
      <c r="D2310" s="61" t="s">
        <v>2891</v>
      </c>
      <c r="E2310" s="149" t="s">
        <v>2892</v>
      </c>
      <c r="F2310" s="95">
        <v>1</v>
      </c>
      <c r="G2310" s="62">
        <v>63021101</v>
      </c>
      <c r="H2310" s="66">
        <v>0</v>
      </c>
      <c r="I2310" s="68">
        <v>0</v>
      </c>
      <c r="J2310" s="66">
        <v>1</v>
      </c>
      <c r="K2310" s="62">
        <v>0</v>
      </c>
      <c r="L2310" s="66">
        <v>0</v>
      </c>
      <c r="M2310" s="62">
        <v>0</v>
      </c>
      <c r="N2310" s="62">
        <v>0</v>
      </c>
      <c r="O2310" s="62">
        <v>2</v>
      </c>
      <c r="P2310" s="62">
        <v>7</v>
      </c>
      <c r="Q2310" s="62">
        <v>0.15</v>
      </c>
      <c r="R2310" s="62">
        <v>0</v>
      </c>
      <c r="S2310" s="70">
        <v>0</v>
      </c>
      <c r="T2310" s="62">
        <v>0</v>
      </c>
      <c r="U2310" s="62">
        <v>1</v>
      </c>
      <c r="V2310" s="62">
        <v>1</v>
      </c>
      <c r="W2310" s="62">
        <v>0</v>
      </c>
      <c r="X2310" s="62">
        <v>0</v>
      </c>
      <c r="Y2310" s="13">
        <v>0</v>
      </c>
      <c r="Z2310" s="62">
        <v>0</v>
      </c>
      <c r="AA2310" s="62">
        <v>0</v>
      </c>
      <c r="AB2310" s="62">
        <v>0</v>
      </c>
      <c r="AC2310" s="62">
        <v>0</v>
      </c>
      <c r="AD2310" s="62">
        <v>0</v>
      </c>
      <c r="AE2310" s="62">
        <v>0</v>
      </c>
      <c r="AF2310" s="62">
        <v>0</v>
      </c>
      <c r="AG2310" s="62">
        <v>0</v>
      </c>
      <c r="AH2310" s="62">
        <v>0</v>
      </c>
      <c r="AI2310" s="70">
        <v>0</v>
      </c>
      <c r="AJ2310" s="70">
        <v>0</v>
      </c>
      <c r="AK2310" s="70">
        <v>0</v>
      </c>
      <c r="AL2310" s="70">
        <v>1.5</v>
      </c>
      <c r="AM2310" s="62">
        <v>0</v>
      </c>
      <c r="AN2310" s="62">
        <v>0</v>
      </c>
      <c r="AO2310" s="62">
        <v>0</v>
      </c>
      <c r="AP2310" s="66">
        <v>0</v>
      </c>
      <c r="AQ2310" s="62">
        <v>3000</v>
      </c>
      <c r="AR2310" s="62">
        <v>0</v>
      </c>
      <c r="AS2310" s="62">
        <v>0</v>
      </c>
      <c r="AT2310" s="70">
        <v>0</v>
      </c>
      <c r="AU2310" s="62">
        <v>97050401</v>
      </c>
      <c r="AV2310" s="62"/>
      <c r="AW2310" s="61" t="s">
        <v>198</v>
      </c>
      <c r="AX2310" s="62" t="s">
        <v>545</v>
      </c>
      <c r="AY2310" s="66">
        <v>0</v>
      </c>
      <c r="AZ2310" s="66">
        <v>0</v>
      </c>
      <c r="BA2310" s="61" t="s">
        <v>200</v>
      </c>
      <c r="BB2310" s="62">
        <v>0</v>
      </c>
      <c r="BC2310" s="68">
        <v>0</v>
      </c>
      <c r="BD2310" s="68">
        <v>0</v>
      </c>
      <c r="BE2310" s="92" t="s">
        <v>5423</v>
      </c>
      <c r="BF2310" s="92" t="s">
        <v>5424</v>
      </c>
      <c r="BG2310" s="62">
        <v>0</v>
      </c>
      <c r="BH2310" s="62">
        <v>0</v>
      </c>
      <c r="BI2310" s="62">
        <v>0</v>
      </c>
      <c r="BJ2310" s="62">
        <v>0</v>
      </c>
      <c r="BK2310" s="62">
        <v>0</v>
      </c>
      <c r="BL2310" s="62">
        <v>0</v>
      </c>
      <c r="BM2310" s="95">
        <v>0</v>
      </c>
      <c r="BN2310" s="70">
        <v>0</v>
      </c>
      <c r="BO2310" s="70">
        <v>0</v>
      </c>
      <c r="BP2310" s="70">
        <v>0</v>
      </c>
      <c r="BQ2310" s="70">
        <v>0</v>
      </c>
      <c r="BR2310" s="70">
        <v>0</v>
      </c>
      <c r="BS2310" s="70">
        <v>0</v>
      </c>
      <c r="BT2310" s="70">
        <v>0</v>
      </c>
      <c r="BU2310" s="49">
        <v>0</v>
      </c>
      <c r="BV2310" s="49"/>
      <c r="BW2310" s="49"/>
    </row>
    <row r="2311" spans="1:75" ht="20.100000000000001" customHeight="1">
      <c r="C2311" s="66">
        <v>77010111</v>
      </c>
      <c r="D2311" s="61" t="s">
        <v>5425</v>
      </c>
      <c r="E2311" s="61" t="s">
        <v>2386</v>
      </c>
      <c r="F2311" s="17">
        <v>1</v>
      </c>
      <c r="G2311" s="66">
        <v>90002001</v>
      </c>
      <c r="H2311" s="62">
        <v>0</v>
      </c>
      <c r="I2311" s="28">
        <v>0</v>
      </c>
      <c r="J2311" s="19">
        <v>1</v>
      </c>
      <c r="K2311" s="19">
        <v>0</v>
      </c>
      <c r="L2311" s="19">
        <v>0</v>
      </c>
      <c r="M2311" s="62">
        <v>0</v>
      </c>
      <c r="N2311" s="62">
        <v>0</v>
      </c>
      <c r="O2311" s="62">
        <v>1</v>
      </c>
      <c r="P2311" s="62">
        <v>0</v>
      </c>
      <c r="Q2311" s="62">
        <v>0</v>
      </c>
      <c r="R2311" s="62">
        <v>0</v>
      </c>
      <c r="S2311" s="13">
        <v>0</v>
      </c>
      <c r="T2311" s="62">
        <v>0</v>
      </c>
      <c r="U2311" s="17">
        <v>1</v>
      </c>
      <c r="V2311" s="62">
        <v>1</v>
      </c>
      <c r="W2311" s="62">
        <v>0</v>
      </c>
      <c r="X2311" s="62">
        <v>4</v>
      </c>
      <c r="Y2311" s="13">
        <v>0</v>
      </c>
      <c r="Z2311" s="62">
        <v>0</v>
      </c>
      <c r="AA2311" s="62">
        <v>0</v>
      </c>
      <c r="AB2311" s="62">
        <v>0</v>
      </c>
      <c r="AC2311" s="62">
        <v>0</v>
      </c>
      <c r="AD2311" s="62">
        <v>0</v>
      </c>
      <c r="AE2311" s="62">
        <v>0</v>
      </c>
      <c r="AF2311" s="62">
        <v>20</v>
      </c>
      <c r="AG2311" s="62">
        <v>2</v>
      </c>
      <c r="AH2311" s="62" t="s">
        <v>627</v>
      </c>
      <c r="AI2311" s="13">
        <v>0</v>
      </c>
      <c r="AJ2311" s="13">
        <v>2</v>
      </c>
      <c r="AK2311" s="13">
        <v>0</v>
      </c>
      <c r="AL2311" s="70">
        <v>3</v>
      </c>
      <c r="AM2311" s="62">
        <v>0</v>
      </c>
      <c r="AN2311" s="62">
        <v>0</v>
      </c>
      <c r="AO2311" s="62">
        <v>10</v>
      </c>
      <c r="AP2311" s="62">
        <v>10.1</v>
      </c>
      <c r="AQ2311" s="62">
        <v>10000</v>
      </c>
      <c r="AR2311" s="62">
        <v>0</v>
      </c>
      <c r="AS2311" s="62">
        <v>0</v>
      </c>
      <c r="AT2311" s="13">
        <v>0</v>
      </c>
      <c r="AU2311" s="62">
        <v>0</v>
      </c>
      <c r="AV2311" s="62"/>
      <c r="AW2311" s="61" t="s">
        <v>287</v>
      </c>
      <c r="AX2311" s="17">
        <v>0</v>
      </c>
      <c r="AY2311" s="66">
        <v>0</v>
      </c>
      <c r="AZ2311" s="19">
        <v>77010111</v>
      </c>
      <c r="BA2311" s="61" t="s">
        <v>2387</v>
      </c>
      <c r="BB2311" s="62">
        <v>60</v>
      </c>
      <c r="BC2311" s="68">
        <v>0</v>
      </c>
      <c r="BD2311" s="68">
        <v>0</v>
      </c>
      <c r="BE2311" s="92" t="s">
        <v>630</v>
      </c>
      <c r="BF2311" s="92" t="s">
        <v>631</v>
      </c>
      <c r="BG2311" s="62">
        <v>0</v>
      </c>
      <c r="BH2311" s="17">
        <v>0</v>
      </c>
      <c r="BI2311" s="62">
        <v>0</v>
      </c>
      <c r="BJ2311" s="62">
        <v>0</v>
      </c>
      <c r="BK2311" s="62">
        <v>0</v>
      </c>
      <c r="BL2311" s="62">
        <v>0</v>
      </c>
      <c r="BM2311" s="17">
        <v>0</v>
      </c>
      <c r="BN2311" s="13">
        <v>0</v>
      </c>
      <c r="BO2311" s="13">
        <v>0</v>
      </c>
      <c r="BP2311" s="13">
        <v>0</v>
      </c>
      <c r="BQ2311" s="13">
        <v>0</v>
      </c>
      <c r="BR2311" s="13">
        <v>0</v>
      </c>
      <c r="BS2311" s="13">
        <v>0</v>
      </c>
      <c r="BT2311" s="13">
        <v>0</v>
      </c>
      <c r="BU2311" s="49">
        <v>0</v>
      </c>
      <c r="BV2311" s="49"/>
      <c r="BW2311" s="49"/>
    </row>
    <row r="2312" spans="1:75" s="1" customFormat="1" ht="20.100000000000001" customHeight="1">
      <c r="C2312" s="62">
        <v>77010200</v>
      </c>
      <c r="D2312" s="61" t="s">
        <v>5426</v>
      </c>
      <c r="E2312" s="61" t="s">
        <v>1435</v>
      </c>
      <c r="F2312" s="62">
        <v>0</v>
      </c>
      <c r="G2312" s="62">
        <v>62011301</v>
      </c>
      <c r="H2312" s="62">
        <v>0</v>
      </c>
      <c r="I2312" s="68">
        <v>0</v>
      </c>
      <c r="J2312" s="62">
        <v>10</v>
      </c>
      <c r="K2312" s="62">
        <v>3</v>
      </c>
      <c r="L2312" s="62">
        <v>0</v>
      </c>
      <c r="M2312" s="62">
        <v>0</v>
      </c>
      <c r="N2312" s="62">
        <v>0</v>
      </c>
      <c r="O2312" s="62">
        <v>1</v>
      </c>
      <c r="P2312" s="62">
        <v>0</v>
      </c>
      <c r="Q2312" s="62">
        <v>0</v>
      </c>
      <c r="R2312" s="62">
        <v>0</v>
      </c>
      <c r="S2312" s="70">
        <v>0</v>
      </c>
      <c r="T2312" s="62">
        <v>0</v>
      </c>
      <c r="U2312" s="62">
        <v>1</v>
      </c>
      <c r="V2312" s="62">
        <v>2</v>
      </c>
      <c r="W2312" s="62">
        <v>0</v>
      </c>
      <c r="X2312" s="62">
        <v>3</v>
      </c>
      <c r="Y2312" s="13">
        <v>0</v>
      </c>
      <c r="Z2312" s="62">
        <v>350</v>
      </c>
      <c r="AA2312" s="62">
        <v>1</v>
      </c>
      <c r="AB2312" s="62">
        <v>0</v>
      </c>
      <c r="AC2312" s="62">
        <v>0</v>
      </c>
      <c r="AD2312" s="62">
        <v>0</v>
      </c>
      <c r="AE2312" s="62">
        <v>0</v>
      </c>
      <c r="AF2312" s="62">
        <v>20</v>
      </c>
      <c r="AG2312" s="62">
        <v>1</v>
      </c>
      <c r="AH2312" s="62">
        <v>0</v>
      </c>
      <c r="AI2312" s="70">
        <v>0</v>
      </c>
      <c r="AJ2312" s="70">
        <v>101</v>
      </c>
      <c r="AK2312" s="70">
        <v>0</v>
      </c>
      <c r="AL2312" s="70">
        <v>10</v>
      </c>
      <c r="AM2312" s="62">
        <v>0</v>
      </c>
      <c r="AN2312" s="62">
        <v>0</v>
      </c>
      <c r="AO2312" s="62">
        <v>0</v>
      </c>
      <c r="AP2312" s="62">
        <v>1</v>
      </c>
      <c r="AQ2312" s="62">
        <v>1000</v>
      </c>
      <c r="AR2312" s="62">
        <v>0.4</v>
      </c>
      <c r="AS2312" s="62">
        <v>0</v>
      </c>
      <c r="AT2312" s="70">
        <v>0</v>
      </c>
      <c r="AU2312" s="62" t="s">
        <v>198</v>
      </c>
      <c r="AV2312" s="62"/>
      <c r="AW2312" s="61" t="s">
        <v>762</v>
      </c>
      <c r="AX2312" s="62" t="s">
        <v>215</v>
      </c>
      <c r="AY2312" s="66">
        <v>10000015</v>
      </c>
      <c r="AZ2312" s="66">
        <v>21000030</v>
      </c>
      <c r="BA2312" s="61" t="s">
        <v>2403</v>
      </c>
      <c r="BB2312" s="369" t="s">
        <v>2404</v>
      </c>
      <c r="BC2312" s="68">
        <v>0</v>
      </c>
      <c r="BD2312" s="68">
        <v>0</v>
      </c>
      <c r="BE2312" s="123" t="str">
        <f>"&lt;color=#D3FD3A&gt;"&amp;D2775&amp;"(法杖武器技能):\n&lt;/color&gt;"&amp;BE2775&amp;"\n\n&lt;color=#D3FD3A&gt;"&amp;D2522&amp;"(魔法书武器技能):\n&lt;/color&gt;"&amp;BE2801</f>
        <v>&lt;color=#D3FD3A&gt;(法杖武器技能):\n&lt;/color&gt;\n\n&lt;color=#D3FD3A&gt;(魔法书武器技能):\n&lt;/color&gt;</v>
      </c>
      <c r="BF2312" s="123" t="s">
        <v>1436</v>
      </c>
      <c r="BG2312" s="62">
        <v>0</v>
      </c>
      <c r="BH2312" s="62">
        <v>0</v>
      </c>
      <c r="BI2312" s="62">
        <v>0</v>
      </c>
      <c r="BJ2312" s="62">
        <v>0</v>
      </c>
      <c r="BK2312" s="62">
        <v>0</v>
      </c>
      <c r="BL2312" s="62">
        <v>0</v>
      </c>
      <c r="BM2312" s="95">
        <v>0</v>
      </c>
      <c r="BN2312" s="70">
        <v>0</v>
      </c>
      <c r="BO2312" s="70">
        <v>0</v>
      </c>
      <c r="BP2312" s="70">
        <v>0</v>
      </c>
      <c r="BQ2312" s="70">
        <v>0</v>
      </c>
      <c r="BR2312" s="70">
        <v>0</v>
      </c>
      <c r="BS2312" s="70">
        <v>0</v>
      </c>
      <c r="BT2312" s="70">
        <v>0</v>
      </c>
      <c r="BU2312" s="70">
        <v>0</v>
      </c>
      <c r="BV2312" s="49"/>
      <c r="BW2312" s="49"/>
    </row>
  </sheetData>
  <autoFilter ref="BA1:BA2312"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2025-08-18T12:09:41Z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